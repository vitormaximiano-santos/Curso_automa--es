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cha.pinheiro\Downloads\"/>
    </mc:Choice>
  </mc:AlternateContent>
  <xr:revisionPtr revIDLastSave="0" documentId="13_ncr:1_{3FFA655B-5914-4D10-B93A-B8B66D6B6F9C}" xr6:coauthVersionLast="47" xr6:coauthVersionMax="47" xr10:uidLastSave="{00000000-0000-0000-0000-000000000000}"/>
  <bookViews>
    <workbookView xWindow="-120" yWindow="-120" windowWidth="29040" windowHeight="15720" firstSheet="10" activeTab="10" xr2:uid="{5B802E98-1279-4670-BBB1-50397C474340}"/>
  </bookViews>
  <sheets>
    <sheet name="JANEIRO 2025" sheetId="18" state="hidden" r:id="rId1"/>
    <sheet name="MAIO" sheetId="5" state="hidden" r:id="rId2"/>
    <sheet name="JUNHO" sheetId="7" state="hidden" r:id="rId3"/>
    <sheet name="JULHO" sheetId="11" state="hidden" r:id="rId4"/>
    <sheet name="AGOSTO" sheetId="13" state="hidden" r:id="rId5"/>
    <sheet name="SETEMBRO" sheetId="14" state="hidden" r:id="rId6"/>
    <sheet name="OUTUBRO" sheetId="15" state="hidden" r:id="rId7"/>
    <sheet name="NOVEMBRO" sheetId="16" state="hidden" r:id="rId8"/>
    <sheet name="DEZEMBRO" sheetId="17" state="hidden" r:id="rId9"/>
    <sheet name="FEVEREIRO 2025" sheetId="19" state="hidden" r:id="rId10"/>
    <sheet name="JANEIRO 2026" sheetId="20" r:id="rId11"/>
    <sheet name="Planilha1" sheetId="26" r:id="rId12"/>
    <sheet name="FEVEREIRO 2026" sheetId="21" r:id="rId13"/>
    <sheet name="MARÇO 2026" sheetId="22" r:id="rId14"/>
    <sheet name="ABRIL 2026" sheetId="23" r:id="rId15"/>
    <sheet name="Aprovados" sheetId="24" state="hidden" r:id="rId16"/>
    <sheet name="MAIO 2026" sheetId="25" r:id="rId17"/>
    <sheet name="Analise" sheetId="6" r:id="rId18"/>
  </sheets>
  <externalReferences>
    <externalReference r:id="rId19"/>
    <externalReference r:id="rId20"/>
  </externalReferences>
  <definedNames>
    <definedName name="_xlnm._FilterDatabase" localSheetId="14" hidden="1">'ABRIL 2026'!$W$2:$W$226</definedName>
    <definedName name="_xlnm._FilterDatabase" localSheetId="4" hidden="1">AGOSTO!$A$2:$A$604</definedName>
    <definedName name="_xlnm._FilterDatabase" localSheetId="15" hidden="1">Aprovados!$A$1:$A$1</definedName>
    <definedName name="_xlnm._FilterDatabase" localSheetId="8" hidden="1">DEZEMBRO!$G$441:$G$441</definedName>
    <definedName name="_xlnm._FilterDatabase" localSheetId="9" hidden="1">'FEVEREIRO 2025'!$G$483:$G$483</definedName>
    <definedName name="_xlnm._FilterDatabase" localSheetId="12" hidden="1">'FEVEREIRO 2026'!$W$2:$W$2</definedName>
    <definedName name="_xlnm._FilterDatabase" localSheetId="0" hidden="1">'JANEIRO 2025'!$G$483:$G$483</definedName>
    <definedName name="_xlnm._FilterDatabase" localSheetId="10" hidden="1">'JANEIRO 2026'!$S$2:$Z$2</definedName>
    <definedName name="_xlnm._FilterDatabase" localSheetId="3" hidden="1">JULHO!$A$2:$A$606</definedName>
    <definedName name="_xlnm._FilterDatabase" localSheetId="2" hidden="1">JUNHO!$A$586:$A$586</definedName>
    <definedName name="_xlnm._FilterDatabase" localSheetId="1" hidden="1">MAIO!$A$2:$A$75</definedName>
    <definedName name="_xlnm._FilterDatabase" localSheetId="16" hidden="1">'MAIO 2026'!$W$2:$W$2</definedName>
    <definedName name="_xlnm._FilterDatabase" localSheetId="13" hidden="1">'MARÇO 2026'!$W$2:$W$2</definedName>
    <definedName name="_xlnm._FilterDatabase" localSheetId="7" hidden="1">NOVEMBRO!$A$2:$A$599</definedName>
    <definedName name="_xlnm._FilterDatabase" localSheetId="6" hidden="1">OUTUBRO!$A$2:$A$600</definedName>
    <definedName name="_xlnm._FilterDatabase" localSheetId="11" hidden="1">Planilha1!$A$1:$C$218</definedName>
    <definedName name="_xlnm._FilterDatabase" localSheetId="5" hidden="1">SETEMBRO!$A$2:$A$603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0" l="1"/>
  <c r="E3" i="20" s="1"/>
  <c r="D4" i="20"/>
  <c r="E4" i="20" s="1"/>
  <c r="D5" i="20"/>
  <c r="E5" i="20" s="1"/>
  <c r="D6" i="20"/>
  <c r="E6" i="20" s="1"/>
  <c r="D7" i="20"/>
  <c r="E7" i="20" s="1"/>
  <c r="D8" i="20"/>
  <c r="E8" i="20" s="1"/>
  <c r="D9" i="20"/>
  <c r="E9" i="20" s="1"/>
  <c r="D10" i="20"/>
  <c r="E10" i="20" s="1"/>
  <c r="D11" i="20"/>
  <c r="E11" i="20" s="1"/>
  <c r="D12" i="20"/>
  <c r="E12" i="20" s="1"/>
  <c r="D13" i="20"/>
  <c r="E13" i="20" s="1"/>
  <c r="D14" i="20"/>
  <c r="E14" i="20" s="1"/>
  <c r="D15" i="20"/>
  <c r="E15" i="20" s="1"/>
  <c r="D16" i="20"/>
  <c r="E16" i="20" s="1"/>
  <c r="D17" i="20"/>
  <c r="E17" i="20" s="1"/>
  <c r="D18" i="20"/>
  <c r="E18" i="20" s="1"/>
  <c r="D19" i="20"/>
  <c r="E19" i="20" s="1"/>
  <c r="E20" i="20"/>
  <c r="D21" i="20"/>
  <c r="E21" i="20" s="1"/>
  <c r="D22" i="20"/>
  <c r="E22" i="20" s="1"/>
  <c r="E23" i="20"/>
  <c r="D24" i="20"/>
  <c r="E24" i="20" s="1"/>
  <c r="D25" i="20"/>
  <c r="E25" i="20" s="1"/>
  <c r="D26" i="20"/>
  <c r="E26" i="20" s="1"/>
  <c r="D27" i="20"/>
  <c r="E27" i="20" s="1"/>
  <c r="D28" i="20"/>
  <c r="E28" i="20" s="1"/>
  <c r="E29" i="20"/>
  <c r="D30" i="20"/>
  <c r="E30" i="20" s="1"/>
  <c r="E31" i="20"/>
  <c r="D32" i="20"/>
  <c r="E32" i="20" s="1"/>
  <c r="E33" i="20"/>
  <c r="D34" i="20"/>
  <c r="E34" i="20" s="1"/>
  <c r="D35" i="20"/>
  <c r="E35" i="20" s="1"/>
  <c r="D36" i="20"/>
  <c r="E36" i="20" s="1"/>
  <c r="D37" i="20"/>
  <c r="E37" i="20" s="1"/>
  <c r="D38" i="20"/>
  <c r="E38" i="20" s="1"/>
  <c r="D39" i="20"/>
  <c r="E39" i="20" s="1"/>
  <c r="E40" i="20"/>
  <c r="E41" i="20"/>
  <c r="E42" i="20"/>
  <c r="D43" i="20"/>
  <c r="E43" i="20" s="1"/>
  <c r="E44" i="20"/>
  <c r="D45" i="20"/>
  <c r="E45" i="20" s="1"/>
  <c r="D46" i="20"/>
  <c r="E46" i="20" s="1"/>
  <c r="D47" i="20"/>
  <c r="E47" i="20" s="1"/>
  <c r="D48" i="20"/>
  <c r="E48" i="20" s="1"/>
  <c r="D49" i="20"/>
  <c r="E49" i="20" s="1"/>
  <c r="D50" i="20"/>
  <c r="E50" i="20" s="1"/>
  <c r="D51" i="20"/>
  <c r="E51" i="20" s="1"/>
  <c r="D52" i="20"/>
  <c r="E52" i="20" s="1"/>
  <c r="E53" i="20"/>
  <c r="D54" i="20"/>
  <c r="E54" i="20" s="1"/>
  <c r="E55" i="20"/>
  <c r="D56" i="20"/>
  <c r="E56" i="20" s="1"/>
  <c r="D57" i="20"/>
  <c r="E57" i="20" s="1"/>
  <c r="E58" i="20"/>
  <c r="E59" i="20"/>
  <c r="E60" i="20"/>
  <c r="D61" i="20"/>
  <c r="E61" i="20" s="1"/>
  <c r="D62" i="20"/>
  <c r="E62" i="20" s="1"/>
  <c r="D63" i="20"/>
  <c r="E63" i="20" s="1"/>
  <c r="D64" i="20"/>
  <c r="E64" i="20" s="1"/>
  <c r="D65" i="20"/>
  <c r="E65" i="20" s="1"/>
  <c r="D66" i="20"/>
  <c r="E66" i="20" s="1"/>
  <c r="D67" i="20"/>
  <c r="E67" i="20" s="1"/>
  <c r="D68" i="20"/>
  <c r="E68" i="20" s="1"/>
  <c r="D69" i="20"/>
  <c r="E69" i="20" s="1"/>
  <c r="D70" i="20"/>
  <c r="E70" i="20" s="1"/>
  <c r="E71" i="20"/>
  <c r="D72" i="20"/>
  <c r="E72" i="20" s="1"/>
  <c r="D73" i="20"/>
  <c r="E73" i="20" s="1"/>
  <c r="E74" i="20"/>
  <c r="E75" i="20"/>
  <c r="E76" i="20"/>
  <c r="E77" i="20"/>
  <c r="D78" i="20"/>
  <c r="E78" i="20" s="1"/>
  <c r="E79" i="20"/>
  <c r="D80" i="20"/>
  <c r="E80" i="20" s="1"/>
  <c r="E81" i="20"/>
  <c r="D82" i="20"/>
  <c r="E82" i="20" s="1"/>
  <c r="E83" i="20"/>
  <c r="E84" i="20"/>
  <c r="D85" i="20"/>
  <c r="E85" i="20" s="1"/>
  <c r="E86" i="20"/>
  <c r="D87" i="20"/>
  <c r="E87" i="20" s="1"/>
  <c r="E88" i="20"/>
  <c r="D89" i="20"/>
  <c r="E89" i="20" s="1"/>
  <c r="E90" i="20"/>
  <c r="E91" i="20"/>
  <c r="E92" i="20"/>
  <c r="E93" i="20"/>
  <c r="D94" i="20"/>
  <c r="E94" i="20" s="1"/>
  <c r="D95" i="20"/>
  <c r="E95" i="20" s="1"/>
  <c r="D96" i="20"/>
  <c r="E96" i="20" s="1"/>
  <c r="E97" i="20"/>
  <c r="D98" i="20"/>
  <c r="E98" i="20" s="1"/>
  <c r="D99" i="20"/>
  <c r="E99" i="20" s="1"/>
  <c r="D100" i="20"/>
  <c r="E100" i="20" s="1"/>
  <c r="E101" i="20"/>
  <c r="D102" i="20"/>
  <c r="E102" i="20" s="1"/>
  <c r="E103" i="20"/>
  <c r="E104" i="20"/>
  <c r="D105" i="20"/>
  <c r="E105" i="20" s="1"/>
  <c r="D106" i="20"/>
  <c r="E106" i="20" s="1"/>
  <c r="D107" i="20"/>
  <c r="E107" i="20" s="1"/>
  <c r="D108" i="20"/>
  <c r="E108" i="20" s="1"/>
  <c r="D109" i="20"/>
  <c r="E109" i="20" s="1"/>
  <c r="D110" i="20"/>
  <c r="E110" i="20" s="1"/>
  <c r="D111" i="20"/>
  <c r="E111" i="20" s="1"/>
  <c r="D112" i="20"/>
  <c r="E112" i="20" s="1"/>
  <c r="D113" i="20"/>
  <c r="E113" i="20" s="1"/>
  <c r="D114" i="20"/>
  <c r="E114" i="20" s="1"/>
  <c r="D115" i="20"/>
  <c r="E115" i="20" s="1"/>
  <c r="D116" i="20"/>
  <c r="E116" i="20" s="1"/>
  <c r="E117" i="20"/>
  <c r="D118" i="20"/>
  <c r="E118" i="20" s="1"/>
  <c r="D119" i="20"/>
  <c r="E119" i="20" s="1"/>
  <c r="D120" i="20"/>
  <c r="E120" i="20" s="1"/>
  <c r="E121" i="20"/>
  <c r="E122" i="20"/>
  <c r="E123" i="20"/>
  <c r="D124" i="20"/>
  <c r="E124" i="20" s="1"/>
  <c r="D125" i="20"/>
  <c r="E125" i="20" s="1"/>
  <c r="E126" i="20"/>
  <c r="D127" i="20"/>
  <c r="E127" i="20" s="1"/>
  <c r="D128" i="20"/>
  <c r="E128" i="20" s="1"/>
  <c r="D129" i="20"/>
  <c r="E129" i="20" s="1"/>
  <c r="D130" i="20"/>
  <c r="E130" i="20" s="1"/>
  <c r="E131" i="20"/>
  <c r="D132" i="20"/>
  <c r="E132" i="20" s="1"/>
  <c r="D133" i="20"/>
  <c r="E133" i="20" s="1"/>
  <c r="E134" i="20"/>
  <c r="D135" i="20"/>
  <c r="E135" i="20" s="1"/>
  <c r="E136" i="20"/>
  <c r="D137" i="20"/>
  <c r="E137" i="20" s="1"/>
  <c r="E138" i="20"/>
  <c r="D139" i="20"/>
  <c r="E139" i="20" s="1"/>
  <c r="D140" i="20"/>
  <c r="E140" i="20" s="1"/>
  <c r="E141" i="20"/>
  <c r="E142" i="20"/>
  <c r="D143" i="20"/>
  <c r="E143" i="20" s="1"/>
  <c r="D144" i="20"/>
  <c r="E144" i="20" s="1"/>
  <c r="D145" i="20"/>
  <c r="E145" i="20" s="1"/>
  <c r="E146" i="20"/>
  <c r="E147" i="20"/>
  <c r="D148" i="20"/>
  <c r="E148" i="20" s="1"/>
  <c r="D149" i="20"/>
  <c r="E149" i="20" s="1"/>
  <c r="E150" i="20"/>
  <c r="E151" i="20"/>
  <c r="D152" i="20"/>
  <c r="E152" i="20" s="1"/>
  <c r="D153" i="20"/>
  <c r="E153" i="20" s="1"/>
  <c r="E154" i="20"/>
  <c r="D155" i="20"/>
  <c r="E155" i="20" s="1"/>
  <c r="D156" i="20"/>
  <c r="E156" i="20" s="1"/>
  <c r="E157" i="20"/>
  <c r="D158" i="20"/>
  <c r="E158" i="20" s="1"/>
  <c r="D159" i="20"/>
  <c r="E159" i="20" s="1"/>
  <c r="E160" i="20"/>
  <c r="D161" i="20"/>
  <c r="E161" i="20" s="1"/>
  <c r="E162" i="20"/>
  <c r="P559" i="20"/>
  <c r="Q559" i="20" s="1"/>
  <c r="R559" i="20"/>
  <c r="P163" i="20"/>
  <c r="Q163" i="20" s="1"/>
  <c r="R163" i="20"/>
  <c r="P164" i="20"/>
  <c r="Q164" i="20" s="1"/>
  <c r="R164" i="20"/>
  <c r="P165" i="20"/>
  <c r="Q165" i="20" s="1"/>
  <c r="R165" i="20"/>
  <c r="P166" i="20"/>
  <c r="Q166" i="20" s="1"/>
  <c r="R166" i="20"/>
  <c r="P167" i="20"/>
  <c r="Q167" i="20" s="1"/>
  <c r="R167" i="20"/>
  <c r="P168" i="20"/>
  <c r="Q168" i="20" s="1"/>
  <c r="R168" i="20"/>
  <c r="P169" i="20"/>
  <c r="Q169" i="20" s="1"/>
  <c r="R169" i="20"/>
  <c r="P170" i="20"/>
  <c r="Q170" i="20" s="1"/>
  <c r="R170" i="20"/>
  <c r="P171" i="20"/>
  <c r="Q171" i="20" s="1"/>
  <c r="R171" i="20"/>
  <c r="P172" i="20"/>
  <c r="Q172" i="20" s="1"/>
  <c r="R172" i="20"/>
  <c r="P173" i="20"/>
  <c r="Q173" i="20" s="1"/>
  <c r="R173" i="20"/>
  <c r="P174" i="20"/>
  <c r="Q174" i="20" s="1"/>
  <c r="R174" i="20"/>
  <c r="P175" i="20"/>
  <c r="Q175" i="20" s="1"/>
  <c r="R175" i="20"/>
  <c r="R177" i="20"/>
  <c r="P177" i="20"/>
  <c r="P144" i="20"/>
  <c r="R144" i="20"/>
  <c r="R110" i="20"/>
  <c r="P110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7" i="20"/>
  <c r="R138" i="20"/>
  <c r="R139" i="20"/>
  <c r="R140" i="20"/>
  <c r="R141" i="20"/>
  <c r="R142" i="20"/>
  <c r="R143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76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131" i="20"/>
  <c r="R132" i="20"/>
  <c r="R133" i="20"/>
  <c r="R134" i="20"/>
  <c r="R135" i="20"/>
  <c r="R13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P541" i="20"/>
  <c r="P542" i="20"/>
  <c r="P543" i="20"/>
  <c r="P544" i="20"/>
  <c r="F9" i="6"/>
  <c r="G9" i="6"/>
  <c r="E8" i="6"/>
  <c r="F8" i="6"/>
  <c r="G8" i="6"/>
  <c r="H4" i="6"/>
  <c r="G4" i="6"/>
  <c r="F4" i="6"/>
  <c r="E4" i="6"/>
  <c r="D4" i="6"/>
  <c r="E9" i="6"/>
  <c r="P7" i="6"/>
  <c r="S7" i="6" s="1"/>
  <c r="D9" i="6"/>
  <c r="D8" i="6"/>
  <c r="D3" i="6"/>
  <c r="K1" i="20"/>
  <c r="N7" i="23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2" i="25"/>
  <c r="P133" i="25"/>
  <c r="P134" i="25"/>
  <c r="P135" i="25"/>
  <c r="P136" i="25"/>
  <c r="P137" i="25"/>
  <c r="P138" i="25"/>
  <c r="P139" i="25"/>
  <c r="P140" i="25"/>
  <c r="P141" i="25"/>
  <c r="P142" i="25"/>
  <c r="P143" i="25"/>
  <c r="P144" i="25"/>
  <c r="P145" i="25"/>
  <c r="P146" i="25"/>
  <c r="P147" i="25"/>
  <c r="P148" i="25"/>
  <c r="P149" i="25"/>
  <c r="P150" i="25"/>
  <c r="P151" i="25"/>
  <c r="P152" i="25"/>
  <c r="P153" i="25"/>
  <c r="P154" i="25"/>
  <c r="P155" i="25"/>
  <c r="P156" i="25"/>
  <c r="P157" i="25"/>
  <c r="P158" i="25"/>
  <c r="P159" i="25"/>
  <c r="P160" i="25"/>
  <c r="P161" i="25"/>
  <c r="P162" i="25"/>
  <c r="P163" i="25"/>
  <c r="P164" i="25"/>
  <c r="P165" i="25"/>
  <c r="P166" i="25"/>
  <c r="P167" i="25"/>
  <c r="P168" i="25"/>
  <c r="P169" i="25"/>
  <c r="P170" i="25"/>
  <c r="P171" i="25"/>
  <c r="P172" i="25"/>
  <c r="P173" i="25"/>
  <c r="P174" i="25"/>
  <c r="P175" i="25"/>
  <c r="P176" i="25"/>
  <c r="P177" i="25"/>
  <c r="P178" i="25"/>
  <c r="P179" i="25"/>
  <c r="P180" i="25"/>
  <c r="P181" i="25"/>
  <c r="P182" i="25"/>
  <c r="P183" i="25"/>
  <c r="P184" i="25"/>
  <c r="P185" i="25"/>
  <c r="P186" i="25"/>
  <c r="P187" i="25"/>
  <c r="P188" i="25"/>
  <c r="P189" i="25"/>
  <c r="P190" i="25"/>
  <c r="P191" i="25"/>
  <c r="P192" i="25"/>
  <c r="P193" i="25"/>
  <c r="P194" i="25"/>
  <c r="P195" i="25"/>
  <c r="V1" i="23"/>
  <c r="V1" i="25"/>
  <c r="O44" i="25"/>
  <c r="O1" i="25" s="1"/>
  <c r="K1" i="22"/>
  <c r="P153" i="20"/>
  <c r="K1" i="25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89" i="23"/>
  <c r="N90" i="23"/>
  <c r="K1" i="23"/>
  <c r="K1" i="21"/>
  <c r="M1" i="20"/>
  <c r="P3" i="23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113" i="23"/>
  <c r="P114" i="23"/>
  <c r="P115" i="23"/>
  <c r="P116" i="23"/>
  <c r="P117" i="23"/>
  <c r="P118" i="23"/>
  <c r="P119" i="23"/>
  <c r="P120" i="23"/>
  <c r="P121" i="23"/>
  <c r="P122" i="23"/>
  <c r="P123" i="23"/>
  <c r="P124" i="23"/>
  <c r="P125" i="23"/>
  <c r="P126" i="23"/>
  <c r="P127" i="23"/>
  <c r="P128" i="23"/>
  <c r="P129" i="23"/>
  <c r="P130" i="23"/>
  <c r="P131" i="23"/>
  <c r="P132" i="23"/>
  <c r="P133" i="23"/>
  <c r="P134" i="23"/>
  <c r="P135" i="23"/>
  <c r="P136" i="23"/>
  <c r="P137" i="23"/>
  <c r="P138" i="23"/>
  <c r="P139" i="23"/>
  <c r="P140" i="23"/>
  <c r="P141" i="23"/>
  <c r="P142" i="23"/>
  <c r="P143" i="23"/>
  <c r="P144" i="23"/>
  <c r="P145" i="23"/>
  <c r="P146" i="23"/>
  <c r="P147" i="23"/>
  <c r="P148" i="23"/>
  <c r="P149" i="23"/>
  <c r="P150" i="23"/>
  <c r="P151" i="23"/>
  <c r="P152" i="23"/>
  <c r="P153" i="23"/>
  <c r="P154" i="23"/>
  <c r="P155" i="23"/>
  <c r="P156" i="23"/>
  <c r="P157" i="23"/>
  <c r="P158" i="23"/>
  <c r="P159" i="23"/>
  <c r="P160" i="23"/>
  <c r="P161" i="23"/>
  <c r="P162" i="23"/>
  <c r="P163" i="23"/>
  <c r="P164" i="23"/>
  <c r="P165" i="23"/>
  <c r="P166" i="23"/>
  <c r="P167" i="23"/>
  <c r="P168" i="23"/>
  <c r="P169" i="23"/>
  <c r="P170" i="23"/>
  <c r="P171" i="23"/>
  <c r="P172" i="23"/>
  <c r="P173" i="23"/>
  <c r="P174" i="23"/>
  <c r="P175" i="23"/>
  <c r="P176" i="23"/>
  <c r="P177" i="23"/>
  <c r="P178" i="23"/>
  <c r="P179" i="23"/>
  <c r="P180" i="23"/>
  <c r="P181" i="23"/>
  <c r="P182" i="23"/>
  <c r="P183" i="23"/>
  <c r="P184" i="23"/>
  <c r="P185" i="23"/>
  <c r="P186" i="23"/>
  <c r="P187" i="23"/>
  <c r="P188" i="23"/>
  <c r="P189" i="23"/>
  <c r="P190" i="23"/>
  <c r="P191" i="23"/>
  <c r="P192" i="23"/>
  <c r="P193" i="23"/>
  <c r="P194" i="23"/>
  <c r="P195" i="23"/>
  <c r="P196" i="23"/>
  <c r="P197" i="23"/>
  <c r="P198" i="23"/>
  <c r="P199" i="23"/>
  <c r="P200" i="23"/>
  <c r="P201" i="23"/>
  <c r="P202" i="23"/>
  <c r="P203" i="23"/>
  <c r="P204" i="23"/>
  <c r="P205" i="23"/>
  <c r="P206" i="23"/>
  <c r="P207" i="23"/>
  <c r="P208" i="23"/>
  <c r="P209" i="23"/>
  <c r="P210" i="23"/>
  <c r="P211" i="23"/>
  <c r="P212" i="23"/>
  <c r="P213" i="23"/>
  <c r="P214" i="23"/>
  <c r="P215" i="23"/>
  <c r="P216" i="23"/>
  <c r="P217" i="23"/>
  <c r="P218" i="23"/>
  <c r="P219" i="23"/>
  <c r="P220" i="23"/>
  <c r="P221" i="23"/>
  <c r="P222" i="23"/>
  <c r="P223" i="23"/>
  <c r="P224" i="23"/>
  <c r="P225" i="23"/>
  <c r="P226" i="23"/>
  <c r="P227" i="23"/>
  <c r="P228" i="23"/>
  <c r="P229" i="23"/>
  <c r="P230" i="23"/>
  <c r="P231" i="23"/>
  <c r="P232" i="23"/>
  <c r="P233" i="23"/>
  <c r="P234" i="23"/>
  <c r="P235" i="23"/>
  <c r="P236" i="23"/>
  <c r="P237" i="23"/>
  <c r="P238" i="23"/>
  <c r="P239" i="23"/>
  <c r="P240" i="23"/>
  <c r="P241" i="23"/>
  <c r="P242" i="23"/>
  <c r="P243" i="23"/>
  <c r="P244" i="23"/>
  <c r="P245" i="23"/>
  <c r="P246" i="23"/>
  <c r="P247" i="23"/>
  <c r="P248" i="23"/>
  <c r="P249" i="23"/>
  <c r="P250" i="23"/>
  <c r="P251" i="23"/>
  <c r="P252" i="23"/>
  <c r="P253" i="23"/>
  <c r="P254" i="23"/>
  <c r="P255" i="23"/>
  <c r="P256" i="23"/>
  <c r="P257" i="23"/>
  <c r="P258" i="23"/>
  <c r="P259" i="23"/>
  <c r="P260" i="23"/>
  <c r="P261" i="23"/>
  <c r="P262" i="23"/>
  <c r="P263" i="23"/>
  <c r="P264" i="23"/>
  <c r="P265" i="23"/>
  <c r="P266" i="23"/>
  <c r="P267" i="23"/>
  <c r="P268" i="23"/>
  <c r="P269" i="23"/>
  <c r="P270" i="23"/>
  <c r="P271" i="23"/>
  <c r="P272" i="23"/>
  <c r="P273" i="23"/>
  <c r="P274" i="23"/>
  <c r="P275" i="23"/>
  <c r="P276" i="23"/>
  <c r="P277" i="23"/>
  <c r="P278" i="23"/>
  <c r="P279" i="23"/>
  <c r="P280" i="23"/>
  <c r="P281" i="23"/>
  <c r="P282" i="23"/>
  <c r="P283" i="23"/>
  <c r="P284" i="23"/>
  <c r="P285" i="23"/>
  <c r="P286" i="23"/>
  <c r="P287" i="23"/>
  <c r="P288" i="23"/>
  <c r="P289" i="23"/>
  <c r="P290" i="23"/>
  <c r="P291" i="23"/>
  <c r="P292" i="23"/>
  <c r="P293" i="23"/>
  <c r="P294" i="23"/>
  <c r="P295" i="23"/>
  <c r="P296" i="23"/>
  <c r="P297" i="23"/>
  <c r="P298" i="23"/>
  <c r="P299" i="23"/>
  <c r="P300" i="23"/>
  <c r="P301" i="23"/>
  <c r="P302" i="23"/>
  <c r="P303" i="23"/>
  <c r="P304" i="23"/>
  <c r="P305" i="23"/>
  <c r="P306" i="23"/>
  <c r="P307" i="23"/>
  <c r="P308" i="23"/>
  <c r="P309" i="23"/>
  <c r="P310" i="23"/>
  <c r="P311" i="23"/>
  <c r="P312" i="23"/>
  <c r="P313" i="23"/>
  <c r="P314" i="23"/>
  <c r="P315" i="23"/>
  <c r="P316" i="23"/>
  <c r="P317" i="23"/>
  <c r="P318" i="23"/>
  <c r="P319" i="23"/>
  <c r="P320" i="23"/>
  <c r="P321" i="23"/>
  <c r="P322" i="23"/>
  <c r="P323" i="23"/>
  <c r="P324" i="23"/>
  <c r="P325" i="23"/>
  <c r="P326" i="23"/>
  <c r="P327" i="23"/>
  <c r="P328" i="23"/>
  <c r="P329" i="23"/>
  <c r="P330" i="23"/>
  <c r="P331" i="23"/>
  <c r="P332" i="23"/>
  <c r="P333" i="23"/>
  <c r="P334" i="23"/>
  <c r="P335" i="23"/>
  <c r="P336" i="23"/>
  <c r="P337" i="23"/>
  <c r="P338" i="23"/>
  <c r="P339" i="23"/>
  <c r="P340" i="23"/>
  <c r="P341" i="23"/>
  <c r="P342" i="23"/>
  <c r="P343" i="23"/>
  <c r="P344" i="23"/>
  <c r="P345" i="23"/>
  <c r="P346" i="23"/>
  <c r="P347" i="23"/>
  <c r="P348" i="23"/>
  <c r="P349" i="23"/>
  <c r="P350" i="23"/>
  <c r="P351" i="23"/>
  <c r="P352" i="23"/>
  <c r="P353" i="23"/>
  <c r="P354" i="23"/>
  <c r="P355" i="23"/>
  <c r="P356" i="23"/>
  <c r="P357" i="23"/>
  <c r="P358" i="23"/>
  <c r="P359" i="23"/>
  <c r="P360" i="23"/>
  <c r="P361" i="23"/>
  <c r="P362" i="23"/>
  <c r="P363" i="23"/>
  <c r="P364" i="23"/>
  <c r="P365" i="23"/>
  <c r="P366" i="23"/>
  <c r="P367" i="23"/>
  <c r="P368" i="23"/>
  <c r="P369" i="23"/>
  <c r="P370" i="23"/>
  <c r="P371" i="23"/>
  <c r="P372" i="23"/>
  <c r="P373" i="23"/>
  <c r="P374" i="23"/>
  <c r="P375" i="23"/>
  <c r="P376" i="23"/>
  <c r="P377" i="23"/>
  <c r="P378" i="23"/>
  <c r="P379" i="23"/>
  <c r="P380" i="23"/>
  <c r="P381" i="23"/>
  <c r="P382" i="23"/>
  <c r="P383" i="23"/>
  <c r="P384" i="23"/>
  <c r="P385" i="23"/>
  <c r="P386" i="23"/>
  <c r="P387" i="23"/>
  <c r="P388" i="23"/>
  <c r="P389" i="23"/>
  <c r="P390" i="23"/>
  <c r="P391" i="23"/>
  <c r="P392" i="23"/>
  <c r="P393" i="23"/>
  <c r="P394" i="23"/>
  <c r="P395" i="23"/>
  <c r="P396" i="23"/>
  <c r="P397" i="23"/>
  <c r="P398" i="23"/>
  <c r="P399" i="23"/>
  <c r="P400" i="23"/>
  <c r="P401" i="23"/>
  <c r="P402" i="23"/>
  <c r="P403" i="23"/>
  <c r="P404" i="23"/>
  <c r="P405" i="23"/>
  <c r="P406" i="23"/>
  <c r="P407" i="23"/>
  <c r="P408" i="23"/>
  <c r="P409" i="23"/>
  <c r="P410" i="23"/>
  <c r="P411" i="23"/>
  <c r="P412" i="23"/>
  <c r="P413" i="23"/>
  <c r="P414" i="23"/>
  <c r="P415" i="23"/>
  <c r="P416" i="23"/>
  <c r="P417" i="23"/>
  <c r="P418" i="23"/>
  <c r="P419" i="23"/>
  <c r="P420" i="23"/>
  <c r="P421" i="23"/>
  <c r="P422" i="23"/>
  <c r="P423" i="23"/>
  <c r="P424" i="23"/>
  <c r="P425" i="23"/>
  <c r="P426" i="23"/>
  <c r="P427" i="23"/>
  <c r="P428" i="23"/>
  <c r="P429" i="23"/>
  <c r="P430" i="23"/>
  <c r="P431" i="23"/>
  <c r="P432" i="23"/>
  <c r="P433" i="23"/>
  <c r="P434" i="23"/>
  <c r="P435" i="23"/>
  <c r="P436" i="23"/>
  <c r="P437" i="23"/>
  <c r="P438" i="23"/>
  <c r="P439" i="23"/>
  <c r="P440" i="23"/>
  <c r="P441" i="23"/>
  <c r="P442" i="23"/>
  <c r="P443" i="23"/>
  <c r="P444" i="23"/>
  <c r="P445" i="23"/>
  <c r="P446" i="23"/>
  <c r="P447" i="23"/>
  <c r="P448" i="23"/>
  <c r="P449" i="23"/>
  <c r="P450" i="23"/>
  <c r="P451" i="23"/>
  <c r="P452" i="23"/>
  <c r="P453" i="23"/>
  <c r="P454" i="23"/>
  <c r="P455" i="23"/>
  <c r="P456" i="23"/>
  <c r="P457" i="23"/>
  <c r="P458" i="23"/>
  <c r="P459" i="23"/>
  <c r="P460" i="23"/>
  <c r="P461" i="23"/>
  <c r="P462" i="23"/>
  <c r="P463" i="23"/>
  <c r="P464" i="23"/>
  <c r="P465" i="23"/>
  <c r="P466" i="23"/>
  <c r="P467" i="23"/>
  <c r="P468" i="23"/>
  <c r="P469" i="23"/>
  <c r="P470" i="23"/>
  <c r="P471" i="23"/>
  <c r="P472" i="23"/>
  <c r="P473" i="23"/>
  <c r="P474" i="23"/>
  <c r="P475" i="23"/>
  <c r="P476" i="23"/>
  <c r="P477" i="23"/>
  <c r="P478" i="23"/>
  <c r="P479" i="23"/>
  <c r="P480" i="23"/>
  <c r="P481" i="23"/>
  <c r="P482" i="23"/>
  <c r="P483" i="23"/>
  <c r="P484" i="23"/>
  <c r="P485" i="23"/>
  <c r="P486" i="23"/>
  <c r="P487" i="23"/>
  <c r="P488" i="23"/>
  <c r="P489" i="23"/>
  <c r="P490" i="23"/>
  <c r="P491" i="23"/>
  <c r="P492" i="23"/>
  <c r="P493" i="23"/>
  <c r="P494" i="23"/>
  <c r="P495" i="23"/>
  <c r="P496" i="23"/>
  <c r="P497" i="23"/>
  <c r="P498" i="23"/>
  <c r="P499" i="23"/>
  <c r="P500" i="23"/>
  <c r="P501" i="23"/>
  <c r="P502" i="23"/>
  <c r="P503" i="23"/>
  <c r="P504" i="23"/>
  <c r="P505" i="23"/>
  <c r="P506" i="23"/>
  <c r="P507" i="23"/>
  <c r="P508" i="23"/>
  <c r="P509" i="23"/>
  <c r="P510" i="23"/>
  <c r="P511" i="23"/>
  <c r="P512" i="23"/>
  <c r="P513" i="23"/>
  <c r="P514" i="23"/>
  <c r="P515" i="23"/>
  <c r="P516" i="23"/>
  <c r="P517" i="23"/>
  <c r="P518" i="23"/>
  <c r="P519" i="23"/>
  <c r="P520" i="23"/>
  <c r="P521" i="23"/>
  <c r="P522" i="23"/>
  <c r="P523" i="23"/>
  <c r="P524" i="23"/>
  <c r="P525" i="23"/>
  <c r="P526" i="23"/>
  <c r="P527" i="23"/>
  <c r="P528" i="23"/>
  <c r="P529" i="23"/>
  <c r="P530" i="23"/>
  <c r="P531" i="23"/>
  <c r="P532" i="23"/>
  <c r="P533" i="23"/>
  <c r="P534" i="23"/>
  <c r="P535" i="23"/>
  <c r="P536" i="23"/>
  <c r="P537" i="23"/>
  <c r="P538" i="23"/>
  <c r="P539" i="23"/>
  <c r="P540" i="23"/>
  <c r="P541" i="23"/>
  <c r="P542" i="23"/>
  <c r="P543" i="23"/>
  <c r="P544" i="23"/>
  <c r="P545" i="23"/>
  <c r="P546" i="23"/>
  <c r="P547" i="23"/>
  <c r="P548" i="23"/>
  <c r="P549" i="23"/>
  <c r="P550" i="23"/>
  <c r="P551" i="23"/>
  <c r="P552" i="23"/>
  <c r="P553" i="23"/>
  <c r="P554" i="23"/>
  <c r="P555" i="23"/>
  <c r="P556" i="23"/>
  <c r="P557" i="23"/>
  <c r="P558" i="23"/>
  <c r="P559" i="23"/>
  <c r="P560" i="23"/>
  <c r="P561" i="23"/>
  <c r="P562" i="23"/>
  <c r="P563" i="23"/>
  <c r="P564" i="23"/>
  <c r="P565" i="23"/>
  <c r="P566" i="23"/>
  <c r="P567" i="23"/>
  <c r="P568" i="23"/>
  <c r="P569" i="23"/>
  <c r="P570" i="23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192" i="22"/>
  <c r="P193" i="22"/>
  <c r="P194" i="22"/>
  <c r="P195" i="22"/>
  <c r="P196" i="22"/>
  <c r="P197" i="22"/>
  <c r="P198" i="22"/>
  <c r="P199" i="22"/>
  <c r="P200" i="22"/>
  <c r="P201" i="22"/>
  <c r="P202" i="22"/>
  <c r="P203" i="22"/>
  <c r="P204" i="22"/>
  <c r="P205" i="22"/>
  <c r="P206" i="22"/>
  <c r="P207" i="22"/>
  <c r="P208" i="22"/>
  <c r="P209" i="22"/>
  <c r="P210" i="22"/>
  <c r="P211" i="22"/>
  <c r="P212" i="22"/>
  <c r="P213" i="22"/>
  <c r="P214" i="22"/>
  <c r="P215" i="22"/>
  <c r="P216" i="22"/>
  <c r="P217" i="22"/>
  <c r="P218" i="22"/>
  <c r="P219" i="22"/>
  <c r="P221" i="22"/>
  <c r="P222" i="22"/>
  <c r="P223" i="22"/>
  <c r="P224" i="22"/>
  <c r="P225" i="22"/>
  <c r="P226" i="22"/>
  <c r="P227" i="22"/>
  <c r="P228" i="22"/>
  <c r="P229" i="22"/>
  <c r="P230" i="22"/>
  <c r="P231" i="22"/>
  <c r="P232" i="22"/>
  <c r="P233" i="22"/>
  <c r="P234" i="22"/>
  <c r="P235" i="22"/>
  <c r="P236" i="22"/>
  <c r="P237" i="22"/>
  <c r="P238" i="22"/>
  <c r="P240" i="22"/>
  <c r="P241" i="22"/>
  <c r="P242" i="22"/>
  <c r="P243" i="22"/>
  <c r="P244" i="22"/>
  <c r="P245" i="22"/>
  <c r="P246" i="22"/>
  <c r="P247" i="22"/>
  <c r="P248" i="22"/>
  <c r="P249" i="22"/>
  <c r="P250" i="22"/>
  <c r="P251" i="22"/>
  <c r="P252" i="22"/>
  <c r="P253" i="22"/>
  <c r="P254" i="22"/>
  <c r="P255" i="22"/>
  <c r="P256" i="22"/>
  <c r="P257" i="22"/>
  <c r="P258" i="22"/>
  <c r="P259" i="22"/>
  <c r="P260" i="22"/>
  <c r="P261" i="22"/>
  <c r="P262" i="22"/>
  <c r="P263" i="22"/>
  <c r="P264" i="22"/>
  <c r="P265" i="22"/>
  <c r="P266" i="22"/>
  <c r="P267" i="22"/>
  <c r="P268" i="22"/>
  <c r="P269" i="22"/>
  <c r="P270" i="22"/>
  <c r="P271" i="22"/>
  <c r="P272" i="22"/>
  <c r="P273" i="22"/>
  <c r="P274" i="22"/>
  <c r="P275" i="22"/>
  <c r="P276" i="22"/>
  <c r="P277" i="22"/>
  <c r="P278" i="22"/>
  <c r="P279" i="22"/>
  <c r="P280" i="22"/>
  <c r="P281" i="22"/>
  <c r="P282" i="22"/>
  <c r="P283" i="22"/>
  <c r="P284" i="22"/>
  <c r="P285" i="22"/>
  <c r="P286" i="22"/>
  <c r="P287" i="22"/>
  <c r="P288" i="22"/>
  <c r="P289" i="22"/>
  <c r="P290" i="22"/>
  <c r="P291" i="22"/>
  <c r="P292" i="22"/>
  <c r="P293" i="22"/>
  <c r="P294" i="22"/>
  <c r="P295" i="22"/>
  <c r="P296" i="22"/>
  <c r="P297" i="22"/>
  <c r="P298" i="22"/>
  <c r="P299" i="22"/>
  <c r="P300" i="22"/>
  <c r="P301" i="22"/>
  <c r="P302" i="22"/>
  <c r="P303" i="22"/>
  <c r="P304" i="22"/>
  <c r="P305" i="22"/>
  <c r="P306" i="22"/>
  <c r="P307" i="22"/>
  <c r="P308" i="22"/>
  <c r="P309" i="22"/>
  <c r="P310" i="22"/>
  <c r="P311" i="22"/>
  <c r="P312" i="22"/>
  <c r="P313" i="22"/>
  <c r="P314" i="22"/>
  <c r="P315" i="22"/>
  <c r="P316" i="22"/>
  <c r="P317" i="22"/>
  <c r="P318" i="22"/>
  <c r="P319" i="22"/>
  <c r="P320" i="22"/>
  <c r="P321" i="22"/>
  <c r="P322" i="22"/>
  <c r="P323" i="22"/>
  <c r="P324" i="22"/>
  <c r="P325" i="22"/>
  <c r="P326" i="22"/>
  <c r="P327" i="22"/>
  <c r="P328" i="22"/>
  <c r="P329" i="22"/>
  <c r="P330" i="22"/>
  <c r="P331" i="22"/>
  <c r="P332" i="22"/>
  <c r="P333" i="22"/>
  <c r="P334" i="22"/>
  <c r="P335" i="22"/>
  <c r="P336" i="22"/>
  <c r="P337" i="22"/>
  <c r="P338" i="22"/>
  <c r="P339" i="22"/>
  <c r="P340" i="22"/>
  <c r="P341" i="22"/>
  <c r="P342" i="22"/>
  <c r="P343" i="22"/>
  <c r="P344" i="22"/>
  <c r="P345" i="22"/>
  <c r="P346" i="22"/>
  <c r="P347" i="22"/>
  <c r="P348" i="22"/>
  <c r="P349" i="22"/>
  <c r="P350" i="22"/>
  <c r="P351" i="22"/>
  <c r="P352" i="22"/>
  <c r="P353" i="22"/>
  <c r="P354" i="22"/>
  <c r="P355" i="22"/>
  <c r="P356" i="22"/>
  <c r="P357" i="22"/>
  <c r="P358" i="22"/>
  <c r="P359" i="22"/>
  <c r="P360" i="22"/>
  <c r="P361" i="22"/>
  <c r="P362" i="22"/>
  <c r="P363" i="22"/>
  <c r="P364" i="22"/>
  <c r="P365" i="22"/>
  <c r="P366" i="22"/>
  <c r="P367" i="22"/>
  <c r="P368" i="22"/>
  <c r="P369" i="22"/>
  <c r="P370" i="22"/>
  <c r="P371" i="22"/>
  <c r="P372" i="22"/>
  <c r="P373" i="22"/>
  <c r="P374" i="22"/>
  <c r="P375" i="22"/>
  <c r="P376" i="22"/>
  <c r="P377" i="22"/>
  <c r="P378" i="22"/>
  <c r="P379" i="22"/>
  <c r="P380" i="22"/>
  <c r="P381" i="22"/>
  <c r="P382" i="22"/>
  <c r="P383" i="22"/>
  <c r="P384" i="22"/>
  <c r="P385" i="22"/>
  <c r="P386" i="22"/>
  <c r="P387" i="22"/>
  <c r="P388" i="22"/>
  <c r="P389" i="22"/>
  <c r="P390" i="22"/>
  <c r="P391" i="22"/>
  <c r="P392" i="22"/>
  <c r="P393" i="22"/>
  <c r="P394" i="22"/>
  <c r="P395" i="22"/>
  <c r="P396" i="22"/>
  <c r="P397" i="22"/>
  <c r="P398" i="22"/>
  <c r="P399" i="22"/>
  <c r="P400" i="22"/>
  <c r="P401" i="22"/>
  <c r="P402" i="22"/>
  <c r="P403" i="22"/>
  <c r="P404" i="22"/>
  <c r="P405" i="22"/>
  <c r="P406" i="22"/>
  <c r="P407" i="22"/>
  <c r="P408" i="22"/>
  <c r="P409" i="22"/>
  <c r="P410" i="22"/>
  <c r="P411" i="22"/>
  <c r="P412" i="22"/>
  <c r="P413" i="22"/>
  <c r="P414" i="22"/>
  <c r="P415" i="22"/>
  <c r="P416" i="22"/>
  <c r="P417" i="22"/>
  <c r="P418" i="22"/>
  <c r="P419" i="22"/>
  <c r="P420" i="22"/>
  <c r="P421" i="22"/>
  <c r="P422" i="22"/>
  <c r="P423" i="22"/>
  <c r="P424" i="22"/>
  <c r="P425" i="22"/>
  <c r="P426" i="22"/>
  <c r="P427" i="22"/>
  <c r="P428" i="22"/>
  <c r="P429" i="22"/>
  <c r="P430" i="22"/>
  <c r="P431" i="22"/>
  <c r="P432" i="22"/>
  <c r="P433" i="22"/>
  <c r="P434" i="22"/>
  <c r="P435" i="22"/>
  <c r="P436" i="22"/>
  <c r="P437" i="22"/>
  <c r="P438" i="22"/>
  <c r="P439" i="22"/>
  <c r="P440" i="22"/>
  <c r="P441" i="22"/>
  <c r="P442" i="22"/>
  <c r="P443" i="22"/>
  <c r="P444" i="22"/>
  <c r="P445" i="22"/>
  <c r="P446" i="22"/>
  <c r="P447" i="22"/>
  <c r="P448" i="22"/>
  <c r="P449" i="22"/>
  <c r="P450" i="22"/>
  <c r="P451" i="22"/>
  <c r="P452" i="22"/>
  <c r="P453" i="22"/>
  <c r="P454" i="22"/>
  <c r="P455" i="22"/>
  <c r="P456" i="22"/>
  <c r="P457" i="22"/>
  <c r="P458" i="22"/>
  <c r="P459" i="22"/>
  <c r="P460" i="22"/>
  <c r="P461" i="22"/>
  <c r="P462" i="22"/>
  <c r="P463" i="22"/>
  <c r="P464" i="22"/>
  <c r="P465" i="22"/>
  <c r="P466" i="22"/>
  <c r="P467" i="22"/>
  <c r="P468" i="22"/>
  <c r="P469" i="22"/>
  <c r="P470" i="22"/>
  <c r="P471" i="22"/>
  <c r="P472" i="22"/>
  <c r="P473" i="22"/>
  <c r="P474" i="22"/>
  <c r="P475" i="22"/>
  <c r="P476" i="22"/>
  <c r="P477" i="22"/>
  <c r="P478" i="22"/>
  <c r="P479" i="22"/>
  <c r="P480" i="22"/>
  <c r="P481" i="22"/>
  <c r="P482" i="22"/>
  <c r="P483" i="22"/>
  <c r="P484" i="22"/>
  <c r="P485" i="22"/>
  <c r="P486" i="22"/>
  <c r="P487" i="22"/>
  <c r="P488" i="22"/>
  <c r="P489" i="22"/>
  <c r="P490" i="22"/>
  <c r="P491" i="22"/>
  <c r="P492" i="22"/>
  <c r="P493" i="22"/>
  <c r="P494" i="22"/>
  <c r="P495" i="22"/>
  <c r="P496" i="22"/>
  <c r="P497" i="22"/>
  <c r="P498" i="22"/>
  <c r="P499" i="22"/>
  <c r="P500" i="22"/>
  <c r="P501" i="22"/>
  <c r="P502" i="22"/>
  <c r="P503" i="22"/>
  <c r="P504" i="22"/>
  <c r="P505" i="22"/>
  <c r="P506" i="22"/>
  <c r="P507" i="22"/>
  <c r="P508" i="22"/>
  <c r="P509" i="22"/>
  <c r="P510" i="22"/>
  <c r="P511" i="22"/>
  <c r="P512" i="22"/>
  <c r="P513" i="22"/>
  <c r="P514" i="22"/>
  <c r="P515" i="22"/>
  <c r="P516" i="22"/>
  <c r="P517" i="22"/>
  <c r="P518" i="22"/>
  <c r="P519" i="22"/>
  <c r="P520" i="22"/>
  <c r="P521" i="22"/>
  <c r="P522" i="22"/>
  <c r="P523" i="22"/>
  <c r="P524" i="22"/>
  <c r="P525" i="22"/>
  <c r="P526" i="22"/>
  <c r="P527" i="22"/>
  <c r="P528" i="22"/>
  <c r="P529" i="22"/>
  <c r="P530" i="22"/>
  <c r="P531" i="22"/>
  <c r="P532" i="22"/>
  <c r="P533" i="22"/>
  <c r="P534" i="22"/>
  <c r="P535" i="22"/>
  <c r="P536" i="22"/>
  <c r="P537" i="22"/>
  <c r="P538" i="22"/>
  <c r="P539" i="22"/>
  <c r="P540" i="22"/>
  <c r="P541" i="22"/>
  <c r="P542" i="22"/>
  <c r="P543" i="22"/>
  <c r="P544" i="22"/>
  <c r="P545" i="22"/>
  <c r="P546" i="22"/>
  <c r="P547" i="22"/>
  <c r="P548" i="22"/>
  <c r="P549" i="22"/>
  <c r="P550" i="22"/>
  <c r="P551" i="22"/>
  <c r="P552" i="22"/>
  <c r="P553" i="22"/>
  <c r="P554" i="22"/>
  <c r="P555" i="22"/>
  <c r="P556" i="22"/>
  <c r="P557" i="22"/>
  <c r="P558" i="22"/>
  <c r="P559" i="22"/>
  <c r="P560" i="22"/>
  <c r="P561" i="22"/>
  <c r="P562" i="22"/>
  <c r="P563" i="22"/>
  <c r="P564" i="22"/>
  <c r="P565" i="22"/>
  <c r="P566" i="22"/>
  <c r="P567" i="22"/>
  <c r="P568" i="22"/>
  <c r="P569" i="22"/>
  <c r="P570" i="22"/>
  <c r="P571" i="22"/>
  <c r="P572" i="22"/>
  <c r="P573" i="22"/>
  <c r="P574" i="22"/>
  <c r="P4" i="21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125" i="23"/>
  <c r="N126" i="23"/>
  <c r="N127" i="23"/>
  <c r="N128" i="23"/>
  <c r="N129" i="23"/>
  <c r="N130" i="23"/>
  <c r="N131" i="23"/>
  <c r="N132" i="23"/>
  <c r="N576" i="25"/>
  <c r="N575" i="25"/>
  <c r="N574" i="25"/>
  <c r="N573" i="25"/>
  <c r="N572" i="25"/>
  <c r="N571" i="25"/>
  <c r="N570" i="25"/>
  <c r="N569" i="25"/>
  <c r="N568" i="25"/>
  <c r="N567" i="25"/>
  <c r="N566" i="25"/>
  <c r="N565" i="25"/>
  <c r="N564" i="25"/>
  <c r="N563" i="25"/>
  <c r="N562" i="25"/>
  <c r="N561" i="25"/>
  <c r="N560" i="25"/>
  <c r="N559" i="25"/>
  <c r="N558" i="25"/>
  <c r="N557" i="25"/>
  <c r="N556" i="25"/>
  <c r="N555" i="25"/>
  <c r="N554" i="25"/>
  <c r="N553" i="25"/>
  <c r="N552" i="25"/>
  <c r="N551" i="25"/>
  <c r="N550" i="25"/>
  <c r="N549" i="25"/>
  <c r="N548" i="25"/>
  <c r="N547" i="25"/>
  <c r="N546" i="25"/>
  <c r="N545" i="25"/>
  <c r="N544" i="25"/>
  <c r="N543" i="25"/>
  <c r="N542" i="25"/>
  <c r="N541" i="25"/>
  <c r="N540" i="25"/>
  <c r="N539" i="25"/>
  <c r="N538" i="25"/>
  <c r="N537" i="25"/>
  <c r="N536" i="25"/>
  <c r="N535" i="25"/>
  <c r="N534" i="25"/>
  <c r="N533" i="25"/>
  <c r="N532" i="25"/>
  <c r="N531" i="25"/>
  <c r="N530" i="25"/>
  <c r="N529" i="25"/>
  <c r="N528" i="25"/>
  <c r="N527" i="25"/>
  <c r="N526" i="25"/>
  <c r="N525" i="25"/>
  <c r="N524" i="25"/>
  <c r="N523" i="25"/>
  <c r="N522" i="25"/>
  <c r="N521" i="25"/>
  <c r="N520" i="25"/>
  <c r="N519" i="25"/>
  <c r="N518" i="25"/>
  <c r="N517" i="25"/>
  <c r="N516" i="25"/>
  <c r="N515" i="25"/>
  <c r="N514" i="25"/>
  <c r="N513" i="25"/>
  <c r="N512" i="25"/>
  <c r="N511" i="25"/>
  <c r="N510" i="25"/>
  <c r="N509" i="25"/>
  <c r="N508" i="25"/>
  <c r="N507" i="25"/>
  <c r="N506" i="25"/>
  <c r="N505" i="25"/>
  <c r="N504" i="25"/>
  <c r="N503" i="25"/>
  <c r="N502" i="25"/>
  <c r="N501" i="25"/>
  <c r="N500" i="25"/>
  <c r="N499" i="25"/>
  <c r="N498" i="25"/>
  <c r="N497" i="25"/>
  <c r="N496" i="25"/>
  <c r="N495" i="25"/>
  <c r="N494" i="25"/>
  <c r="N493" i="25"/>
  <c r="N492" i="25"/>
  <c r="N491" i="25"/>
  <c r="N490" i="25"/>
  <c r="N489" i="25"/>
  <c r="N488" i="25"/>
  <c r="N487" i="25"/>
  <c r="N486" i="25"/>
  <c r="N485" i="25"/>
  <c r="N484" i="25"/>
  <c r="N483" i="25"/>
  <c r="N482" i="25"/>
  <c r="N481" i="25"/>
  <c r="N480" i="25"/>
  <c r="N479" i="25"/>
  <c r="N478" i="25"/>
  <c r="N477" i="25"/>
  <c r="N476" i="25"/>
  <c r="N475" i="25"/>
  <c r="N474" i="25"/>
  <c r="N473" i="25"/>
  <c r="N472" i="25"/>
  <c r="N471" i="25"/>
  <c r="N470" i="25"/>
  <c r="N469" i="25"/>
  <c r="N468" i="25"/>
  <c r="N467" i="25"/>
  <c r="N466" i="25"/>
  <c r="N465" i="25"/>
  <c r="N464" i="25"/>
  <c r="N463" i="25"/>
  <c r="N462" i="25"/>
  <c r="N461" i="25"/>
  <c r="N460" i="25"/>
  <c r="N459" i="25"/>
  <c r="N458" i="25"/>
  <c r="N457" i="25"/>
  <c r="N456" i="25"/>
  <c r="N455" i="25"/>
  <c r="N454" i="25"/>
  <c r="N453" i="25"/>
  <c r="N452" i="25"/>
  <c r="N451" i="25"/>
  <c r="N450" i="25"/>
  <c r="N449" i="25"/>
  <c r="N448" i="25"/>
  <c r="N447" i="25"/>
  <c r="N446" i="25"/>
  <c r="N445" i="25"/>
  <c r="N444" i="25"/>
  <c r="N443" i="25"/>
  <c r="N442" i="25"/>
  <c r="N441" i="25"/>
  <c r="N440" i="25"/>
  <c r="N439" i="25"/>
  <c r="N438" i="25"/>
  <c r="N437" i="25"/>
  <c r="N436" i="25"/>
  <c r="N435" i="25"/>
  <c r="N434" i="25"/>
  <c r="N433" i="25"/>
  <c r="N432" i="25"/>
  <c r="N431" i="25"/>
  <c r="N430" i="25"/>
  <c r="N429" i="25"/>
  <c r="N428" i="25"/>
  <c r="N427" i="25"/>
  <c r="N426" i="25"/>
  <c r="N425" i="25"/>
  <c r="N424" i="25"/>
  <c r="N423" i="25"/>
  <c r="N422" i="25"/>
  <c r="N421" i="25"/>
  <c r="N420" i="25"/>
  <c r="N419" i="25"/>
  <c r="N418" i="25"/>
  <c r="N417" i="25"/>
  <c r="N416" i="25"/>
  <c r="N415" i="25"/>
  <c r="N414" i="25"/>
  <c r="N413" i="25"/>
  <c r="N412" i="25"/>
  <c r="N411" i="25"/>
  <c r="N410" i="25"/>
  <c r="N409" i="25"/>
  <c r="N408" i="25"/>
  <c r="N407" i="25"/>
  <c r="N406" i="25"/>
  <c r="N405" i="25"/>
  <c r="N404" i="25"/>
  <c r="N403" i="25"/>
  <c r="N402" i="25"/>
  <c r="N401" i="25"/>
  <c r="N400" i="25"/>
  <c r="N399" i="25"/>
  <c r="N398" i="25"/>
  <c r="N397" i="25"/>
  <c r="N396" i="25"/>
  <c r="N395" i="25"/>
  <c r="N394" i="25"/>
  <c r="N393" i="25"/>
  <c r="N392" i="25"/>
  <c r="N391" i="25"/>
  <c r="N390" i="25"/>
  <c r="N389" i="25"/>
  <c r="N388" i="25"/>
  <c r="N387" i="25"/>
  <c r="N386" i="25"/>
  <c r="N385" i="25"/>
  <c r="N384" i="25"/>
  <c r="N383" i="25"/>
  <c r="N382" i="25"/>
  <c r="N381" i="25"/>
  <c r="N380" i="25"/>
  <c r="N379" i="25"/>
  <c r="N378" i="25"/>
  <c r="N377" i="25"/>
  <c r="N376" i="25"/>
  <c r="N375" i="25"/>
  <c r="N374" i="25"/>
  <c r="N373" i="25"/>
  <c r="N372" i="25"/>
  <c r="N371" i="25"/>
  <c r="N370" i="25"/>
  <c r="N369" i="25"/>
  <c r="N368" i="25"/>
  <c r="N367" i="25"/>
  <c r="N366" i="25"/>
  <c r="N365" i="25"/>
  <c r="N364" i="25"/>
  <c r="N363" i="25"/>
  <c r="N362" i="25"/>
  <c r="N361" i="25"/>
  <c r="N360" i="25"/>
  <c r="N359" i="25"/>
  <c r="N358" i="25"/>
  <c r="N357" i="25"/>
  <c r="N356" i="25"/>
  <c r="N355" i="25"/>
  <c r="N354" i="25"/>
  <c r="N353" i="25"/>
  <c r="N352" i="25"/>
  <c r="N351" i="25"/>
  <c r="N350" i="25"/>
  <c r="N349" i="25"/>
  <c r="N348" i="25"/>
  <c r="N347" i="25"/>
  <c r="N346" i="25"/>
  <c r="N345" i="25"/>
  <c r="N344" i="25"/>
  <c r="N343" i="25"/>
  <c r="N342" i="25"/>
  <c r="N341" i="25"/>
  <c r="N340" i="25"/>
  <c r="N339" i="25"/>
  <c r="N338" i="25"/>
  <c r="N337" i="25"/>
  <c r="N336" i="25"/>
  <c r="N335" i="25"/>
  <c r="N334" i="25"/>
  <c r="N333" i="25"/>
  <c r="N332" i="25"/>
  <c r="N331" i="25"/>
  <c r="N330" i="25"/>
  <c r="N329" i="25"/>
  <c r="N328" i="25"/>
  <c r="N327" i="25"/>
  <c r="N326" i="25"/>
  <c r="N325" i="25"/>
  <c r="N324" i="25"/>
  <c r="N323" i="25"/>
  <c r="N322" i="25"/>
  <c r="N321" i="25"/>
  <c r="N320" i="25"/>
  <c r="N319" i="25"/>
  <c r="N318" i="25"/>
  <c r="N317" i="25"/>
  <c r="N316" i="25"/>
  <c r="N315" i="25"/>
  <c r="N314" i="25"/>
  <c r="N313" i="25"/>
  <c r="N312" i="25"/>
  <c r="N311" i="25"/>
  <c r="N310" i="25"/>
  <c r="N309" i="25"/>
  <c r="N308" i="25"/>
  <c r="N307" i="25"/>
  <c r="N306" i="25"/>
  <c r="N305" i="25"/>
  <c r="N304" i="25"/>
  <c r="N303" i="25"/>
  <c r="N302" i="25"/>
  <c r="N301" i="25"/>
  <c r="N300" i="25"/>
  <c r="N299" i="25"/>
  <c r="N298" i="25"/>
  <c r="N297" i="25"/>
  <c r="N296" i="25"/>
  <c r="N295" i="25"/>
  <c r="N294" i="25"/>
  <c r="N293" i="25"/>
  <c r="N292" i="25"/>
  <c r="N291" i="25"/>
  <c r="N290" i="25"/>
  <c r="N289" i="25"/>
  <c r="N288" i="25"/>
  <c r="N287" i="25"/>
  <c r="N286" i="25"/>
  <c r="N285" i="25"/>
  <c r="N284" i="25"/>
  <c r="N283" i="25"/>
  <c r="N282" i="25"/>
  <c r="N281" i="25"/>
  <c r="N280" i="25"/>
  <c r="N279" i="25"/>
  <c r="N278" i="25"/>
  <c r="N277" i="25"/>
  <c r="N276" i="25"/>
  <c r="N275" i="25"/>
  <c r="N274" i="25"/>
  <c r="N273" i="25"/>
  <c r="N272" i="25"/>
  <c r="N271" i="25"/>
  <c r="N270" i="25"/>
  <c r="N269" i="25"/>
  <c r="N268" i="25"/>
  <c r="N267" i="25"/>
  <c r="N266" i="25"/>
  <c r="N265" i="25"/>
  <c r="N264" i="25"/>
  <c r="N263" i="25"/>
  <c r="N262" i="25"/>
  <c r="N261" i="25"/>
  <c r="N260" i="25"/>
  <c r="N259" i="25"/>
  <c r="N258" i="25"/>
  <c r="N257" i="25"/>
  <c r="N256" i="25"/>
  <c r="N255" i="25"/>
  <c r="N254" i="25"/>
  <c r="R1" i="25"/>
  <c r="N115" i="23"/>
  <c r="N116" i="23"/>
  <c r="N117" i="23"/>
  <c r="N118" i="23"/>
  <c r="N119" i="23"/>
  <c r="N120" i="23"/>
  <c r="N121" i="23"/>
  <c r="N122" i="23"/>
  <c r="N123" i="23"/>
  <c r="N124" i="23"/>
  <c r="N114" i="23"/>
  <c r="N86" i="23"/>
  <c r="N63" i="23"/>
  <c r="N74" i="23"/>
  <c r="N75" i="23"/>
  <c r="N76" i="23"/>
  <c r="N77" i="23"/>
  <c r="N69" i="23"/>
  <c r="N70" i="23"/>
  <c r="N81" i="23"/>
  <c r="N71" i="23"/>
  <c r="N82" i="23"/>
  <c r="N83" i="23"/>
  <c r="N84" i="23"/>
  <c r="N85" i="23"/>
  <c r="N87" i="23"/>
  <c r="N88" i="23"/>
  <c r="N47" i="23"/>
  <c r="N48" i="23"/>
  <c r="N78" i="23"/>
  <c r="N53" i="23"/>
  <c r="N54" i="23"/>
  <c r="N55" i="23"/>
  <c r="N56" i="23"/>
  <c r="N57" i="23"/>
  <c r="N58" i="23"/>
  <c r="N59" i="23"/>
  <c r="N60" i="23"/>
  <c r="N79" i="23"/>
  <c r="N50" i="23"/>
  <c r="N51" i="23"/>
  <c r="N64" i="23"/>
  <c r="N65" i="23"/>
  <c r="N66" i="23"/>
  <c r="N67" i="23"/>
  <c r="N68" i="23"/>
  <c r="N52" i="23"/>
  <c r="N61" i="23"/>
  <c r="N62" i="23"/>
  <c r="N80" i="23"/>
  <c r="N4" i="23"/>
  <c r="N5" i="23"/>
  <c r="N6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72" i="23"/>
  <c r="N32" i="23"/>
  <c r="N33" i="23"/>
  <c r="N34" i="23"/>
  <c r="N35" i="23"/>
  <c r="N36" i="23"/>
  <c r="N73" i="23"/>
  <c r="N38" i="23"/>
  <c r="N31" i="23"/>
  <c r="N40" i="23"/>
  <c r="N41" i="23"/>
  <c r="N42" i="23"/>
  <c r="N43" i="23"/>
  <c r="N44" i="23"/>
  <c r="N37" i="23"/>
  <c r="N39" i="23"/>
  <c r="N45" i="23"/>
  <c r="N46" i="23"/>
  <c r="N49" i="23"/>
  <c r="N3" i="23"/>
  <c r="N4" i="22"/>
  <c r="N3" i="22"/>
  <c r="N1" i="22" s="1"/>
  <c r="F3" i="6" s="1"/>
  <c r="P3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P245" i="21"/>
  <c r="P246" i="21"/>
  <c r="P247" i="21"/>
  <c r="P248" i="21"/>
  <c r="P249" i="21"/>
  <c r="P250" i="21"/>
  <c r="P251" i="21"/>
  <c r="P252" i="21"/>
  <c r="P253" i="21"/>
  <c r="P254" i="21"/>
  <c r="P255" i="21"/>
  <c r="P256" i="21"/>
  <c r="P257" i="21"/>
  <c r="P258" i="21"/>
  <c r="P259" i="21"/>
  <c r="P260" i="21"/>
  <c r="P261" i="21"/>
  <c r="P262" i="21"/>
  <c r="P263" i="21"/>
  <c r="P264" i="21"/>
  <c r="P265" i="21"/>
  <c r="P266" i="21"/>
  <c r="P267" i="21"/>
  <c r="P268" i="21"/>
  <c r="P269" i="21"/>
  <c r="P270" i="21"/>
  <c r="P271" i="21"/>
  <c r="P272" i="21"/>
  <c r="P273" i="21"/>
  <c r="P274" i="21"/>
  <c r="P275" i="21"/>
  <c r="P276" i="21"/>
  <c r="P277" i="21"/>
  <c r="P278" i="21"/>
  <c r="P279" i="21"/>
  <c r="P280" i="21"/>
  <c r="P281" i="21"/>
  <c r="P282" i="21"/>
  <c r="P283" i="21"/>
  <c r="P284" i="21"/>
  <c r="P285" i="21"/>
  <c r="P286" i="21"/>
  <c r="P287" i="21"/>
  <c r="P288" i="21"/>
  <c r="P289" i="21"/>
  <c r="P290" i="21"/>
  <c r="P291" i="21"/>
  <c r="P292" i="21"/>
  <c r="P293" i="21"/>
  <c r="P294" i="21"/>
  <c r="P295" i="21"/>
  <c r="P296" i="21"/>
  <c r="P297" i="21"/>
  <c r="P298" i="21"/>
  <c r="P299" i="21"/>
  <c r="P300" i="21"/>
  <c r="P301" i="21"/>
  <c r="P302" i="21"/>
  <c r="P303" i="21"/>
  <c r="P304" i="21"/>
  <c r="P305" i="21"/>
  <c r="P306" i="21"/>
  <c r="P307" i="21"/>
  <c r="P308" i="21"/>
  <c r="P309" i="21"/>
  <c r="P310" i="21"/>
  <c r="P311" i="21"/>
  <c r="P312" i="21"/>
  <c r="P313" i="21"/>
  <c r="P314" i="21"/>
  <c r="P315" i="21"/>
  <c r="P316" i="21"/>
  <c r="P317" i="21"/>
  <c r="P318" i="21"/>
  <c r="P319" i="21"/>
  <c r="P320" i="21"/>
  <c r="P321" i="21"/>
  <c r="P322" i="21"/>
  <c r="P323" i="21"/>
  <c r="P324" i="21"/>
  <c r="P325" i="21"/>
  <c r="P326" i="21"/>
  <c r="P327" i="21"/>
  <c r="P328" i="21"/>
  <c r="P329" i="21"/>
  <c r="P330" i="21"/>
  <c r="P331" i="21"/>
  <c r="P332" i="21"/>
  <c r="P333" i="21"/>
  <c r="P334" i="21"/>
  <c r="P335" i="21"/>
  <c r="P336" i="21"/>
  <c r="P337" i="21"/>
  <c r="P338" i="21"/>
  <c r="P339" i="21"/>
  <c r="P340" i="21"/>
  <c r="P341" i="21"/>
  <c r="P342" i="21"/>
  <c r="P343" i="21"/>
  <c r="P344" i="21"/>
  <c r="P345" i="21"/>
  <c r="P346" i="21"/>
  <c r="P347" i="21"/>
  <c r="P348" i="21"/>
  <c r="P349" i="21"/>
  <c r="P350" i="21"/>
  <c r="P351" i="21"/>
  <c r="P352" i="21"/>
  <c r="P353" i="21"/>
  <c r="P354" i="21"/>
  <c r="P355" i="21"/>
  <c r="P356" i="21"/>
  <c r="P357" i="21"/>
  <c r="P358" i="21"/>
  <c r="P359" i="21"/>
  <c r="P360" i="21"/>
  <c r="P361" i="21"/>
  <c r="P362" i="21"/>
  <c r="P363" i="21"/>
  <c r="P364" i="21"/>
  <c r="P365" i="21"/>
  <c r="P366" i="21"/>
  <c r="P367" i="21"/>
  <c r="P368" i="21"/>
  <c r="P369" i="21"/>
  <c r="P370" i="21"/>
  <c r="P371" i="21"/>
  <c r="P372" i="21"/>
  <c r="P373" i="21"/>
  <c r="P374" i="21"/>
  <c r="P375" i="21"/>
  <c r="P376" i="21"/>
  <c r="P377" i="21"/>
  <c r="P378" i="21"/>
  <c r="P379" i="21"/>
  <c r="P380" i="21"/>
  <c r="P381" i="21"/>
  <c r="P382" i="21"/>
  <c r="P383" i="21"/>
  <c r="P384" i="21"/>
  <c r="P385" i="21"/>
  <c r="P386" i="21"/>
  <c r="P387" i="21"/>
  <c r="P388" i="21"/>
  <c r="P389" i="21"/>
  <c r="P390" i="21"/>
  <c r="P391" i="21"/>
  <c r="P392" i="21"/>
  <c r="P393" i="21"/>
  <c r="P394" i="21"/>
  <c r="P395" i="21"/>
  <c r="P396" i="21"/>
  <c r="P397" i="21"/>
  <c r="P398" i="21"/>
  <c r="P399" i="21"/>
  <c r="P400" i="21"/>
  <c r="P401" i="21"/>
  <c r="P402" i="21"/>
  <c r="P403" i="21"/>
  <c r="P404" i="21"/>
  <c r="P405" i="21"/>
  <c r="P406" i="21"/>
  <c r="P407" i="21"/>
  <c r="P408" i="21"/>
  <c r="P409" i="21"/>
  <c r="P410" i="21"/>
  <c r="P411" i="21"/>
  <c r="P412" i="21"/>
  <c r="P413" i="21"/>
  <c r="P414" i="21"/>
  <c r="P415" i="21"/>
  <c r="P416" i="21"/>
  <c r="P417" i="21"/>
  <c r="P418" i="21"/>
  <c r="P419" i="21"/>
  <c r="P420" i="21"/>
  <c r="P421" i="21"/>
  <c r="P422" i="21"/>
  <c r="P423" i="21"/>
  <c r="P424" i="21"/>
  <c r="P425" i="21"/>
  <c r="P426" i="21"/>
  <c r="P427" i="21"/>
  <c r="P428" i="21"/>
  <c r="P429" i="21"/>
  <c r="P430" i="21"/>
  <c r="P431" i="21"/>
  <c r="P432" i="21"/>
  <c r="P433" i="21"/>
  <c r="P434" i="21"/>
  <c r="P435" i="21"/>
  <c r="P436" i="21"/>
  <c r="P437" i="21"/>
  <c r="P438" i="21"/>
  <c r="P439" i="21"/>
  <c r="P440" i="21"/>
  <c r="P441" i="21"/>
  <c r="P442" i="21"/>
  <c r="P443" i="21"/>
  <c r="P444" i="21"/>
  <c r="P445" i="21"/>
  <c r="P446" i="21"/>
  <c r="P447" i="21"/>
  <c r="P448" i="21"/>
  <c r="P449" i="21"/>
  <c r="P450" i="21"/>
  <c r="P451" i="21"/>
  <c r="P452" i="21"/>
  <c r="P453" i="21"/>
  <c r="P454" i="21"/>
  <c r="P455" i="21"/>
  <c r="P456" i="21"/>
  <c r="P457" i="21"/>
  <c r="P458" i="21"/>
  <c r="P459" i="21"/>
  <c r="P460" i="21"/>
  <c r="P461" i="21"/>
  <c r="P462" i="21"/>
  <c r="P463" i="21"/>
  <c r="P464" i="21"/>
  <c r="P465" i="21"/>
  <c r="P466" i="21"/>
  <c r="P467" i="21"/>
  <c r="P468" i="21"/>
  <c r="P469" i="21"/>
  <c r="P470" i="21"/>
  <c r="P471" i="21"/>
  <c r="P472" i="21"/>
  <c r="P473" i="21"/>
  <c r="P474" i="21"/>
  <c r="P475" i="21"/>
  <c r="P476" i="21"/>
  <c r="P477" i="21"/>
  <c r="P478" i="21"/>
  <c r="P479" i="21"/>
  <c r="P480" i="21"/>
  <c r="P481" i="21"/>
  <c r="P482" i="21"/>
  <c r="P483" i="21"/>
  <c r="P484" i="21"/>
  <c r="P485" i="21"/>
  <c r="P486" i="21"/>
  <c r="P487" i="21"/>
  <c r="P488" i="21"/>
  <c r="P489" i="21"/>
  <c r="P490" i="21"/>
  <c r="P491" i="21"/>
  <c r="P492" i="21"/>
  <c r="P493" i="21"/>
  <c r="P494" i="21"/>
  <c r="P495" i="21"/>
  <c r="P496" i="21"/>
  <c r="P497" i="21"/>
  <c r="P498" i="21"/>
  <c r="P499" i="21"/>
  <c r="P500" i="21"/>
  <c r="P501" i="21"/>
  <c r="P502" i="21"/>
  <c r="P503" i="21"/>
  <c r="P504" i="21"/>
  <c r="P505" i="21"/>
  <c r="P506" i="21"/>
  <c r="P507" i="21"/>
  <c r="P508" i="21"/>
  <c r="P509" i="21"/>
  <c r="P510" i="21"/>
  <c r="P511" i="21"/>
  <c r="P512" i="21"/>
  <c r="P513" i="21"/>
  <c r="P514" i="21"/>
  <c r="P515" i="21"/>
  <c r="P516" i="21"/>
  <c r="P517" i="21"/>
  <c r="P518" i="21"/>
  <c r="P519" i="21"/>
  <c r="P520" i="21"/>
  <c r="P521" i="21"/>
  <c r="P522" i="21"/>
  <c r="P523" i="21"/>
  <c r="P524" i="21"/>
  <c r="P525" i="21"/>
  <c r="P526" i="21"/>
  <c r="P527" i="21"/>
  <c r="P528" i="21"/>
  <c r="P529" i="21"/>
  <c r="P530" i="21"/>
  <c r="P531" i="21"/>
  <c r="P532" i="21"/>
  <c r="P533" i="21"/>
  <c r="P534" i="21"/>
  <c r="P535" i="21"/>
  <c r="P536" i="21"/>
  <c r="P537" i="21"/>
  <c r="P538" i="21"/>
  <c r="P539" i="21"/>
  <c r="P540" i="21"/>
  <c r="P541" i="21"/>
  <c r="P542" i="21"/>
  <c r="P543" i="21"/>
  <c r="P544" i="21"/>
  <c r="P545" i="21"/>
  <c r="P546" i="21"/>
  <c r="P547" i="21"/>
  <c r="P548" i="21"/>
  <c r="P549" i="21"/>
  <c r="P550" i="21"/>
  <c r="P551" i="21"/>
  <c r="P552" i="21"/>
  <c r="P553" i="21"/>
  <c r="P554" i="21"/>
  <c r="P555" i="21"/>
  <c r="P556" i="21"/>
  <c r="P557" i="21"/>
  <c r="P558" i="21"/>
  <c r="P559" i="21"/>
  <c r="P560" i="21"/>
  <c r="P561" i="21"/>
  <c r="P562" i="21"/>
  <c r="P563" i="21"/>
  <c r="P564" i="21"/>
  <c r="P565" i="21"/>
  <c r="N570" i="23"/>
  <c r="N569" i="23"/>
  <c r="N568" i="23"/>
  <c r="N567" i="23"/>
  <c r="N566" i="23"/>
  <c r="N565" i="23"/>
  <c r="N564" i="23"/>
  <c r="N563" i="23"/>
  <c r="N562" i="23"/>
  <c r="N561" i="23"/>
  <c r="N560" i="23"/>
  <c r="N559" i="23"/>
  <c r="N558" i="23"/>
  <c r="N557" i="23"/>
  <c r="N556" i="23"/>
  <c r="N555" i="23"/>
  <c r="N554" i="23"/>
  <c r="N553" i="23"/>
  <c r="N552" i="23"/>
  <c r="N551" i="23"/>
  <c r="N550" i="23"/>
  <c r="N549" i="23"/>
  <c r="N548" i="23"/>
  <c r="N547" i="23"/>
  <c r="N546" i="23"/>
  <c r="N545" i="23"/>
  <c r="N544" i="23"/>
  <c r="N543" i="23"/>
  <c r="N542" i="23"/>
  <c r="N541" i="23"/>
  <c r="N540" i="23"/>
  <c r="N539" i="23"/>
  <c r="N538" i="23"/>
  <c r="N537" i="23"/>
  <c r="N536" i="23"/>
  <c r="N535" i="23"/>
  <c r="N534" i="23"/>
  <c r="N533" i="23"/>
  <c r="N532" i="23"/>
  <c r="N531" i="23"/>
  <c r="N530" i="23"/>
  <c r="N529" i="23"/>
  <c r="N528" i="23"/>
  <c r="N527" i="23"/>
  <c r="N526" i="23"/>
  <c r="N525" i="23"/>
  <c r="N524" i="23"/>
  <c r="N523" i="23"/>
  <c r="N522" i="23"/>
  <c r="N521" i="23"/>
  <c r="N520" i="23"/>
  <c r="N519" i="23"/>
  <c r="N518" i="23"/>
  <c r="N517" i="23"/>
  <c r="N516" i="23"/>
  <c r="N515" i="23"/>
  <c r="N514" i="23"/>
  <c r="N513" i="23"/>
  <c r="N512" i="23"/>
  <c r="N511" i="23"/>
  <c r="N510" i="23"/>
  <c r="N509" i="23"/>
  <c r="N508" i="23"/>
  <c r="N507" i="23"/>
  <c r="N506" i="23"/>
  <c r="N505" i="23"/>
  <c r="N504" i="23"/>
  <c r="N503" i="23"/>
  <c r="N502" i="23"/>
  <c r="N501" i="23"/>
  <c r="N500" i="23"/>
  <c r="N499" i="23"/>
  <c r="N498" i="23"/>
  <c r="N497" i="23"/>
  <c r="N496" i="23"/>
  <c r="N495" i="23"/>
  <c r="N494" i="23"/>
  <c r="N493" i="23"/>
  <c r="N492" i="23"/>
  <c r="N491" i="23"/>
  <c r="N490" i="23"/>
  <c r="N489" i="23"/>
  <c r="N488" i="23"/>
  <c r="N487" i="23"/>
  <c r="N486" i="23"/>
  <c r="N485" i="23"/>
  <c r="N484" i="23"/>
  <c r="N483" i="23"/>
  <c r="N482" i="23"/>
  <c r="N481" i="23"/>
  <c r="N480" i="23"/>
  <c r="N479" i="23"/>
  <c r="N478" i="23"/>
  <c r="N477" i="23"/>
  <c r="N476" i="23"/>
  <c r="N475" i="23"/>
  <c r="N474" i="23"/>
  <c r="N473" i="23"/>
  <c r="N472" i="23"/>
  <c r="N471" i="23"/>
  <c r="N470" i="23"/>
  <c r="N469" i="23"/>
  <c r="N468" i="23"/>
  <c r="N467" i="23"/>
  <c r="N466" i="23"/>
  <c r="N465" i="23"/>
  <c r="N464" i="23"/>
  <c r="N463" i="23"/>
  <c r="N462" i="23"/>
  <c r="N461" i="23"/>
  <c r="N460" i="23"/>
  <c r="N459" i="23"/>
  <c r="N458" i="23"/>
  <c r="N457" i="23"/>
  <c r="N456" i="23"/>
  <c r="N455" i="23"/>
  <c r="N454" i="23"/>
  <c r="N453" i="23"/>
  <c r="N452" i="23"/>
  <c r="N451" i="23"/>
  <c r="N450" i="23"/>
  <c r="N449" i="23"/>
  <c r="N448" i="23"/>
  <c r="N447" i="23"/>
  <c r="N446" i="23"/>
  <c r="N445" i="23"/>
  <c r="N444" i="23"/>
  <c r="N443" i="23"/>
  <c r="N442" i="23"/>
  <c r="N441" i="23"/>
  <c r="N440" i="23"/>
  <c r="N439" i="23"/>
  <c r="N438" i="23"/>
  <c r="N437" i="23"/>
  <c r="N436" i="23"/>
  <c r="N435" i="23"/>
  <c r="N434" i="23"/>
  <c r="N433" i="23"/>
  <c r="N432" i="23"/>
  <c r="N431" i="23"/>
  <c r="N430" i="23"/>
  <c r="N429" i="23"/>
  <c r="N428" i="23"/>
  <c r="N427" i="23"/>
  <c r="N426" i="23"/>
  <c r="N425" i="23"/>
  <c r="N424" i="23"/>
  <c r="N423" i="23"/>
  <c r="N422" i="23"/>
  <c r="N421" i="23"/>
  <c r="N420" i="23"/>
  <c r="N419" i="23"/>
  <c r="N418" i="23"/>
  <c r="N417" i="23"/>
  <c r="N416" i="23"/>
  <c r="N415" i="23"/>
  <c r="N414" i="23"/>
  <c r="N413" i="23"/>
  <c r="N412" i="23"/>
  <c r="N411" i="23"/>
  <c r="N410" i="23"/>
  <c r="N409" i="23"/>
  <c r="N408" i="23"/>
  <c r="N407" i="23"/>
  <c r="N406" i="23"/>
  <c r="N405" i="23"/>
  <c r="N404" i="23"/>
  <c r="N403" i="23"/>
  <c r="N402" i="23"/>
  <c r="N401" i="23"/>
  <c r="N400" i="23"/>
  <c r="N399" i="23"/>
  <c r="N398" i="23"/>
  <c r="N397" i="23"/>
  <c r="N396" i="23"/>
  <c r="N395" i="23"/>
  <c r="N394" i="23"/>
  <c r="N393" i="23"/>
  <c r="N392" i="23"/>
  <c r="N391" i="23"/>
  <c r="N390" i="23"/>
  <c r="N389" i="23"/>
  <c r="N388" i="23"/>
  <c r="N387" i="23"/>
  <c r="N386" i="23"/>
  <c r="N385" i="23"/>
  <c r="N384" i="23"/>
  <c r="N383" i="23"/>
  <c r="N382" i="23"/>
  <c r="N381" i="23"/>
  <c r="N380" i="23"/>
  <c r="N379" i="23"/>
  <c r="N378" i="23"/>
  <c r="N377" i="23"/>
  <c r="N376" i="23"/>
  <c r="N375" i="23"/>
  <c r="N374" i="23"/>
  <c r="N373" i="23"/>
  <c r="N372" i="23"/>
  <c r="N371" i="23"/>
  <c r="N370" i="23"/>
  <c r="N369" i="23"/>
  <c r="N368" i="23"/>
  <c r="N367" i="23"/>
  <c r="N366" i="23"/>
  <c r="N365" i="23"/>
  <c r="N364" i="23"/>
  <c r="N363" i="23"/>
  <c r="N362" i="23"/>
  <c r="N361" i="23"/>
  <c r="N360" i="23"/>
  <c r="N359" i="23"/>
  <c r="N358" i="23"/>
  <c r="N357" i="23"/>
  <c r="N356" i="23"/>
  <c r="N355" i="23"/>
  <c r="N354" i="23"/>
  <c r="N353" i="23"/>
  <c r="N352" i="23"/>
  <c r="N351" i="23"/>
  <c r="N350" i="23"/>
  <c r="N349" i="23"/>
  <c r="N348" i="23"/>
  <c r="N347" i="23"/>
  <c r="N346" i="23"/>
  <c r="N345" i="23"/>
  <c r="N344" i="23"/>
  <c r="N343" i="23"/>
  <c r="N342" i="23"/>
  <c r="N341" i="23"/>
  <c r="N340" i="23"/>
  <c r="N339" i="23"/>
  <c r="N338" i="23"/>
  <c r="N337" i="23"/>
  <c r="N336" i="23"/>
  <c r="N335" i="23"/>
  <c r="N334" i="23"/>
  <c r="N333" i="23"/>
  <c r="N332" i="23"/>
  <c r="N331" i="23"/>
  <c r="N330" i="23"/>
  <c r="N329" i="23"/>
  <c r="N328" i="23"/>
  <c r="N327" i="23"/>
  <c r="N326" i="23"/>
  <c r="N325" i="23"/>
  <c r="N324" i="23"/>
  <c r="N323" i="23"/>
  <c r="N322" i="23"/>
  <c r="N321" i="23"/>
  <c r="N320" i="23"/>
  <c r="N319" i="23"/>
  <c r="N318" i="23"/>
  <c r="N317" i="23"/>
  <c r="N316" i="23"/>
  <c r="N315" i="23"/>
  <c r="N314" i="23"/>
  <c r="N313" i="23"/>
  <c r="N312" i="23"/>
  <c r="N311" i="23"/>
  <c r="N310" i="23"/>
  <c r="N309" i="23"/>
  <c r="N308" i="23"/>
  <c r="N307" i="23"/>
  <c r="N306" i="23"/>
  <c r="N305" i="23"/>
  <c r="N304" i="23"/>
  <c r="N303" i="23"/>
  <c r="N302" i="23"/>
  <c r="N301" i="23"/>
  <c r="N300" i="23"/>
  <c r="N299" i="23"/>
  <c r="N298" i="23"/>
  <c r="N297" i="23"/>
  <c r="N296" i="23"/>
  <c r="N295" i="23"/>
  <c r="N294" i="23"/>
  <c r="N293" i="23"/>
  <c r="N292" i="23"/>
  <c r="N291" i="23"/>
  <c r="N290" i="23"/>
  <c r="N289" i="23"/>
  <c r="N288" i="23"/>
  <c r="N287" i="23"/>
  <c r="N286" i="23"/>
  <c r="N285" i="23"/>
  <c r="N284" i="23"/>
  <c r="N283" i="23"/>
  <c r="N282" i="23"/>
  <c r="N281" i="23"/>
  <c r="N280" i="23"/>
  <c r="N279" i="23"/>
  <c r="N278" i="23"/>
  <c r="N277" i="23"/>
  <c r="N276" i="23"/>
  <c r="N275" i="23"/>
  <c r="N274" i="23"/>
  <c r="N273" i="23"/>
  <c r="N272" i="23"/>
  <c r="N271" i="23"/>
  <c r="N270" i="23"/>
  <c r="N269" i="23"/>
  <c r="N268" i="23"/>
  <c r="N267" i="23"/>
  <c r="N266" i="23"/>
  <c r="N265" i="23"/>
  <c r="N264" i="23"/>
  <c r="N263" i="23"/>
  <c r="N262" i="23"/>
  <c r="N261" i="23"/>
  <c r="N260" i="23"/>
  <c r="N259" i="23"/>
  <c r="N258" i="23"/>
  <c r="N257" i="23"/>
  <c r="N256" i="23"/>
  <c r="N255" i="23"/>
  <c r="N254" i="23"/>
  <c r="N253" i="23"/>
  <c r="N252" i="23"/>
  <c r="N251" i="23"/>
  <c r="N250" i="23"/>
  <c r="N249" i="23"/>
  <c r="N248" i="23"/>
  <c r="R1" i="23"/>
  <c r="O1" i="23"/>
  <c r="N91" i="22"/>
  <c r="J13" i="6"/>
  <c r="N85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6" i="22"/>
  <c r="N87" i="22"/>
  <c r="N88" i="22"/>
  <c r="N89" i="22"/>
  <c r="N90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501" i="22"/>
  <c r="N502" i="22"/>
  <c r="N503" i="22"/>
  <c r="N504" i="22"/>
  <c r="N505" i="22"/>
  <c r="N506" i="22"/>
  <c r="N507" i="22"/>
  <c r="N508" i="22"/>
  <c r="N509" i="22"/>
  <c r="N510" i="22"/>
  <c r="N511" i="22"/>
  <c r="N512" i="22"/>
  <c r="N513" i="22"/>
  <c r="N514" i="22"/>
  <c r="N515" i="22"/>
  <c r="N516" i="22"/>
  <c r="N517" i="22"/>
  <c r="N518" i="22"/>
  <c r="N519" i="22"/>
  <c r="N520" i="22"/>
  <c r="N521" i="22"/>
  <c r="N522" i="22"/>
  <c r="N523" i="22"/>
  <c r="N524" i="22"/>
  <c r="N525" i="22"/>
  <c r="N526" i="22"/>
  <c r="N527" i="22"/>
  <c r="N528" i="22"/>
  <c r="N529" i="22"/>
  <c r="N530" i="22"/>
  <c r="N531" i="22"/>
  <c r="N532" i="22"/>
  <c r="N533" i="22"/>
  <c r="N534" i="22"/>
  <c r="N535" i="22"/>
  <c r="N536" i="22"/>
  <c r="N537" i="22"/>
  <c r="N538" i="22"/>
  <c r="N539" i="22"/>
  <c r="N540" i="22"/>
  <c r="N541" i="22"/>
  <c r="N542" i="22"/>
  <c r="N543" i="22"/>
  <c r="N544" i="22"/>
  <c r="N545" i="22"/>
  <c r="N546" i="22"/>
  <c r="N547" i="22"/>
  <c r="N548" i="22"/>
  <c r="N549" i="22"/>
  <c r="N550" i="22"/>
  <c r="N551" i="22"/>
  <c r="N552" i="22"/>
  <c r="N553" i="22"/>
  <c r="N554" i="22"/>
  <c r="N555" i="22"/>
  <c r="N556" i="22"/>
  <c r="N557" i="22"/>
  <c r="N558" i="22"/>
  <c r="N559" i="22"/>
  <c r="N560" i="22"/>
  <c r="N561" i="22"/>
  <c r="N562" i="22"/>
  <c r="N563" i="22"/>
  <c r="N564" i="22"/>
  <c r="N565" i="22"/>
  <c r="N566" i="22"/>
  <c r="N567" i="22"/>
  <c r="N568" i="22"/>
  <c r="N569" i="22"/>
  <c r="N570" i="22"/>
  <c r="N571" i="22"/>
  <c r="N572" i="22"/>
  <c r="N573" i="22"/>
  <c r="N574" i="22"/>
  <c r="R1" i="22"/>
  <c r="M13" i="6" s="1"/>
  <c r="R1" i="21"/>
  <c r="L13" i="6" s="1"/>
  <c r="T1" i="20"/>
  <c r="K13" i="6" s="1"/>
  <c r="O1" i="22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34" i="21"/>
  <c r="N121" i="21"/>
  <c r="N135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341" i="21"/>
  <c r="N342" i="21"/>
  <c r="N343" i="21"/>
  <c r="N344" i="21"/>
  <c r="N345" i="21"/>
  <c r="N346" i="21"/>
  <c r="N347" i="21"/>
  <c r="N348" i="21"/>
  <c r="N349" i="21"/>
  <c r="N350" i="21"/>
  <c r="N351" i="21"/>
  <c r="N352" i="21"/>
  <c r="N353" i="21"/>
  <c r="N354" i="21"/>
  <c r="N355" i="21"/>
  <c r="N356" i="21"/>
  <c r="N357" i="21"/>
  <c r="N358" i="21"/>
  <c r="N359" i="21"/>
  <c r="N360" i="21"/>
  <c r="N361" i="21"/>
  <c r="N362" i="21"/>
  <c r="N363" i="21"/>
  <c r="N364" i="21"/>
  <c r="N365" i="21"/>
  <c r="N366" i="21"/>
  <c r="N367" i="21"/>
  <c r="N368" i="21"/>
  <c r="N369" i="21"/>
  <c r="N370" i="21"/>
  <c r="N371" i="21"/>
  <c r="N372" i="21"/>
  <c r="N373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N403" i="21"/>
  <c r="N404" i="21"/>
  <c r="N405" i="21"/>
  <c r="N406" i="21"/>
  <c r="N407" i="21"/>
  <c r="N408" i="21"/>
  <c r="N409" i="21"/>
  <c r="N410" i="21"/>
  <c r="N411" i="21"/>
  <c r="N412" i="21"/>
  <c r="N413" i="21"/>
  <c r="N414" i="21"/>
  <c r="N415" i="21"/>
  <c r="N416" i="21"/>
  <c r="N417" i="21"/>
  <c r="N418" i="21"/>
  <c r="N419" i="21"/>
  <c r="N420" i="21"/>
  <c r="N421" i="21"/>
  <c r="N422" i="21"/>
  <c r="N423" i="21"/>
  <c r="N424" i="21"/>
  <c r="N425" i="21"/>
  <c r="N426" i="21"/>
  <c r="N427" i="21"/>
  <c r="N428" i="21"/>
  <c r="N429" i="21"/>
  <c r="N430" i="21"/>
  <c r="N431" i="21"/>
  <c r="N432" i="21"/>
  <c r="N433" i="21"/>
  <c r="N434" i="21"/>
  <c r="N435" i="21"/>
  <c r="N436" i="21"/>
  <c r="N437" i="21"/>
  <c r="N438" i="21"/>
  <c r="N439" i="21"/>
  <c r="N440" i="21"/>
  <c r="N441" i="21"/>
  <c r="N442" i="21"/>
  <c r="N443" i="21"/>
  <c r="N444" i="21"/>
  <c r="N445" i="21"/>
  <c r="N446" i="21"/>
  <c r="N447" i="21"/>
  <c r="N448" i="21"/>
  <c r="N449" i="21"/>
  <c r="N450" i="21"/>
  <c r="N451" i="21"/>
  <c r="N452" i="21"/>
  <c r="N453" i="21"/>
  <c r="N454" i="21"/>
  <c r="N455" i="21"/>
  <c r="N456" i="21"/>
  <c r="N457" i="21"/>
  <c r="N458" i="21"/>
  <c r="N459" i="21"/>
  <c r="N460" i="21"/>
  <c r="N461" i="21"/>
  <c r="N462" i="21"/>
  <c r="N463" i="21"/>
  <c r="N464" i="21"/>
  <c r="N465" i="21"/>
  <c r="N466" i="21"/>
  <c r="N467" i="21"/>
  <c r="N468" i="21"/>
  <c r="N469" i="21"/>
  <c r="N470" i="21"/>
  <c r="N471" i="21"/>
  <c r="N472" i="21"/>
  <c r="N473" i="21"/>
  <c r="N474" i="21"/>
  <c r="N475" i="21"/>
  <c r="N476" i="21"/>
  <c r="N477" i="21"/>
  <c r="N478" i="21"/>
  <c r="N479" i="21"/>
  <c r="N480" i="21"/>
  <c r="N481" i="21"/>
  <c r="N482" i="21"/>
  <c r="N483" i="21"/>
  <c r="N484" i="21"/>
  <c r="N485" i="21"/>
  <c r="N486" i="21"/>
  <c r="N487" i="21"/>
  <c r="N488" i="21"/>
  <c r="N489" i="21"/>
  <c r="N490" i="21"/>
  <c r="N491" i="21"/>
  <c r="N492" i="21"/>
  <c r="N493" i="21"/>
  <c r="N494" i="21"/>
  <c r="N495" i="21"/>
  <c r="N496" i="21"/>
  <c r="N497" i="21"/>
  <c r="N498" i="21"/>
  <c r="N499" i="21"/>
  <c r="N500" i="21"/>
  <c r="N501" i="21"/>
  <c r="N502" i="21"/>
  <c r="N503" i="21"/>
  <c r="N504" i="21"/>
  <c r="N505" i="21"/>
  <c r="N506" i="21"/>
  <c r="N507" i="21"/>
  <c r="N508" i="21"/>
  <c r="N509" i="21"/>
  <c r="N510" i="21"/>
  <c r="N511" i="21"/>
  <c r="N512" i="21"/>
  <c r="N513" i="21"/>
  <c r="N514" i="21"/>
  <c r="N515" i="21"/>
  <c r="N516" i="21"/>
  <c r="N517" i="21"/>
  <c r="N518" i="21"/>
  <c r="N519" i="21"/>
  <c r="N520" i="21"/>
  <c r="N521" i="21"/>
  <c r="N522" i="21"/>
  <c r="N523" i="21"/>
  <c r="N524" i="21"/>
  <c r="N525" i="21"/>
  <c r="N526" i="21"/>
  <c r="N527" i="21"/>
  <c r="N528" i="21"/>
  <c r="N529" i="21"/>
  <c r="N530" i="21"/>
  <c r="N531" i="21"/>
  <c r="N532" i="21"/>
  <c r="N533" i="21"/>
  <c r="N534" i="21"/>
  <c r="N535" i="21"/>
  <c r="N536" i="21"/>
  <c r="N537" i="21"/>
  <c r="N538" i="21"/>
  <c r="N539" i="21"/>
  <c r="N540" i="21"/>
  <c r="N541" i="21"/>
  <c r="N542" i="21"/>
  <c r="N543" i="21"/>
  <c r="N544" i="21"/>
  <c r="N545" i="21"/>
  <c r="N546" i="21"/>
  <c r="N547" i="21"/>
  <c r="N548" i="21"/>
  <c r="N549" i="21"/>
  <c r="N550" i="21"/>
  <c r="N551" i="21"/>
  <c r="N552" i="21"/>
  <c r="N553" i="21"/>
  <c r="N554" i="21"/>
  <c r="N555" i="21"/>
  <c r="N556" i="21"/>
  <c r="N557" i="21"/>
  <c r="N558" i="21"/>
  <c r="N559" i="21"/>
  <c r="N560" i="21"/>
  <c r="N561" i="21"/>
  <c r="N562" i="21"/>
  <c r="N563" i="21"/>
  <c r="N564" i="21"/>
  <c r="N565" i="21"/>
  <c r="N29" i="21"/>
  <c r="N30" i="21"/>
  <c r="N31" i="21"/>
  <c r="N32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4" i="21"/>
  <c r="N5" i="21"/>
  <c r="N6" i="21"/>
  <c r="N7" i="21"/>
  <c r="N8" i="21"/>
  <c r="N9" i="21"/>
  <c r="N10" i="21"/>
  <c r="N11" i="21"/>
  <c r="N12" i="21"/>
  <c r="N13" i="21"/>
  <c r="N14" i="21"/>
  <c r="N3" i="21"/>
  <c r="O1" i="21"/>
  <c r="P558" i="20"/>
  <c r="Q558" i="20" s="1"/>
  <c r="P557" i="20"/>
  <c r="Q557" i="20" s="1"/>
  <c r="P556" i="20"/>
  <c r="Q556" i="20" s="1"/>
  <c r="P555" i="20"/>
  <c r="P554" i="20"/>
  <c r="P553" i="20"/>
  <c r="P552" i="20"/>
  <c r="P551" i="20"/>
  <c r="P550" i="20"/>
  <c r="P549" i="20"/>
  <c r="P548" i="20"/>
  <c r="P547" i="20"/>
  <c r="P546" i="20"/>
  <c r="P545" i="20"/>
  <c r="P540" i="20"/>
  <c r="P539" i="20"/>
  <c r="P538" i="20"/>
  <c r="P537" i="20"/>
  <c r="P536" i="20"/>
  <c r="P535" i="20"/>
  <c r="P534" i="20"/>
  <c r="P533" i="20"/>
  <c r="P532" i="20"/>
  <c r="P531" i="20"/>
  <c r="P530" i="20"/>
  <c r="P529" i="20"/>
  <c r="P528" i="20"/>
  <c r="P527" i="20"/>
  <c r="P526" i="20"/>
  <c r="P525" i="20"/>
  <c r="P524" i="20"/>
  <c r="P523" i="20"/>
  <c r="P522" i="20"/>
  <c r="P521" i="20"/>
  <c r="P520" i="20"/>
  <c r="P519" i="20"/>
  <c r="P518" i="20"/>
  <c r="P517" i="20"/>
  <c r="P516" i="20"/>
  <c r="P515" i="20"/>
  <c r="P514" i="20"/>
  <c r="P513" i="20"/>
  <c r="P512" i="20"/>
  <c r="P511" i="20"/>
  <c r="P510" i="20"/>
  <c r="P509" i="20"/>
  <c r="P508" i="20"/>
  <c r="P507" i="20"/>
  <c r="P506" i="20"/>
  <c r="P505" i="20"/>
  <c r="P504" i="20"/>
  <c r="P503" i="20"/>
  <c r="P502" i="20"/>
  <c r="P501" i="20"/>
  <c r="P500" i="20"/>
  <c r="P499" i="20"/>
  <c r="P498" i="20"/>
  <c r="P497" i="20"/>
  <c r="P496" i="20"/>
  <c r="P495" i="20"/>
  <c r="P494" i="20"/>
  <c r="P493" i="20"/>
  <c r="P492" i="20"/>
  <c r="P491" i="20"/>
  <c r="P490" i="20"/>
  <c r="P489" i="20"/>
  <c r="P488" i="20"/>
  <c r="P487" i="20"/>
  <c r="P486" i="20"/>
  <c r="P485" i="20"/>
  <c r="P484" i="20"/>
  <c r="P483" i="20"/>
  <c r="P482" i="20"/>
  <c r="P481" i="20"/>
  <c r="P480" i="20"/>
  <c r="P479" i="20"/>
  <c r="P478" i="20"/>
  <c r="P477" i="20"/>
  <c r="P476" i="20"/>
  <c r="P475" i="20"/>
  <c r="P474" i="20"/>
  <c r="P473" i="20"/>
  <c r="P472" i="20"/>
  <c r="P471" i="20"/>
  <c r="P470" i="20"/>
  <c r="P469" i="20"/>
  <c r="P468" i="20"/>
  <c r="P467" i="20"/>
  <c r="P466" i="20"/>
  <c r="P465" i="20"/>
  <c r="P464" i="20"/>
  <c r="P463" i="20"/>
  <c r="P462" i="20"/>
  <c r="P461" i="20"/>
  <c r="P460" i="20"/>
  <c r="P459" i="20"/>
  <c r="P458" i="20"/>
  <c r="P457" i="20"/>
  <c r="P456" i="20"/>
  <c r="P455" i="20"/>
  <c r="P454" i="20"/>
  <c r="P453" i="20"/>
  <c r="P452" i="20"/>
  <c r="P451" i="20"/>
  <c r="P450" i="20"/>
  <c r="P449" i="20"/>
  <c r="P448" i="20"/>
  <c r="P447" i="20"/>
  <c r="P446" i="20"/>
  <c r="P445" i="20"/>
  <c r="P444" i="20"/>
  <c r="P443" i="20"/>
  <c r="P442" i="20"/>
  <c r="P441" i="20"/>
  <c r="P440" i="20"/>
  <c r="P439" i="20"/>
  <c r="P438" i="20"/>
  <c r="P437" i="20"/>
  <c r="P436" i="20"/>
  <c r="P435" i="20"/>
  <c r="P434" i="20"/>
  <c r="P433" i="20"/>
  <c r="P432" i="20"/>
  <c r="P431" i="20"/>
  <c r="P430" i="20"/>
  <c r="P429" i="20"/>
  <c r="P428" i="20"/>
  <c r="P427" i="20"/>
  <c r="P426" i="20"/>
  <c r="P425" i="20"/>
  <c r="P424" i="20"/>
  <c r="P423" i="20"/>
  <c r="P422" i="20"/>
  <c r="P421" i="20"/>
  <c r="P420" i="20"/>
  <c r="P419" i="20"/>
  <c r="P418" i="20"/>
  <c r="P417" i="20"/>
  <c r="P416" i="20"/>
  <c r="P415" i="20"/>
  <c r="P414" i="20"/>
  <c r="P413" i="20"/>
  <c r="P412" i="20"/>
  <c r="P411" i="20"/>
  <c r="P410" i="20"/>
  <c r="P409" i="20"/>
  <c r="P408" i="20"/>
  <c r="P407" i="20"/>
  <c r="P406" i="20"/>
  <c r="P405" i="20"/>
  <c r="P404" i="20"/>
  <c r="P403" i="20"/>
  <c r="P402" i="20"/>
  <c r="P401" i="20"/>
  <c r="P400" i="20"/>
  <c r="P399" i="20"/>
  <c r="P398" i="20"/>
  <c r="P397" i="20"/>
  <c r="P396" i="20"/>
  <c r="P395" i="20"/>
  <c r="P394" i="20"/>
  <c r="P393" i="20"/>
  <c r="P392" i="20"/>
  <c r="P391" i="20"/>
  <c r="P390" i="20"/>
  <c r="P389" i="20"/>
  <c r="P388" i="20"/>
  <c r="P387" i="20"/>
  <c r="P386" i="20"/>
  <c r="P385" i="20"/>
  <c r="P384" i="20"/>
  <c r="P383" i="20"/>
  <c r="P382" i="20"/>
  <c r="P381" i="20"/>
  <c r="P380" i="20"/>
  <c r="P379" i="20"/>
  <c r="P378" i="20"/>
  <c r="P377" i="20"/>
  <c r="P376" i="20"/>
  <c r="P375" i="20"/>
  <c r="P374" i="20"/>
  <c r="P373" i="20"/>
  <c r="P372" i="20"/>
  <c r="P371" i="20"/>
  <c r="P370" i="20"/>
  <c r="P369" i="20"/>
  <c r="P368" i="20"/>
  <c r="P367" i="20"/>
  <c r="P366" i="20"/>
  <c r="P365" i="20"/>
  <c r="P364" i="20"/>
  <c r="P363" i="20"/>
  <c r="P362" i="20"/>
  <c r="P361" i="20"/>
  <c r="P360" i="20"/>
  <c r="P359" i="20"/>
  <c r="P358" i="20"/>
  <c r="P357" i="20"/>
  <c r="P356" i="20"/>
  <c r="P355" i="20"/>
  <c r="P354" i="20"/>
  <c r="P353" i="20"/>
  <c r="P352" i="20"/>
  <c r="P351" i="20"/>
  <c r="P350" i="20"/>
  <c r="P349" i="20"/>
  <c r="P348" i="20"/>
  <c r="P347" i="20"/>
  <c r="P346" i="20"/>
  <c r="P345" i="20"/>
  <c r="P344" i="20"/>
  <c r="P343" i="20"/>
  <c r="P342" i="20"/>
  <c r="P341" i="20"/>
  <c r="P340" i="20"/>
  <c r="P339" i="20"/>
  <c r="P338" i="20"/>
  <c r="P337" i="20"/>
  <c r="P336" i="20"/>
  <c r="P335" i="20"/>
  <c r="P334" i="20"/>
  <c r="P333" i="20"/>
  <c r="P332" i="20"/>
  <c r="P331" i="20"/>
  <c r="P330" i="20"/>
  <c r="P329" i="20"/>
  <c r="P328" i="20"/>
  <c r="P327" i="20"/>
  <c r="P326" i="20"/>
  <c r="P325" i="20"/>
  <c r="P324" i="20"/>
  <c r="P323" i="20"/>
  <c r="P322" i="20"/>
  <c r="P321" i="20"/>
  <c r="P320" i="20"/>
  <c r="P319" i="20"/>
  <c r="P318" i="20"/>
  <c r="P317" i="20"/>
  <c r="P316" i="20"/>
  <c r="P315" i="20"/>
  <c r="P314" i="20"/>
  <c r="P313" i="20"/>
  <c r="P312" i="20"/>
  <c r="P311" i="20"/>
  <c r="P310" i="20"/>
  <c r="P309" i="20"/>
  <c r="P308" i="20"/>
  <c r="P307" i="20"/>
  <c r="P306" i="20"/>
  <c r="P305" i="20"/>
  <c r="P304" i="20"/>
  <c r="P303" i="20"/>
  <c r="P302" i="20"/>
  <c r="P301" i="20"/>
  <c r="P300" i="20"/>
  <c r="P299" i="20"/>
  <c r="P298" i="20"/>
  <c r="P297" i="20"/>
  <c r="P296" i="20"/>
  <c r="P295" i="20"/>
  <c r="P294" i="20"/>
  <c r="P293" i="20"/>
  <c r="P292" i="20"/>
  <c r="P291" i="20"/>
  <c r="P290" i="20"/>
  <c r="P289" i="20"/>
  <c r="P288" i="20"/>
  <c r="P287" i="20"/>
  <c r="P286" i="20"/>
  <c r="P285" i="20"/>
  <c r="P284" i="20"/>
  <c r="P283" i="20"/>
  <c r="P282" i="20"/>
  <c r="P281" i="20"/>
  <c r="P280" i="20"/>
  <c r="P279" i="20"/>
  <c r="P278" i="20"/>
  <c r="P277" i="20"/>
  <c r="P276" i="20"/>
  <c r="P275" i="20"/>
  <c r="P274" i="20"/>
  <c r="P273" i="20"/>
  <c r="P272" i="20"/>
  <c r="P271" i="20"/>
  <c r="P270" i="20"/>
  <c r="P269" i="20"/>
  <c r="P268" i="20"/>
  <c r="P267" i="20"/>
  <c r="P266" i="20"/>
  <c r="P265" i="20"/>
  <c r="P264" i="20"/>
  <c r="P263" i="20"/>
  <c r="P262" i="20"/>
  <c r="P261" i="20"/>
  <c r="P260" i="20"/>
  <c r="P259" i="20"/>
  <c r="P258" i="20"/>
  <c r="P257" i="20"/>
  <c r="P256" i="20"/>
  <c r="P255" i="20"/>
  <c r="P254" i="20"/>
  <c r="P253" i="20"/>
  <c r="P252" i="20"/>
  <c r="P251" i="20"/>
  <c r="P250" i="20"/>
  <c r="P249" i="20"/>
  <c r="P248" i="20"/>
  <c r="P247" i="20"/>
  <c r="P246" i="20"/>
  <c r="P245" i="20"/>
  <c r="P244" i="20"/>
  <c r="P243" i="20"/>
  <c r="P242" i="20"/>
  <c r="P241" i="20"/>
  <c r="P240" i="20"/>
  <c r="P239" i="20"/>
  <c r="P238" i="20"/>
  <c r="P237" i="20"/>
  <c r="P236" i="20"/>
  <c r="P235" i="20"/>
  <c r="P234" i="20"/>
  <c r="P233" i="20"/>
  <c r="P232" i="20"/>
  <c r="P231" i="20"/>
  <c r="P230" i="20"/>
  <c r="P229" i="20"/>
  <c r="P228" i="20"/>
  <c r="P227" i="20"/>
  <c r="P226" i="20"/>
  <c r="P225" i="20"/>
  <c r="P224" i="20"/>
  <c r="P223" i="20"/>
  <c r="P222" i="20"/>
  <c r="P221" i="20"/>
  <c r="P220" i="20"/>
  <c r="P219" i="20"/>
  <c r="P218" i="20"/>
  <c r="P217" i="20"/>
  <c r="P216" i="20"/>
  <c r="P215" i="20"/>
  <c r="P214" i="20"/>
  <c r="P213" i="20"/>
  <c r="P212" i="20"/>
  <c r="P211" i="20"/>
  <c r="P210" i="20"/>
  <c r="P209" i="20"/>
  <c r="P208" i="20"/>
  <c r="P207" i="20"/>
  <c r="P136" i="20"/>
  <c r="P135" i="20"/>
  <c r="P134" i="20"/>
  <c r="P133" i="20"/>
  <c r="P132" i="20"/>
  <c r="P131" i="20"/>
  <c r="P206" i="20"/>
  <c r="P205" i="20"/>
  <c r="P204" i="20"/>
  <c r="P203" i="20"/>
  <c r="P202" i="20"/>
  <c r="P201" i="20"/>
  <c r="P200" i="20"/>
  <c r="P199" i="20"/>
  <c r="P198" i="20"/>
  <c r="P197" i="20"/>
  <c r="P196" i="20"/>
  <c r="P195" i="20"/>
  <c r="P194" i="20"/>
  <c r="P193" i="20"/>
  <c r="P192" i="20"/>
  <c r="P191" i="20"/>
  <c r="P190" i="20"/>
  <c r="P189" i="20"/>
  <c r="P188" i="20"/>
  <c r="P187" i="20"/>
  <c r="P186" i="20"/>
  <c r="P185" i="20"/>
  <c r="P184" i="20"/>
  <c r="P183" i="20"/>
  <c r="P182" i="20"/>
  <c r="P181" i="20"/>
  <c r="P180" i="20"/>
  <c r="P179" i="20"/>
  <c r="P178" i="20"/>
  <c r="P176" i="20"/>
  <c r="P162" i="20"/>
  <c r="P161" i="20"/>
  <c r="P160" i="20"/>
  <c r="P159" i="20"/>
  <c r="P158" i="20"/>
  <c r="P157" i="20"/>
  <c r="P156" i="20"/>
  <c r="P155" i="20"/>
  <c r="P154" i="20"/>
  <c r="P152" i="20"/>
  <c r="P151" i="20"/>
  <c r="P150" i="20"/>
  <c r="P149" i="20"/>
  <c r="P148" i="20"/>
  <c r="P147" i="20"/>
  <c r="P146" i="20"/>
  <c r="P145" i="20"/>
  <c r="P143" i="20"/>
  <c r="P142" i="20"/>
  <c r="P141" i="20"/>
  <c r="P140" i="20"/>
  <c r="P139" i="20"/>
  <c r="P138" i="20"/>
  <c r="P137" i="20"/>
  <c r="P130" i="20"/>
  <c r="P129" i="20"/>
  <c r="P128" i="20"/>
  <c r="P127" i="20"/>
  <c r="P126" i="20"/>
  <c r="P125" i="20"/>
  <c r="P124" i="20"/>
  <c r="P123" i="20"/>
  <c r="P122" i="20"/>
  <c r="P121" i="20"/>
  <c r="P120" i="20"/>
  <c r="P119" i="20"/>
  <c r="P118" i="20"/>
  <c r="P117" i="20"/>
  <c r="P116" i="20"/>
  <c r="P115" i="20"/>
  <c r="P114" i="20"/>
  <c r="P113" i="20"/>
  <c r="P112" i="20"/>
  <c r="P111" i="20"/>
  <c r="P109" i="20"/>
  <c r="P108" i="20"/>
  <c r="P107" i="20"/>
  <c r="P106" i="20"/>
  <c r="P105" i="20"/>
  <c r="P104" i="20"/>
  <c r="P103" i="20"/>
  <c r="P102" i="20"/>
  <c r="P101" i="20"/>
  <c r="P100" i="20"/>
  <c r="P99" i="20"/>
  <c r="P98" i="20"/>
  <c r="P97" i="20"/>
  <c r="P96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3" i="20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71" i="19"/>
  <c r="N272" i="19"/>
  <c r="N273" i="19"/>
  <c r="N274" i="19"/>
  <c r="N275" i="19"/>
  <c r="N276" i="19"/>
  <c r="N277" i="19"/>
  <c r="N278" i="19"/>
  <c r="N279" i="19"/>
  <c r="N280" i="19"/>
  <c r="N281" i="19"/>
  <c r="N282" i="19"/>
  <c r="N283" i="19"/>
  <c r="N284" i="19"/>
  <c r="N285" i="19"/>
  <c r="N286" i="19"/>
  <c r="N287" i="19"/>
  <c r="N288" i="19"/>
  <c r="N289" i="19"/>
  <c r="N290" i="19"/>
  <c r="N291" i="19"/>
  <c r="N292" i="19"/>
  <c r="N293" i="19"/>
  <c r="N294" i="19"/>
  <c r="N295" i="19"/>
  <c r="N296" i="19"/>
  <c r="N297" i="19"/>
  <c r="N298" i="19"/>
  <c r="N299" i="19"/>
  <c r="N300" i="19"/>
  <c r="N301" i="19"/>
  <c r="N302" i="19"/>
  <c r="N303" i="19"/>
  <c r="N304" i="19"/>
  <c r="N305" i="19"/>
  <c r="N306" i="19"/>
  <c r="N307" i="19"/>
  <c r="N308" i="19"/>
  <c r="N309" i="19"/>
  <c r="N310" i="19"/>
  <c r="N311" i="19"/>
  <c r="N312" i="19"/>
  <c r="N313" i="19"/>
  <c r="N314" i="19"/>
  <c r="N315" i="19"/>
  <c r="N316" i="19"/>
  <c r="N317" i="19"/>
  <c r="N318" i="19"/>
  <c r="N319" i="19"/>
  <c r="N320" i="19"/>
  <c r="N321" i="19"/>
  <c r="N322" i="19"/>
  <c r="N323" i="19"/>
  <c r="N324" i="19"/>
  <c r="N325" i="19"/>
  <c r="N326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339" i="19"/>
  <c r="N340" i="19"/>
  <c r="N341" i="19"/>
  <c r="N342" i="19"/>
  <c r="N343" i="19"/>
  <c r="N344" i="19"/>
  <c r="N345" i="19"/>
  <c r="N346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25" i="19"/>
  <c r="N426" i="19"/>
  <c r="N427" i="19"/>
  <c r="N428" i="19"/>
  <c r="N429" i="19"/>
  <c r="N430" i="19"/>
  <c r="N431" i="19"/>
  <c r="N432" i="19"/>
  <c r="N433" i="19"/>
  <c r="N434" i="19"/>
  <c r="N435" i="19"/>
  <c r="N436" i="19"/>
  <c r="N437" i="19"/>
  <c r="N438" i="19"/>
  <c r="N439" i="19"/>
  <c r="N440" i="19"/>
  <c r="N441" i="19"/>
  <c r="N442" i="19"/>
  <c r="N443" i="19"/>
  <c r="N444" i="19"/>
  <c r="N445" i="19"/>
  <c r="N446" i="19"/>
  <c r="N447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399" i="18"/>
  <c r="N482" i="19"/>
  <c r="C482" i="19"/>
  <c r="N481" i="19"/>
  <c r="C481" i="19"/>
  <c r="N480" i="19"/>
  <c r="C480" i="19"/>
  <c r="N479" i="19"/>
  <c r="C479" i="19"/>
  <c r="N478" i="19"/>
  <c r="C478" i="19"/>
  <c r="N477" i="19"/>
  <c r="C477" i="19"/>
  <c r="N476" i="19"/>
  <c r="C476" i="19"/>
  <c r="N475" i="19"/>
  <c r="C475" i="19"/>
  <c r="N474" i="19"/>
  <c r="C474" i="19"/>
  <c r="N473" i="19"/>
  <c r="C473" i="19"/>
  <c r="N472" i="19"/>
  <c r="C472" i="19"/>
  <c r="N471" i="19"/>
  <c r="C471" i="19"/>
  <c r="N470" i="19"/>
  <c r="C470" i="19"/>
  <c r="N469" i="19"/>
  <c r="C469" i="19"/>
  <c r="N468" i="19"/>
  <c r="C468" i="19"/>
  <c r="N467" i="19"/>
  <c r="C467" i="19"/>
  <c r="N466" i="19"/>
  <c r="C466" i="19"/>
  <c r="N465" i="19"/>
  <c r="C465" i="19"/>
  <c r="O1" i="19"/>
  <c r="N477" i="18"/>
  <c r="N478" i="18"/>
  <c r="N479" i="18"/>
  <c r="N480" i="18"/>
  <c r="N481" i="18"/>
  <c r="N482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400" i="18"/>
  <c r="N401" i="18"/>
  <c r="N402" i="18"/>
  <c r="N403" i="18"/>
  <c r="N404" i="18"/>
  <c r="N405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39" i="18"/>
  <c r="N1" i="15"/>
  <c r="N330" i="18"/>
  <c r="N331" i="18"/>
  <c r="N332" i="18"/>
  <c r="N333" i="18"/>
  <c r="N334" i="18"/>
  <c r="N335" i="18"/>
  <c r="N336" i="18"/>
  <c r="N337" i="18"/>
  <c r="N338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27" i="18"/>
  <c r="N328" i="18"/>
  <c r="N329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237" i="18"/>
  <c r="N262" i="18"/>
  <c r="N263" i="18"/>
  <c r="N264" i="18"/>
  <c r="N265" i="18"/>
  <c r="N266" i="18"/>
  <c r="N267" i="18"/>
  <c r="N268" i="18"/>
  <c r="N269" i="18"/>
  <c r="N270" i="18"/>
  <c r="N271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30" i="18"/>
  <c r="N231" i="18"/>
  <c r="N232" i="18"/>
  <c r="N233" i="18"/>
  <c r="N234" i="18"/>
  <c r="N235" i="18"/>
  <c r="N236" i="18"/>
  <c r="N238" i="18"/>
  <c r="N239" i="18"/>
  <c r="N240" i="18"/>
  <c r="N241" i="18"/>
  <c r="N242" i="18"/>
  <c r="N243" i="18"/>
  <c r="N244" i="18"/>
  <c r="N245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199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70" i="18"/>
  <c r="N171" i="18"/>
  <c r="N172" i="18"/>
  <c r="N173" i="18"/>
  <c r="N168" i="18"/>
  <c r="N169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90" i="18"/>
  <c r="N91" i="18"/>
  <c r="N92" i="18"/>
  <c r="N93" i="18"/>
  <c r="N94" i="18"/>
  <c r="N95" i="18"/>
  <c r="N96" i="18"/>
  <c r="N97" i="18"/>
  <c r="N80" i="18"/>
  <c r="N81" i="18"/>
  <c r="N82" i="18"/>
  <c r="N83" i="18"/>
  <c r="N84" i="18"/>
  <c r="N85" i="18"/>
  <c r="N86" i="18"/>
  <c r="N87" i="18"/>
  <c r="N88" i="18"/>
  <c r="N89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45" i="18"/>
  <c r="N46" i="18"/>
  <c r="N47" i="18"/>
  <c r="N48" i="18"/>
  <c r="N49" i="18"/>
  <c r="N50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17" i="18"/>
  <c r="N18" i="18"/>
  <c r="N19" i="18"/>
  <c r="N20" i="18"/>
  <c r="N21" i="18"/>
  <c r="N22" i="18"/>
  <c r="N14" i="18"/>
  <c r="N15" i="18"/>
  <c r="N16" i="18"/>
  <c r="N12" i="18"/>
  <c r="N13" i="18"/>
  <c r="N11" i="18"/>
  <c r="N10" i="18"/>
  <c r="N9" i="18"/>
  <c r="N8" i="18"/>
  <c r="N7" i="18"/>
  <c r="N4" i="18"/>
  <c r="N5" i="18"/>
  <c r="N6" i="18"/>
  <c r="N3" i="18"/>
  <c r="O1" i="18"/>
  <c r="N1" i="18"/>
  <c r="N440" i="17"/>
  <c r="O1" i="17"/>
  <c r="N1" i="17"/>
  <c r="N8" i="6"/>
  <c r="N1" i="16"/>
  <c r="O1" i="16"/>
  <c r="O1" i="15"/>
  <c r="M8" i="6"/>
  <c r="L8" i="6"/>
  <c r="N1" i="14"/>
  <c r="I16" i="6"/>
  <c r="N1" i="5"/>
  <c r="O3" i="11"/>
  <c r="O4" i="11"/>
  <c r="O5" i="11"/>
  <c r="O6" i="11"/>
  <c r="O7" i="11"/>
  <c r="O1" i="11" s="1"/>
  <c r="O8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K8" i="6"/>
  <c r="O577" i="7"/>
  <c r="O578" i="7"/>
  <c r="O579" i="7"/>
  <c r="O580" i="7"/>
  <c r="O581" i="7"/>
  <c r="O582" i="7"/>
  <c r="O583" i="7"/>
  <c r="O584" i="7"/>
  <c r="A586" i="7"/>
  <c r="N1" i="13"/>
  <c r="O1" i="13"/>
  <c r="I8" i="6"/>
  <c r="N1" i="7"/>
  <c r="N1" i="11"/>
  <c r="O648" i="5"/>
  <c r="O649" i="5"/>
  <c r="O650" i="5"/>
  <c r="O651" i="5"/>
  <c r="O652" i="5"/>
  <c r="O653" i="5"/>
  <c r="O654" i="5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I9" i="6"/>
  <c r="H9" i="6"/>
  <c r="H8" i="6"/>
  <c r="O1" i="7"/>
  <c r="Q1" i="20" l="1"/>
  <c r="N1" i="21"/>
  <c r="E3" i="6" s="1"/>
  <c r="E5" i="6" s="1"/>
  <c r="E6" i="6" s="1"/>
  <c r="N1" i="25"/>
  <c r="H3" i="6" s="1"/>
  <c r="H5" i="6" s="1"/>
  <c r="H6" i="6" s="1"/>
  <c r="P1" i="20"/>
  <c r="D5" i="6"/>
  <c r="D6" i="6" s="1"/>
  <c r="F5" i="6"/>
  <c r="F6" i="6" s="1"/>
  <c r="N1" i="23"/>
  <c r="G3" i="6" s="1"/>
  <c r="G5" i="6" s="1"/>
  <c r="G6" i="6" s="1"/>
  <c r="N1" i="19"/>
  <c r="N13" i="6"/>
  <c r="O13" i="6" s="1"/>
  <c r="I14" i="6"/>
  <c r="S9" i="6"/>
  <c r="O1" i="14"/>
  <c r="O1" i="5"/>
  <c r="D17" i="6"/>
  <c r="P8" i="6"/>
  <c r="P9" i="6"/>
  <c r="D14" i="6" l="1"/>
  <c r="D15" i="6"/>
  <c r="Q9" i="6"/>
  <c r="I15" i="6" l="1"/>
  <c r="I13" i="6"/>
  <c r="Q4" i="6"/>
  <c r="Q3" i="6" l="1"/>
  <c r="Q7" i="6" l="1"/>
  <c r="S5" i="6"/>
  <c r="D16" i="6"/>
</calcChain>
</file>

<file path=xl/sharedStrings.xml><?xml version="1.0" encoding="utf-8"?>
<sst xmlns="http://schemas.openxmlformats.org/spreadsheetml/2006/main" count="11911" uniqueCount="594">
  <si>
    <t>DT</t>
  </si>
  <si>
    <t>Data coleta</t>
  </si>
  <si>
    <t>Coluna1</t>
  </si>
  <si>
    <t>Cliente/Fornecedor</t>
  </si>
  <si>
    <t xml:space="preserve">Local </t>
  </si>
  <si>
    <t>Numero NF</t>
  </si>
  <si>
    <t>Data canhoto</t>
  </si>
  <si>
    <t>Data recibo</t>
  </si>
  <si>
    <t>Valor recibo</t>
  </si>
  <si>
    <t>Scaner</t>
  </si>
  <si>
    <t>Drive-ANEXO</t>
  </si>
  <si>
    <t>status forms</t>
  </si>
  <si>
    <t>DATA LANÇAMENTO</t>
  </si>
  <si>
    <t>Match_Planilha</t>
  </si>
  <si>
    <t>Dif</t>
  </si>
  <si>
    <t>obs</t>
  </si>
  <si>
    <t>47486/47488/47487/47489/47485</t>
  </si>
  <si>
    <t>OK</t>
  </si>
  <si>
    <t>LANÇADO</t>
  </si>
  <si>
    <t>47647/47646</t>
  </si>
  <si>
    <t>48072/48070</t>
  </si>
  <si>
    <t>48040/48039/48037/48038</t>
  </si>
  <si>
    <t>47948/47947/47949</t>
  </si>
  <si>
    <t>48330/48329</t>
  </si>
  <si>
    <t>48312/48311/48310</t>
  </si>
  <si>
    <t>48267/48269/48268</t>
  </si>
  <si>
    <t>48298/48295/48296/48297</t>
  </si>
  <si>
    <t>48316/48315</t>
  </si>
  <si>
    <t>48313/48314/48304</t>
  </si>
  <si>
    <t>48275/277/266/278/276/270/274/271/265/273/272</t>
  </si>
  <si>
    <t>48448/48449</t>
  </si>
  <si>
    <t>48251/48252</t>
  </si>
  <si>
    <t>48202/48203/48204/48201</t>
  </si>
  <si>
    <t>48294/48300/48299/48301/48302</t>
  </si>
  <si>
    <t>48351/48353/48354/48355/356/357/358</t>
  </si>
  <si>
    <t>48317/48320</t>
  </si>
  <si>
    <t>48368/48363/48366/48367/48369</t>
  </si>
  <si>
    <t>48760//48761</t>
  </si>
  <si>
    <t>48777/48775/48774/48776</t>
  </si>
  <si>
    <t>48246/48245</t>
  </si>
  <si>
    <t>48778/48780/48779</t>
  </si>
  <si>
    <t>48384/48381/48382/48383</t>
  </si>
  <si>
    <t>48746/48747</t>
  </si>
  <si>
    <t>47616/47614</t>
  </si>
  <si>
    <t>48750/48752/48753/48754</t>
  </si>
  <si>
    <t>48873/48858</t>
  </si>
  <si>
    <t>48758/48757</t>
  </si>
  <si>
    <t>48762/48764/48763/48765</t>
  </si>
  <si>
    <t>48748/48749</t>
  </si>
  <si>
    <t>48733/48737/48731/48736/48734/48735/48732</t>
  </si>
  <si>
    <t>48741/48742/48743/48744/48745</t>
  </si>
  <si>
    <t>48930/48928</t>
  </si>
  <si>
    <t>48933/48932</t>
  </si>
  <si>
    <t>48927/48929</t>
  </si>
  <si>
    <t>48925/48931</t>
  </si>
  <si>
    <t>48334/48335/48324</t>
  </si>
  <si>
    <t>48825/48817</t>
  </si>
  <si>
    <t>49092/49091/49093</t>
  </si>
  <si>
    <t>48945/48946</t>
  </si>
  <si>
    <t>48944/48947</t>
  </si>
  <si>
    <t>49012/49015</t>
  </si>
  <si>
    <t>48816/48815</t>
  </si>
  <si>
    <t>48722/48723/48721</t>
  </si>
  <si>
    <t>22838/22839</t>
  </si>
  <si>
    <t>22852/22849</t>
  </si>
  <si>
    <t>49192/49191</t>
  </si>
  <si>
    <t>48714/48715/48716/48717</t>
  </si>
  <si>
    <t>49223/49222</t>
  </si>
  <si>
    <t>49225/49226</t>
  </si>
  <si>
    <t>49193/49194</t>
  </si>
  <si>
    <t>Comprovei Ok</t>
  </si>
  <si>
    <t>49119/120/110/116/113/112/109/108/121/111/114/115/118/117</t>
  </si>
  <si>
    <t>48898/48899</t>
  </si>
  <si>
    <t>49011/49013/49014</t>
  </si>
  <si>
    <t>48759/48755</t>
  </si>
  <si>
    <t>49195/49196/49197/49198/49199</t>
  </si>
  <si>
    <t>49218/49216</t>
  </si>
  <si>
    <t>49509/49515</t>
  </si>
  <si>
    <t>49518/49526</t>
  </si>
  <si>
    <t>49500/49499</t>
  </si>
  <si>
    <t>48458/48459</t>
  </si>
  <si>
    <t xml:space="preserve">PENDENTE </t>
  </si>
  <si>
    <t>49540/49539</t>
  </si>
  <si>
    <t>49548/49555</t>
  </si>
  <si>
    <t>49552/49557</t>
  </si>
  <si>
    <t>49576/49575</t>
  </si>
  <si>
    <t>49648/49653</t>
  </si>
  <si>
    <t>49386/49385</t>
  </si>
  <si>
    <t>49681/49679</t>
  </si>
  <si>
    <t>49855/49856/49846</t>
  </si>
  <si>
    <t>49753/49743</t>
  </si>
  <si>
    <t>49574/49577/49573</t>
  </si>
  <si>
    <t>49714/49711</t>
  </si>
  <si>
    <t>49708/49710</t>
  </si>
  <si>
    <t>49723/49724</t>
  </si>
  <si>
    <t>49614/49613</t>
  </si>
  <si>
    <t>49652/49647</t>
  </si>
  <si>
    <t>49745/49754</t>
  </si>
  <si>
    <t>49751/49744</t>
  </si>
  <si>
    <t>49881/49862/49883/49880</t>
  </si>
  <si>
    <t>49598/49599</t>
  </si>
  <si>
    <t>49926/49925/49924</t>
  </si>
  <si>
    <t>49612/49604</t>
  </si>
  <si>
    <t>49884/49864</t>
  </si>
  <si>
    <t>49893/49891</t>
  </si>
  <si>
    <t>49943/49942</t>
  </si>
  <si>
    <t>23522/23525/23523/23524/23526</t>
  </si>
  <si>
    <t>50015/50016</t>
  </si>
  <si>
    <t>49981/49980</t>
  </si>
  <si>
    <t>49993/50000</t>
  </si>
  <si>
    <t>49889/49886</t>
  </si>
  <si>
    <t>49975/49976</t>
  </si>
  <si>
    <t>50012/50013</t>
  </si>
  <si>
    <t>49894/49895/49892</t>
  </si>
  <si>
    <t>49916/49917</t>
  </si>
  <si>
    <t>50017/50018/50014</t>
  </si>
  <si>
    <t>49963/49962/49961</t>
  </si>
  <si>
    <t>49966/49965</t>
  </si>
  <si>
    <t>49945/49944</t>
  </si>
  <si>
    <t>49920/49919</t>
  </si>
  <si>
    <t>50194/50184/50195</t>
  </si>
  <si>
    <t>50241/50244/50242/50243</t>
  </si>
  <si>
    <t>49758/49760/49759/49757</t>
  </si>
  <si>
    <t>50211/50233/50209/50210</t>
  </si>
  <si>
    <t>50167/50168/50166</t>
  </si>
  <si>
    <t>50139/50137/50140/50138</t>
  </si>
  <si>
    <t>50278/50279/50280</t>
  </si>
  <si>
    <t>50253/50252</t>
  </si>
  <si>
    <t>50144/50147/50148/50146/50149/50150</t>
  </si>
  <si>
    <t>50174/50170/50171/50172</t>
  </si>
  <si>
    <t>50132/50134/50133</t>
  </si>
  <si>
    <t>50267/50268/50269</t>
  </si>
  <si>
    <t>50239/50240/50236/50237/50238</t>
  </si>
  <si>
    <t>50163/50164/50162/50161/50160</t>
  </si>
  <si>
    <t>50234/50232/50233</t>
  </si>
  <si>
    <t>50217/50216/50215</t>
  </si>
  <si>
    <t>48801/48800</t>
  </si>
  <si>
    <t>50214/50235</t>
  </si>
  <si>
    <t>50107/50108</t>
  </si>
  <si>
    <t>50141/50142/50143</t>
  </si>
  <si>
    <t>49984/49983/49982/49979</t>
  </si>
  <si>
    <t>48726/48725</t>
  </si>
  <si>
    <t>49931/49932/49933</t>
  </si>
  <si>
    <t>50345/50343/50342/50341/50344</t>
  </si>
  <si>
    <t>50339/50338</t>
  </si>
  <si>
    <t>50471/50473/50469/50470/50472/50468</t>
  </si>
  <si>
    <t>50381/50415/50380/50389/50382</t>
  </si>
  <si>
    <t>50371/50364/50372</t>
  </si>
  <si>
    <t>50294/50295/50290</t>
  </si>
  <si>
    <t>50109/50106/50111/50110</t>
  </si>
  <si>
    <t>50491/50486</t>
  </si>
  <si>
    <t>50569/50571/50570</t>
  </si>
  <si>
    <t>50288/50287</t>
  </si>
  <si>
    <t>50318/50319/50316/50317/50320</t>
  </si>
  <si>
    <t>50488/50487</t>
  </si>
  <si>
    <t>50477/50478</t>
  </si>
  <si>
    <t>50466/50467</t>
  </si>
  <si>
    <t>50551/50563</t>
  </si>
  <si>
    <t>50484/50485</t>
  </si>
  <si>
    <t>50183/50190/50189/50188</t>
  </si>
  <si>
    <t>50564/50565/50568/50557/50566/50567</t>
  </si>
  <si>
    <t>50626/50623/50624/50625/50622</t>
  </si>
  <si>
    <t>50651/50650</t>
  </si>
  <si>
    <t>50552/50553/50556</t>
  </si>
  <si>
    <t>50632/50634/50633</t>
  </si>
  <si>
    <t>50652/50653/50648</t>
  </si>
  <si>
    <t>23846/23845</t>
  </si>
  <si>
    <t>50640/50641/50642/50643/50644</t>
  </si>
  <si>
    <t>50499/50498</t>
  </si>
  <si>
    <t>50671/50672</t>
  </si>
  <si>
    <t>50797/50810</t>
  </si>
  <si>
    <t>50815/50799</t>
  </si>
  <si>
    <t>50748/50742</t>
  </si>
  <si>
    <t>50805/50825</t>
  </si>
  <si>
    <t>50554/50549</t>
  </si>
  <si>
    <t>50739/50741/50734/50740</t>
  </si>
  <si>
    <t>50784/50780</t>
  </si>
  <si>
    <t>50894/50893</t>
  </si>
  <si>
    <t>50778/50775</t>
  </si>
  <si>
    <t>50918/50916</t>
  </si>
  <si>
    <t>50992/50991</t>
  </si>
  <si>
    <t>50965/50966/50968</t>
  </si>
  <si>
    <t>50795/50807</t>
  </si>
  <si>
    <t>50675/50693</t>
  </si>
  <si>
    <t>50896/50897</t>
  </si>
  <si>
    <t>50891/50892</t>
  </si>
  <si>
    <t>50911/50914</t>
  </si>
  <si>
    <t>50987/50988</t>
  </si>
  <si>
    <t>50159/50158</t>
  </si>
  <si>
    <t>50980/50976</t>
  </si>
  <si>
    <t>51066/51067/51065</t>
  </si>
  <si>
    <t>50971/50972/50970</t>
  </si>
  <si>
    <t>50899/50898</t>
  </si>
  <si>
    <t>51081/51082/51079</t>
  </si>
  <si>
    <t>51089/51093</t>
  </si>
  <si>
    <t>51118/51116</t>
  </si>
  <si>
    <t>51015/51011/51014</t>
  </si>
  <si>
    <t>23971/23967</t>
  </si>
  <si>
    <t>51088/51095</t>
  </si>
  <si>
    <t>50793/50794</t>
  </si>
  <si>
    <t>51144/51145</t>
  </si>
  <si>
    <t>50921/50920</t>
  </si>
  <si>
    <t>50802/50800/50801/50803</t>
  </si>
  <si>
    <t>51108/51106</t>
  </si>
  <si>
    <t>50804/50839</t>
  </si>
  <si>
    <t>51133/51132/51131</t>
  </si>
  <si>
    <t>50724/50825</t>
  </si>
  <si>
    <t>51105/51104</t>
  </si>
  <si>
    <t>24003/24004/24005/24002/24006/24008</t>
  </si>
  <si>
    <t>51165/51168/51166/51164/51161/51162/51163/51160</t>
  </si>
  <si>
    <t>51119/51115</t>
  </si>
  <si>
    <t>51074/51077/51078</t>
  </si>
  <si>
    <t>51265/51266</t>
  </si>
  <si>
    <t>50745/50744</t>
  </si>
  <si>
    <t>24110/24111/24112</t>
  </si>
  <si>
    <t>51459/51458</t>
  </si>
  <si>
    <t>50577/50580/50579/50578</t>
  </si>
  <si>
    <t>51437/51436</t>
  </si>
  <si>
    <t>24102/24101</t>
  </si>
  <si>
    <t>51220/51211/51213/51214/216/218/219/215</t>
  </si>
  <si>
    <t>51249/51250/51251/51252</t>
  </si>
  <si>
    <t>51229/51227/51226/51228/51225</t>
  </si>
  <si>
    <t>51102/51101/51103</t>
  </si>
  <si>
    <t>51208/51207</t>
  </si>
  <si>
    <t>50919/50917</t>
  </si>
  <si>
    <t>51094/51096</t>
  </si>
  <si>
    <t>51429/51428</t>
  </si>
  <si>
    <t>51434/51438</t>
  </si>
  <si>
    <t>51470/51469</t>
  </si>
  <si>
    <t>51291/51294/51293</t>
  </si>
  <si>
    <t>51491/51492</t>
  </si>
  <si>
    <t>51522/51521</t>
  </si>
  <si>
    <t>51369/51370</t>
  </si>
  <si>
    <t>24124/24123</t>
  </si>
  <si>
    <t>51244/24190</t>
  </si>
  <si>
    <t>51583/51581/51582</t>
  </si>
  <si>
    <t>51526/51532</t>
  </si>
  <si>
    <t>51523/51525</t>
  </si>
  <si>
    <t>51623/51621</t>
  </si>
  <si>
    <t>51549/51550</t>
  </si>
  <si>
    <t>51624/51622</t>
  </si>
  <si>
    <t>51546/51545</t>
  </si>
  <si>
    <t>51665/51666</t>
  </si>
  <si>
    <t>51635/51667</t>
  </si>
  <si>
    <t>51672/51670</t>
  </si>
  <si>
    <t>51593/51594</t>
  </si>
  <si>
    <t>51477/51476/51475</t>
  </si>
  <si>
    <t>51619/51617/51620</t>
  </si>
  <si>
    <t>51481/51479/51478</t>
  </si>
  <si>
    <t>51653/51651/51654/51650/51655</t>
  </si>
  <si>
    <t>24227/24276/24274/24275</t>
  </si>
  <si>
    <t>51613/51614/51615/51616/51618</t>
  </si>
  <si>
    <t>51747/51761/51758/51759/51760</t>
  </si>
  <si>
    <t>51869/51868/51867</t>
  </si>
  <si>
    <t>51740/51741/51742/51743</t>
  </si>
  <si>
    <t>51807/51808/51806/51805</t>
  </si>
  <si>
    <t>51768/51767</t>
  </si>
  <si>
    <t>51801/51799</t>
  </si>
  <si>
    <t>51794/51793</t>
  </si>
  <si>
    <t>51830/51828/51827</t>
  </si>
  <si>
    <t>51775/51776</t>
  </si>
  <si>
    <t>51825/51824</t>
  </si>
  <si>
    <t>51709/51707/51708/51710</t>
  </si>
  <si>
    <t>51196/51201</t>
  </si>
  <si>
    <t>51949/51951/51950</t>
  </si>
  <si>
    <t>51800/51788</t>
  </si>
  <si>
    <t>51811/51812</t>
  </si>
  <si>
    <t>52028/52026/52030/52029/52027</t>
  </si>
  <si>
    <t>52063/52065/52066/52064</t>
  </si>
  <si>
    <t>52080/52079/52078</t>
  </si>
  <si>
    <t>52032/52035/52025/52031/52033/52036</t>
  </si>
  <si>
    <t>51659/51632</t>
  </si>
  <si>
    <t>52058/52052</t>
  </si>
  <si>
    <t>52075/52076/52074/52073</t>
  </si>
  <si>
    <t>52040/52043/52044/52045/52042/52039/52041</t>
  </si>
  <si>
    <t>52003/52006/52005/52004</t>
  </si>
  <si>
    <t>51574/51573/51575</t>
  </si>
  <si>
    <t>51789/51790</t>
  </si>
  <si>
    <t>24435/24434/24436/24437</t>
  </si>
  <si>
    <t>52263/52262</t>
  </si>
  <si>
    <t>52201/52200</t>
  </si>
  <si>
    <t>52266/52268</t>
  </si>
  <si>
    <t>52326/52324</t>
  </si>
  <si>
    <t>52334/52333</t>
  </si>
  <si>
    <t>52332/52331</t>
  </si>
  <si>
    <t>52297/52298/52299/52300/52301</t>
  </si>
  <si>
    <t>51446/51445/51440</t>
  </si>
  <si>
    <t>52208/52205/52209/52207</t>
  </si>
  <si>
    <t>51406/51407</t>
  </si>
  <si>
    <t>52472/52471</t>
  </si>
  <si>
    <t>52486/52487</t>
  </si>
  <si>
    <t>51803/51804</t>
  </si>
  <si>
    <t>52210/52206</t>
  </si>
  <si>
    <t>52480/52481</t>
  </si>
  <si>
    <t>51976/51979/51973/51977/51975</t>
  </si>
  <si>
    <t>52443/52455</t>
  </si>
  <si>
    <t>51680/51681</t>
  </si>
  <si>
    <t>51993/51992/51994</t>
  </si>
  <si>
    <t>52459/52460/52463/52467/52461/52462</t>
  </si>
  <si>
    <t>52313/52312/52315/52314</t>
  </si>
  <si>
    <t>52435/52434/52433</t>
  </si>
  <si>
    <t>52673/52671</t>
  </si>
  <si>
    <t>52737/52738</t>
  </si>
  <si>
    <t>52647/52646</t>
  </si>
  <si>
    <t>52669/52664</t>
  </si>
  <si>
    <t>52728/52731</t>
  </si>
  <si>
    <t>52670/52672</t>
  </si>
  <si>
    <t>52485/52482</t>
  </si>
  <si>
    <t>52956/52954</t>
  </si>
  <si>
    <t>52711/52708/52709/52710</t>
  </si>
  <si>
    <t>52872/51873</t>
  </si>
  <si>
    <t>52905/52904</t>
  </si>
  <si>
    <t>53016/53019</t>
  </si>
  <si>
    <t>53017/53012</t>
  </si>
  <si>
    <t>52988/52987</t>
  </si>
  <si>
    <t>PENDENTE</t>
  </si>
  <si>
    <t>Motorista</t>
  </si>
  <si>
    <t>Data lançamento</t>
  </si>
  <si>
    <t>18031736</t>
  </si>
  <si>
    <t>MARCOS CECILIO DE OLIVEIRA</t>
  </si>
  <si>
    <t>AROLDO VICENTE CORDEIRO</t>
  </si>
  <si>
    <t>18046433</t>
  </si>
  <si>
    <t xml:space="preserve">RODRIGO NOGUEIRA </t>
  </si>
  <si>
    <t>18037660</t>
  </si>
  <si>
    <t>WILSON MOREIRA DE GODOY</t>
  </si>
  <si>
    <t>18046437</t>
  </si>
  <si>
    <t>MARIO ADRIANO SILVA</t>
  </si>
  <si>
    <t>18040209</t>
  </si>
  <si>
    <t>CLAUDIO JOSE FERREIRA JUNIOR</t>
  </si>
  <si>
    <t xml:space="preserve"> </t>
  </si>
  <si>
    <t>COMPROVEI OK</t>
  </si>
  <si>
    <t>53401/53284</t>
  </si>
  <si>
    <t>24714/24715/24713/24716</t>
  </si>
  <si>
    <t>52432/52431</t>
  </si>
  <si>
    <t>52962/52961/52969</t>
  </si>
  <si>
    <t>53242/53243</t>
  </si>
  <si>
    <t>53453/53443</t>
  </si>
  <si>
    <t>53419/53412</t>
  </si>
  <si>
    <t>53266/53265/53386</t>
  </si>
  <si>
    <t>52972/52973/52971</t>
  </si>
  <si>
    <t>53496/53495</t>
  </si>
  <si>
    <t>53364/53410/53363</t>
  </si>
  <si>
    <t>53437/53436</t>
  </si>
  <si>
    <t>53483/53482/53484</t>
  </si>
  <si>
    <t>53485/53486</t>
  </si>
  <si>
    <t>53589/53588</t>
  </si>
  <si>
    <t>52736/52734</t>
  </si>
  <si>
    <t>53301/53234</t>
  </si>
  <si>
    <t>53286/53395</t>
  </si>
  <si>
    <t>53494/53493</t>
  </si>
  <si>
    <t>53531/53537</t>
  </si>
  <si>
    <t>53530/53529</t>
  </si>
  <si>
    <t>53253/53380</t>
  </si>
  <si>
    <t>53511/53510</t>
  </si>
  <si>
    <t>53425/53424</t>
  </si>
  <si>
    <t>52657/52656</t>
  </si>
  <si>
    <t>53586/53587</t>
  </si>
  <si>
    <t>53171/53172</t>
  </si>
  <si>
    <t>53573/53576</t>
  </si>
  <si>
    <t>53522/53521</t>
  </si>
  <si>
    <t>53439/53441/53440</t>
  </si>
  <si>
    <t>52767/52768/52770/52766</t>
  </si>
  <si>
    <t>53668/53669</t>
  </si>
  <si>
    <t>53710/53711/53709</t>
  </si>
  <si>
    <t>53534/53539/53533</t>
  </si>
  <si>
    <t>53564/53565</t>
  </si>
  <si>
    <t>53601/53610/53602</t>
  </si>
  <si>
    <t>53639/53638/53640</t>
  </si>
  <si>
    <t>53629/53630/53628/53631/53626</t>
  </si>
  <si>
    <t>50790/50785/50791/50789/50788/50786/50792/52787</t>
  </si>
  <si>
    <t>52733/53735</t>
  </si>
  <si>
    <t>53604/53603/53627</t>
  </si>
  <si>
    <t>PEDAGIO</t>
  </si>
  <si>
    <t>Valor_recibo</t>
  </si>
  <si>
    <t>APROVAÇÃO_SUZANO</t>
  </si>
  <si>
    <t>DTS APROVADAS</t>
  </si>
  <si>
    <t>CTE COMPLEMENTAR</t>
  </si>
  <si>
    <t>VALOR</t>
  </si>
  <si>
    <t>STATUS REC CLIENTE</t>
  </si>
  <si>
    <t>DATA LANÇAMENTO2</t>
  </si>
  <si>
    <t xml:space="preserve">Forms Pedagio </t>
  </si>
  <si>
    <t xml:space="preserve">valor </t>
  </si>
  <si>
    <t>IZAIAS VARJAO</t>
  </si>
  <si>
    <t>CAJAMAR</t>
  </si>
  <si>
    <t>SEVERINO JOSE DA SILVA</t>
  </si>
  <si>
    <t>LEONARDO BADESKI</t>
  </si>
  <si>
    <t>SUMARE</t>
  </si>
  <si>
    <t>150155/150156/150157/150158/150159/150160/150161/150162/150163/150164/150165/150166/150167</t>
  </si>
  <si>
    <t>LOURENÇO MALAFAIA</t>
  </si>
  <si>
    <t>DANILO JUSTINO MENDES</t>
  </si>
  <si>
    <t>SAO PAULO</t>
  </si>
  <si>
    <t>151060/151061/151062/151063/151064/151065</t>
  </si>
  <si>
    <t>IVAN RODRIGUES</t>
  </si>
  <si>
    <t>MOGI DAS CRUZES</t>
  </si>
  <si>
    <t>EVANDRO DE ROSSI</t>
  </si>
  <si>
    <t>148773/148774/148775</t>
  </si>
  <si>
    <t>JOSE CICERO</t>
  </si>
  <si>
    <t>SANTA BARBARA</t>
  </si>
  <si>
    <t>150462/140542</t>
  </si>
  <si>
    <t>EMERSON RABELO DIAS</t>
  </si>
  <si>
    <t>151043/151042/151041/151040/151039</t>
  </si>
  <si>
    <t>JACKSON MARCELINO</t>
  </si>
  <si>
    <t>BARUERI</t>
  </si>
  <si>
    <t>DIADEMA</t>
  </si>
  <si>
    <t>ELTON MORGADO</t>
  </si>
  <si>
    <t>151336/151335</t>
  </si>
  <si>
    <t>ITAQUAQUECETUBA</t>
  </si>
  <si>
    <t>151391/151392/151393</t>
  </si>
  <si>
    <t xml:space="preserve">BRUNO FERREIRA OLIVEIRA </t>
  </si>
  <si>
    <t>SÃO VICENTE</t>
  </si>
  <si>
    <t>151494/151495/151496/151497/151498/151499/151500</t>
  </si>
  <si>
    <t>SÃO PAULO</t>
  </si>
  <si>
    <t>WELLINGTON GODOY</t>
  </si>
  <si>
    <t>JACAREÍ</t>
  </si>
  <si>
    <t>151665/151666/151667//151668/151669</t>
  </si>
  <si>
    <t>JACAREI</t>
  </si>
  <si>
    <t>THIAGO PANZELLI</t>
  </si>
  <si>
    <t>151617/151616</t>
  </si>
  <si>
    <t>OSASCO</t>
  </si>
  <si>
    <t>146384/146383/146382</t>
  </si>
  <si>
    <t>146390 / 146389 / 146388 /146387/ 146386</t>
  </si>
  <si>
    <t>RIBEIRAO PRETO</t>
  </si>
  <si>
    <t>ROMULO  BENEDITO</t>
  </si>
  <si>
    <t>TAUBATE</t>
  </si>
  <si>
    <t>152366/152368/152369/152370</t>
  </si>
  <si>
    <t>149815/149814</t>
  </si>
  <si>
    <t>THIAGO BARROS</t>
  </si>
  <si>
    <t>149811/149810</t>
  </si>
  <si>
    <t>UBATUBA</t>
  </si>
  <si>
    <t>152756/152757152758/152759/152760</t>
  </si>
  <si>
    <t>152711/152712/152713</t>
  </si>
  <si>
    <t>AMAPARO</t>
  </si>
  <si>
    <t>152690/152691/152692/152693</t>
  </si>
  <si>
    <t>GUARULHOS</t>
  </si>
  <si>
    <t>ITAPECERICA DA SERRA</t>
  </si>
  <si>
    <t xml:space="preserve">152824 / 152823 </t>
  </si>
  <si>
    <t>CAMPINAS</t>
  </si>
  <si>
    <t>HERMINIO VALENTIM FACHINETTE</t>
  </si>
  <si>
    <t>IMPERATRIZ</t>
  </si>
  <si>
    <t>ALMIR SANTANA DE SOUZA</t>
  </si>
  <si>
    <t>TRES LAGOAS</t>
  </si>
  <si>
    <t>147787/147788/147789/147790/147796</t>
  </si>
  <si>
    <t>JOAO BATISTA</t>
  </si>
  <si>
    <t xml:space="preserve">153375 / 153376 </t>
  </si>
  <si>
    <t>153328 / 153329 / 153330</t>
  </si>
  <si>
    <t>148776/148777</t>
  </si>
  <si>
    <t>MARCOS ROGERIO</t>
  </si>
  <si>
    <t xml:space="preserve"> 153747 / 153746 / 153745</t>
  </si>
  <si>
    <t>153701 / 153702 / 153703 / 153704 / 153705</t>
  </si>
  <si>
    <t>WELLINGTON BORGES</t>
  </si>
  <si>
    <t>SANTOS</t>
  </si>
  <si>
    <t>FRANCO DA ROCHA</t>
  </si>
  <si>
    <t>154198/154197</t>
  </si>
  <si>
    <t>SANTO ANDRE</t>
  </si>
  <si>
    <t xml:space="preserve"> 154312 / 154313 / 154314 / 154315 / 154315</t>
  </si>
  <si>
    <t>GUARUJA</t>
  </si>
  <si>
    <t>154179/154180/154181/154182</t>
  </si>
  <si>
    <t xml:space="preserve"> 154289 / 154290 / 154291 / 154292</t>
  </si>
  <si>
    <t>RIO CLARO</t>
  </si>
  <si>
    <t>154042/154043/154044/154045/154046</t>
  </si>
  <si>
    <t>152405/152404/152403</t>
  </si>
  <si>
    <t>154318/154319/154320/154321</t>
  </si>
  <si>
    <t>SAO VICENTE</t>
  </si>
  <si>
    <t>154481 / 154482 / 154483 / 154484</t>
  </si>
  <si>
    <t>154587 / 154588 / 154589 / 154590 / 154591</t>
  </si>
  <si>
    <t xml:space="preserve">154463 / 154462 / 154461 / 154460 / 154459 </t>
  </si>
  <si>
    <t>MAUA</t>
  </si>
  <si>
    <t>154593/154592</t>
  </si>
  <si>
    <t>154615/154616</t>
  </si>
  <si>
    <t>154880 / 154881 / 154882</t>
  </si>
  <si>
    <t>154878/154877</t>
  </si>
  <si>
    <t>154859 / 154860 / 154861</t>
  </si>
  <si>
    <t>EMBU DAS ARTES</t>
  </si>
  <si>
    <t>JAU</t>
  </si>
  <si>
    <t>PIRACICABA</t>
  </si>
  <si>
    <t>155008  / 155009 / 155010</t>
  </si>
  <si>
    <t>SOROCABA</t>
  </si>
  <si>
    <t>JUNDIAI</t>
  </si>
  <si>
    <t>155140  / 55141</t>
  </si>
  <si>
    <t>CARLOS SOARES</t>
  </si>
  <si>
    <t>151587/151588</t>
  </si>
  <si>
    <t>ITUPEVA</t>
  </si>
  <si>
    <t>155543/155544</t>
  </si>
  <si>
    <t>155498 / 0155499 / 0155400</t>
  </si>
  <si>
    <t xml:space="preserve">155545 / 155546 / 155547 / 155548 / 155549 </t>
  </si>
  <si>
    <t>SAO JOSE DOS CAMPOS</t>
  </si>
  <si>
    <t>155880/155881/155882</t>
  </si>
  <si>
    <t>152025/152026</t>
  </si>
  <si>
    <t>156197 / 156198</t>
  </si>
  <si>
    <t>ARUJA</t>
  </si>
  <si>
    <t>LEONEL SERVALO</t>
  </si>
  <si>
    <t>156280/156281/156282/156283</t>
  </si>
  <si>
    <t>SAO BERNADO DO CAMPO</t>
  </si>
  <si>
    <t>156128/156127/156126</t>
  </si>
  <si>
    <t>CARAPICUIBA</t>
  </si>
  <si>
    <t>156284/156285/156286/156287/156288/156289</t>
  </si>
  <si>
    <t>156162/156163/156164/156165</t>
  </si>
  <si>
    <t>SILAS RODRIGO DE SENA</t>
  </si>
  <si>
    <t>153594/153593</t>
  </si>
  <si>
    <t>156687/156686</t>
  </si>
  <si>
    <t>ITAPEVI</t>
  </si>
  <si>
    <t>156834 / 156835/ 156836 / 156837</t>
  </si>
  <si>
    <t>154231/154232</t>
  </si>
  <si>
    <t>SUZANO</t>
  </si>
  <si>
    <t>157357 / 157356 / 157359 / 157358</t>
  </si>
  <si>
    <t>157032/157033/157034//157035</t>
  </si>
  <si>
    <t>FRANCA</t>
  </si>
  <si>
    <t>COTIA</t>
  </si>
  <si>
    <t>ITAPETININGA</t>
  </si>
  <si>
    <t>156945 /156946/159647</t>
  </si>
  <si>
    <t>157664 / 157663 / 157662</t>
  </si>
  <si>
    <t xml:space="preserve">CELSO MASSARU SHIMAZAKI </t>
  </si>
  <si>
    <t>158205 / 158206</t>
  </si>
  <si>
    <t xml:space="preserve">154401 / 154402 / 154403 / 154404 / 154405 </t>
  </si>
  <si>
    <t>ADEMIR GRION</t>
  </si>
  <si>
    <t>158168 / 158167 / 158166 / 158165</t>
  </si>
  <si>
    <t>158504 / 158505/ 158506</t>
  </si>
  <si>
    <t>158775 / 158774</t>
  </si>
  <si>
    <t>PRAIA GRANDE</t>
  </si>
  <si>
    <t xml:space="preserve">158958 / 158957 </t>
  </si>
  <si>
    <t>PINDAMONHAGABA</t>
  </si>
  <si>
    <t>ITANHAEM</t>
  </si>
  <si>
    <t xml:space="preserve">BERTIOGA </t>
  </si>
  <si>
    <t>160199 / 160198 / 160197</t>
  </si>
  <si>
    <t>ARARAQUARA</t>
  </si>
  <si>
    <t>SANTA BARBARA DOESTE</t>
  </si>
  <si>
    <t>operacaosuzano@jsl.com.br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</si>
  <si>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</si>
  <si>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</si>
  <si>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Valor </t>
  </si>
  <si>
    <t>Valor pedagio divergente no espelho dt</t>
  </si>
  <si>
    <t>APROVADO</t>
  </si>
  <si>
    <t>RECUSADO</t>
  </si>
  <si>
    <t>DT CARREGAMENTO</t>
  </si>
  <si>
    <t>Mês</t>
  </si>
  <si>
    <t>R$ Total</t>
  </si>
  <si>
    <t>% Evolução</t>
  </si>
  <si>
    <t xml:space="preserve">RESPONSABILIDADE </t>
  </si>
  <si>
    <t>Total de comprovantes</t>
  </si>
  <si>
    <t>Pendente - AG APROV</t>
  </si>
  <si>
    <t>OPERAÇÃO</t>
  </si>
  <si>
    <t>Lançados - Pagos</t>
  </si>
  <si>
    <t>Pendente</t>
  </si>
  <si>
    <t>Aguardando validação</t>
  </si>
  <si>
    <t>CLIENTE</t>
  </si>
  <si>
    <t>aprovado</t>
  </si>
  <si>
    <t xml:space="preserve"> Validado Suzano (C/IMPOSTO) / EMITIDO</t>
  </si>
  <si>
    <t>Lançado</t>
  </si>
  <si>
    <t>Qtde Total lançadas</t>
  </si>
  <si>
    <t>Qtde pendente</t>
  </si>
  <si>
    <t>COMPLEMENTAR</t>
  </si>
  <si>
    <t>TOTAL LANÇADOS</t>
  </si>
  <si>
    <t>C/IMPOSTO</t>
  </si>
  <si>
    <t>ABRIL</t>
  </si>
  <si>
    <t>MAIO</t>
  </si>
  <si>
    <t>JUNHO</t>
  </si>
  <si>
    <t>JULHO</t>
  </si>
  <si>
    <t>Credito</t>
  </si>
  <si>
    <t>Lançados</t>
  </si>
  <si>
    <t xml:space="preserve">Pendente se abatermos no valor do credito </t>
  </si>
  <si>
    <t xml:space="preserve"> Validado suzanlog</t>
  </si>
  <si>
    <t>VEICULO</t>
  </si>
  <si>
    <t>CARRETA</t>
  </si>
  <si>
    <t>PERFIL</t>
  </si>
  <si>
    <t>MOTORISTA</t>
  </si>
  <si>
    <t>NFK5119</t>
  </si>
  <si>
    <t>NGX2398</t>
  </si>
  <si>
    <t>FCB0J63</t>
  </si>
  <si>
    <t>NFS3802</t>
  </si>
  <si>
    <t>EFU9730</t>
  </si>
  <si>
    <t>TRUCK BAU</t>
  </si>
  <si>
    <t>NKB5953</t>
  </si>
  <si>
    <t>NFC4392</t>
  </si>
  <si>
    <t>EFV5167</t>
  </si>
  <si>
    <t>NKB5903</t>
  </si>
  <si>
    <t>VALDOMIRO JOSE</t>
  </si>
  <si>
    <t>TRUCK</t>
  </si>
  <si>
    <t>NFJ5268</t>
  </si>
  <si>
    <t>NKI8083</t>
  </si>
  <si>
    <t xml:space="preserve">JOÃO BATISTA - RECUSA MADERITE </t>
  </si>
  <si>
    <t>NJX3594</t>
  </si>
  <si>
    <t xml:space="preserve">JUVÊNCI0-INFILTRAÇÃO </t>
  </si>
  <si>
    <t>FCB0J82</t>
  </si>
  <si>
    <t>CARRETA BAU</t>
  </si>
  <si>
    <t>NJX3774</t>
  </si>
  <si>
    <t>NKI5953</t>
  </si>
  <si>
    <t>EFU2346</t>
  </si>
  <si>
    <t>FCB0J75</t>
  </si>
  <si>
    <t>EQG8759</t>
  </si>
  <si>
    <t>EDT6895</t>
  </si>
  <si>
    <t xml:space="preserve">EYA8C96  </t>
  </si>
  <si>
    <t>AMAURI HERBERT ALVES DE SOUZA</t>
  </si>
  <si>
    <t>EIXO</t>
  </si>
  <si>
    <t>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</si>
</sst>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h]:mm:ss;@"/>
    <numFmt numFmtId="165" formatCode="&quot;R$&quot;\ #,##0.00"/>
    <numFmt numFmtId="166" formatCode="0.0%"/>
    <numFmt numFmtId="167" formatCode="[&lt;=9999999]###\-####;\(###\)\ ###\-####"/>
    <numFmt numFmtId="168" formatCode="_-[$R$-416]\ * #,##0.00_-;\-[$R$-416]\ * #,##0.00_-;_-[$R$-416]\ * &quot;-&quot;??_-;_-@_-"/>
  </numFmts>
  <fonts count="4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rgb="FF00B05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b/>
      <sz val="10"/>
      <color theme="1" tint="4.9989318521683403E-2"/>
      <name val="Calibri"/>
      <family val="2"/>
      <scheme val="minor"/>
    </font>
    <font>
      <sz val="11"/>
      <name val="Calibri"/>
    </font>
    <font>
      <sz val="10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0"/>
      <color rgb="FFFFFFFF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00000"/>
        <bgColor theme="1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2CC"/>
        <bgColor rgb="FF000000"/>
      </patternFill>
    </fill>
    <fill>
      <patternFill patternType="lightUp">
        <fgColor rgb="FF000000"/>
        <bgColor rgb="FFD9E1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1"/>
      </patternFill>
    </fill>
  </fills>
  <borders count="4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/>
      <right/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rgb="FFC9C9C9"/>
      </left>
      <right/>
      <top style="thin">
        <color rgb="FFC9C9C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321">
    <xf numFmtId="0" fontId="0" fillId="0" borderId="0" xfId="0"/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0" applyNumberFormat="1"/>
    <xf numFmtId="14" fontId="3" fillId="0" borderId="4" xfId="0" applyNumberFormat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0" applyNumberFormat="1" applyAlignment="1">
      <alignment horizontal="center"/>
    </xf>
    <xf numFmtId="43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43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7" fillId="5" borderId="3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3" fillId="7" borderId="6" xfId="0" applyFont="1" applyFill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10" fillId="6" borderId="9" xfId="0" applyFont="1" applyFill="1" applyBorder="1" applyAlignment="1">
      <alignment horizontal="center" vertical="top"/>
    </xf>
    <xf numFmtId="0" fontId="10" fillId="6" borderId="10" xfId="0" applyFont="1" applyFill="1" applyBorder="1" applyAlignment="1">
      <alignment horizontal="center" vertical="top"/>
    </xf>
    <xf numFmtId="0" fontId="10" fillId="6" borderId="11" xfId="0" applyFont="1" applyFill="1" applyBorder="1" applyAlignment="1">
      <alignment horizontal="center" vertical="top"/>
    </xf>
    <xf numFmtId="10" fontId="9" fillId="0" borderId="12" xfId="0" applyNumberFormat="1" applyFont="1" applyBorder="1" applyAlignment="1">
      <alignment horizontal="center" vertical="top"/>
    </xf>
    <xf numFmtId="10" fontId="13" fillId="7" borderId="13" xfId="0" applyNumberFormat="1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10" fontId="9" fillId="0" borderId="16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43" fontId="0" fillId="0" borderId="0" xfId="0" applyNumberFormat="1" applyAlignment="1">
      <alignment horizontal="right"/>
    </xf>
    <xf numFmtId="0" fontId="4" fillId="0" borderId="18" xfId="0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5" borderId="0" xfId="1" applyFont="1" applyFill="1" applyAlignment="1">
      <alignment horizontal="center"/>
    </xf>
    <xf numFmtId="14" fontId="4" fillId="9" borderId="4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14" fontId="0" fillId="0" borderId="0" xfId="0" quotePrefix="1" applyNumberFormat="1" applyAlignment="1">
      <alignment horizontal="center"/>
    </xf>
    <xf numFmtId="44" fontId="4" fillId="0" borderId="4" xfId="0" applyNumberFormat="1" applyFont="1" applyBorder="1"/>
    <xf numFmtId="49" fontId="4" fillId="9" borderId="4" xfId="0" applyNumberFormat="1" applyFont="1" applyFill="1" applyBorder="1" applyAlignment="1">
      <alignment horizontal="center"/>
    </xf>
    <xf numFmtId="8" fontId="4" fillId="9" borderId="4" xfId="0" applyNumberFormat="1" applyFont="1" applyFill="1" applyBorder="1"/>
    <xf numFmtId="8" fontId="4" fillId="0" borderId="4" xfId="0" applyNumberFormat="1" applyFont="1" applyBorder="1"/>
    <xf numFmtId="8" fontId="0" fillId="0" borderId="0" xfId="1" applyNumberFormat="1" applyFont="1" applyAlignment="1">
      <alignment horizontal="center"/>
    </xf>
    <xf numFmtId="13" fontId="0" fillId="0" borderId="0" xfId="0" applyNumberFormat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4" fillId="9" borderId="0" xfId="0" applyNumberFormat="1" applyFont="1" applyFill="1" applyAlignment="1">
      <alignment horizontal="center"/>
    </xf>
    <xf numFmtId="0" fontId="4" fillId="4" borderId="4" xfId="0" applyFont="1" applyFill="1" applyBorder="1" applyAlignment="1">
      <alignment horizontal="center"/>
    </xf>
    <xf numFmtId="14" fontId="4" fillId="4" borderId="4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0" xfId="0" applyFont="1"/>
    <xf numFmtId="2" fontId="0" fillId="0" borderId="0" xfId="0" applyNumberFormat="1"/>
    <xf numFmtId="2" fontId="2" fillId="3" borderId="2" xfId="0" applyNumberFormat="1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12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14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43" fontId="4" fillId="0" borderId="0" xfId="0" applyNumberFormat="1" applyFont="1" applyAlignment="1">
      <alignment horizontal="center"/>
    </xf>
    <xf numFmtId="14" fontId="4" fillId="4" borderId="0" xfId="0" applyNumberFormat="1" applyFont="1" applyFill="1"/>
    <xf numFmtId="0" fontId="4" fillId="4" borderId="0" xfId="0" applyFont="1" applyFill="1"/>
    <xf numFmtId="0" fontId="0" fillId="4" borderId="0" xfId="0" applyFill="1"/>
    <xf numFmtId="43" fontId="0" fillId="4" borderId="0" xfId="0" applyNumberFormat="1" applyFill="1"/>
    <xf numFmtId="14" fontId="0" fillId="4" borderId="0" xfId="0" applyNumberFormat="1" applyFill="1"/>
    <xf numFmtId="43" fontId="0" fillId="4" borderId="0" xfId="0" applyNumberFormat="1" applyFill="1" applyAlignment="1">
      <alignment horizontal="center"/>
    </xf>
    <xf numFmtId="43" fontId="4" fillId="4" borderId="0" xfId="0" applyNumberFormat="1" applyFont="1" applyFill="1" applyAlignment="1">
      <alignment horizontal="center"/>
    </xf>
    <xf numFmtId="43" fontId="0" fillId="4" borderId="0" xfId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4" fillId="4" borderId="0" xfId="0" applyFont="1" applyFill="1"/>
    <xf numFmtId="4" fontId="0" fillId="0" borderId="0" xfId="0" applyNumberFormat="1"/>
    <xf numFmtId="0" fontId="0" fillId="4" borderId="0" xfId="0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/>
    </xf>
    <xf numFmtId="164" fontId="4" fillId="9" borderId="4" xfId="0" applyNumberFormat="1" applyFont="1" applyFill="1" applyBorder="1" applyAlignment="1">
      <alignment horizontal="center"/>
    </xf>
    <xf numFmtId="164" fontId="4" fillId="9" borderId="19" xfId="0" applyNumberFormat="1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14" fontId="16" fillId="11" borderId="0" xfId="0" applyNumberFormat="1" applyFont="1" applyFill="1" applyAlignment="1">
      <alignment horizontal="center"/>
    </xf>
    <xf numFmtId="14" fontId="3" fillId="9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1" applyFont="1" applyAlignment="1">
      <alignment horizontal="center"/>
    </xf>
    <xf numFmtId="0" fontId="6" fillId="0" borderId="0" xfId="0" applyFont="1"/>
    <xf numFmtId="0" fontId="4" fillId="0" borderId="19" xfId="0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6" fontId="13" fillId="7" borderId="13" xfId="0" applyNumberFormat="1" applyFont="1" applyFill="1" applyBorder="1" applyAlignment="1">
      <alignment horizontal="center" vertical="top"/>
    </xf>
    <xf numFmtId="165" fontId="11" fillId="0" borderId="8" xfId="1" applyNumberFormat="1" applyFont="1" applyBorder="1" applyAlignment="1">
      <alignment horizontal="center" vertical="top"/>
    </xf>
    <xf numFmtId="165" fontId="9" fillId="0" borderId="8" xfId="1" applyNumberFormat="1" applyFont="1" applyBorder="1" applyAlignment="1">
      <alignment horizontal="center" vertical="top"/>
    </xf>
    <xf numFmtId="165" fontId="13" fillId="7" borderId="5" xfId="1" applyNumberFormat="1" applyFont="1" applyFill="1" applyBorder="1" applyAlignment="1">
      <alignment horizontal="center" vertical="top"/>
    </xf>
    <xf numFmtId="165" fontId="12" fillId="0" borderId="5" xfId="1" applyNumberFormat="1" applyFont="1" applyBorder="1" applyAlignment="1">
      <alignment horizontal="center" vertical="top"/>
    </xf>
    <xf numFmtId="165" fontId="17" fillId="4" borderId="5" xfId="1" applyNumberFormat="1" applyFont="1" applyFill="1" applyBorder="1" applyAlignment="1">
      <alignment horizontal="center" vertical="top"/>
    </xf>
    <xf numFmtId="165" fontId="17" fillId="0" borderId="5" xfId="1" applyNumberFormat="1" applyFont="1" applyBorder="1" applyAlignment="1">
      <alignment horizontal="center" vertical="top"/>
    </xf>
    <xf numFmtId="165" fontId="0" fillId="0" borderId="0" xfId="0" applyNumberFormat="1"/>
    <xf numFmtId="0" fontId="4" fillId="9" borderId="0" xfId="0" applyFont="1" applyFill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164" fontId="3" fillId="4" borderId="19" xfId="0" applyNumberFormat="1" applyFont="1" applyFill="1" applyBorder="1" applyAlignment="1">
      <alignment horizontal="center"/>
    </xf>
    <xf numFmtId="0" fontId="18" fillId="0" borderId="0" xfId="0" applyFont="1"/>
    <xf numFmtId="0" fontId="4" fillId="9" borderId="20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164" fontId="4" fillId="12" borderId="20" xfId="0" applyNumberFormat="1" applyFont="1" applyFill="1" applyBorder="1" applyAlignment="1">
      <alignment horizontal="center"/>
    </xf>
    <xf numFmtId="164" fontId="3" fillId="12" borderId="20" xfId="0" applyNumberFormat="1" applyFont="1" applyFill="1" applyBorder="1" applyAlignment="1">
      <alignment horizontal="center"/>
    </xf>
    <xf numFmtId="164" fontId="4" fillId="4" borderId="20" xfId="0" applyNumberFormat="1" applyFont="1" applyFill="1" applyBorder="1" applyAlignment="1">
      <alignment horizontal="center"/>
    </xf>
    <xf numFmtId="164" fontId="3" fillId="4" borderId="20" xfId="0" applyNumberFormat="1" applyFont="1" applyFill="1" applyBorder="1" applyAlignment="1">
      <alignment horizontal="center"/>
    </xf>
    <xf numFmtId="14" fontId="3" fillId="12" borderId="20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9" fillId="0" borderId="0" xfId="0" applyFont="1"/>
    <xf numFmtId="167" fontId="3" fillId="4" borderId="20" xfId="0" applyNumberFormat="1" applyFont="1" applyFill="1" applyBorder="1" applyAlignment="1">
      <alignment horizontal="center"/>
    </xf>
    <xf numFmtId="43" fontId="0" fillId="0" borderId="0" xfId="1" applyFont="1" applyAlignment="1"/>
    <xf numFmtId="167" fontId="3" fillId="13" borderId="20" xfId="0" applyNumberFormat="1" applyFont="1" applyFill="1" applyBorder="1" applyAlignment="1">
      <alignment horizontal="center"/>
    </xf>
    <xf numFmtId="0" fontId="14" fillId="10" borderId="0" xfId="0" applyFont="1" applyFill="1"/>
    <xf numFmtId="167" fontId="3" fillId="12" borderId="20" xfId="0" applyNumberFormat="1" applyFont="1" applyFill="1" applyBorder="1" applyAlignment="1">
      <alignment horizontal="center"/>
    </xf>
    <xf numFmtId="164" fontId="4" fillId="9" borderId="20" xfId="0" applyNumberFormat="1" applyFont="1" applyFill="1" applyBorder="1" applyAlignment="1">
      <alignment horizontal="center"/>
    </xf>
    <xf numFmtId="164" fontId="3" fillId="9" borderId="2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67" fontId="3" fillId="4" borderId="21" xfId="0" applyNumberFormat="1" applyFont="1" applyFill="1" applyBorder="1" applyAlignment="1">
      <alignment horizontal="center"/>
    </xf>
    <xf numFmtId="164" fontId="4" fillId="9" borderId="21" xfId="0" applyNumberFormat="1" applyFont="1" applyFill="1" applyBorder="1" applyAlignment="1">
      <alignment horizontal="center"/>
    </xf>
    <xf numFmtId="164" fontId="4" fillId="12" borderId="21" xfId="0" applyNumberFormat="1" applyFont="1" applyFill="1" applyBorder="1" applyAlignment="1">
      <alignment horizontal="center"/>
    </xf>
    <xf numFmtId="164" fontId="3" fillId="12" borderId="21" xfId="0" applyNumberFormat="1" applyFont="1" applyFill="1" applyBorder="1" applyAlignment="1">
      <alignment horizontal="center"/>
    </xf>
    <xf numFmtId="0" fontId="21" fillId="0" borderId="0" xfId="0" applyFont="1"/>
    <xf numFmtId="0" fontId="22" fillId="10" borderId="0" xfId="0" applyFont="1" applyFill="1"/>
    <xf numFmtId="2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4" fillId="4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 vertical="center"/>
    </xf>
    <xf numFmtId="167" fontId="3" fillId="13" borderId="21" xfId="0" applyNumberFormat="1" applyFont="1" applyFill="1" applyBorder="1" applyAlignment="1">
      <alignment horizontal="center"/>
    </xf>
    <xf numFmtId="167" fontId="3" fillId="9" borderId="21" xfId="0" applyNumberFormat="1" applyFont="1" applyFill="1" applyBorder="1" applyAlignment="1">
      <alignment horizontal="center"/>
    </xf>
    <xf numFmtId="164" fontId="3" fillId="9" borderId="21" xfId="0" applyNumberFormat="1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/>
    </xf>
    <xf numFmtId="164" fontId="3" fillId="4" borderId="21" xfId="0" applyNumberFormat="1" applyFont="1" applyFill="1" applyBorder="1" applyAlignment="1">
      <alignment horizontal="center"/>
    </xf>
    <xf numFmtId="164" fontId="4" fillId="4" borderId="21" xfId="0" applyNumberFormat="1" applyFont="1" applyFill="1" applyBorder="1" applyAlignment="1">
      <alignment horizontal="center"/>
    </xf>
    <xf numFmtId="165" fontId="23" fillId="0" borderId="5" xfId="1" applyNumberFormat="1" applyFont="1" applyBorder="1" applyAlignment="1">
      <alignment horizontal="center" vertical="top"/>
    </xf>
    <xf numFmtId="164" fontId="4" fillId="5" borderId="21" xfId="0" applyNumberFormat="1" applyFont="1" applyFill="1" applyBorder="1" applyAlignment="1">
      <alignment horizontal="center"/>
    </xf>
    <xf numFmtId="14" fontId="3" fillId="4" borderId="21" xfId="0" applyNumberFormat="1" applyFont="1" applyFill="1" applyBorder="1" applyAlignment="1">
      <alignment horizontal="center"/>
    </xf>
    <xf numFmtId="164" fontId="4" fillId="14" borderId="21" xfId="0" applyNumberFormat="1" applyFont="1" applyFill="1" applyBorder="1" applyAlignment="1">
      <alignment horizontal="center"/>
    </xf>
    <xf numFmtId="164" fontId="3" fillId="14" borderId="2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64" fontId="4" fillId="15" borderId="21" xfId="0" applyNumberFormat="1" applyFont="1" applyFill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4" fillId="9" borderId="21" xfId="0" applyNumberFormat="1" applyFont="1" applyFill="1" applyBorder="1" applyAlignment="1">
      <alignment horizontal="center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21" xfId="0" applyFont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65" fontId="20" fillId="5" borderId="5" xfId="1" applyNumberFormat="1" applyFont="1" applyFill="1" applyBorder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0" fontId="24" fillId="0" borderId="0" xfId="0" applyFont="1"/>
    <xf numFmtId="14" fontId="3" fillId="9" borderId="2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164" fontId="4" fillId="4" borderId="21" xfId="0" applyNumberFormat="1" applyFont="1" applyFill="1" applyBorder="1" applyAlignment="1">
      <alignment horizontal="center" wrapText="1"/>
    </xf>
    <xf numFmtId="2" fontId="0" fillId="4" borderId="0" xfId="0" applyNumberFormat="1" applyFill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14" fillId="10" borderId="22" xfId="0" applyFont="1" applyFill="1" applyBorder="1"/>
    <xf numFmtId="0" fontId="0" fillId="0" borderId="1" xfId="0" applyBorder="1" applyAlignment="1">
      <alignment horizontal="center"/>
    </xf>
    <xf numFmtId="14" fontId="24" fillId="0" borderId="0" xfId="0" applyNumberFormat="1" applyFont="1"/>
    <xf numFmtId="168" fontId="4" fillId="0" borderId="0" xfId="0" applyNumberFormat="1" applyFont="1" applyAlignment="1">
      <alignment horizontal="center"/>
    </xf>
    <xf numFmtId="14" fontId="4" fillId="0" borderId="21" xfId="0" applyNumberFormat="1" applyFont="1" applyBorder="1" applyAlignment="1">
      <alignment horizontal="center" wrapText="1"/>
    </xf>
    <xf numFmtId="0" fontId="4" fillId="0" borderId="0" xfId="0" quotePrefix="1" applyFont="1" applyAlignment="1">
      <alignment horizontal="center"/>
    </xf>
    <xf numFmtId="0" fontId="4" fillId="4" borderId="21" xfId="0" applyFont="1" applyFill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4" fillId="0" borderId="17" xfId="0" applyFont="1" applyBorder="1" applyAlignment="1">
      <alignment horizontal="center"/>
    </xf>
    <xf numFmtId="164" fontId="3" fillId="4" borderId="22" xfId="0" applyNumberFormat="1" applyFont="1" applyFill="1" applyBorder="1" applyAlignment="1">
      <alignment horizontal="center"/>
    </xf>
    <xf numFmtId="168" fontId="0" fillId="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4" fontId="0" fillId="4" borderId="0" xfId="0" applyNumberFormat="1" applyFill="1" applyAlignment="1">
      <alignment horizontal="left"/>
    </xf>
    <xf numFmtId="165" fontId="2" fillId="0" borderId="0" xfId="0" applyNumberFormat="1" applyFont="1"/>
    <xf numFmtId="0" fontId="2" fillId="0" borderId="0" xfId="0" applyFont="1"/>
    <xf numFmtId="14" fontId="4" fillId="0" borderId="0" xfId="0" applyNumberFormat="1" applyFont="1" applyAlignment="1">
      <alignment horizontal="left"/>
    </xf>
    <xf numFmtId="0" fontId="0" fillId="4" borderId="0" xfId="0" applyFill="1" applyAlignment="1">
      <alignment horizontal="center" wrapText="1"/>
    </xf>
    <xf numFmtId="168" fontId="0" fillId="0" borderId="0" xfId="0" applyNumberForma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2" fontId="25" fillId="0" borderId="0" xfId="0" applyNumberFormat="1" applyFont="1"/>
    <xf numFmtId="43" fontId="25" fillId="0" borderId="0" xfId="1" applyFont="1"/>
    <xf numFmtId="0" fontId="26" fillId="2" borderId="3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2" fontId="27" fillId="3" borderId="2" xfId="0" applyNumberFormat="1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43" fontId="28" fillId="5" borderId="3" xfId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14" fontId="2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/>
    </xf>
    <xf numFmtId="43" fontId="25" fillId="0" borderId="0" xfId="0" applyNumberFormat="1" applyFont="1" applyAlignment="1">
      <alignment horizontal="center"/>
    </xf>
    <xf numFmtId="43" fontId="25" fillId="0" borderId="0" xfId="1" applyFont="1" applyAlignment="1">
      <alignment horizontal="center"/>
    </xf>
    <xf numFmtId="0" fontId="29" fillId="5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14" fontId="2" fillId="3" borderId="3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/>
    </xf>
    <xf numFmtId="14" fontId="30" fillId="3" borderId="3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14" fontId="0" fillId="0" borderId="23" xfId="0" applyNumberFormat="1" applyBorder="1"/>
    <xf numFmtId="14" fontId="2" fillId="3" borderId="23" xfId="0" applyNumberFormat="1" applyFont="1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/>
    <xf numFmtId="0" fontId="2" fillId="3" borderId="24" xfId="0" applyFont="1" applyFill="1" applyBorder="1" applyAlignment="1">
      <alignment horizontal="center" vertical="center"/>
    </xf>
    <xf numFmtId="43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44" fontId="2" fillId="3" borderId="3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1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8" xfId="0" applyBorder="1" applyAlignment="1">
      <alignment horizontal="center"/>
    </xf>
    <xf numFmtId="43" fontId="0" fillId="0" borderId="28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43" fontId="0" fillId="0" borderId="25" xfId="0" applyNumberFormat="1" applyBorder="1" applyAlignment="1">
      <alignment horizontal="center"/>
    </xf>
    <xf numFmtId="0" fontId="33" fillId="3" borderId="27" xfId="0" applyFont="1" applyFill="1" applyBorder="1" applyAlignment="1">
      <alignment horizontal="center" vertical="center"/>
    </xf>
    <xf numFmtId="0" fontId="33" fillId="3" borderId="27" xfId="0" applyFont="1" applyFill="1" applyBorder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" fillId="17" borderId="17" xfId="0" applyNumberFormat="1" applyFont="1" applyFill="1" applyBorder="1" applyAlignment="1">
      <alignment horizontal="center"/>
    </xf>
    <xf numFmtId="44" fontId="34" fillId="0" borderId="29" xfId="0" applyNumberFormat="1" applyFont="1" applyBorder="1"/>
    <xf numFmtId="0" fontId="10" fillId="6" borderId="10" xfId="0" applyFont="1" applyFill="1" applyBorder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center"/>
    </xf>
    <xf numFmtId="44" fontId="0" fillId="4" borderId="0" xfId="0" applyNumberFormat="1" applyFill="1" applyAlignment="1">
      <alignment horizontal="center"/>
    </xf>
    <xf numFmtId="43" fontId="0" fillId="0" borderId="17" xfId="1" applyFont="1" applyBorder="1"/>
    <xf numFmtId="0" fontId="36" fillId="0" borderId="0" xfId="0" applyFont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35" fillId="0" borderId="0" xfId="2" applyAlignment="1">
      <alignment horizontal="center"/>
    </xf>
    <xf numFmtId="0" fontId="0" fillId="0" borderId="30" xfId="0" applyBorder="1" applyAlignment="1">
      <alignment horizontal="center"/>
    </xf>
    <xf numFmtId="0" fontId="35" fillId="0" borderId="0" xfId="2"/>
    <xf numFmtId="0" fontId="37" fillId="0" borderId="0" xfId="0" applyFont="1"/>
    <xf numFmtId="0" fontId="34" fillId="18" borderId="31" xfId="0" applyFont="1" applyFill="1" applyBorder="1"/>
    <xf numFmtId="0" fontId="34" fillId="0" borderId="32" xfId="0" applyFont="1" applyBorder="1"/>
    <xf numFmtId="0" fontId="34" fillId="18" borderId="32" xfId="0" applyFont="1" applyFill="1" applyBorder="1"/>
    <xf numFmtId="0" fontId="34" fillId="19" borderId="32" xfId="0" applyFont="1" applyFill="1" applyBorder="1"/>
    <xf numFmtId="0" fontId="34" fillId="18" borderId="33" xfId="0" applyFont="1" applyFill="1" applyBorder="1"/>
    <xf numFmtId="0" fontId="34" fillId="19" borderId="34" xfId="0" applyFont="1" applyFill="1" applyBorder="1"/>
    <xf numFmtId="0" fontId="34" fillId="18" borderId="34" xfId="0" applyFont="1" applyFill="1" applyBorder="1"/>
    <xf numFmtId="0" fontId="34" fillId="0" borderId="34" xfId="0" applyFont="1" applyBorder="1"/>
    <xf numFmtId="0" fontId="34" fillId="19" borderId="33" xfId="0" applyFont="1" applyFill="1" applyBorder="1"/>
    <xf numFmtId="0" fontId="34" fillId="0" borderId="33" xfId="0" applyFont="1" applyBorder="1"/>
    <xf numFmtId="0" fontId="2" fillId="13" borderId="3" xfId="0" applyFont="1" applyFill="1" applyBorder="1" applyAlignment="1">
      <alignment horizontal="center" vertical="center"/>
    </xf>
    <xf numFmtId="0" fontId="0" fillId="0" borderId="0" xfId="1" applyNumberFormat="1" applyFont="1"/>
    <xf numFmtId="14" fontId="35" fillId="0" borderId="0" xfId="2" applyNumberFormat="1" applyAlignment="1">
      <alignment horizontal="center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wrapText="1"/>
    </xf>
    <xf numFmtId="44" fontId="2" fillId="3" borderId="2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4" fillId="0" borderId="0" xfId="0" applyFont="1"/>
    <xf numFmtId="0" fontId="38" fillId="0" borderId="0" xfId="0" applyFont="1"/>
    <xf numFmtId="0" fontId="34" fillId="20" borderId="35" xfId="0" applyFont="1" applyFill="1" applyBorder="1"/>
    <xf numFmtId="0" fontId="34" fillId="20" borderId="36" xfId="0" applyFont="1" applyFill="1" applyBorder="1"/>
    <xf numFmtId="0" fontId="34" fillId="0" borderId="36" xfId="0" applyFont="1" applyBorder="1"/>
    <xf numFmtId="0" fontId="34" fillId="18" borderId="36" xfId="0" applyFont="1" applyFill="1" applyBorder="1"/>
    <xf numFmtId="0" fontId="19" fillId="21" borderId="0" xfId="0" applyFont="1" applyFill="1"/>
    <xf numFmtId="0" fontId="34" fillId="20" borderId="32" xfId="0" applyFont="1" applyFill="1" applyBorder="1"/>
    <xf numFmtId="0" fontId="34" fillId="0" borderId="35" xfId="0" applyFont="1" applyBorder="1"/>
    <xf numFmtId="0" fontId="34" fillId="18" borderId="35" xfId="0" applyFont="1" applyFill="1" applyBorder="1"/>
    <xf numFmtId="0" fontId="34" fillId="0" borderId="31" xfId="0" applyFont="1" applyBorder="1"/>
    <xf numFmtId="17" fontId="10" fillId="6" borderId="10" xfId="0" applyNumberFormat="1" applyFont="1" applyFill="1" applyBorder="1" applyAlignment="1">
      <alignment horizontal="center" vertical="top"/>
    </xf>
    <xf numFmtId="14" fontId="0" fillId="0" borderId="37" xfId="0" applyNumberFormat="1" applyBorder="1" applyAlignment="1">
      <alignment horizontal="center"/>
    </xf>
    <xf numFmtId="16" fontId="0" fillId="0" borderId="37" xfId="0" applyNumberFormat="1" applyBorder="1" applyAlignment="1">
      <alignment horizontal="center"/>
    </xf>
    <xf numFmtId="14" fontId="0" fillId="0" borderId="38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2" fillId="3" borderId="40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9" xfId="0" applyBorder="1" applyAlignment="1">
      <alignment horizontal="center"/>
    </xf>
    <xf numFmtId="44" fontId="0" fillId="0" borderId="29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29" xfId="0" applyBorder="1"/>
    <xf numFmtId="14" fontId="0" fillId="0" borderId="29" xfId="0" applyNumberFormat="1" applyBorder="1"/>
    <xf numFmtId="0" fontId="4" fillId="0" borderId="4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8" fontId="0" fillId="0" borderId="0" xfId="0" applyNumberFormat="1" applyAlignment="1">
      <alignment horizontal="center"/>
    </xf>
    <xf numFmtId="167" fontId="3" fillId="4" borderId="0" xfId="0" applyNumberFormat="1" applyFont="1" applyFill="1" applyAlignment="1">
      <alignment horizontal="center"/>
    </xf>
    <xf numFmtId="0" fontId="39" fillId="22" borderId="43" xfId="0" applyFont="1" applyFill="1" applyBorder="1" applyAlignment="1">
      <alignment horizontal="center"/>
    </xf>
    <xf numFmtId="0" fontId="39" fillId="23" borderId="43" xfId="0" applyFont="1" applyFill="1" applyBorder="1" applyAlignment="1">
      <alignment horizontal="center"/>
    </xf>
    <xf numFmtId="0" fontId="40" fillId="0" borderId="44" xfId="0" applyFont="1" applyBorder="1" applyAlignment="1">
      <alignment horizontal="center"/>
    </xf>
    <xf numFmtId="0" fontId="40" fillId="10" borderId="44" xfId="0" applyFont="1" applyFill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10" fillId="6" borderId="10" xfId="0" applyFont="1" applyFill="1" applyBorder="1" applyAlignment="1">
      <alignment horizontal="center" vertical="top"/>
    </xf>
    <xf numFmtId="44" fontId="0" fillId="24" borderId="0" xfId="0" applyNumberFormat="1" applyFill="1" applyAlignment="1">
      <alignment horizontal="center"/>
    </xf>
    <xf numFmtId="44" fontId="2" fillId="24" borderId="27" xfId="0" applyNumberFormat="1" applyFont="1" applyFill="1" applyBorder="1" applyAlignment="1">
      <alignment horizontal="center" vertical="center"/>
    </xf>
    <xf numFmtId="0" fontId="0" fillId="24" borderId="0" xfId="0" applyFill="1"/>
    <xf numFmtId="0" fontId="1" fillId="25" borderId="3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87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sz val="12"/>
      </font>
      <numFmt numFmtId="35" formatCode="_-* #,##0.00_-;\-* #,##0.00_-;_-* &quot;-&quot;??_-;_-@_-"/>
      <alignment horizontal="center" vertical="bottom" textRotation="0" wrapText="0" relativeIndent="-1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2" formatCode="0.00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  <family val="2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1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theme="6" tint="0.39997558519241921"/>
        </left>
        <right/>
        <top style="thin">
          <color theme="6" tint="0.39997558519241921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168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sz val="12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numFmt numFmtId="2" formatCode="0.00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z val="12"/>
      </font>
      <alignment horizontal="center" vertical="bottom" textRotation="0" wrapText="0" indent="0" justifyLastLine="0" shrinkToFit="0" readingOrder="0"/>
    </dxf>
    <dxf>
      <font>
        <sz val="12"/>
        <family val="2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2" defaultTableStyle="TableStyleMedium2" defaultPivotStyle="PivotStyleLight16">
    <tableStyle name="Estilo de Tabela 1" pivot="0" count="0" xr9:uid="{E67A4F3B-4286-441D-AC71-33FBBCF3A5E8}"/>
    <tableStyle name="Estilo de Tabela Dinâmica 1" table="0" count="0" xr9:uid="{9B0C46A2-FBD7-466D-B7B6-CC0E837991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DADOS</a:t>
            </a:r>
            <a:r>
              <a:rPr lang="pt-BR" baseline="0"/>
              <a:t> DE PAGAMENTO DESCARGA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3A8-4B0E-932E-D3C2572485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3A8-4B0E-932E-D3C25724852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3A8-4B0E-932E-D3C25724852E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3A8-4B0E-932E-D3C25724852E}"/>
              </c:ext>
            </c:extLst>
          </c:dPt>
          <c:dLbls>
            <c:dLbl>
              <c:idx val="0"/>
              <c:layout>
                <c:manualLayout>
                  <c:x val="9.1720612452046765E-3"/>
                  <c:y val="6.9703324148384288E-2"/>
                </c:manualLayout>
              </c:layout>
              <c:tx>
                <c:rich>
                  <a:bodyPr/>
                  <a:lstStyle/>
                  <a:p>
                    <a:fld id="{082A86A5-0118-495D-BE10-FA0C92BD76B5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3A8-4B0E-932E-D3C25724852E}"/>
                </c:ext>
              </c:extLst>
            </c:dLbl>
            <c:dLbl>
              <c:idx val="1"/>
              <c:layout>
                <c:manualLayout>
                  <c:x val="-6.4114348710054309E-2"/>
                  <c:y val="-2.5160473790726345E-2"/>
                </c:manualLayout>
              </c:layout>
              <c:tx>
                <c:rich>
                  <a:bodyPr/>
                  <a:lstStyle/>
                  <a:p>
                    <a:fld id="{5F8FBED2-B953-4CA9-9E2E-C90598587EF4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3A8-4B0E-932E-D3C25724852E}"/>
                </c:ext>
              </c:extLst>
            </c:dLbl>
            <c:dLbl>
              <c:idx val="2"/>
              <c:layout>
                <c:manualLayout>
                  <c:x val="6.2937175520317449E-3"/>
                  <c:y val="-4.7544647714575054E-2"/>
                </c:manualLayout>
              </c:layout>
              <c:tx>
                <c:rich>
                  <a:bodyPr/>
                  <a:lstStyle/>
                  <a:p>
                    <a:fld id="{29A956AA-B387-460F-85A9-7AEFDAAAD56D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3A8-4B0E-932E-D3C25724852E}"/>
                </c:ext>
              </c:extLst>
            </c:dLbl>
            <c:dLbl>
              <c:idx val="3"/>
              <c:layout>
                <c:manualLayout>
                  <c:x val="4.0922101110398991E-2"/>
                  <c:y val="-2.5440532211922225E-2"/>
                </c:manualLayout>
              </c:layout>
              <c:tx>
                <c:rich>
                  <a:bodyPr/>
                  <a:lstStyle/>
                  <a:p>
                    <a:fld id="{AD0B7452-D1E1-4977-B064-0AFA3CC572BD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3A8-4B0E-932E-D3C2572485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Analise!$C$14:$C$17</c:f>
              <c:strCache>
                <c:ptCount val="4"/>
                <c:pt idx="0">
                  <c:v>Total de comprovantes</c:v>
                </c:pt>
                <c:pt idx="1">
                  <c:v>Pendente</c:v>
                </c:pt>
                <c:pt idx="2">
                  <c:v>Lançados</c:v>
                </c:pt>
                <c:pt idx="3">
                  <c:v> Validado suzanlog</c:v>
                </c:pt>
              </c:strCache>
            </c:strRef>
          </c:cat>
          <c:val>
            <c:numRef>
              <c:f>Analise!$D$14:$D$17</c:f>
              <c:numCache>
                <c:formatCode>"R$"\ 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8-4B0E-932E-D3C25724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334963</xdr:colOff>
      <xdr:row>9</xdr:row>
      <xdr:rowOff>179651</xdr:rowOff>
    </xdr:from>
    <xdr:to>
      <xdr:col>5</xdr:col>
      <xdr:colOff>781580</xdr:colOff>
      <xdr:row>27</xdr:row>
      <xdr:rowOff>129909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AE0944-EA22-5128-3E45-972E415E6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1164166</xdr:colOff>
      <xdr:row>17</xdr:row>
      <xdr:rowOff>141992</xdr:rowOff>
    </xdr:from>
    <xdr:to>
      <xdr:col>7</xdr:col>
      <xdr:colOff>468311</xdr:colOff>
      <xdr:row>20</xdr:row>
      <xdr:rowOff>158750</xdr:rowOff>
    </xdr:to>
    <xdr:sp macro="" textlink="$S$5">
      <xdr:nvSpPr>
        <xdr:cNvPr id="2" name="Retângulo: Cantos Arredondados 1">
          <a:extLst>
            <a:ext uri="{FF2B5EF4-FFF2-40B4-BE49-F238E27FC236}">
              <a16:creationId xmlns:a16="http://schemas.microsoft.com/office/drawing/2014/main" id="{F4F0E649-02EA-804D-CE74-0CF2BB204437}"/>
            </a:ext>
          </a:extLst>
        </xdr:cNvPr>
        <xdr:cNvSpPr/>
      </xdr:nvSpPr>
      <xdr:spPr>
        <a:xfrm>
          <a:off x="5934604" y="3110617"/>
          <a:ext cx="1875895" cy="58825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2379D46-2647-4EDF-BBAD-3879BE8ADB7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Aguardando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validação</a:t>
          </a:r>
          <a:endParaRPr lang="pt-BR" sz="1100"/>
        </a:p>
      </xdr:txBody>
    </xdr:sp>
    <xdr:clientData/>
  </xdr:twoCellAnchor>
  <xdr:twoCellAnchor>
    <xdr:from>
      <xdr:col>5</xdr:col>
      <xdr:colOff>1175541</xdr:colOff>
      <xdr:row>14</xdr:row>
      <xdr:rowOff>34925</xdr:rowOff>
    </xdr:from>
    <xdr:to>
      <xdr:col>7</xdr:col>
      <xdr:colOff>508793</xdr:colOff>
      <xdr:row>17</xdr:row>
      <xdr:rowOff>20638</xdr:rowOff>
    </xdr:to>
    <xdr:sp macro="" textlink="$S$7">
      <xdr:nvSpPr>
        <xdr:cNvPr id="4" name="Retângulo: Cantos Arredondados 3">
          <a:extLst>
            <a:ext uri="{FF2B5EF4-FFF2-40B4-BE49-F238E27FC236}">
              <a16:creationId xmlns:a16="http://schemas.microsoft.com/office/drawing/2014/main" id="{FC795A96-C8D0-4571-C818-A97AEE237AB9}"/>
            </a:ext>
          </a:extLst>
        </xdr:cNvPr>
        <xdr:cNvSpPr/>
      </xdr:nvSpPr>
      <xdr:spPr>
        <a:xfrm>
          <a:off x="6199979" y="2594769"/>
          <a:ext cx="1547814" cy="5453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511774-0179-4060-81DC-1C5DDC8F377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/>
        </a:p>
      </xdr:txBody>
    </xdr:sp>
    <xdr:clientData/>
  </xdr:twoCellAnchor>
  <xdr:twoCellAnchor>
    <xdr:from>
      <xdr:col>5</xdr:col>
      <xdr:colOff>1174750</xdr:colOff>
      <xdr:row>10</xdr:row>
      <xdr:rowOff>39690</xdr:rowOff>
    </xdr:from>
    <xdr:to>
      <xdr:col>7</xdr:col>
      <xdr:colOff>484187</xdr:colOff>
      <xdr:row>13</xdr:row>
      <xdr:rowOff>47626</xdr:rowOff>
    </xdr:to>
    <xdr:sp macro="" textlink="$S$9">
      <xdr:nvSpPr>
        <xdr:cNvPr id="7" name="Retângulo: Cantos Arredondados 6">
          <a:extLst>
            <a:ext uri="{FF2B5EF4-FFF2-40B4-BE49-F238E27FC236}">
              <a16:creationId xmlns:a16="http://schemas.microsoft.com/office/drawing/2014/main" id="{D17F4AF5-4C1C-963F-8594-BAF93863A71E}"/>
            </a:ext>
          </a:extLst>
        </xdr:cNvPr>
        <xdr:cNvSpPr/>
      </xdr:nvSpPr>
      <xdr:spPr>
        <a:xfrm>
          <a:off x="5945188" y="1690690"/>
          <a:ext cx="1881187" cy="57943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EDB05D3-B618-4F83-B698-834C409166E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Pendentes</a:t>
          </a:r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mily_bomfim_jsl_com_br/Documents/An&#225;lise_Programa&#231;&#227;o_VF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liosimoes-my.sharepoint.com/personal/tamires_carmo_jsl_com_br/Documents/&#193;rea%20de%20Trabalho/BASE%20DESCARGA/BASE%20DESCARGAS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os Agreg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ovado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3FE9BA-BACF-4F1A-8AEC-D70CD573EE8C}" name="Tabela13891011121314" displayName="Tabela13891011121314" ref="A2:P482" totalsRowShown="0" headerRowDxfId="869" dataDxfId="867" headerRowBorderDxfId="868">
  <autoFilter ref="A2:P482" xr:uid="{6BC52AB0-4FE2-44B7-9F05-4CBD7F68D088}"/>
  <sortState xmlns:xlrd2="http://schemas.microsoft.com/office/spreadsheetml/2017/richdata2" ref="A3:P16">
    <sortCondition ref="O2:O16"/>
  </sortState>
  <tableColumns count="16">
    <tableColumn id="14" xr3:uid="{F5DD251D-7E7C-4268-9880-AC355F7699E4}" name="DT" dataDxfId="866"/>
    <tableColumn id="1" xr3:uid="{DE6B18F5-A223-4A35-8FBC-E99FC26A81A9}" name="Data coleta" dataDxfId="865"/>
    <tableColumn id="2" xr3:uid="{39B61C5D-836E-48E9-8C40-1C67491D6988}" name="Coluna1" dataDxfId="864"/>
    <tableColumn id="3" xr3:uid="{591F52F0-84C4-4A57-9EAD-487A4794D717}" name="Cliente/Fornecedor" dataDxfId="863"/>
    <tableColumn id="10" xr3:uid="{41CB13A8-E4ED-4173-A373-A516A9E91CAA}" name="Local " dataDxfId="862"/>
    <tableColumn id="4" xr3:uid="{5F8F31CE-B75E-4F05-A374-3E63C7356B65}" name="Numero NF" dataDxfId="861"/>
    <tableColumn id="5" xr3:uid="{5E88B614-A318-426F-9BE3-EAEF07529B4C}" name="Data canhoto" dataDxfId="860"/>
    <tableColumn id="6" xr3:uid="{12D08635-C60A-4F9D-95ED-152B849E2776}" name="Data recibo" dataDxfId="859"/>
    <tableColumn id="7" xr3:uid="{4071C7CB-47AE-4CCB-A5D5-D187C208C6D5}" name="Valor recibo" dataDxfId="858"/>
    <tableColumn id="8" xr3:uid="{BD205D6B-9A44-4A0C-99B8-78F298BC02E1}" name="Scaner" dataDxfId="857"/>
    <tableColumn id="9" xr3:uid="{6011C0DA-878B-4084-9920-9954CD97BDEF}" name="Drive-ANEXO" dataDxfId="856"/>
    <tableColumn id="11" xr3:uid="{E3D1EEEE-82DA-4905-BB12-16F5F8FC458D}" name="status forms" dataDxfId="855"/>
    <tableColumn id="16" xr3:uid="{53274206-8755-41FA-8C64-91C1ECE1F1AE}" name="DATA LANÇAMENTO" dataDxfId="854"/>
    <tableColumn id="12" xr3:uid="{28E36F4B-01A0-4E04-9E3D-E022A26D0101}" name="Match_Planilha" dataDxfId="853" dataCellStyle="Vírgula">
      <calculatedColumnFormula>Tabela13891011121314[[#This Row],[Valor recibo]]</calculatedColumnFormula>
    </tableColumn>
    <tableColumn id="13" xr3:uid="{3D668F18-D23B-4E37-8E06-C8F0CC136D03}" name="Dif" dataDxfId="852"/>
    <tableColumn id="15" xr3:uid="{27071BE5-E021-46AF-95E6-1463F1F87236}" name="obs" dataDxfId="85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D04D27-40AC-4B78-B696-B48F9DBBF00C}" name="Tabela1345" displayName="Tabela1345" ref="A2:P654" totalsRowShown="0" headerRowDxfId="850" dataDxfId="848" headerRowBorderDxfId="849">
  <autoFilter ref="A2:P654" xr:uid="{04D04D27-40AC-4B78-B696-B48F9DBBF00C}"/>
  <tableColumns count="16">
    <tableColumn id="13" xr3:uid="{08FD5575-FF92-4B20-9F0C-56BED00F056C}" name="DT" dataDxfId="847"/>
    <tableColumn id="1" xr3:uid="{07B7CA6B-1F59-434F-9BBF-72F3896EC1B9}" name="Data coleta" dataDxfId="846"/>
    <tableColumn id="2" xr3:uid="{E892406D-B7E5-4D23-ADE2-D105E43F6D21}" name="Motorista" dataDxfId="845"/>
    <tableColumn id="3" xr3:uid="{DBFE3DB8-DEE7-4693-B39F-C7FEF3343B67}" name="Cliente/Fornecedor" dataDxfId="844"/>
    <tableColumn id="10" xr3:uid="{AEEECF5F-D163-41F3-829C-6645B7225A63}" name="Local " dataDxfId="843"/>
    <tableColumn id="4" xr3:uid="{7D763589-52B6-4770-A2DD-7EFD54FEA14A}" name="Numero NF" dataDxfId="842"/>
    <tableColumn id="5" xr3:uid="{2C8549F6-DC0F-43E3-BE98-475714D8B1AF}" name="Data canhoto" dataDxfId="841"/>
    <tableColumn id="6" xr3:uid="{051FAB40-7DB2-4263-876F-ACE4EF046305}" name="Data recibo" dataDxfId="840"/>
    <tableColumn id="7" xr3:uid="{9AB2C301-581D-4C6C-8B9A-311AAD52899E}" name="Valor recibo" dataDxfId="839"/>
    <tableColumn id="8" xr3:uid="{A60324DF-68C7-426C-9532-11FE18A79BAE}" name="Scaner" dataDxfId="838"/>
    <tableColumn id="9" xr3:uid="{D8199844-F996-4AE5-8568-2DF6FCFAA51D}" name="Drive-ANEXO" dataDxfId="837"/>
    <tableColumn id="11" xr3:uid="{EE58245B-7D4B-45D1-976F-DFF88AB31B6C}" name="status forms" dataDxfId="836"/>
    <tableColumn id="16" xr3:uid="{3A5543F2-0A10-4C26-A8FC-0EAF8615C5DC}" name="Data lançamento" dataDxfId="835"/>
    <tableColumn id="12" xr3:uid="{867326D2-D6FA-46D0-8AF5-1AA3C24CB9E0}" name="Match_Planilha" dataDxfId="834" dataCellStyle="Vírgula"/>
    <tableColumn id="14" xr3:uid="{2347883C-0453-4960-8367-0B59A3CA9335}" name="Dif" dataDxfId="833">
      <calculatedColumnFormula>IFERROR(IF(L3="PENDENTE",-N3,I3-N3),0)</calculatedColumnFormula>
    </tableColumn>
    <tableColumn id="15" xr3:uid="{6B05986C-F99A-40DE-BB67-93A2C0C4879B}" name="obs" dataDxfId="83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CE6F07-060B-4891-8F00-923D1ECA3B95}" name="Tabela13456" displayName="Tabela13456" ref="A2:P585" totalsRowCount="1" headerRowDxfId="831" dataDxfId="829" headerRowBorderDxfId="830">
  <autoFilter ref="A2:P584" xr:uid="{04D04D27-40AC-4B78-B696-B48F9DBBF00C}"/>
  <tableColumns count="16">
    <tableColumn id="13" xr3:uid="{945BF26C-2F2B-4244-AA36-F98EDE68CB4C}" name="DT" dataDxfId="828" totalsRowDxfId="827"/>
    <tableColumn id="1" xr3:uid="{4DD3D893-1147-4E76-A3A8-DB63D580A87B}" name="Data coleta" dataDxfId="826" totalsRowDxfId="825"/>
    <tableColumn id="2" xr3:uid="{50408273-89DF-48C1-A3B9-0B8EDE3A35EC}" name="Motorista" dataDxfId="824" totalsRowDxfId="823"/>
    <tableColumn id="3" xr3:uid="{49F9B6D6-7480-47A5-B7E3-D658F2981FBD}" name="Cliente/Fornecedor" dataDxfId="822" totalsRowDxfId="821"/>
    <tableColumn id="10" xr3:uid="{50812211-5E8A-4F11-A358-515985BF8A77}" name="Local " dataDxfId="820" totalsRowDxfId="819"/>
    <tableColumn id="4" xr3:uid="{B1C76B44-0172-43EB-A313-9E75FE44A389}" name="Numero NF" dataDxfId="818" totalsRowDxfId="817"/>
    <tableColumn id="5" xr3:uid="{C9DA3CF0-7972-4268-A9D0-E8FEA93393DC}" name="Data canhoto" dataDxfId="816" totalsRowDxfId="815"/>
    <tableColumn id="6" xr3:uid="{92746363-1507-49AB-A303-9822326C0EF3}" name="Data recibo" dataDxfId="814" totalsRowDxfId="813"/>
    <tableColumn id="7" xr3:uid="{5DA2DE6F-D9F5-477E-89C3-9A8F5F4E5F6A}" name="Valor recibo" dataDxfId="812" totalsRowDxfId="811"/>
    <tableColumn id="8" xr3:uid="{B0EADFEF-D367-42AE-8F58-DD584035AA98}" name="Scaner" dataDxfId="810" totalsRowDxfId="809"/>
    <tableColumn id="9" xr3:uid="{64CAC85E-F7E3-447F-B078-9C5122F21E02}" name="Drive-ANEXO" dataDxfId="808" totalsRowDxfId="807"/>
    <tableColumn id="11" xr3:uid="{31E8C7D0-EC76-4C60-B49C-9CB7D33F20A3}" name="status forms" dataDxfId="806" totalsRowDxfId="805"/>
    <tableColumn id="16" xr3:uid="{4FA3ED67-4769-4540-94AD-0E230294F144}" name="Data lançamento" dataDxfId="804" totalsRowDxfId="803"/>
    <tableColumn id="12" xr3:uid="{8A22DF63-B6D6-4CA2-9CCA-185FA49CD9D2}" name="Match_Planilha" dataDxfId="802" totalsRowDxfId="801" dataCellStyle="Vírgula"/>
    <tableColumn id="14" xr3:uid="{13DCE23B-57A4-4038-97C2-9C030EB36261}" name="Dif" dataDxfId="800" totalsRowDxfId="799">
      <calculatedColumnFormula>IFERROR(I3-N3,0)</calculatedColumnFormula>
    </tableColumn>
    <tableColumn id="15" xr3:uid="{46859E68-3E01-4106-8521-3A5DCF1A4127}" name="obs" dataDxfId="798" totalsRowDxfId="79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957546-BB39-48D1-8CF5-A8774375194F}" name="Tabela138" displayName="Tabela138" ref="A2:P606" totalsRowShown="0" headerRowDxfId="796" dataDxfId="794" headerRowBorderDxfId="795">
  <autoFilter ref="A2:P606" xr:uid="{6BC52AB0-4FE2-44B7-9F05-4CBD7F68D088}"/>
  <tableColumns count="16">
    <tableColumn id="14" xr3:uid="{38F11186-0858-4816-9902-4E55D99364C3}" name="DT" dataDxfId="793"/>
    <tableColumn id="1" xr3:uid="{F566B094-CAA0-414A-90E0-A41C410F6924}" name="Data coleta" dataDxfId="792"/>
    <tableColumn id="2" xr3:uid="{642B28B9-5904-4CBB-9F4D-A35826719076}" name="Motorista" dataDxfId="791">
      <calculatedColumnFormula>IF(#REF!="","",VLOOKUP(#REF!,'[1]Ativos Agregados'!#REF!,2,0))</calculatedColumnFormula>
    </tableColumn>
    <tableColumn id="3" xr3:uid="{F5C97474-01B4-4C79-AC2B-C03EDAF8F718}" name="Cliente/Fornecedor" dataDxfId="790"/>
    <tableColumn id="10" xr3:uid="{D5D18E33-21CA-4CC6-922F-47494B582516}" name="Local " dataDxfId="789"/>
    <tableColumn id="4" xr3:uid="{5696E4C5-4D18-4B02-93C6-417A597833A2}" name="Numero NF" dataDxfId="788"/>
    <tableColumn id="5" xr3:uid="{D316D9BB-7AD8-40EE-856E-6B31C963555C}" name="Data canhoto" dataDxfId="787"/>
    <tableColumn id="6" xr3:uid="{1821360B-4F29-49F8-A1D5-DE11D08B45B8}" name="Data recibo" dataDxfId="786"/>
    <tableColumn id="7" xr3:uid="{2244EEDC-8ED7-4270-BF95-E045B78F42A3}" name="Valor recibo" dataDxfId="785"/>
    <tableColumn id="8" xr3:uid="{54B359FC-A8DF-4EBA-94F4-5FA9C7B15CBB}" name="Scaner" dataDxfId="784"/>
    <tableColumn id="9" xr3:uid="{EEADC054-43DB-4728-B2D5-0A390C41CC75}" name="Drive-ANEXO" dataDxfId="783"/>
    <tableColumn id="11" xr3:uid="{EF9DD871-F537-43DF-9F4D-FC7D855251A6}" name="status forms" dataDxfId="782"/>
    <tableColumn id="16" xr3:uid="{C8E139B8-0077-432F-B86E-67519EF22CF6}" name="DATA LANÇAMENTO" dataDxfId="781"/>
    <tableColumn id="12" xr3:uid="{FC5E0052-241F-4082-953A-573668E0E1C3}" name="Match_Planilha" dataDxfId="780" dataCellStyle="Vírgula"/>
    <tableColumn id="13" xr3:uid="{0AEDCDD9-4B15-4EC7-B936-F4AFA385B15C}" name="Dif" dataDxfId="779">
      <calculatedColumnFormula>IFERROR(I3-N3,0)</calculatedColumnFormula>
    </tableColumn>
    <tableColumn id="15" xr3:uid="{9164B11C-A993-4138-B178-E8EDF050F308}" name="obs" dataDxfId="77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E66F0F-F601-4DEB-86CA-030F84D24954}" name="Tabela1389" displayName="Tabela1389" ref="A2:P604" totalsRowShown="0" headerRowDxfId="777" dataDxfId="775" headerRowBorderDxfId="776">
  <autoFilter ref="A2:P604" xr:uid="{6BC52AB0-4FE2-44B7-9F05-4CBD7F68D088}"/>
  <tableColumns count="16">
    <tableColumn id="14" xr3:uid="{504677BA-EA2B-4A31-B3AE-CFB6E84677A4}" name="DT" dataDxfId="774"/>
    <tableColumn id="1" xr3:uid="{5C84BB52-0616-42B6-83BE-B1B939D9889C}" name="Data coleta" dataDxfId="773"/>
    <tableColumn id="2" xr3:uid="{872FB001-7D24-4CF9-807A-C5F739D46BC6}" name="Motorista" dataDxfId="772">
      <calculatedColumnFormula>IF(#REF!="","",VLOOKUP(#REF!,'[1]Ativos Agregados'!#REF!,2,0))</calculatedColumnFormula>
    </tableColumn>
    <tableColumn id="3" xr3:uid="{0EC41148-9A6C-45E8-A09C-51FADCD421EE}" name="Cliente/Fornecedor" dataDxfId="771"/>
    <tableColumn id="10" xr3:uid="{5893C843-FC7A-4376-A75A-3C867653263A}" name="Local " dataDxfId="770"/>
    <tableColumn id="4" xr3:uid="{FAFD4A49-EC2D-45A3-BFB4-ABF04659628D}" name="Numero NF" dataDxfId="769"/>
    <tableColumn id="5" xr3:uid="{BD62EED6-1656-43FD-A846-80CFD6CE1D45}" name="Data canhoto" dataDxfId="768"/>
    <tableColumn id="6" xr3:uid="{7E7CCBA3-DD47-4D8B-882A-E0E30B323ED1}" name="Data recibo" dataDxfId="767"/>
    <tableColumn id="7" xr3:uid="{7E33FBCC-B5A3-460D-AD3B-5A1E7765CF1D}" name="Valor recibo" dataDxfId="766"/>
    <tableColumn id="8" xr3:uid="{ECD93729-AF2E-4C26-AE2A-0675F1E8E535}" name="Scaner" dataDxfId="765"/>
    <tableColumn id="9" xr3:uid="{86562322-6C65-4D4E-9D98-95F549EEBE5E}" name="Drive-ANEXO" dataDxfId="764"/>
    <tableColumn id="11" xr3:uid="{2E57B959-A14B-47A4-BBA9-B4EB20B250BC}" name="status forms" dataDxfId="763"/>
    <tableColumn id="16" xr3:uid="{E7CB6CDD-040B-4611-99E8-563B2AEABD10}" name="DATA LANÇAMENTO" dataDxfId="762"/>
    <tableColumn id="12" xr3:uid="{952348BC-FC24-492F-A27E-1C5CCEFF3F31}" name="Match_Planilha" dataDxfId="761" dataCellStyle="Vírgula"/>
    <tableColumn id="13" xr3:uid="{2D6D8C32-C8CF-4C9C-BB39-888ADD85A5FD}" name="Dif" dataDxfId="760"/>
    <tableColumn id="15" xr3:uid="{CC4A2B7E-95F4-4CF7-845F-51F34E265186}" name="obs" dataDxfId="75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2D7FAD-1022-42C1-82FE-99DC21D9427C}" name="Tabela138910" displayName="Tabela138910" ref="A2:P603" totalsRowShown="0" headerRowDxfId="758" dataDxfId="756" headerRowBorderDxfId="757">
  <autoFilter ref="A2:P603" xr:uid="{6BC52AB0-4FE2-44B7-9F05-4CBD7F68D088}"/>
  <tableColumns count="16">
    <tableColumn id="14" xr3:uid="{F6BAD719-A6B6-4F87-B1A1-169BA41140B8}" name="DT" dataDxfId="755"/>
    <tableColumn id="1" xr3:uid="{9C7977C6-AD6E-463B-BAA8-3B75CA7010FF}" name="Data coleta" dataDxfId="754"/>
    <tableColumn id="2" xr3:uid="{D4B95E7B-1974-48C5-89FE-5FD62E7A9DAE}" name="Motorista" dataDxfId="753">
      <calculatedColumnFormula>IF(#REF!="","",VLOOKUP(#REF!,'[1]Ativos Agregados'!#REF!,2,0))</calculatedColumnFormula>
    </tableColumn>
    <tableColumn id="3" xr3:uid="{47E5CD1C-8F4F-4CCF-B13B-9D3E32C33781}" name="Cliente/Fornecedor" dataDxfId="752"/>
    <tableColumn id="10" xr3:uid="{ABBC333F-217C-4161-8110-D6EA810BE96A}" name="Local " dataDxfId="751"/>
    <tableColumn id="4" xr3:uid="{F6B9BE6C-410C-43F8-A968-55B730CE50AF}" name="Numero NF" dataDxfId="750"/>
    <tableColumn id="5" xr3:uid="{AD30D086-F8C3-4167-BC0D-2EB67A482432}" name="Data canhoto" dataDxfId="749"/>
    <tableColumn id="6" xr3:uid="{56688023-0E5F-4D64-846C-C27AD049F599}" name="Data recibo" dataDxfId="748"/>
    <tableColumn id="7" xr3:uid="{EA83CC79-8578-48E4-A2E7-D5A382B2BFAE}" name="Valor recibo" dataDxfId="747"/>
    <tableColumn id="8" xr3:uid="{6337EF09-462E-4FC7-81CB-26E6658A79F3}" name="Scaner" dataDxfId="746"/>
    <tableColumn id="9" xr3:uid="{A0AFE00F-1C2E-4F19-91E7-FF1EA0D297EB}" name="Drive-ANEXO" dataDxfId="745"/>
    <tableColumn id="11" xr3:uid="{88672AC1-D446-4977-B976-16F062445EC4}" name="status forms" dataDxfId="744"/>
    <tableColumn id="16" xr3:uid="{5799433B-8074-4050-9109-D5025F24AA7C}" name="DATA LANÇAMENTO" dataDxfId="743"/>
    <tableColumn id="12" xr3:uid="{C722014A-129C-4652-BB97-1A8EDCA06B3E}" name="Match_Planilha" dataDxfId="742" dataCellStyle="Vírgula"/>
    <tableColumn id="13" xr3:uid="{C196F12C-0F6D-40EF-AF44-709F06013F84}" name="Dif" dataDxfId="741"/>
    <tableColumn id="15" xr3:uid="{81717ABC-0FAC-494B-B34C-ADBC7C5CB4B5}" name="obs" dataDxfId="74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1DABAB-304F-4C45-8C39-269D197142C2}" name="Tabela13891011" displayName="Tabela13891011" ref="A2:P600" totalsRowShown="0" headerRowDxfId="739" dataDxfId="737" headerRowBorderDxfId="738">
  <autoFilter ref="A2:P600" xr:uid="{6BC52AB0-4FE2-44B7-9F05-4CBD7F68D088}"/>
  <tableColumns count="16">
    <tableColumn id="14" xr3:uid="{17D50DCD-D1C0-4206-B48B-E21540208EDF}" name="DT" dataDxfId="736"/>
    <tableColumn id="1" xr3:uid="{3612EE03-D251-4907-ADF6-2E3CC2A13C11}" name="Data coleta" dataDxfId="735"/>
    <tableColumn id="2" xr3:uid="{72FFD533-CAA3-48E5-9F0B-E4C024E93C25}" name="Motorista" dataDxfId="734">
      <calculatedColumnFormula>IF(#REF!="","",VLOOKUP(#REF!,'[1]Ativos Agregados'!#REF!,2,0))</calculatedColumnFormula>
    </tableColumn>
    <tableColumn id="3" xr3:uid="{F322DECC-D52A-4904-9099-622CD3C85B67}" name="Cliente/Fornecedor" dataDxfId="733"/>
    <tableColumn id="10" xr3:uid="{814513BA-95ED-49C0-B19F-5154F74B4441}" name="Local " dataDxfId="732"/>
    <tableColumn id="4" xr3:uid="{69FC2938-1A89-4264-94B1-BBAEEA986FF7}" name="Numero NF" dataDxfId="731"/>
    <tableColumn id="5" xr3:uid="{319AC627-DC78-4CCA-9082-F1AAF6FC8B1E}" name="Data canhoto" dataDxfId="730"/>
    <tableColumn id="6" xr3:uid="{54C68F31-A539-4F1D-AC77-B2B06A19E200}" name="Data recibo" dataDxfId="729"/>
    <tableColumn id="7" xr3:uid="{336C2F03-8DFE-4B0F-B6B2-88A915AB7092}" name="Valor recibo" dataDxfId="728"/>
    <tableColumn id="8" xr3:uid="{DBDCC377-FD7A-4FBF-A145-DADC92678301}" name="Scaner" dataDxfId="727"/>
    <tableColumn id="9" xr3:uid="{B05A3FA4-1DE8-44C4-9C08-F99016B66CBE}" name="Drive-ANEXO" dataDxfId="726"/>
    <tableColumn id="11" xr3:uid="{81933884-8D87-4D1B-8F94-66BB335630D0}" name="status forms" dataDxfId="725"/>
    <tableColumn id="16" xr3:uid="{ABC5681D-638F-494E-BB75-5B0A3E42D7FB}" name="DATA LANÇAMENTO" dataDxfId="724"/>
    <tableColumn id="12" xr3:uid="{55981285-888F-4AA5-A410-343838B4501C}" name="Match_Planilha" dataDxfId="723" dataCellStyle="Vírgula"/>
    <tableColumn id="13" xr3:uid="{7BC51EC7-DC41-477C-95D3-367E36DFCFD1}" name="Dif" dataDxfId="722"/>
    <tableColumn id="15" xr3:uid="{54CA4FBA-3936-4A12-8195-6E9276B3473A}" name="obs" dataDxfId="721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607446-4FDC-4AD9-8941-38A39A9D03E7}" name="Tabela1389101112" displayName="Tabela1389101112" ref="A2:P599" totalsRowShown="0" headerRowDxfId="720" dataDxfId="718" headerRowBorderDxfId="719">
  <autoFilter ref="A2:P599" xr:uid="{6BC52AB0-4FE2-44B7-9F05-4CBD7F68D088}"/>
  <tableColumns count="16">
    <tableColumn id="14" xr3:uid="{283E79AF-EE0B-42EB-8D56-68C1B07D7868}" name="DT" dataDxfId="717"/>
    <tableColumn id="1" xr3:uid="{2916B96A-4B6B-499E-B417-3CF852B08CE3}" name="Data coleta" dataDxfId="716"/>
    <tableColumn id="2" xr3:uid="{4FF380C1-78E6-4CE9-8DD6-6DE33EBFE957}" name="Motorista" dataDxfId="715">
      <calculatedColumnFormula>IF(#REF!="","",VLOOKUP(#REF!,'[1]Ativos Agregados'!#REF!,2,0))</calculatedColumnFormula>
    </tableColumn>
    <tableColumn id="3" xr3:uid="{408885BF-5AB9-4234-8C4E-87049D7A22B4}" name="Cliente/Fornecedor" dataDxfId="714"/>
    <tableColumn id="10" xr3:uid="{9895C8C3-30AA-4A79-82F3-342DBA14576B}" name="Local " dataDxfId="713"/>
    <tableColumn id="4" xr3:uid="{1065A184-81A7-4E98-802E-93CF992B557D}" name="Numero NF" dataDxfId="712"/>
    <tableColumn id="5" xr3:uid="{BA7ADDAC-151F-4815-B12E-154CB866C707}" name="Data canhoto" dataDxfId="711"/>
    <tableColumn id="6" xr3:uid="{60608203-A48C-46C7-A4FB-839E76383752}" name="Data recibo" dataDxfId="710"/>
    <tableColumn id="7" xr3:uid="{001EC538-0817-4386-9C91-590C0AE9E9CA}" name="Valor recibo" dataDxfId="709"/>
    <tableColumn id="8" xr3:uid="{0E48B64A-8765-4665-98BF-1A5DA2C90759}" name="Scaner" dataDxfId="708"/>
    <tableColumn id="9" xr3:uid="{8A8BE06B-6D5A-41F8-96EF-C52279098B7E}" name="Drive-ANEXO" dataDxfId="707"/>
    <tableColumn id="11" xr3:uid="{CD2BAA67-F3AC-45F4-B1F5-820A7E4F5625}" name="status forms" dataDxfId="706"/>
    <tableColumn id="16" xr3:uid="{E0AF43D7-4135-4D59-A64A-D387FFBDDB24}" name="DATA LANÇAMENTO" dataDxfId="705"/>
    <tableColumn id="12" xr3:uid="{F59AE12E-6F0D-42ED-A74D-17E71A75791B}" name="Match_Planilha" dataDxfId="704" dataCellStyle="Vírgula"/>
    <tableColumn id="13" xr3:uid="{86F297AD-6B43-4400-AEC9-2F95F305468A}" name="Dif" dataDxfId="703"/>
    <tableColumn id="15" xr3:uid="{C490C527-F2DC-444E-839B-9957FFC6CAF6}" name="obs" dataDxfId="70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A724AE-D311-4964-AD4D-77E0294F9469}" name="Tabela138910111213" displayName="Tabela138910111213" ref="A2:P440" totalsRowShown="0" headerRowDxfId="701" dataDxfId="699" headerRowBorderDxfId="700">
  <autoFilter ref="A2:P440" xr:uid="{6BC52AB0-4FE2-44B7-9F05-4CBD7F68D088}"/>
  <tableColumns count="16">
    <tableColumn id="14" xr3:uid="{C0AC7D5C-B93D-4B5B-BD34-B952248638C1}" name="DT" dataDxfId="698"/>
    <tableColumn id="1" xr3:uid="{224741BC-D52B-4645-8251-34E96EA1073D}" name="Data coleta" dataDxfId="697"/>
    <tableColumn id="2" xr3:uid="{C9299FB7-FB76-448D-AF17-D74AF219654E}" name="Motorista" dataDxfId="696">
      <calculatedColumnFormula>IF(#REF!="","",VLOOKUP(#REF!,'[1]Ativos Agregados'!#REF!,2,0))</calculatedColumnFormula>
    </tableColumn>
    <tableColumn id="3" xr3:uid="{12067F8F-0202-465A-8A54-D72AC66A5A7F}" name="Cliente/Fornecedor" dataDxfId="695"/>
    <tableColumn id="10" xr3:uid="{94F13DEB-8B88-4F22-999B-FD9DAD157172}" name="Local " dataDxfId="694"/>
    <tableColumn id="4" xr3:uid="{805A7B2B-21DD-4B04-BFFE-8E296A368A1F}" name="Numero NF" dataDxfId="693"/>
    <tableColumn id="5" xr3:uid="{521D9B91-956F-476A-9FA1-AE339CDC3555}" name="Data canhoto" dataDxfId="692"/>
    <tableColumn id="6" xr3:uid="{49466BAD-E2BF-4552-AF7D-C2DC8B6D1B0B}" name="Data recibo" dataDxfId="691"/>
    <tableColumn id="7" xr3:uid="{AE5E0C77-8430-4E15-9D85-061C4A33D2BA}" name="Valor recibo" dataDxfId="690"/>
    <tableColumn id="8" xr3:uid="{C30B824A-775E-4F63-8EF6-69DFC7D9AEF1}" name="Scaner" dataDxfId="689"/>
    <tableColumn id="9" xr3:uid="{8F2A6A60-8685-4A31-8073-4A64A582D91F}" name="Drive-ANEXO" dataDxfId="688"/>
    <tableColumn id="11" xr3:uid="{5BC249E6-C4C4-46F9-923D-35FC82984CFC}" name="status forms" dataDxfId="687"/>
    <tableColumn id="16" xr3:uid="{379AA9EE-8E22-4DBC-A835-80CDC61577BB}" name="DATA LANÇAMENTO" dataDxfId="686"/>
    <tableColumn id="12" xr3:uid="{F9A6D39D-5ABC-4FC8-A381-03C51CBD9CBB}" name="Match_Planilha" dataDxfId="685" dataCellStyle="Vírgula">
      <calculatedColumnFormula>Tabela138910111213[[#This Row],[Valor recibo]]</calculatedColumnFormula>
    </tableColumn>
    <tableColumn id="13" xr3:uid="{D88C7D8E-E313-4A05-A554-43671C94AABD}" name="Dif" dataDxfId="684"/>
    <tableColumn id="15" xr3:uid="{51352654-C266-41DE-A911-55A03D90B5CC}" name="obs" dataDxfId="68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342E87D-F1C2-46D8-BE62-C392A023837E}" name="Tabela1389101112131415" displayName="Tabela1389101112131415" ref="A2:P482" totalsRowShown="0" headerRowDxfId="682" dataDxfId="680" headerRowBorderDxfId="681">
  <autoFilter ref="A2:P482" xr:uid="{6BC52AB0-4FE2-44B7-9F05-4CBD7F68D088}"/>
  <sortState xmlns:xlrd2="http://schemas.microsoft.com/office/spreadsheetml/2017/richdata2" ref="A3:P482">
    <sortCondition ref="O2:O482"/>
  </sortState>
  <tableColumns count="16">
    <tableColumn id="14" xr3:uid="{2B2DB16D-4E67-4649-9FCE-DC25170060D6}" name="DT" dataDxfId="679"/>
    <tableColumn id="1" xr3:uid="{53233B7F-1DAF-4F15-A5CB-1F856ABADFF4}" name="Data coleta" dataDxfId="678"/>
    <tableColumn id="2" xr3:uid="{D1212239-6FF1-44AB-A54D-10776B0BB011}" name="Motorista" dataDxfId="677">
      <calculatedColumnFormula>IF(#REF!="","",VLOOKUP(#REF!,'[1]Ativos Agregados'!#REF!,2,0))</calculatedColumnFormula>
    </tableColumn>
    <tableColumn id="3" xr3:uid="{0B7F7654-2004-476A-ABE9-0AC38A438D03}" name="Cliente/Fornecedor" dataDxfId="676"/>
    <tableColumn id="10" xr3:uid="{39402A59-5340-4CC0-88EB-3FF024B593A5}" name="Local " dataDxfId="675"/>
    <tableColumn id="4" xr3:uid="{BD76AA76-7EDA-4089-BD82-3C8CD7C321D3}" name="Numero NF" dataDxfId="674"/>
    <tableColumn id="5" xr3:uid="{29EE1E28-89CA-4586-886E-13990493A545}" name="Data canhoto" dataDxfId="673"/>
    <tableColumn id="6" xr3:uid="{96F6A779-3F3C-4C28-B5E4-81C876121F8F}" name="Data recibo" dataDxfId="672"/>
    <tableColumn id="7" xr3:uid="{240D138D-01AF-459E-8E85-2FACFBEA84AD}" name="Valor recibo" dataDxfId="671"/>
    <tableColumn id="8" xr3:uid="{A024167C-87A5-46F7-B449-788184206FF8}" name="Scaner" dataDxfId="670"/>
    <tableColumn id="9" xr3:uid="{AB4F7240-2C22-495B-A377-9B223C246953}" name="Drive-ANEXO" dataDxfId="669"/>
    <tableColumn id="11" xr3:uid="{65329361-3A55-42CD-AAC7-D72F9B24FFEE}" name="status forms" dataDxfId="668"/>
    <tableColumn id="16" xr3:uid="{A053CEA9-18B6-4F3F-9258-009C393C0BCE}" name="DATA LANÇAMENTO" dataDxfId="667"/>
    <tableColumn id="12" xr3:uid="{06AD3E67-4842-42BB-87F1-5A8AD4B70D4D}" name="Match_Planilha" dataDxfId="666" dataCellStyle="Vírgula">
      <calculatedColumnFormula>Tabela1389101112131415[[#This Row],[Valor recibo]]</calculatedColumnFormula>
    </tableColumn>
    <tableColumn id="13" xr3:uid="{E6BE8E37-82C4-4257-84DE-46D8452FDADD}" name="Dif" dataDxfId="665"/>
    <tableColumn id="15" xr3:uid="{EE390BB5-1D6F-4B28-9FD4-8C862C7195DA}" name="obs" dataDxfId="664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DBA2A4-8D15-4353-B93A-5D02A872339B}" name="Tabela1316" displayName="Tabela1316" ref="A2:R559" totalsRowShown="0" headerRowDxfId="663" dataDxfId="661" headerRowBorderDxfId="662">
  <autoFilter ref="A2:R559" xr:uid="{04DBA2A4-8D15-4353-B93A-5D02A872339B}"/>
  <tableColumns count="18">
    <tableColumn id="14" xr3:uid="{9C6AD5A7-8269-4AE8-AA1D-C28D848F01CD}" name="DT" dataDxfId="660"/>
    <tableColumn id="1" xr3:uid="{3A17224F-1936-4D68-B0CB-F48B286679BB}" name="Data coleta" dataDxfId="659"/>
    <tableColumn id="2" xr3:uid="{203A3504-9378-481B-A643-D931ACACCC4C}" name="Motorista" dataDxfId="658"/>
    <tableColumn id="17" xr3:uid="{3CCA1C11-46CB-4823-9EDE-A67EA1E69AD9}" name="VEICULO" dataDxfId="657">
      <calculatedColumnFormula>VLOOKUP(Tabela1316[[#This Row],[Motorista]],Planilha1!A:C,3,0)</calculatedColumnFormula>
    </tableColumn>
    <tableColumn id="18" xr3:uid="{52A42807-9BC2-4387-9F38-ED01C1B5AA38}" name="EIXO" dataDxfId="543">
      <calculatedColumnFormula>IF(Tabela1316[[#This Row],[VEICULO]]="CARRETA",5,IF(Tabela1316[[#This Row],[VEICULO]]="TRUCK BAU",3,0))</calculatedColumnFormula>
    </tableColumn>
    <tableColumn id="3" xr3:uid="{7C69D1F4-2988-4074-9645-3B82B3AEDCC5}" name="Cliente/Fornecedor" dataDxfId="656"/>
    <tableColumn id="10" xr3:uid="{91BFA50A-1202-4915-8A02-FC6D224C979E}" name="Local " dataDxfId="655"/>
    <tableColumn id="4" xr3:uid="{42E53B37-70F5-4936-9E22-497EA15F9774}" name="Numero NF" dataDxfId="654"/>
    <tableColumn id="5" xr3:uid="{2D3B4A65-8398-4B25-A36E-8BC85D68B45B}" name="Data canhoto" dataDxfId="653"/>
    <tableColumn id="6" xr3:uid="{720301CD-24F0-4D35-A33E-2DFEE814CF01}" name="Data recibo" dataDxfId="652"/>
    <tableColumn id="7" xr3:uid="{654053C0-C0F3-4CF0-93BA-AD11C6ED61B8}" name="Valor_recibo" dataDxfId="651"/>
    <tableColumn id="8" xr3:uid="{7243D224-D076-4A7C-9A40-14FAEBB2074A}" name="Scaner" dataDxfId="650"/>
    <tableColumn id="9" xr3:uid="{7B285782-97F7-4E03-B067-FF6CCAE306B1}" name="APROVAÇÃO_SUZANO" dataDxfId="649"/>
    <tableColumn id="11" xr3:uid="{27E0B53F-AF09-463E-A06B-C9B48FEEC350}" name="status forms" dataDxfId="648"/>
    <tableColumn id="16" xr3:uid="{FE0E4CA6-B9E9-4DB8-B829-5D955ABD0417}" name="Data lançamento" dataDxfId="647"/>
    <tableColumn id="12" xr3:uid="{A0D463CF-A1CC-49C0-A1ED-68D0F4CF5B1C}" name="Match_Planilha" dataDxfId="646" dataCellStyle="Vírgula">
      <calculatedColumnFormula>Tabela1316[[#This Row],[Valor_recibo]]</calculatedColumnFormula>
    </tableColumn>
    <tableColumn id="13" xr3:uid="{A3203BBD-3FA5-43E7-9650-D23A1DAED800}" name="Dif" dataDxfId="645">
      <calculatedColumnFormula>IFERROR(IF(N3="PENDENTE",-P3,K3-P3),0)</calculatedColumnFormula>
    </tableColumn>
    <tableColumn id="15" xr3:uid="{A8D1DAD2-2142-4B89-A111-3AE11EBF21C0}" name="DTS APROVADAS" dataDxfId="644">
      <calculatedColumnFormula>VLOOKUP(#REF!,[2]Aprovados!A:A,1,0)</calculatedColumnFormula>
    </tableColumn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7B775E5-24F6-406F-95EC-125607EE2E70}" name="Tabela131617" displayName="Tabela131617" ref="A2:V565" totalsRowShown="0" headerRowDxfId="643" dataDxfId="641" headerRowBorderDxfId="642">
  <autoFilter ref="A2:V565" xr:uid="{6BC52AB0-4FE2-44B7-9F05-4CBD7F68D088}"/>
  <tableColumns count="22">
    <tableColumn id="14" xr3:uid="{C1C18EF5-7BAA-4B06-93D3-523A7E8B47E4}" name="DT" dataDxfId="640"/>
    <tableColumn id="1" xr3:uid="{0F26252C-BBCE-44C7-89E9-B3E3C1449443}" name="Data coleta" dataDxfId="639"/>
    <tableColumn id="2" xr3:uid="{6082AC1C-1E15-481D-A26C-70B666731A32}" name="Motorista" dataDxfId="638"/>
    <tableColumn id="3" xr3:uid="{D8D9D50F-C55F-42EC-A1C4-B1AC0A02C18E}" name="Cliente/Fornecedor" dataDxfId="637"/>
    <tableColumn id="10" xr3:uid="{285586AC-3917-4319-80B2-F620E972616F}" name="Local " dataDxfId="636"/>
    <tableColumn id="4" xr3:uid="{571014E2-DC23-47ED-81E4-E5CA15585209}" name="Numero NF" dataDxfId="635"/>
    <tableColumn id="5" xr3:uid="{5ECDE829-D6D7-4E4D-925F-B31A803BF1BC}" name="Data canhoto" dataDxfId="634"/>
    <tableColumn id="6" xr3:uid="{52C014F1-20E1-4F03-9ABF-341FA689FBAD}" name="Data recibo" dataDxfId="633"/>
    <tableColumn id="7" xr3:uid="{BBD0B6C7-1742-4E03-AC24-FF3CE3B5582C}" name="Valor_recibo" dataDxfId="632"/>
    <tableColumn id="8" xr3:uid="{55497F56-7DC3-4EC4-B7B6-6A6B415499B4}" name="Scaner" dataDxfId="631"/>
    <tableColumn id="9" xr3:uid="{26C68087-442C-40CC-B19A-58B7CCEC3E30}" name="APROVAÇÃO_SUZANO" dataDxfId="630"/>
    <tableColumn id="11" xr3:uid="{6496DCA3-F9D5-4BCB-8472-FF65D88F4DC6}" name="status forms" dataDxfId="629"/>
    <tableColumn id="16" xr3:uid="{B15DA23B-A771-45D2-A58B-3E60B1324A69}" name="Data lançamento" dataDxfId="628"/>
    <tableColumn id="12" xr3:uid="{D7C3D4B1-AE4E-4862-9BCE-0FC6A76A3A7E}" name="Match_Planilha" dataDxfId="627" dataCellStyle="Vírgula">
      <calculatedColumnFormula>Tabela131617[[#This Row],[Valor_recibo]]</calculatedColumnFormula>
    </tableColumn>
    <tableColumn id="13" xr3:uid="{CD6123EC-48F3-4087-B63E-9519F4B719C4}" name="Dif" dataDxfId="626">
      <calculatedColumnFormula>IFERROR(IF(L3="PENDENTE",-N3,I3-N3),0)</calculatedColumnFormula>
    </tableColumn>
    <tableColumn id="22" xr3:uid="{7360ACD3-3AD0-44F4-9F23-D0BFDA2316A4}" name="DTS APROVADAS" dataDxfId="625">
      <calculatedColumnFormula>VLOOKUP(Tabela131617[[#This Row],[DT]],Aprovados!A:A,1,0)</calculatedColumnFormula>
    </tableColumn>
    <tableColumn id="17" xr3:uid="{76026D45-48D0-4F63-A8F6-235BFC3818E7}" name="CTE COMPLEMENTAR" dataDxfId="624"/>
    <tableColumn id="19" xr3:uid="{0E574122-693C-491B-A37F-A19063848A7E}" name="VALOR" dataDxfId="623"/>
    <tableColumn id="20" xr3:uid="{E34D6E7C-36C8-404B-864B-CD02E3DD6E64}" name="STATUS REC CLIENTE" dataDxfId="622"/>
    <tableColumn id="21" xr3:uid="{9DC62FF2-076C-40E2-8B3F-99EF4A3055E7}" name="DATA LANÇAMENTO2" dataDxfId="621"/>
    <tableColumn id="15" xr3:uid="{CECBAEBE-FE8B-4168-9C57-A49277846AB3}" name="Forms Pedagio " dataDxfId="620"/>
    <tableColumn id="18" xr3:uid="{204EE899-E235-457B-B455-9617C27F099F}" name="valor " dataDxfId="619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A637C9-70E2-4941-9688-F54A3B736BC0}" name="Tabela13161718" displayName="Tabela13161718" ref="A2:V574" totalsRowShown="0" headerRowDxfId="618" dataDxfId="616" headerRowBorderDxfId="617">
  <autoFilter ref="A2:V574" xr:uid="{6BC52AB0-4FE2-44B7-9F05-4CBD7F68D088}"/>
  <tableColumns count="22">
    <tableColumn id="14" xr3:uid="{2E9AE8F4-842F-4041-9F31-74E5C1D08031}" name="DT" dataDxfId="615"/>
    <tableColumn id="1" xr3:uid="{AFBCAB42-4096-4D25-BB78-132F015D5788}" name="Data coleta" dataDxfId="614"/>
    <tableColumn id="2" xr3:uid="{07070AB6-DBCA-494C-914B-538A53762EB0}" name="Motorista" dataDxfId="613"/>
    <tableColumn id="3" xr3:uid="{043D4689-C5A9-4F92-B5F5-BCCA1DAB7AA1}" name="Cliente/Fornecedor" dataDxfId="612"/>
    <tableColumn id="10" xr3:uid="{4C7952F3-6D3F-482E-B2A1-CBB67F7B0869}" name="Local " dataDxfId="611"/>
    <tableColumn id="4" xr3:uid="{FA955A70-3A27-4A7C-8632-A012E6CA00C7}" name="Numero NF" dataDxfId="610"/>
    <tableColumn id="5" xr3:uid="{1A15B25A-FFCB-41FD-A13C-AA46B2632884}" name="Data canhoto" dataDxfId="609"/>
    <tableColumn id="6" xr3:uid="{F07D1B1B-C488-408E-B269-00CC1EB6C927}" name="Data recibo" dataDxfId="608"/>
    <tableColumn id="7" xr3:uid="{3AF09A9B-5BC3-4984-9E6D-06C1FE1234CD}" name="Valor_recibo" dataDxfId="607"/>
    <tableColumn id="8" xr3:uid="{BDE232B3-75A1-4F64-ADD6-48D17136A402}" name="Scaner" dataDxfId="606"/>
    <tableColumn id="9" xr3:uid="{AE05D5A1-33D9-44BD-9828-3458841D407C}" name="APROVAÇÃO_SUZANO" dataDxfId="605"/>
    <tableColumn id="11" xr3:uid="{0258DB3F-74F1-428B-9931-03EA693D2034}" name="status forms" dataDxfId="604"/>
    <tableColumn id="16" xr3:uid="{BBD2A0B6-B831-40E8-AA7C-6F5B21F72AD5}" name="Data lançamento" dataDxfId="603"/>
    <tableColumn id="12" xr3:uid="{CDA6A323-AB2F-4A4E-8C7F-BF86D768930B}" name="Match_Planilha" dataDxfId="602" dataCellStyle="Vírgula">
      <calculatedColumnFormula>Tabela13161718[[#This Row],[Valor_recibo]]</calculatedColumnFormula>
    </tableColumn>
    <tableColumn id="13" xr3:uid="{9FD0FD46-89BA-4973-94E4-ABCE472CEECB}" name="Dif" dataDxfId="601">
      <calculatedColumnFormula>IFERROR(IF(L3="PENDENTE",-N3,I3-N3),0)</calculatedColumnFormula>
    </tableColumn>
    <tableColumn id="22" xr3:uid="{20FF199B-D035-4EF1-906E-5DFABA8778E9}" name="DTS APROVADAS" dataDxfId="600">
      <calculatedColumnFormula>VLOOKUP(Tabela13161718[[#This Row],[DT]],Aprovados!A:A,1,0)</calculatedColumnFormula>
    </tableColumn>
    <tableColumn id="17" xr3:uid="{F5E02014-4D91-4A26-BE1C-927250A5059C}" name="CTE COMPLEMENTAR" dataDxfId="599"/>
    <tableColumn id="19" xr3:uid="{E32D814D-DC6B-4A28-B68B-2A9F5423684C}" name="VALOR" dataDxfId="598"/>
    <tableColumn id="20" xr3:uid="{FED2955C-FEF2-44BB-9006-A2E66E89D765}" name="STATUS REC CLIENTE" dataDxfId="597"/>
    <tableColumn id="21" xr3:uid="{7D07317E-5030-4B99-8C48-7C4503026806}" name="DATA LANÇAMENTO2" dataDxfId="596"/>
    <tableColumn id="15" xr3:uid="{6E6B0606-7834-4AD5-A59B-132E54C17737}" name="Forms Pedagio " dataDxfId="595"/>
    <tableColumn id="18" xr3:uid="{2B994E3F-5B7A-4EED-B6B4-A62373B4EF1E}" name="Valor " dataDxfId="594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D32AD3D-350A-408F-AEF4-33857C5429E4}" name="Tabela1316171819" displayName="Tabela1316171819" ref="A2:V570" totalsRowShown="0" headerRowDxfId="593" dataDxfId="591" headerRowBorderDxfId="592">
  <autoFilter ref="A2:V570" xr:uid="{6BC52AB0-4FE2-44B7-9F05-4CBD7F68D088}"/>
  <sortState xmlns:xlrd2="http://schemas.microsoft.com/office/spreadsheetml/2017/richdata2" ref="A3:V570">
    <sortCondition ref="M2:M570"/>
  </sortState>
  <tableColumns count="22">
    <tableColumn id="14" xr3:uid="{64CA05B7-D2D3-47E8-AC9F-15D0072D2C09}" name="DT" dataDxfId="590"/>
    <tableColumn id="1" xr3:uid="{7E3F1E3F-B525-4504-AC6B-3B124DB872A1}" name="Data coleta" dataDxfId="589"/>
    <tableColumn id="3" xr3:uid="{261294B5-6466-4358-8DE4-9E38EC5CA2B5}" name="Cliente/Fornecedor" dataDxfId="588"/>
    <tableColumn id="2" xr3:uid="{C5D5A632-1991-4E71-BCC1-AA628AFA2AD5}" name="Motorista" dataDxfId="587"/>
    <tableColumn id="10" xr3:uid="{36565FFE-A4D0-4C62-9990-471DB6CECE9C}" name="Local " dataDxfId="586"/>
    <tableColumn id="4" xr3:uid="{CD8AA066-8571-4138-BBFE-4308F32BF4D2}" name="Numero NF" dataDxfId="585"/>
    <tableColumn id="5" xr3:uid="{C4CD71FA-E06C-4330-B082-3325D02DB1B4}" name="Data canhoto" dataDxfId="584"/>
    <tableColumn id="6" xr3:uid="{D9976E2F-85AE-4A96-BA8E-F2AC320A80D8}" name="Data recibo" dataDxfId="583"/>
    <tableColumn id="7" xr3:uid="{353D61C3-2963-4CAB-A54C-81ACD12E1908}" name="Valor_recibo" dataDxfId="582"/>
    <tableColumn id="8" xr3:uid="{301652A5-AA47-405D-8CDA-70A5DCDFC493}" name="Scaner" dataDxfId="581"/>
    <tableColumn id="9" xr3:uid="{CFADFC5D-FBC0-4B0A-8A2C-17F145ABD277}" name="APROVAÇÃO_SUZANO" dataDxfId="580"/>
    <tableColumn id="11" xr3:uid="{DC46001C-D4EA-4014-ADB9-CE25AFA2EA19}" name="status forms" dataDxfId="579"/>
    <tableColumn id="16" xr3:uid="{EB6A9EFE-8CD6-4DC2-A072-5F8B6324AC48}" name="Data lançamento" dataDxfId="578"/>
    <tableColumn id="12" xr3:uid="{E4E8E1FA-D065-4DF9-B93D-935C399ECABD}" name="Match_Planilha" dataDxfId="577" dataCellStyle="Vírgula">
      <calculatedColumnFormula>Tabela1316171819[[#This Row],[Valor_recibo]]</calculatedColumnFormula>
    </tableColumn>
    <tableColumn id="13" xr3:uid="{1034E204-1492-4DAD-9461-7BFFA211A435}" name="Dif" dataDxfId="576">
      <calculatedColumnFormula>IFERROR(IF(L3="PENDENTE",-N3,I3-N3),0)</calculatedColumnFormula>
    </tableColumn>
    <tableColumn id="22" xr3:uid="{18588047-0E89-4508-B2CC-211359B2BBDF}" name="DTS APROVADAS" dataDxfId="575">
      <calculatedColumnFormula>VLOOKUP(Tabela1316171819[[#This Row],[DT]],Aprovados!A:A,1,0)</calculatedColumnFormula>
    </tableColumn>
    <tableColumn id="17" xr3:uid="{BB8EAF37-52AC-4F0A-A491-7FD1D00FE955}" name="CTE COMPLEMENTAR" dataDxfId="574"/>
    <tableColumn id="19" xr3:uid="{406FEA2D-D4B2-4F36-9A39-9C8C14941719}" name="VALOR" dataDxfId="573"/>
    <tableColumn id="20" xr3:uid="{4DDAA569-1334-454A-9838-95C6AB7412CF}" name="STATUS REC CLIENTE" dataDxfId="572"/>
    <tableColumn id="21" xr3:uid="{64591D5E-2E0D-4B17-A72D-A2EAE313C41A}" name="DATA LANÇAMENTO2" dataDxfId="571"/>
    <tableColumn id="15" xr3:uid="{D97CF414-B7C1-4103-A9F7-A2F29C677E02}" name="Forms Pedagio " dataDxfId="570"/>
    <tableColumn id="18" xr3:uid="{4407D339-9471-4E9C-B57D-D187613F34E9}" name="Valor " dataDxfId="569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688CCF7-2734-4AEF-8572-1E1290F566DD}" name="Tabela131617181920" displayName="Tabela131617181920" ref="A2:V576" totalsRowShown="0" headerRowDxfId="568" dataDxfId="566" headerRowBorderDxfId="567">
  <autoFilter ref="A2:V576" xr:uid="{6BC52AB0-4FE2-44B7-9F05-4CBD7F68D088}"/>
  <sortState xmlns:xlrd2="http://schemas.microsoft.com/office/spreadsheetml/2017/richdata2" ref="A3:V576">
    <sortCondition ref="B2:B576"/>
  </sortState>
  <tableColumns count="22">
    <tableColumn id="14" xr3:uid="{78788599-A578-444D-ADCB-E160096CBE45}" name="DT" dataDxfId="565"/>
    <tableColumn id="1" xr3:uid="{EEA98357-7975-4F9B-8461-8353723710F2}" name="Data coleta" dataDxfId="564"/>
    <tableColumn id="2" xr3:uid="{17C2A2CA-6833-46DA-B7F7-1B0CFAD8F317}" name="Motorista" dataDxfId="563"/>
    <tableColumn id="3" xr3:uid="{D0F3FBD8-84F9-461F-9856-29C6D1E8650D}" name="Cliente/Fornecedor" dataDxfId="562"/>
    <tableColumn id="10" xr3:uid="{3ED861AF-5AB6-4226-9DA7-59CDD150B681}" name="Local " dataDxfId="561"/>
    <tableColumn id="4" xr3:uid="{861B4B80-CF51-496D-A048-FA49862205D9}" name="Numero NF" dataDxfId="560"/>
    <tableColumn id="5" xr3:uid="{5E0FC8A4-AAFD-41DD-9A6D-A798E4F24677}" name="Data canhoto" dataDxfId="559"/>
    <tableColumn id="6" xr3:uid="{29C3DD41-1D22-4526-8A6F-5DD11A953EE9}" name="Data recibo" dataDxfId="558"/>
    <tableColumn id="7" xr3:uid="{82DFD0C5-4FC1-466E-A504-BA584F6142D3}" name="Valor_recibo" dataDxfId="557"/>
    <tableColumn id="8" xr3:uid="{F6F8AB3F-36EC-4E6C-8FD8-1F0DE607DBD1}" name="Scaner" dataDxfId="556"/>
    <tableColumn id="9" xr3:uid="{F278CEDB-6B5A-4E40-B534-37F17AA2269D}" name="APROVAÇÃO_SUZANO" dataDxfId="555"/>
    <tableColumn id="11" xr3:uid="{6108754F-C59A-4D52-9EE5-0489F96F9EB1}" name="status forms" dataDxfId="554"/>
    <tableColumn id="16" xr3:uid="{3CE20DC2-00B0-468F-8685-FB59FB487237}" name="Data lançamento" dataDxfId="553"/>
    <tableColumn id="12" xr3:uid="{5E17D930-81C3-4AA5-BDDF-5903F7F85303}" name="Match_Planilha" dataDxfId="552" dataCellStyle="Vírgula">
      <calculatedColumnFormula>Tabela131617181920[[#This Row],[Valor_recibo]]</calculatedColumnFormula>
    </tableColumn>
    <tableColumn id="13" xr3:uid="{48B675D3-1130-4F4A-AB60-A8586347CF37}" name="Dif" dataDxfId="551">
      <calculatedColumnFormula>IFERROR(IF(L3="PENDENTE",-N3,I3-N3),0)</calculatedColumnFormula>
    </tableColumn>
    <tableColumn id="23" xr3:uid="{9E86C333-DAF0-4AF8-8C3E-ECF55B388AB4}" name="DTS APROVADAS" dataDxfId="550">
      <calculatedColumnFormula>VLOOKUP(Tabela131617181920[[#This Row],[DT]],Aprovados!A:A,1,0)</calculatedColumnFormula>
    </tableColumn>
    <tableColumn id="17" xr3:uid="{7281C89D-F575-4580-B7C2-11A7981A4B4F}" name="CTE COMPLEMENTAR" dataDxfId="549"/>
    <tableColumn id="19" xr3:uid="{7504856C-E609-4ABE-8433-CEA6CE86EDDA}" name="VALOR" dataDxfId="548"/>
    <tableColumn id="20" xr3:uid="{718D6078-FD90-4105-BD4E-ADD12460F80B}" name="STATUS REC CLIENTE" dataDxfId="547"/>
    <tableColumn id="21" xr3:uid="{6A58338C-9B70-4A46-B3AB-356B4123FD86}" name="DATA LANÇAMENTO2" dataDxfId="546"/>
    <tableColumn id="15" xr3:uid="{64B0B99D-5211-4961-8785-C39CCFD3158B}" name="Forms Pedagio " dataDxfId="545"/>
    <tableColumn id="18" xr3:uid="{B433EBC6-68A3-497B-9043-240A481AA8C0}" name="Valor " dataDxfId="54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hyperlink" Target="mailto:operacaosuzano@jsl.com.br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97FC-5B5A-428E-A36C-1B712B0B4685}">
  <dimension ref="A1:P482"/>
  <sheetViews>
    <sheetView showGridLines="0" zoomScale="80" zoomScaleNormal="80" workbookViewId="0">
      <pane ySplit="2" topLeftCell="A3" activePane="bottomLeft" state="frozen"/>
      <selection pane="bottomLeft" activeCell="N1" sqref="N1"/>
    </sheetView>
  </sheetViews>
  <sheetFormatPr defaultRowHeight="15"/>
  <cols>
    <col min="1" max="1" width="16.85546875" style="1" customWidth="1"/>
    <col min="2" max="2" width="13.28515625" customWidth="1"/>
    <col min="3" max="3" width="12" customWidth="1"/>
    <col min="4" max="4" width="20.42578125" customWidth="1"/>
    <col min="5" max="5" width="7.7109375" customWidth="1"/>
    <col min="6" max="6" width="70.7109375" customWidth="1"/>
    <col min="7" max="7" width="18" customWidth="1"/>
    <col min="8" max="8" width="13.42578125" customWidth="1"/>
    <col min="9" max="9" width="14" style="60" customWidth="1"/>
    <col min="10" max="10" width="13.85546875" customWidth="1"/>
    <col min="11" max="11" width="8" hidden="1" customWidth="1"/>
    <col min="12" max="12" width="15.7109375" customWidth="1"/>
    <col min="13" max="13" width="21.140625" style="1" customWidth="1"/>
    <col min="14" max="14" width="18.42578125" style="14" bestFit="1" customWidth="1"/>
    <col min="15" max="15" width="14.5703125" customWidth="1"/>
    <col min="16" max="16" width="16.7109375" customWidth="1"/>
  </cols>
  <sheetData>
    <row r="1" spans="1:16" ht="15.75">
      <c r="A1" s="205"/>
      <c r="B1" s="206"/>
      <c r="C1" s="206"/>
      <c r="D1" s="206"/>
      <c r="E1" s="206"/>
      <c r="F1" s="206"/>
      <c r="G1" s="206"/>
      <c r="H1" s="206"/>
      <c r="I1" s="207"/>
      <c r="J1" s="206"/>
      <c r="K1" s="206"/>
      <c r="L1" s="206"/>
      <c r="M1" s="205"/>
      <c r="N1" s="218">
        <f>SUBTOTAL(9,Tabela13891011121314[Match_Planilha])</f>
        <v>230480.79000000004</v>
      </c>
      <c r="O1" s="208">
        <f>SUBTOTAL(9,Tabela13891011121314[Dif])</f>
        <v>0</v>
      </c>
      <c r="P1" s="206"/>
    </row>
    <row r="2" spans="1:16" ht="20.25" customHeight="1">
      <c r="A2" s="209" t="s">
        <v>0</v>
      </c>
      <c r="B2" s="210" t="s">
        <v>1</v>
      </c>
      <c r="C2" s="210" t="s">
        <v>2</v>
      </c>
      <c r="D2" s="210" t="s">
        <v>3</v>
      </c>
      <c r="E2" s="210" t="s">
        <v>4</v>
      </c>
      <c r="F2" s="210" t="s">
        <v>5</v>
      </c>
      <c r="G2" s="210" t="s">
        <v>6</v>
      </c>
      <c r="H2" s="210" t="s">
        <v>7</v>
      </c>
      <c r="I2" s="211" t="s">
        <v>8</v>
      </c>
      <c r="J2" s="210" t="s">
        <v>9</v>
      </c>
      <c r="K2" s="210" t="s">
        <v>10</v>
      </c>
      <c r="L2" s="212" t="s">
        <v>11</v>
      </c>
      <c r="M2" s="212" t="s">
        <v>12</v>
      </c>
      <c r="N2" s="213" t="s">
        <v>13</v>
      </c>
      <c r="O2" s="214" t="s">
        <v>14</v>
      </c>
      <c r="P2" s="212" t="s">
        <v>15</v>
      </c>
    </row>
    <row r="3" spans="1:16" ht="15.75">
      <c r="A3" s="205">
        <v>19206445</v>
      </c>
      <c r="B3" s="205"/>
      <c r="C3" s="205"/>
      <c r="D3" s="205"/>
      <c r="E3" s="205"/>
      <c r="F3" s="205" t="s">
        <v>16</v>
      </c>
      <c r="G3" s="215">
        <v>45653</v>
      </c>
      <c r="H3" s="215">
        <v>45653</v>
      </c>
      <c r="I3" s="216">
        <v>208</v>
      </c>
      <c r="J3" s="205" t="s">
        <v>17</v>
      </c>
      <c r="K3" s="205"/>
      <c r="L3" s="205" t="s">
        <v>18</v>
      </c>
      <c r="M3" s="215">
        <v>45659</v>
      </c>
      <c r="N3" s="217">
        <f>Tabela13891011121314[[#This Row],[Valor recibo]]</f>
        <v>208</v>
      </c>
      <c r="O3" s="217"/>
      <c r="P3" s="205"/>
    </row>
    <row r="4" spans="1:16" ht="15.75">
      <c r="A4" s="205">
        <v>19223330</v>
      </c>
      <c r="B4" s="205"/>
      <c r="C4" s="205"/>
      <c r="D4" s="205"/>
      <c r="E4" s="205"/>
      <c r="F4" s="205">
        <v>47834</v>
      </c>
      <c r="G4" s="215">
        <v>45656</v>
      </c>
      <c r="H4" s="215">
        <v>45656</v>
      </c>
      <c r="I4" s="216">
        <v>210</v>
      </c>
      <c r="J4" s="205" t="s">
        <v>17</v>
      </c>
      <c r="K4" s="205"/>
      <c r="L4" s="205" t="s">
        <v>18</v>
      </c>
      <c r="M4" s="215">
        <v>45659</v>
      </c>
      <c r="N4" s="217">
        <f>Tabela13891011121314[[#This Row],[Valor recibo]]</f>
        <v>210</v>
      </c>
      <c r="O4" s="217"/>
      <c r="P4" s="205"/>
    </row>
    <row r="5" spans="1:16" ht="15.75">
      <c r="A5" s="205">
        <v>19210921</v>
      </c>
      <c r="B5" s="205"/>
      <c r="C5" s="205"/>
      <c r="D5" s="205"/>
      <c r="E5" s="205"/>
      <c r="F5" s="205" t="s">
        <v>19</v>
      </c>
      <c r="G5" s="215">
        <v>45654</v>
      </c>
      <c r="H5" s="215">
        <v>45654</v>
      </c>
      <c r="I5" s="216">
        <v>338.8</v>
      </c>
      <c r="J5" s="205" t="s">
        <v>17</v>
      </c>
      <c r="K5" s="205"/>
      <c r="L5" s="205" t="s">
        <v>18</v>
      </c>
      <c r="M5" s="215">
        <v>45659</v>
      </c>
      <c r="N5" s="217">
        <f>Tabela13891011121314[[#This Row],[Valor recibo]]</f>
        <v>338.8</v>
      </c>
      <c r="O5" s="217"/>
      <c r="P5" s="205"/>
    </row>
    <row r="6" spans="1:16" ht="15.75">
      <c r="A6" s="205">
        <v>19228621</v>
      </c>
      <c r="B6" s="205"/>
      <c r="C6" s="205"/>
      <c r="D6" s="205"/>
      <c r="E6" s="205"/>
      <c r="F6" s="205" t="s">
        <v>20</v>
      </c>
      <c r="G6" s="215">
        <v>45657</v>
      </c>
      <c r="H6" s="215">
        <v>45657</v>
      </c>
      <c r="I6" s="216">
        <v>448</v>
      </c>
      <c r="J6" s="205" t="s">
        <v>17</v>
      </c>
      <c r="K6" s="205"/>
      <c r="L6" s="205" t="s">
        <v>18</v>
      </c>
      <c r="M6" s="215">
        <v>45659</v>
      </c>
      <c r="N6" s="217">
        <f>Tabela13891011121314[[#This Row],[Valor recibo]]</f>
        <v>448</v>
      </c>
      <c r="O6" s="217"/>
      <c r="P6" s="205"/>
    </row>
    <row r="7" spans="1:16" ht="15.75">
      <c r="A7" s="205">
        <v>19223335</v>
      </c>
      <c r="B7" s="215"/>
      <c r="C7" s="205"/>
      <c r="D7" s="205"/>
      <c r="E7" s="205"/>
      <c r="F7" s="205" t="s">
        <v>21</v>
      </c>
      <c r="G7" s="215">
        <v>45657</v>
      </c>
      <c r="H7" s="215">
        <v>45657</v>
      </c>
      <c r="I7" s="216">
        <v>420</v>
      </c>
      <c r="J7" s="205" t="s">
        <v>17</v>
      </c>
      <c r="K7" s="205"/>
      <c r="L7" s="205" t="s">
        <v>18</v>
      </c>
      <c r="M7" s="215">
        <v>45659</v>
      </c>
      <c r="N7" s="218">
        <f>Tabela13891011121314[[#This Row],[Valor recibo]]</f>
        <v>420</v>
      </c>
      <c r="O7" s="216"/>
      <c r="P7" s="205"/>
    </row>
    <row r="8" spans="1:16" ht="15.75">
      <c r="A8" s="205">
        <v>19229137</v>
      </c>
      <c r="B8" s="215"/>
      <c r="C8" s="205"/>
      <c r="D8" s="205"/>
      <c r="E8" s="205"/>
      <c r="F8" s="205" t="s">
        <v>22</v>
      </c>
      <c r="G8" s="215">
        <v>45656</v>
      </c>
      <c r="H8" s="215">
        <v>45687</v>
      </c>
      <c r="I8" s="216">
        <v>224</v>
      </c>
      <c r="J8" s="205" t="s">
        <v>17</v>
      </c>
      <c r="K8" s="205"/>
      <c r="L8" s="205" t="s">
        <v>18</v>
      </c>
      <c r="M8" s="215">
        <v>45659</v>
      </c>
      <c r="N8" s="218">
        <f>Tabela13891011121314[[#This Row],[Valor recibo]]</f>
        <v>224</v>
      </c>
      <c r="O8" s="216"/>
      <c r="P8" s="205"/>
    </row>
    <row r="9" spans="1:16" ht="15.75">
      <c r="A9" s="205">
        <v>19223338</v>
      </c>
      <c r="B9" s="215"/>
      <c r="C9" s="205"/>
      <c r="D9" s="205"/>
      <c r="E9" s="205"/>
      <c r="F9" s="205">
        <v>48242</v>
      </c>
      <c r="G9" s="215">
        <v>45659</v>
      </c>
      <c r="H9" s="215">
        <v>45659</v>
      </c>
      <c r="I9" s="216">
        <v>420</v>
      </c>
      <c r="J9" s="205" t="s">
        <v>17</v>
      </c>
      <c r="K9" s="205"/>
      <c r="L9" s="205" t="s">
        <v>18</v>
      </c>
      <c r="M9" s="215">
        <v>45659</v>
      </c>
      <c r="N9" s="218">
        <f>Tabela13891011121314[[#This Row],[Valor recibo]]</f>
        <v>420</v>
      </c>
      <c r="O9" s="216"/>
      <c r="P9" s="205"/>
    </row>
    <row r="10" spans="1:16" ht="15.75">
      <c r="A10" s="205">
        <v>19223266</v>
      </c>
      <c r="B10" s="215"/>
      <c r="C10" s="205"/>
      <c r="D10" s="205"/>
      <c r="E10" s="205"/>
      <c r="F10" s="205">
        <v>48371</v>
      </c>
      <c r="G10" s="215">
        <v>45659</v>
      </c>
      <c r="H10" s="215">
        <v>45659</v>
      </c>
      <c r="I10" s="216">
        <v>210</v>
      </c>
      <c r="J10" s="205" t="s">
        <v>17</v>
      </c>
      <c r="K10" s="205"/>
      <c r="L10" s="205" t="s">
        <v>18</v>
      </c>
      <c r="M10" s="215">
        <v>45659</v>
      </c>
      <c r="N10" s="218">
        <f>Tabela13891011121314[[#This Row],[Valor recibo]]</f>
        <v>210</v>
      </c>
      <c r="O10" s="216"/>
      <c r="P10" s="205"/>
    </row>
    <row r="11" spans="1:16" ht="15.75">
      <c r="A11" s="205">
        <v>19222452</v>
      </c>
      <c r="B11" s="215"/>
      <c r="C11" s="205"/>
      <c r="D11" s="205"/>
      <c r="E11" s="205"/>
      <c r="F11" s="205" t="s">
        <v>23</v>
      </c>
      <c r="G11" s="215">
        <v>45659</v>
      </c>
      <c r="H11" s="215">
        <v>45659</v>
      </c>
      <c r="I11" s="216">
        <v>0</v>
      </c>
      <c r="J11" s="205" t="s">
        <v>17</v>
      </c>
      <c r="K11" s="205"/>
      <c r="L11" s="205"/>
      <c r="M11" s="215"/>
      <c r="N11" s="218">
        <f>Tabela13891011121314[[#This Row],[Valor recibo]]</f>
        <v>0</v>
      </c>
      <c r="O11" s="216"/>
      <c r="P11" s="205"/>
    </row>
    <row r="12" spans="1:16" ht="15.75">
      <c r="A12" s="205">
        <v>19230296</v>
      </c>
      <c r="B12" s="215"/>
      <c r="C12" s="205"/>
      <c r="D12" s="205"/>
      <c r="E12" s="205"/>
      <c r="F12" s="205" t="s">
        <v>24</v>
      </c>
      <c r="G12" s="215">
        <v>45659</v>
      </c>
      <c r="H12" s="215">
        <v>45659</v>
      </c>
      <c r="I12" s="216">
        <v>0</v>
      </c>
      <c r="J12" s="205" t="s">
        <v>17</v>
      </c>
      <c r="K12" s="205"/>
      <c r="L12" s="205"/>
      <c r="M12" s="215"/>
      <c r="N12" s="218">
        <f>Tabela13891011121314[[#This Row],[Valor recibo]]</f>
        <v>0</v>
      </c>
      <c r="O12" s="216"/>
      <c r="P12" s="205"/>
    </row>
    <row r="13" spans="1:16" ht="15.75">
      <c r="A13" s="205">
        <v>19230316</v>
      </c>
      <c r="B13" s="215"/>
      <c r="C13" s="205"/>
      <c r="D13" s="205"/>
      <c r="E13" s="205"/>
      <c r="F13" s="205" t="s">
        <v>25</v>
      </c>
      <c r="G13" s="215">
        <v>45659</v>
      </c>
      <c r="H13" s="215">
        <v>45659</v>
      </c>
      <c r="I13" s="216">
        <v>238</v>
      </c>
      <c r="J13" s="205" t="s">
        <v>17</v>
      </c>
      <c r="K13" s="205"/>
      <c r="L13" s="205" t="s">
        <v>18</v>
      </c>
      <c r="M13" s="215">
        <v>45659</v>
      </c>
      <c r="N13" s="218">
        <f>Tabela13891011121314[[#This Row],[Valor recibo]]</f>
        <v>238</v>
      </c>
      <c r="O13" s="216"/>
      <c r="P13" s="205"/>
    </row>
    <row r="14" spans="1:16" ht="15.75">
      <c r="A14" s="205">
        <v>19230340</v>
      </c>
      <c r="B14" s="215"/>
      <c r="C14" s="205"/>
      <c r="D14" s="205"/>
      <c r="E14" s="205"/>
      <c r="F14" s="205" t="s">
        <v>26</v>
      </c>
      <c r="G14" s="215">
        <v>45659</v>
      </c>
      <c r="H14" s="215">
        <v>45659</v>
      </c>
      <c r="I14" s="216">
        <v>238</v>
      </c>
      <c r="J14" s="205" t="s">
        <v>17</v>
      </c>
      <c r="K14" s="205"/>
      <c r="L14" s="205" t="s">
        <v>18</v>
      </c>
      <c r="M14" s="215">
        <v>45659</v>
      </c>
      <c r="N14" s="218">
        <f>Tabela13891011121314[[#This Row],[Valor recibo]]</f>
        <v>238</v>
      </c>
      <c r="O14" s="216"/>
      <c r="P14" s="205"/>
    </row>
    <row r="15" spans="1:16" ht="15.75">
      <c r="A15" s="205">
        <v>19223294</v>
      </c>
      <c r="B15" s="215"/>
      <c r="C15" s="205"/>
      <c r="D15" s="205"/>
      <c r="E15" s="205"/>
      <c r="F15" s="205" t="s">
        <v>27</v>
      </c>
      <c r="G15" s="215">
        <v>45659</v>
      </c>
      <c r="H15" s="215">
        <v>45659</v>
      </c>
      <c r="I15" s="216">
        <v>210</v>
      </c>
      <c r="J15" s="205" t="s">
        <v>17</v>
      </c>
      <c r="K15" s="205"/>
      <c r="L15" s="205" t="s">
        <v>18</v>
      </c>
      <c r="M15" s="215">
        <v>45659</v>
      </c>
      <c r="N15" s="218">
        <f>Tabela13891011121314[[#This Row],[Valor recibo]]</f>
        <v>210</v>
      </c>
      <c r="O15" s="216"/>
      <c r="P15" s="205"/>
    </row>
    <row r="16" spans="1:16" ht="15.75">
      <c r="A16" s="205">
        <v>19224723</v>
      </c>
      <c r="B16" s="215"/>
      <c r="C16" s="205"/>
      <c r="D16" s="205"/>
      <c r="E16" s="205"/>
      <c r="F16" s="205">
        <v>48293</v>
      </c>
      <c r="G16" s="215">
        <v>45659</v>
      </c>
      <c r="H16" s="215">
        <v>45659</v>
      </c>
      <c r="I16" s="216">
        <v>184.21</v>
      </c>
      <c r="J16" s="205" t="s">
        <v>17</v>
      </c>
      <c r="K16" s="205"/>
      <c r="L16" s="205" t="s">
        <v>18</v>
      </c>
      <c r="M16" s="215">
        <v>45659</v>
      </c>
      <c r="N16" s="218">
        <f>Tabela13891011121314[[#This Row],[Valor recibo]]</f>
        <v>184.21</v>
      </c>
      <c r="O16" s="216"/>
      <c r="P16" s="205"/>
    </row>
    <row r="17" spans="1:16" ht="15.75">
      <c r="A17" s="205">
        <v>19230403</v>
      </c>
      <c r="B17" s="215"/>
      <c r="C17" s="205"/>
      <c r="D17" s="205"/>
      <c r="E17" s="205"/>
      <c r="F17" s="205">
        <v>48328</v>
      </c>
      <c r="G17" s="215">
        <v>45659</v>
      </c>
      <c r="H17" s="215">
        <v>45659</v>
      </c>
      <c r="I17" s="216">
        <v>420</v>
      </c>
      <c r="J17" s="205" t="s">
        <v>17</v>
      </c>
      <c r="K17" s="205"/>
      <c r="L17" s="205" t="s">
        <v>18</v>
      </c>
      <c r="M17" s="215">
        <v>45659</v>
      </c>
      <c r="N17" s="218">
        <f>Tabela13891011121314[[#This Row],[Valor recibo]]</f>
        <v>420</v>
      </c>
      <c r="O17" s="216"/>
      <c r="P17" s="205"/>
    </row>
    <row r="18" spans="1:16" ht="15.75">
      <c r="A18" s="205">
        <v>19207019</v>
      </c>
      <c r="B18" s="215"/>
      <c r="C18" s="205"/>
      <c r="D18" s="205"/>
      <c r="E18" s="205"/>
      <c r="F18" s="205">
        <v>48362</v>
      </c>
      <c r="G18" s="215">
        <v>45659</v>
      </c>
      <c r="H18" s="215">
        <v>45659</v>
      </c>
      <c r="I18" s="216">
        <v>1589.84</v>
      </c>
      <c r="J18" s="205" t="s">
        <v>17</v>
      </c>
      <c r="K18" s="205"/>
      <c r="L18" s="205" t="s">
        <v>18</v>
      </c>
      <c r="M18" s="215">
        <v>45660</v>
      </c>
      <c r="N18" s="218">
        <f>Tabela13891011121314[[#This Row],[Valor recibo]]</f>
        <v>1589.84</v>
      </c>
      <c r="O18" s="216"/>
      <c r="P18" s="205"/>
    </row>
    <row r="19" spans="1:16" ht="15.75">
      <c r="A19" s="205">
        <v>19223318</v>
      </c>
      <c r="B19" s="215"/>
      <c r="C19" s="205"/>
      <c r="D19" s="205"/>
      <c r="E19" s="205"/>
      <c r="F19" s="205" t="s">
        <v>28</v>
      </c>
      <c r="G19" s="215">
        <v>45659</v>
      </c>
      <c r="H19" s="215">
        <v>45659</v>
      </c>
      <c r="I19" s="216">
        <v>206.5</v>
      </c>
      <c r="J19" s="205" t="s">
        <v>17</v>
      </c>
      <c r="K19" s="205"/>
      <c r="L19" s="205" t="s">
        <v>18</v>
      </c>
      <c r="M19" s="215">
        <v>45660</v>
      </c>
      <c r="N19" s="218">
        <f>Tabela13891011121314[[#This Row],[Valor recibo]]</f>
        <v>206.5</v>
      </c>
      <c r="O19" s="216"/>
      <c r="P19" s="205"/>
    </row>
    <row r="20" spans="1:16" ht="15.75">
      <c r="A20" s="205">
        <v>19230402</v>
      </c>
      <c r="B20" s="215"/>
      <c r="C20" s="205"/>
      <c r="D20" s="205"/>
      <c r="E20" s="205"/>
      <c r="F20" s="205">
        <v>48257</v>
      </c>
      <c r="G20" s="215">
        <v>45659</v>
      </c>
      <c r="H20" s="215">
        <v>45659</v>
      </c>
      <c r="I20" s="216">
        <v>420</v>
      </c>
      <c r="J20" s="205" t="s">
        <v>17</v>
      </c>
      <c r="K20" s="205"/>
      <c r="L20" s="205" t="s">
        <v>18</v>
      </c>
      <c r="M20" s="215">
        <v>45660</v>
      </c>
      <c r="N20" s="218">
        <f>Tabela13891011121314[[#This Row],[Valor recibo]]</f>
        <v>420</v>
      </c>
      <c r="O20" s="216"/>
      <c r="P20" s="205"/>
    </row>
    <row r="21" spans="1:16" ht="15.75">
      <c r="A21" s="205">
        <v>19206416</v>
      </c>
      <c r="B21" s="215"/>
      <c r="C21" s="205"/>
      <c r="D21" s="205"/>
      <c r="E21" s="205"/>
      <c r="F21" s="205">
        <v>47986</v>
      </c>
      <c r="G21" s="215">
        <v>45656</v>
      </c>
      <c r="H21" s="215">
        <v>45656</v>
      </c>
      <c r="I21" s="216">
        <v>1492.94</v>
      </c>
      <c r="J21" s="205" t="s">
        <v>17</v>
      </c>
      <c r="K21" s="205"/>
      <c r="L21" s="205" t="s">
        <v>18</v>
      </c>
      <c r="M21" s="215">
        <v>45660</v>
      </c>
      <c r="N21" s="218">
        <f>Tabela13891011121314[[#This Row],[Valor recibo]]</f>
        <v>1492.94</v>
      </c>
      <c r="O21" s="216"/>
      <c r="P21" s="205"/>
    </row>
    <row r="22" spans="1:16" ht="15.75">
      <c r="A22" s="205">
        <v>19224462</v>
      </c>
      <c r="B22" s="215"/>
      <c r="C22" s="205"/>
      <c r="D22" s="205"/>
      <c r="E22" s="205"/>
      <c r="F22" s="205" t="s">
        <v>29</v>
      </c>
      <c r="G22" s="215">
        <v>45657</v>
      </c>
      <c r="H22" s="215">
        <v>45657</v>
      </c>
      <c r="I22" s="216">
        <v>1021</v>
      </c>
      <c r="J22" s="205" t="s">
        <v>17</v>
      </c>
      <c r="K22" s="205"/>
      <c r="L22" s="205" t="s">
        <v>18</v>
      </c>
      <c r="M22" s="215">
        <v>45660</v>
      </c>
      <c r="N22" s="218">
        <f>Tabela13891011121314[[#This Row],[Valor recibo]]</f>
        <v>1021</v>
      </c>
      <c r="O22" s="216"/>
      <c r="P22" s="205"/>
    </row>
    <row r="23" spans="1:16" ht="15.75">
      <c r="A23" s="205">
        <v>19219239</v>
      </c>
      <c r="B23" s="215"/>
      <c r="C23" s="205"/>
      <c r="D23" s="205"/>
      <c r="E23" s="205"/>
      <c r="F23" s="205" t="s">
        <v>30</v>
      </c>
      <c r="G23" s="215">
        <v>45657</v>
      </c>
      <c r="H23" s="215">
        <v>45657</v>
      </c>
      <c r="I23" s="216">
        <v>0</v>
      </c>
      <c r="J23" s="205" t="s">
        <v>17</v>
      </c>
      <c r="K23" s="205"/>
      <c r="L23" s="205"/>
      <c r="M23" s="215"/>
      <c r="N23" s="218">
        <f>Tabela13891011121314[[#This Row],[Valor recibo]]</f>
        <v>0</v>
      </c>
      <c r="O23" s="216"/>
      <c r="P23" s="205"/>
    </row>
    <row r="24" spans="1:16" ht="15.75">
      <c r="A24" s="205">
        <v>19230401</v>
      </c>
      <c r="B24" s="215"/>
      <c r="C24" s="205"/>
      <c r="D24" s="205"/>
      <c r="E24" s="205"/>
      <c r="F24" s="205" t="s">
        <v>31</v>
      </c>
      <c r="G24" s="215">
        <v>45660</v>
      </c>
      <c r="H24" s="215">
        <v>45659</v>
      </c>
      <c r="I24" s="216">
        <v>420</v>
      </c>
      <c r="J24" s="205" t="s">
        <v>17</v>
      </c>
      <c r="K24" s="205"/>
      <c r="L24" s="205" t="s">
        <v>18</v>
      </c>
      <c r="M24" s="215">
        <v>45660</v>
      </c>
      <c r="N24" s="218">
        <f>Tabela13891011121314[[#This Row],[Valor recibo]]</f>
        <v>420</v>
      </c>
      <c r="O24" s="216"/>
      <c r="P24" s="205"/>
    </row>
    <row r="25" spans="1:16" ht="15.75">
      <c r="A25" s="205">
        <v>19223307</v>
      </c>
      <c r="B25" s="215"/>
      <c r="C25" s="205"/>
      <c r="D25" s="205"/>
      <c r="E25" s="205"/>
      <c r="F25" s="205" t="s">
        <v>32</v>
      </c>
      <c r="G25" s="215">
        <v>45659</v>
      </c>
      <c r="H25" s="215">
        <v>45659</v>
      </c>
      <c r="I25" s="216">
        <v>420</v>
      </c>
      <c r="J25" s="205" t="s">
        <v>17</v>
      </c>
      <c r="K25" s="205"/>
      <c r="L25" s="205" t="s">
        <v>18</v>
      </c>
      <c r="M25" s="215">
        <v>45660</v>
      </c>
      <c r="N25" s="218">
        <f>Tabela13891011121314[[#This Row],[Valor recibo]]</f>
        <v>420</v>
      </c>
      <c r="O25" s="216"/>
      <c r="P25" s="205"/>
    </row>
    <row r="26" spans="1:16" ht="15.75">
      <c r="A26" s="205">
        <v>19223297</v>
      </c>
      <c r="B26" s="215"/>
      <c r="C26" s="205"/>
      <c r="D26" s="205"/>
      <c r="E26" s="205"/>
      <c r="F26" s="205">
        <v>48397</v>
      </c>
      <c r="G26" s="215">
        <v>45659</v>
      </c>
      <c r="H26" s="215">
        <v>45659</v>
      </c>
      <c r="I26" s="216">
        <v>195</v>
      </c>
      <c r="J26" s="205" t="s">
        <v>17</v>
      </c>
      <c r="K26" s="205"/>
      <c r="L26" s="205" t="s">
        <v>18</v>
      </c>
      <c r="M26" s="215">
        <v>45660</v>
      </c>
      <c r="N26" s="218">
        <f>Tabela13891011121314[[#This Row],[Valor recibo]]</f>
        <v>195</v>
      </c>
      <c r="O26" s="216"/>
      <c r="P26" s="205"/>
    </row>
    <row r="27" spans="1:16" ht="15.75">
      <c r="A27" s="205">
        <v>19223329</v>
      </c>
      <c r="B27" s="215"/>
      <c r="C27" s="205"/>
      <c r="D27" s="205"/>
      <c r="E27" s="205"/>
      <c r="F27" s="205">
        <v>48336</v>
      </c>
      <c r="G27" s="215">
        <v>45659</v>
      </c>
      <c r="H27" s="215">
        <v>45659</v>
      </c>
      <c r="I27" s="216">
        <v>210</v>
      </c>
      <c r="J27" s="205" t="s">
        <v>17</v>
      </c>
      <c r="K27" s="205"/>
      <c r="L27" s="205" t="s">
        <v>18</v>
      </c>
      <c r="M27" s="215">
        <v>45660</v>
      </c>
      <c r="N27" s="218">
        <f>Tabela13891011121314[[#This Row],[Valor recibo]]</f>
        <v>210</v>
      </c>
      <c r="O27" s="216"/>
      <c r="P27" s="205"/>
    </row>
    <row r="28" spans="1:16" ht="15.75">
      <c r="A28" s="205">
        <v>19230280</v>
      </c>
      <c r="B28" s="215"/>
      <c r="C28" s="205"/>
      <c r="D28" s="205"/>
      <c r="E28" s="205"/>
      <c r="F28" s="205" t="s">
        <v>33</v>
      </c>
      <c r="G28" s="215">
        <v>45659</v>
      </c>
      <c r="H28" s="215">
        <v>45659</v>
      </c>
      <c r="I28" s="216">
        <v>238</v>
      </c>
      <c r="J28" s="205" t="s">
        <v>17</v>
      </c>
      <c r="K28" s="205"/>
      <c r="L28" s="205" t="s">
        <v>18</v>
      </c>
      <c r="M28" s="215">
        <v>45660</v>
      </c>
      <c r="N28" s="218">
        <f>Tabela13891011121314[[#This Row],[Valor recibo]]</f>
        <v>238</v>
      </c>
      <c r="O28" s="216"/>
      <c r="P28" s="205"/>
    </row>
    <row r="29" spans="1:16" ht="15.75">
      <c r="A29" s="205">
        <v>19207712</v>
      </c>
      <c r="B29" s="215"/>
      <c r="C29" s="205"/>
      <c r="D29" s="205"/>
      <c r="E29" s="205"/>
      <c r="F29" s="205">
        <v>47800</v>
      </c>
      <c r="G29" s="215">
        <v>45687</v>
      </c>
      <c r="H29" s="215">
        <v>45687</v>
      </c>
      <c r="I29" s="216">
        <v>210</v>
      </c>
      <c r="J29" s="205" t="s">
        <v>17</v>
      </c>
      <c r="K29" s="205"/>
      <c r="L29" s="205" t="s">
        <v>18</v>
      </c>
      <c r="M29" s="215">
        <v>45660</v>
      </c>
      <c r="N29" s="218">
        <f>Tabela13891011121314[[#This Row],[Valor recibo]]</f>
        <v>210</v>
      </c>
      <c r="O29" s="216"/>
      <c r="P29" s="205"/>
    </row>
    <row r="30" spans="1:16" ht="15.75">
      <c r="A30" s="205">
        <v>19247451</v>
      </c>
      <c r="B30" s="215"/>
      <c r="C30" s="205"/>
      <c r="D30" s="205"/>
      <c r="E30" s="205"/>
      <c r="F30" s="205" t="s">
        <v>34</v>
      </c>
      <c r="G30" s="215">
        <v>45659</v>
      </c>
      <c r="H30" s="215">
        <v>45659</v>
      </c>
      <c r="I30" s="216">
        <v>238</v>
      </c>
      <c r="J30" s="205" t="s">
        <v>17</v>
      </c>
      <c r="K30" s="205"/>
      <c r="L30" s="205" t="s">
        <v>18</v>
      </c>
      <c r="M30" s="215">
        <v>45660</v>
      </c>
      <c r="N30" s="218">
        <f>Tabela13891011121314[[#This Row],[Valor recibo]]</f>
        <v>238</v>
      </c>
      <c r="O30" s="216"/>
      <c r="P30" s="205"/>
    </row>
    <row r="31" spans="1:16" ht="15.75">
      <c r="A31" s="205">
        <v>19228719</v>
      </c>
      <c r="B31" s="215"/>
      <c r="C31" s="205"/>
      <c r="D31" s="205"/>
      <c r="E31" s="205"/>
      <c r="F31" s="205" t="s">
        <v>35</v>
      </c>
      <c r="G31" s="215">
        <v>45659</v>
      </c>
      <c r="H31" s="215">
        <v>45659</v>
      </c>
      <c r="I31" s="216">
        <v>476</v>
      </c>
      <c r="J31" s="205" t="s">
        <v>17</v>
      </c>
      <c r="K31" s="205"/>
      <c r="L31" s="205" t="s">
        <v>18</v>
      </c>
      <c r="M31" s="215">
        <v>45660</v>
      </c>
      <c r="N31" s="218">
        <f>Tabela13891011121314[[#This Row],[Valor recibo]]</f>
        <v>476</v>
      </c>
      <c r="O31" s="216"/>
      <c r="P31" s="205"/>
    </row>
    <row r="32" spans="1:16" ht="15.75">
      <c r="A32" s="205">
        <v>19233705</v>
      </c>
      <c r="B32" s="215"/>
      <c r="C32" s="205"/>
      <c r="D32" s="205"/>
      <c r="E32" s="205"/>
      <c r="F32" s="205" t="s">
        <v>36</v>
      </c>
      <c r="G32" s="215">
        <v>45659</v>
      </c>
      <c r="H32" s="215">
        <v>45659</v>
      </c>
      <c r="I32" s="216">
        <v>221</v>
      </c>
      <c r="J32" s="205" t="s">
        <v>17</v>
      </c>
      <c r="K32" s="205"/>
      <c r="L32" s="205" t="s">
        <v>18</v>
      </c>
      <c r="M32" s="215">
        <v>45660</v>
      </c>
      <c r="N32" s="218">
        <f>Tabela13891011121314[[#This Row],[Valor recibo]]</f>
        <v>221</v>
      </c>
      <c r="O32" s="216"/>
      <c r="P32" s="205"/>
    </row>
    <row r="33" spans="1:16" ht="15.75">
      <c r="A33" s="205">
        <v>19248511</v>
      </c>
      <c r="B33" s="215"/>
      <c r="C33" s="205"/>
      <c r="D33" s="205"/>
      <c r="E33" s="205"/>
      <c r="F33" s="205" t="s">
        <v>37</v>
      </c>
      <c r="G33" s="215">
        <v>45660</v>
      </c>
      <c r="H33" s="215">
        <v>45660</v>
      </c>
      <c r="I33" s="216">
        <v>560</v>
      </c>
      <c r="J33" s="205" t="s">
        <v>17</v>
      </c>
      <c r="K33" s="205"/>
      <c r="L33" s="205" t="s">
        <v>18</v>
      </c>
      <c r="M33" s="215">
        <v>45660</v>
      </c>
      <c r="N33" s="218">
        <f>Tabela13891011121314[[#This Row],[Valor recibo]]</f>
        <v>560</v>
      </c>
      <c r="O33" s="216"/>
      <c r="P33" s="205"/>
    </row>
    <row r="34" spans="1:16" ht="15.75">
      <c r="A34" s="205">
        <v>19250733</v>
      </c>
      <c r="B34" s="215"/>
      <c r="C34" s="205"/>
      <c r="D34" s="205"/>
      <c r="E34" s="205"/>
      <c r="F34" s="205" t="s">
        <v>38</v>
      </c>
      <c r="G34" s="215">
        <v>45660</v>
      </c>
      <c r="H34" s="215">
        <v>45660</v>
      </c>
      <c r="I34" s="216">
        <v>730</v>
      </c>
      <c r="J34" s="205" t="s">
        <v>17</v>
      </c>
      <c r="K34" s="205"/>
      <c r="L34" s="205" t="s">
        <v>18</v>
      </c>
      <c r="M34" s="215">
        <v>45660</v>
      </c>
      <c r="N34" s="218">
        <f>Tabela13891011121314[[#This Row],[Valor recibo]]</f>
        <v>730</v>
      </c>
      <c r="O34" s="216"/>
      <c r="P34" s="205"/>
    </row>
    <row r="35" spans="1:16" ht="15.75">
      <c r="A35" s="205">
        <v>19184590</v>
      </c>
      <c r="B35" s="215"/>
      <c r="C35" s="205"/>
      <c r="D35" s="205"/>
      <c r="E35" s="205"/>
      <c r="F35" s="205" t="s">
        <v>39</v>
      </c>
      <c r="G35" s="215">
        <v>45659</v>
      </c>
      <c r="H35" s="215">
        <v>45659</v>
      </c>
      <c r="I35" s="216">
        <v>531.6</v>
      </c>
      <c r="J35" s="205" t="s">
        <v>17</v>
      </c>
      <c r="K35" s="205"/>
      <c r="L35" s="205" t="s">
        <v>18</v>
      </c>
      <c r="M35" s="215">
        <v>45660</v>
      </c>
      <c r="N35" s="218">
        <f>Tabela13891011121314[[#This Row],[Valor recibo]]</f>
        <v>531.6</v>
      </c>
      <c r="O35" s="216"/>
      <c r="P35" s="205"/>
    </row>
    <row r="36" spans="1:16" ht="15.75">
      <c r="A36" s="205">
        <v>19233774</v>
      </c>
      <c r="B36" s="215"/>
      <c r="C36" s="205"/>
      <c r="D36" s="205"/>
      <c r="E36" s="205"/>
      <c r="F36" s="205" t="s">
        <v>40</v>
      </c>
      <c r="G36" s="215">
        <v>45660</v>
      </c>
      <c r="H36" s="215">
        <v>45660</v>
      </c>
      <c r="I36" s="216">
        <v>357</v>
      </c>
      <c r="J36" s="205" t="s">
        <v>17</v>
      </c>
      <c r="K36" s="205"/>
      <c r="L36" s="205" t="s">
        <v>18</v>
      </c>
      <c r="M36" s="215">
        <v>45660</v>
      </c>
      <c r="N36" s="218">
        <f>Tabela13891011121314[[#This Row],[Valor recibo]]</f>
        <v>357</v>
      </c>
      <c r="O36" s="216"/>
      <c r="P36" s="205"/>
    </row>
    <row r="37" spans="1:16" ht="15.75">
      <c r="A37" s="205">
        <v>19172777</v>
      </c>
      <c r="B37" s="215"/>
      <c r="C37" s="205"/>
      <c r="D37" s="205"/>
      <c r="E37" s="205"/>
      <c r="F37" s="205">
        <v>47010</v>
      </c>
      <c r="G37" s="215">
        <v>45660</v>
      </c>
      <c r="H37" s="215">
        <v>45660</v>
      </c>
      <c r="I37" s="216">
        <v>588.4</v>
      </c>
      <c r="J37" s="205" t="s">
        <v>17</v>
      </c>
      <c r="K37" s="205"/>
      <c r="L37" s="205" t="s">
        <v>18</v>
      </c>
      <c r="M37" s="215">
        <v>45660</v>
      </c>
      <c r="N37" s="218">
        <f>Tabela13891011121314[[#This Row],[Valor recibo]]</f>
        <v>588.4</v>
      </c>
      <c r="O37" s="216"/>
      <c r="P37" s="205"/>
    </row>
    <row r="38" spans="1:16" ht="15.75">
      <c r="A38" s="205">
        <v>19230384</v>
      </c>
      <c r="B38" s="215"/>
      <c r="C38" s="205"/>
      <c r="D38" s="205"/>
      <c r="E38" s="205"/>
      <c r="F38" s="205" t="s">
        <v>41</v>
      </c>
      <c r="G38" s="215">
        <v>45660</v>
      </c>
      <c r="H38" s="215">
        <v>45660</v>
      </c>
      <c r="I38" s="216">
        <v>0</v>
      </c>
      <c r="J38" s="205"/>
      <c r="K38" s="205"/>
      <c r="L38" s="205"/>
      <c r="M38" s="215"/>
      <c r="N38" s="218">
        <f>Tabela13891011121314[[#This Row],[Valor recibo]]</f>
        <v>0</v>
      </c>
      <c r="O38" s="216"/>
      <c r="P38" s="205"/>
    </row>
    <row r="39" spans="1:16" ht="15.75">
      <c r="A39" s="205">
        <v>19248434</v>
      </c>
      <c r="B39" s="215"/>
      <c r="C39" s="205"/>
      <c r="D39" s="205"/>
      <c r="E39" s="205"/>
      <c r="F39" s="205" t="s">
        <v>42</v>
      </c>
      <c r="G39" s="215">
        <v>45660</v>
      </c>
      <c r="H39" s="215">
        <v>45660</v>
      </c>
      <c r="I39" s="216">
        <v>584.4</v>
      </c>
      <c r="J39" s="205" t="s">
        <v>17</v>
      </c>
      <c r="K39" s="205"/>
      <c r="L39" s="205" t="s">
        <v>18</v>
      </c>
      <c r="M39" s="215">
        <v>45660</v>
      </c>
      <c r="N39" s="218">
        <f>Tabela13891011121314[[#This Row],[Valor recibo]]</f>
        <v>584.4</v>
      </c>
      <c r="O39" s="216"/>
      <c r="P39" s="205"/>
    </row>
    <row r="40" spans="1:16" ht="15.75">
      <c r="A40" s="205">
        <v>19210916</v>
      </c>
      <c r="B40" s="215"/>
      <c r="C40" s="205"/>
      <c r="D40" s="205"/>
      <c r="E40" s="205"/>
      <c r="F40" s="205" t="s">
        <v>43</v>
      </c>
      <c r="G40" s="215">
        <v>45661</v>
      </c>
      <c r="H40" s="215">
        <v>45661</v>
      </c>
      <c r="I40" s="216">
        <v>476</v>
      </c>
      <c r="J40" s="205" t="s">
        <v>17</v>
      </c>
      <c r="K40" s="205"/>
      <c r="L40" s="205" t="s">
        <v>18</v>
      </c>
      <c r="M40" s="215">
        <v>45663</v>
      </c>
      <c r="N40" s="218">
        <f>Tabela13891011121314[[#This Row],[Valor recibo]]</f>
        <v>476</v>
      </c>
      <c r="O40" s="216"/>
      <c r="P40" s="205"/>
    </row>
    <row r="41" spans="1:16" ht="15.75">
      <c r="A41" s="205">
        <v>19206414</v>
      </c>
      <c r="B41" s="215"/>
      <c r="C41" s="205"/>
      <c r="D41" s="205"/>
      <c r="E41" s="205"/>
      <c r="F41" s="205">
        <v>47490</v>
      </c>
      <c r="G41" s="215">
        <v>45661</v>
      </c>
      <c r="H41" s="215">
        <v>45661</v>
      </c>
      <c r="I41" s="216">
        <v>1618.48</v>
      </c>
      <c r="J41" s="205" t="s">
        <v>17</v>
      </c>
      <c r="K41" s="205"/>
      <c r="L41" s="205" t="s">
        <v>18</v>
      </c>
      <c r="M41" s="215">
        <v>45663</v>
      </c>
      <c r="N41" s="218">
        <f>Tabela13891011121314[[#This Row],[Valor recibo]]</f>
        <v>1618.48</v>
      </c>
      <c r="O41" s="216"/>
      <c r="P41" s="205"/>
    </row>
    <row r="42" spans="1:16" ht="15.75">
      <c r="A42" s="205">
        <v>19233564</v>
      </c>
      <c r="B42" s="215"/>
      <c r="C42" s="205"/>
      <c r="D42" s="205"/>
      <c r="E42" s="205"/>
      <c r="F42" s="205" t="s">
        <v>44</v>
      </c>
      <c r="G42" s="215">
        <v>45660</v>
      </c>
      <c r="H42" s="215">
        <v>45660</v>
      </c>
      <c r="I42" s="216">
        <v>510</v>
      </c>
      <c r="J42" s="205" t="s">
        <v>17</v>
      </c>
      <c r="K42" s="205"/>
      <c r="L42" s="205" t="s">
        <v>18</v>
      </c>
      <c r="M42" s="215">
        <v>45663</v>
      </c>
      <c r="N42" s="218">
        <f>Tabela13891011121314[[#This Row],[Valor recibo]]</f>
        <v>510</v>
      </c>
      <c r="O42" s="216"/>
      <c r="P42" s="205"/>
    </row>
    <row r="43" spans="1:16" ht="15.75">
      <c r="A43" s="205">
        <v>19227812</v>
      </c>
      <c r="B43" s="215"/>
      <c r="C43" s="205"/>
      <c r="D43" s="205"/>
      <c r="E43" s="205"/>
      <c r="F43" s="205">
        <v>47827</v>
      </c>
      <c r="G43" s="215">
        <v>45656</v>
      </c>
      <c r="H43" s="215">
        <v>45656</v>
      </c>
      <c r="I43" s="216">
        <v>476</v>
      </c>
      <c r="J43" s="205" t="s">
        <v>17</v>
      </c>
      <c r="K43" s="205"/>
      <c r="L43" s="205" t="s">
        <v>18</v>
      </c>
      <c r="M43" s="215">
        <v>45663</v>
      </c>
      <c r="N43" s="218">
        <f>Tabela13891011121314[[#This Row],[Valor recibo]]</f>
        <v>476</v>
      </c>
      <c r="O43" s="216"/>
      <c r="P43" s="205"/>
    </row>
    <row r="44" spans="1:16" ht="15.75">
      <c r="A44" s="205">
        <v>19246681</v>
      </c>
      <c r="B44" s="215"/>
      <c r="C44" s="205"/>
      <c r="D44" s="205"/>
      <c r="E44" s="205"/>
      <c r="F44" s="205" t="s">
        <v>45</v>
      </c>
      <c r="G44" s="215">
        <v>45663</v>
      </c>
      <c r="H44" s="215">
        <v>45663</v>
      </c>
      <c r="I44" s="216">
        <v>476</v>
      </c>
      <c r="J44" s="205" t="s">
        <v>17</v>
      </c>
      <c r="K44" s="205"/>
      <c r="L44" s="205" t="s">
        <v>18</v>
      </c>
      <c r="M44" s="215">
        <v>45663</v>
      </c>
      <c r="N44" s="218">
        <f>Tabela13891011121314[[#This Row],[Valor recibo]]</f>
        <v>476</v>
      </c>
      <c r="O44" s="216"/>
      <c r="P44" s="205"/>
    </row>
    <row r="45" spans="1:16" ht="15.75">
      <c r="A45" s="205">
        <v>19230288</v>
      </c>
      <c r="B45" s="215"/>
      <c r="C45" s="205"/>
      <c r="D45" s="205"/>
      <c r="E45" s="205"/>
      <c r="F45" s="205" t="s">
        <v>46</v>
      </c>
      <c r="G45" s="215">
        <v>45660</v>
      </c>
      <c r="H45" s="215">
        <v>45660</v>
      </c>
      <c r="I45" s="216">
        <v>560</v>
      </c>
      <c r="J45" s="205" t="s">
        <v>17</v>
      </c>
      <c r="K45" s="205"/>
      <c r="L45" s="205" t="s">
        <v>18</v>
      </c>
      <c r="M45" s="215">
        <v>45663</v>
      </c>
      <c r="N45" s="218">
        <f>Tabela13891011121314[[#This Row],[Valor recibo]]</f>
        <v>560</v>
      </c>
      <c r="O45" s="216"/>
      <c r="P45" s="205"/>
    </row>
    <row r="46" spans="1:16" ht="15.75">
      <c r="A46" s="205">
        <v>19233750</v>
      </c>
      <c r="B46" s="215"/>
      <c r="C46" s="205"/>
      <c r="D46" s="205"/>
      <c r="E46" s="205"/>
      <c r="F46" s="205" t="s">
        <v>47</v>
      </c>
      <c r="G46" s="215">
        <v>45660</v>
      </c>
      <c r="H46" s="215">
        <v>45660</v>
      </c>
      <c r="I46" s="216">
        <v>1675</v>
      </c>
      <c r="J46" s="205" t="s">
        <v>17</v>
      </c>
      <c r="K46" s="205"/>
      <c r="L46" s="205" t="s">
        <v>18</v>
      </c>
      <c r="M46" s="215">
        <v>45663</v>
      </c>
      <c r="N46" s="218">
        <f>Tabela13891011121314[[#This Row],[Valor recibo]]</f>
        <v>1675</v>
      </c>
      <c r="O46" s="216"/>
      <c r="P46" s="205"/>
    </row>
    <row r="47" spans="1:16" ht="15.75">
      <c r="A47" s="205">
        <v>19249309</v>
      </c>
      <c r="B47" s="215"/>
      <c r="C47" s="205"/>
      <c r="D47" s="205"/>
      <c r="E47" s="205"/>
      <c r="F47" s="205" t="s">
        <v>48</v>
      </c>
      <c r="G47" s="215">
        <v>45659</v>
      </c>
      <c r="H47" s="215">
        <v>45659</v>
      </c>
      <c r="I47" s="216">
        <v>0</v>
      </c>
      <c r="J47" s="205" t="s">
        <v>17</v>
      </c>
      <c r="K47" s="205"/>
      <c r="L47" s="205"/>
      <c r="M47" s="215"/>
      <c r="N47" s="218">
        <f>Tabela13891011121314[[#This Row],[Valor recibo]]</f>
        <v>0</v>
      </c>
      <c r="O47" s="216"/>
      <c r="P47" s="205"/>
    </row>
    <row r="48" spans="1:16" ht="15.75">
      <c r="A48" s="205">
        <v>19228574</v>
      </c>
      <c r="B48" s="215"/>
      <c r="C48" s="205"/>
      <c r="D48" s="205"/>
      <c r="E48" s="205"/>
      <c r="F48" s="205" t="s">
        <v>49</v>
      </c>
      <c r="G48" s="215">
        <v>45660</v>
      </c>
      <c r="H48" s="215">
        <v>45660</v>
      </c>
      <c r="I48" s="216">
        <v>1138</v>
      </c>
      <c r="J48" s="205" t="s">
        <v>17</v>
      </c>
      <c r="K48" s="205"/>
      <c r="L48" s="205" t="s">
        <v>18</v>
      </c>
      <c r="M48" s="215">
        <v>45663</v>
      </c>
      <c r="N48" s="218">
        <f>Tabela13891011121314[[#This Row],[Valor recibo]]</f>
        <v>1138</v>
      </c>
      <c r="O48" s="216"/>
      <c r="P48" s="205"/>
    </row>
    <row r="49" spans="1:16" ht="15.75">
      <c r="A49" s="205">
        <v>19250741</v>
      </c>
      <c r="B49" s="215"/>
      <c r="C49" s="205"/>
      <c r="D49" s="205"/>
      <c r="E49" s="205"/>
      <c r="F49" s="205">
        <v>48719</v>
      </c>
      <c r="G49" s="215">
        <v>45660</v>
      </c>
      <c r="H49" s="215">
        <v>45660</v>
      </c>
      <c r="I49" s="216">
        <v>476</v>
      </c>
      <c r="J49" s="205" t="s">
        <v>17</v>
      </c>
      <c r="K49" s="205"/>
      <c r="L49" s="205" t="s">
        <v>18</v>
      </c>
      <c r="M49" s="215">
        <v>45663</v>
      </c>
      <c r="N49" s="218">
        <f>Tabela13891011121314[[#This Row],[Valor recibo]]</f>
        <v>476</v>
      </c>
      <c r="O49" s="216"/>
      <c r="P49" s="205"/>
    </row>
    <row r="50" spans="1:16" ht="15.75">
      <c r="A50" s="205">
        <v>19222490</v>
      </c>
      <c r="B50" s="215"/>
      <c r="C50" s="205"/>
      <c r="D50" s="205"/>
      <c r="E50" s="205"/>
      <c r="F50" s="205" t="s">
        <v>50</v>
      </c>
      <c r="G50" s="215">
        <v>45660</v>
      </c>
      <c r="H50" s="215">
        <v>45660</v>
      </c>
      <c r="I50" s="216">
        <v>631.79999999999995</v>
      </c>
      <c r="J50" s="205" t="s">
        <v>17</v>
      </c>
      <c r="K50" s="205"/>
      <c r="L50" s="205" t="s">
        <v>18</v>
      </c>
      <c r="M50" s="215">
        <v>45663</v>
      </c>
      <c r="N50" s="218">
        <f>Tabela13891011121314[[#This Row],[Valor recibo]]</f>
        <v>631.79999999999995</v>
      </c>
      <c r="O50" s="216"/>
      <c r="P50" s="205"/>
    </row>
    <row r="51" spans="1:16" ht="15.75">
      <c r="A51" s="205">
        <v>19223256</v>
      </c>
      <c r="B51" s="215"/>
      <c r="C51" s="205"/>
      <c r="D51" s="205"/>
      <c r="E51" s="205"/>
      <c r="F51" s="205">
        <v>48727</v>
      </c>
      <c r="G51" s="215">
        <v>45660</v>
      </c>
      <c r="H51" s="215">
        <v>45660</v>
      </c>
      <c r="I51" s="216">
        <v>1738.84</v>
      </c>
      <c r="J51" s="205" t="s">
        <v>17</v>
      </c>
      <c r="K51" s="205"/>
      <c r="L51" s="205" t="s">
        <v>18</v>
      </c>
      <c r="M51" s="215">
        <v>45663</v>
      </c>
      <c r="N51" s="218">
        <f>Tabela13891011121314[[#This Row],[Valor recibo]]</f>
        <v>1738.84</v>
      </c>
      <c r="O51" s="216"/>
      <c r="P51" s="205"/>
    </row>
    <row r="52" spans="1:16" ht="15.75">
      <c r="A52" s="205">
        <v>19270507</v>
      </c>
      <c r="B52" s="215"/>
      <c r="C52" s="205"/>
      <c r="D52" s="205"/>
      <c r="E52" s="205"/>
      <c r="F52" s="205" t="s">
        <v>51</v>
      </c>
      <c r="G52" s="215">
        <v>45663</v>
      </c>
      <c r="H52" s="215">
        <v>45663</v>
      </c>
      <c r="I52" s="216">
        <v>557.20000000000005</v>
      </c>
      <c r="J52" s="205" t="s">
        <v>17</v>
      </c>
      <c r="K52" s="205"/>
      <c r="L52" s="205" t="s">
        <v>18</v>
      </c>
      <c r="M52" s="215">
        <v>45663</v>
      </c>
      <c r="N52" s="218">
        <f>Tabela13891011121314[[#This Row],[Valor recibo]]</f>
        <v>557.20000000000005</v>
      </c>
      <c r="O52" s="216"/>
      <c r="P52" s="205"/>
    </row>
    <row r="53" spans="1:16" ht="15.75">
      <c r="A53" s="205">
        <v>19270509</v>
      </c>
      <c r="B53" s="215"/>
      <c r="C53" s="205"/>
      <c r="D53" s="205"/>
      <c r="E53" s="205"/>
      <c r="F53" s="205" t="s">
        <v>52</v>
      </c>
      <c r="G53" s="215">
        <v>45663</v>
      </c>
      <c r="H53" s="215">
        <v>45663</v>
      </c>
      <c r="I53" s="216">
        <v>557.20000000000005</v>
      </c>
      <c r="J53" s="205" t="s">
        <v>17</v>
      </c>
      <c r="K53" s="205"/>
      <c r="L53" s="205" t="s">
        <v>18</v>
      </c>
      <c r="M53" s="215">
        <v>45663</v>
      </c>
      <c r="N53" s="218">
        <f>Tabela13891011121314[[#This Row],[Valor recibo]]</f>
        <v>557.20000000000005</v>
      </c>
      <c r="O53" s="216"/>
      <c r="P53" s="205"/>
    </row>
    <row r="54" spans="1:16" ht="15.75">
      <c r="A54" s="205">
        <v>19268319</v>
      </c>
      <c r="B54" s="215"/>
      <c r="C54" s="205"/>
      <c r="D54" s="205"/>
      <c r="E54" s="205"/>
      <c r="F54" s="205">
        <v>23194</v>
      </c>
      <c r="G54" s="215">
        <v>45663</v>
      </c>
      <c r="H54" s="215">
        <v>45663</v>
      </c>
      <c r="I54" s="216">
        <v>833</v>
      </c>
      <c r="J54" s="205" t="s">
        <v>17</v>
      </c>
      <c r="K54" s="205"/>
      <c r="L54" s="205" t="s">
        <v>18</v>
      </c>
      <c r="M54" s="215">
        <v>45663</v>
      </c>
      <c r="N54" s="218">
        <f>Tabela13891011121314[[#This Row],[Valor recibo]]</f>
        <v>833</v>
      </c>
      <c r="O54" s="216"/>
      <c r="P54" s="205"/>
    </row>
    <row r="55" spans="1:16" ht="15.75">
      <c r="A55" s="205">
        <v>19270506</v>
      </c>
      <c r="B55" s="215"/>
      <c r="C55" s="205"/>
      <c r="D55" s="205"/>
      <c r="E55" s="205"/>
      <c r="F55" s="205" t="s">
        <v>53</v>
      </c>
      <c r="G55" s="215">
        <v>45663</v>
      </c>
      <c r="H55" s="215">
        <v>45663</v>
      </c>
      <c r="I55" s="216">
        <v>557.20000000000005</v>
      </c>
      <c r="J55" s="205" t="s">
        <v>17</v>
      </c>
      <c r="K55" s="205"/>
      <c r="L55" s="205" t="s">
        <v>18</v>
      </c>
      <c r="M55" s="215">
        <v>45663</v>
      </c>
      <c r="N55" s="218">
        <f>Tabela13891011121314[[#This Row],[Valor recibo]]</f>
        <v>557.20000000000005</v>
      </c>
      <c r="O55" s="216"/>
      <c r="P55" s="205"/>
    </row>
    <row r="56" spans="1:16" ht="15.75">
      <c r="A56" s="205">
        <v>19270510</v>
      </c>
      <c r="B56" s="215"/>
      <c r="C56" s="205"/>
      <c r="D56" s="205"/>
      <c r="E56" s="205"/>
      <c r="F56" s="205" t="s">
        <v>54</v>
      </c>
      <c r="G56" s="215">
        <v>45663</v>
      </c>
      <c r="H56" s="215">
        <v>45663</v>
      </c>
      <c r="I56" s="216">
        <v>557.20000000000005</v>
      </c>
      <c r="J56" s="205" t="s">
        <v>17</v>
      </c>
      <c r="K56" s="205"/>
      <c r="L56" s="205" t="s">
        <v>18</v>
      </c>
      <c r="M56" s="215">
        <v>45663</v>
      </c>
      <c r="N56" s="218">
        <f>Tabela13891011121314[[#This Row],[Valor recibo]]</f>
        <v>557.20000000000005</v>
      </c>
      <c r="O56" s="216"/>
      <c r="P56" s="205"/>
    </row>
    <row r="57" spans="1:16" ht="15.75">
      <c r="A57" s="205">
        <v>19250658</v>
      </c>
      <c r="B57" s="215"/>
      <c r="C57" s="205"/>
      <c r="D57" s="205"/>
      <c r="E57" s="205"/>
      <c r="F57" s="205">
        <v>48841</v>
      </c>
      <c r="G57" s="215">
        <v>45663</v>
      </c>
      <c r="H57" s="215">
        <v>45663</v>
      </c>
      <c r="I57" s="216">
        <v>420</v>
      </c>
      <c r="J57" s="205" t="s">
        <v>17</v>
      </c>
      <c r="K57" s="205"/>
      <c r="L57" s="205" t="s">
        <v>18</v>
      </c>
      <c r="M57" s="215">
        <v>45664</v>
      </c>
      <c r="N57" s="218">
        <f>Tabela13891011121314[[#This Row],[Valor recibo]]</f>
        <v>420</v>
      </c>
      <c r="O57" s="216"/>
      <c r="P57" s="205"/>
    </row>
    <row r="58" spans="1:16" ht="15.75">
      <c r="A58" s="205">
        <v>19248466</v>
      </c>
      <c r="B58" s="215"/>
      <c r="C58" s="205"/>
      <c r="D58" s="205"/>
      <c r="E58" s="205"/>
      <c r="F58" s="205">
        <v>48851</v>
      </c>
      <c r="G58" s="215">
        <v>45663</v>
      </c>
      <c r="H58" s="215">
        <v>45663</v>
      </c>
      <c r="I58" s="216">
        <v>476</v>
      </c>
      <c r="J58" s="205" t="s">
        <v>17</v>
      </c>
      <c r="K58" s="205"/>
      <c r="L58" s="205" t="s">
        <v>18</v>
      </c>
      <c r="M58" s="215">
        <v>45664</v>
      </c>
      <c r="N58" s="218">
        <f>Tabela13891011121314[[#This Row],[Valor recibo]]</f>
        <v>476</v>
      </c>
      <c r="O58" s="216"/>
      <c r="P58" s="205"/>
    </row>
    <row r="59" spans="1:16" ht="15.75">
      <c r="A59" s="205">
        <v>19249660</v>
      </c>
      <c r="B59" s="215"/>
      <c r="C59" s="205"/>
      <c r="D59" s="205"/>
      <c r="E59" s="205"/>
      <c r="F59" s="205">
        <v>48878</v>
      </c>
      <c r="G59" s="215">
        <v>45663</v>
      </c>
      <c r="H59" s="215">
        <v>45663</v>
      </c>
      <c r="I59" s="216">
        <v>1331.14</v>
      </c>
      <c r="J59" s="205" t="s">
        <v>17</v>
      </c>
      <c r="K59" s="205"/>
      <c r="L59" s="205" t="s">
        <v>18</v>
      </c>
      <c r="M59" s="215">
        <v>45664</v>
      </c>
      <c r="N59" s="218">
        <f>Tabela13891011121314[[#This Row],[Valor recibo]]</f>
        <v>1331.14</v>
      </c>
      <c r="O59" s="216"/>
      <c r="P59" s="205"/>
    </row>
    <row r="60" spans="1:16" ht="15.75">
      <c r="A60" s="205">
        <v>19268321</v>
      </c>
      <c r="B60" s="215"/>
      <c r="C60" s="205"/>
      <c r="D60" s="205"/>
      <c r="E60" s="205"/>
      <c r="F60" s="205">
        <v>23178</v>
      </c>
      <c r="G60" s="215">
        <v>45664</v>
      </c>
      <c r="H60" s="215">
        <v>45664</v>
      </c>
      <c r="I60" s="216">
        <v>949</v>
      </c>
      <c r="J60" s="205" t="s">
        <v>17</v>
      </c>
      <c r="K60" s="205"/>
      <c r="L60" s="205" t="s">
        <v>18</v>
      </c>
      <c r="M60" s="215">
        <v>45664</v>
      </c>
      <c r="N60" s="218">
        <f>Tabela13891011121314[[#This Row],[Valor recibo]]</f>
        <v>949</v>
      </c>
      <c r="O60" s="216"/>
      <c r="P60" s="205"/>
    </row>
    <row r="61" spans="1:16" ht="15.75">
      <c r="A61" s="205">
        <v>19289833</v>
      </c>
      <c r="B61" s="215"/>
      <c r="C61" s="205"/>
      <c r="D61" s="205"/>
      <c r="E61" s="205"/>
      <c r="F61" s="205">
        <v>49089</v>
      </c>
      <c r="G61" s="215">
        <v>45664</v>
      </c>
      <c r="H61" s="215">
        <v>45664</v>
      </c>
      <c r="I61" s="216">
        <v>677.6</v>
      </c>
      <c r="J61" s="205" t="s">
        <v>17</v>
      </c>
      <c r="K61" s="205"/>
      <c r="L61" s="205" t="s">
        <v>18</v>
      </c>
      <c r="M61" s="215">
        <v>45664</v>
      </c>
      <c r="N61" s="218">
        <f>Tabela13891011121314[[#This Row],[Valor recibo]]</f>
        <v>677.6</v>
      </c>
      <c r="O61" s="216"/>
      <c r="P61" s="205"/>
    </row>
    <row r="62" spans="1:16" ht="15.75">
      <c r="A62" s="205">
        <v>19230348</v>
      </c>
      <c r="B62" s="215"/>
      <c r="C62" s="205"/>
      <c r="D62" s="205"/>
      <c r="E62" s="205"/>
      <c r="F62" s="205" t="s">
        <v>55</v>
      </c>
      <c r="G62" s="215">
        <v>45663</v>
      </c>
      <c r="H62" s="215">
        <v>45663</v>
      </c>
      <c r="I62" s="216">
        <v>238</v>
      </c>
      <c r="J62" s="205" t="s">
        <v>17</v>
      </c>
      <c r="K62" s="205"/>
      <c r="L62" s="205" t="s">
        <v>18</v>
      </c>
      <c r="M62" s="215">
        <v>45664</v>
      </c>
      <c r="N62" s="218">
        <f>Tabela13891011121314[[#This Row],[Valor recibo]]</f>
        <v>238</v>
      </c>
      <c r="O62" s="216"/>
      <c r="P62" s="205"/>
    </row>
    <row r="63" spans="1:16" ht="15.75">
      <c r="A63" s="205">
        <v>19246747</v>
      </c>
      <c r="B63" s="215"/>
      <c r="C63" s="205"/>
      <c r="D63" s="205"/>
      <c r="E63" s="205"/>
      <c r="F63" s="205" t="s">
        <v>56</v>
      </c>
      <c r="G63" s="215">
        <v>45661</v>
      </c>
      <c r="H63" s="215">
        <v>45661</v>
      </c>
      <c r="I63" s="216">
        <v>238</v>
      </c>
      <c r="J63" s="205" t="s">
        <v>17</v>
      </c>
      <c r="K63" s="205"/>
      <c r="L63" s="205" t="s">
        <v>18</v>
      </c>
      <c r="M63" s="215">
        <v>45664</v>
      </c>
      <c r="N63" s="218">
        <f>Tabela13891011121314[[#This Row],[Valor recibo]]</f>
        <v>238</v>
      </c>
      <c r="O63" s="216"/>
      <c r="P63" s="205"/>
    </row>
    <row r="64" spans="1:16" ht="15.75">
      <c r="A64" s="205">
        <v>19270934</v>
      </c>
      <c r="B64" s="215"/>
      <c r="C64" s="205"/>
      <c r="D64" s="205"/>
      <c r="E64" s="205"/>
      <c r="F64" s="205">
        <v>23285</v>
      </c>
      <c r="G64" s="215">
        <v>45664</v>
      </c>
      <c r="H64" s="215">
        <v>45664</v>
      </c>
      <c r="I64" s="216">
        <v>285</v>
      </c>
      <c r="J64" s="205" t="s">
        <v>17</v>
      </c>
      <c r="K64" s="205"/>
      <c r="L64" s="205" t="s">
        <v>18</v>
      </c>
      <c r="M64" s="215">
        <v>45664</v>
      </c>
      <c r="N64" s="218">
        <f>Tabela13891011121314[[#This Row],[Valor recibo]]</f>
        <v>285</v>
      </c>
      <c r="O64" s="216"/>
      <c r="P64" s="205"/>
    </row>
    <row r="65" spans="1:16" ht="15.75">
      <c r="A65" s="205">
        <v>19250691</v>
      </c>
      <c r="B65" s="215"/>
      <c r="C65" s="205"/>
      <c r="D65" s="205"/>
      <c r="E65" s="205"/>
      <c r="F65" s="205" t="s">
        <v>57</v>
      </c>
      <c r="G65" s="215">
        <v>45664</v>
      </c>
      <c r="H65" s="215">
        <v>45664</v>
      </c>
      <c r="I65" s="216">
        <v>702</v>
      </c>
      <c r="J65" s="205" t="s">
        <v>17</v>
      </c>
      <c r="K65" s="205"/>
      <c r="L65" s="205" t="s">
        <v>18</v>
      </c>
      <c r="M65" s="215">
        <v>45664</v>
      </c>
      <c r="N65" s="218">
        <f>Tabela13891011121314[[#This Row],[Valor recibo]]</f>
        <v>702</v>
      </c>
      <c r="O65" s="216"/>
      <c r="P65" s="205"/>
    </row>
    <row r="66" spans="1:16" ht="15.75">
      <c r="A66" s="205">
        <v>19270895</v>
      </c>
      <c r="B66" s="215"/>
      <c r="C66" s="205"/>
      <c r="D66" s="205"/>
      <c r="E66" s="205"/>
      <c r="F66" s="205" t="s">
        <v>58</v>
      </c>
      <c r="G66" s="215">
        <v>45664</v>
      </c>
      <c r="H66" s="215">
        <v>45664</v>
      </c>
      <c r="I66" s="216">
        <v>557.20000000000005</v>
      </c>
      <c r="J66" s="205" t="s">
        <v>17</v>
      </c>
      <c r="K66" s="205"/>
      <c r="L66" s="205" t="s">
        <v>18</v>
      </c>
      <c r="M66" s="215">
        <v>45664</v>
      </c>
      <c r="N66" s="218">
        <f>Tabela13891011121314[[#This Row],[Valor recibo]]</f>
        <v>557.20000000000005</v>
      </c>
      <c r="O66" s="216"/>
      <c r="P66" s="205"/>
    </row>
    <row r="67" spans="1:16" ht="15.75">
      <c r="A67" s="205">
        <v>19270894</v>
      </c>
      <c r="B67" s="215"/>
      <c r="C67" s="205"/>
      <c r="D67" s="205"/>
      <c r="E67" s="205"/>
      <c r="F67" s="205" t="s">
        <v>59</v>
      </c>
      <c r="G67" s="215">
        <v>45664</v>
      </c>
      <c r="H67" s="215">
        <v>45664</v>
      </c>
      <c r="I67" s="216">
        <v>557.20000000000005</v>
      </c>
      <c r="J67" s="205" t="s">
        <v>17</v>
      </c>
      <c r="K67" s="205"/>
      <c r="L67" s="205" t="s">
        <v>18</v>
      </c>
      <c r="M67" s="215">
        <v>45665</v>
      </c>
      <c r="N67" s="218">
        <f>Tabela13891011121314[[#This Row],[Valor recibo]]</f>
        <v>557.20000000000005</v>
      </c>
      <c r="O67" s="216"/>
      <c r="P67" s="205"/>
    </row>
    <row r="68" spans="1:16" ht="15.75">
      <c r="A68" s="205">
        <v>19270897</v>
      </c>
      <c r="B68" s="215"/>
      <c r="C68" s="205"/>
      <c r="D68" s="205"/>
      <c r="E68" s="205"/>
      <c r="F68" s="205" t="s">
        <v>60</v>
      </c>
      <c r="G68" s="215">
        <v>45664</v>
      </c>
      <c r="H68" s="215">
        <v>45664</v>
      </c>
      <c r="I68" s="216">
        <v>557.20000000000005</v>
      </c>
      <c r="J68" s="205" t="s">
        <v>17</v>
      </c>
      <c r="K68" s="205"/>
      <c r="L68" s="205" t="s">
        <v>18</v>
      </c>
      <c r="M68" s="215">
        <v>45665</v>
      </c>
      <c r="N68" s="218">
        <f>Tabela13891011121314[[#This Row],[Valor recibo]]</f>
        <v>557.20000000000005</v>
      </c>
      <c r="O68" s="216"/>
      <c r="P68" s="205"/>
    </row>
    <row r="69" spans="1:16" ht="15.75">
      <c r="A69" s="205">
        <v>19246658</v>
      </c>
      <c r="B69" s="215"/>
      <c r="C69" s="205"/>
      <c r="D69" s="205"/>
      <c r="E69" s="205"/>
      <c r="F69" s="205" t="s">
        <v>61</v>
      </c>
      <c r="G69" s="215">
        <v>45661</v>
      </c>
      <c r="H69" s="215">
        <v>45661</v>
      </c>
      <c r="I69" s="216">
        <v>238</v>
      </c>
      <c r="J69" s="205" t="s">
        <v>17</v>
      </c>
      <c r="K69" s="205"/>
      <c r="L69" s="205" t="s">
        <v>18</v>
      </c>
      <c r="M69" s="215">
        <v>45665</v>
      </c>
      <c r="N69" s="218">
        <f>Tabela13891011121314[[#This Row],[Valor recibo]]</f>
        <v>238</v>
      </c>
      <c r="O69" s="216"/>
      <c r="P69" s="205"/>
    </row>
    <row r="70" spans="1:16" ht="15.75">
      <c r="A70" s="205">
        <v>19233575</v>
      </c>
      <c r="B70" s="215"/>
      <c r="C70" s="205"/>
      <c r="D70" s="205"/>
      <c r="E70" s="205"/>
      <c r="F70" s="205" t="s">
        <v>62</v>
      </c>
      <c r="G70" s="215">
        <v>45660</v>
      </c>
      <c r="H70" s="215">
        <v>45660</v>
      </c>
      <c r="I70" s="216">
        <v>238</v>
      </c>
      <c r="J70" s="205" t="s">
        <v>17</v>
      </c>
      <c r="K70" s="205"/>
      <c r="L70" s="205" t="s">
        <v>18</v>
      </c>
      <c r="M70" s="215">
        <v>45665</v>
      </c>
      <c r="N70" s="218">
        <f>Tabela13891011121314[[#This Row],[Valor recibo]]</f>
        <v>238</v>
      </c>
      <c r="O70" s="216"/>
      <c r="P70" s="205"/>
    </row>
    <row r="71" spans="1:16" ht="15.75">
      <c r="A71" s="205">
        <v>19223537</v>
      </c>
      <c r="B71" s="215"/>
      <c r="C71" s="205"/>
      <c r="D71" s="205"/>
      <c r="E71" s="205"/>
      <c r="F71" s="205" t="s">
        <v>63</v>
      </c>
      <c r="G71" s="215">
        <v>45664</v>
      </c>
      <c r="H71" s="215">
        <v>45664</v>
      </c>
      <c r="I71" s="216">
        <v>1217</v>
      </c>
      <c r="J71" s="205" t="s">
        <v>17</v>
      </c>
      <c r="K71" s="205"/>
      <c r="L71" s="205" t="s">
        <v>18</v>
      </c>
      <c r="M71" s="215">
        <v>45665</v>
      </c>
      <c r="N71" s="218">
        <f>Tabela13891011121314[[#This Row],[Valor recibo]]</f>
        <v>1217</v>
      </c>
      <c r="O71" s="216"/>
      <c r="P71" s="205"/>
    </row>
    <row r="72" spans="1:16" ht="15.75">
      <c r="A72" s="205">
        <v>19223538</v>
      </c>
      <c r="B72" s="215"/>
      <c r="C72" s="205"/>
      <c r="D72" s="205"/>
      <c r="E72" s="205"/>
      <c r="F72" s="205" t="s">
        <v>64</v>
      </c>
      <c r="G72" s="215">
        <v>45664</v>
      </c>
      <c r="H72" s="215">
        <v>45664</v>
      </c>
      <c r="I72" s="216">
        <v>1006</v>
      </c>
      <c r="J72" s="205" t="s">
        <v>17</v>
      </c>
      <c r="K72" s="205"/>
      <c r="L72" s="205" t="s">
        <v>18</v>
      </c>
      <c r="M72" s="215">
        <v>45665</v>
      </c>
      <c r="N72" s="218">
        <f>Tabela13891011121314[[#This Row],[Valor recibo]]</f>
        <v>1006</v>
      </c>
      <c r="O72" s="216"/>
      <c r="P72" s="205"/>
    </row>
    <row r="73" spans="1:16" ht="15.75">
      <c r="A73" s="205">
        <v>19290799</v>
      </c>
      <c r="B73" s="215"/>
      <c r="C73" s="205"/>
      <c r="D73" s="205"/>
      <c r="E73" s="205"/>
      <c r="F73" s="205" t="s">
        <v>65</v>
      </c>
      <c r="G73" s="215">
        <v>45665</v>
      </c>
      <c r="H73" s="215">
        <v>45665</v>
      </c>
      <c r="I73" s="216">
        <v>476</v>
      </c>
      <c r="J73" s="205" t="s">
        <v>17</v>
      </c>
      <c r="K73" s="205"/>
      <c r="L73" s="205" t="s">
        <v>18</v>
      </c>
      <c r="M73" s="215">
        <v>45665</v>
      </c>
      <c r="N73" s="218">
        <f>Tabela13891011121314[[#This Row],[Valor recibo]]</f>
        <v>476</v>
      </c>
      <c r="O73" s="216"/>
      <c r="P73" s="205"/>
    </row>
    <row r="74" spans="1:16" ht="15.75">
      <c r="A74" s="205">
        <v>19249661</v>
      </c>
      <c r="B74" s="215"/>
      <c r="C74" s="205"/>
      <c r="D74" s="205"/>
      <c r="E74" s="205"/>
      <c r="F74" s="205">
        <v>49059</v>
      </c>
      <c r="G74" s="215">
        <v>45664</v>
      </c>
      <c r="H74" s="215">
        <v>45664</v>
      </c>
      <c r="I74" s="216">
        <v>1484.5</v>
      </c>
      <c r="J74" s="205" t="s">
        <v>17</v>
      </c>
      <c r="K74" s="205"/>
      <c r="L74" s="205" t="s">
        <v>18</v>
      </c>
      <c r="M74" s="215">
        <v>45665</v>
      </c>
      <c r="N74" s="218">
        <f>Tabela13891011121314[[#This Row],[Valor recibo]]</f>
        <v>1484.5</v>
      </c>
      <c r="O74" s="216"/>
      <c r="P74" s="205"/>
    </row>
    <row r="75" spans="1:16" ht="15.75">
      <c r="A75" s="205">
        <v>19249290</v>
      </c>
      <c r="B75" s="215"/>
      <c r="C75" s="205"/>
      <c r="D75" s="205"/>
      <c r="E75" s="205"/>
      <c r="F75" s="205" t="s">
        <v>66</v>
      </c>
      <c r="G75" s="215">
        <v>45660</v>
      </c>
      <c r="H75" s="215">
        <v>45660</v>
      </c>
      <c r="I75" s="216">
        <v>0</v>
      </c>
      <c r="J75" s="205" t="s">
        <v>17</v>
      </c>
      <c r="K75" s="205"/>
      <c r="L75" s="205"/>
      <c r="M75" s="215">
        <v>45665</v>
      </c>
      <c r="N75" s="218">
        <f>Tabela13891011121314[[#This Row],[Valor recibo]]</f>
        <v>0</v>
      </c>
      <c r="O75" s="216"/>
      <c r="P75" s="205"/>
    </row>
    <row r="76" spans="1:16" ht="15.75">
      <c r="A76" s="205">
        <v>19297468</v>
      </c>
      <c r="B76" s="215"/>
      <c r="C76" s="205"/>
      <c r="D76" s="205"/>
      <c r="E76" s="205"/>
      <c r="F76" s="205" t="s">
        <v>67</v>
      </c>
      <c r="G76" s="215">
        <v>45665</v>
      </c>
      <c r="H76" s="215">
        <v>45665</v>
      </c>
      <c r="I76" s="216">
        <v>950</v>
      </c>
      <c r="J76" s="205" t="s">
        <v>17</v>
      </c>
      <c r="K76" s="205"/>
      <c r="L76" s="205" t="s">
        <v>18</v>
      </c>
      <c r="M76" s="215">
        <v>45665</v>
      </c>
      <c r="N76" s="218">
        <f>Tabela13891011121314[[#This Row],[Valor recibo]]</f>
        <v>950</v>
      </c>
      <c r="O76" s="216"/>
      <c r="P76" s="205"/>
    </row>
    <row r="77" spans="1:16" ht="15.75">
      <c r="A77" s="205">
        <v>19297474</v>
      </c>
      <c r="B77" s="215"/>
      <c r="C77" s="205"/>
      <c r="D77" s="205"/>
      <c r="E77" s="205"/>
      <c r="F77" s="205" t="s">
        <v>68</v>
      </c>
      <c r="G77" s="215">
        <v>45665</v>
      </c>
      <c r="H77" s="215">
        <v>45665</v>
      </c>
      <c r="I77" s="216">
        <v>950</v>
      </c>
      <c r="J77" s="205" t="s">
        <v>17</v>
      </c>
      <c r="K77" s="205"/>
      <c r="L77" s="205" t="s">
        <v>18</v>
      </c>
      <c r="M77" s="215">
        <v>45665</v>
      </c>
      <c r="N77" s="218">
        <f>Tabela13891011121314[[#This Row],[Valor recibo]]</f>
        <v>950</v>
      </c>
      <c r="O77" s="216"/>
      <c r="P77" s="205"/>
    </row>
    <row r="78" spans="1:16" ht="15.75">
      <c r="A78" s="205">
        <v>19298289</v>
      </c>
      <c r="B78" s="215"/>
      <c r="C78" s="205"/>
      <c r="D78" s="205"/>
      <c r="E78" s="205"/>
      <c r="F78" s="205">
        <v>49362</v>
      </c>
      <c r="G78" s="215">
        <v>45665</v>
      </c>
      <c r="H78" s="215">
        <v>45665</v>
      </c>
      <c r="I78" s="216">
        <v>950</v>
      </c>
      <c r="J78" s="205" t="s">
        <v>17</v>
      </c>
      <c r="K78" s="205"/>
      <c r="L78" s="205" t="s">
        <v>18</v>
      </c>
      <c r="M78" s="215">
        <v>45665</v>
      </c>
      <c r="N78" s="218">
        <f>Tabela13891011121314[[#This Row],[Valor recibo]]</f>
        <v>950</v>
      </c>
      <c r="O78" s="216"/>
      <c r="P78" s="205"/>
    </row>
    <row r="79" spans="1:16" ht="15.75">
      <c r="A79" s="205">
        <v>19289885</v>
      </c>
      <c r="B79" s="215"/>
      <c r="C79" s="205"/>
      <c r="D79" s="205"/>
      <c r="E79" s="205"/>
      <c r="F79" s="205">
        <v>49185</v>
      </c>
      <c r="G79" s="215">
        <v>45665</v>
      </c>
      <c r="H79" s="215">
        <v>45665</v>
      </c>
      <c r="I79" s="216">
        <v>420</v>
      </c>
      <c r="J79" s="205" t="s">
        <v>17</v>
      </c>
      <c r="K79" s="205"/>
      <c r="L79" s="205" t="s">
        <v>18</v>
      </c>
      <c r="M79" s="215">
        <v>45665</v>
      </c>
      <c r="N79" s="218">
        <f>Tabela13891011121314[[#This Row],[Valor recibo]]</f>
        <v>420</v>
      </c>
      <c r="O79" s="216"/>
      <c r="P79" s="205"/>
    </row>
    <row r="80" spans="1:16" ht="15.75">
      <c r="A80" s="205">
        <v>19290807</v>
      </c>
      <c r="B80" s="215"/>
      <c r="C80" s="205"/>
      <c r="D80" s="205"/>
      <c r="E80" s="205"/>
      <c r="F80" s="205" t="s">
        <v>69</v>
      </c>
      <c r="G80" s="215">
        <v>45665</v>
      </c>
      <c r="H80" s="215">
        <v>45665</v>
      </c>
      <c r="I80" s="216">
        <v>476</v>
      </c>
      <c r="J80" s="205" t="s">
        <v>17</v>
      </c>
      <c r="K80" s="205"/>
      <c r="L80" s="205" t="s">
        <v>18</v>
      </c>
      <c r="M80" s="215">
        <v>45665</v>
      </c>
      <c r="N80" s="218">
        <f>Tabela13891011121314[[#This Row],[Valor recibo]]</f>
        <v>476</v>
      </c>
      <c r="O80" s="216"/>
      <c r="P80" s="205"/>
    </row>
    <row r="81" spans="1:16" ht="15.75">
      <c r="A81" s="205">
        <v>19293372</v>
      </c>
      <c r="B81" s="215"/>
      <c r="C81" s="205"/>
      <c r="D81" s="205"/>
      <c r="E81" s="205"/>
      <c r="F81" s="205">
        <v>23333</v>
      </c>
      <c r="G81" s="215">
        <v>45665</v>
      </c>
      <c r="H81" s="215">
        <v>45665</v>
      </c>
      <c r="I81" s="216">
        <v>264</v>
      </c>
      <c r="J81" s="205" t="s">
        <v>17</v>
      </c>
      <c r="K81" s="205"/>
      <c r="L81" s="205" t="s">
        <v>18</v>
      </c>
      <c r="M81" s="215">
        <v>45665</v>
      </c>
      <c r="N81" s="218">
        <f>Tabela13891011121314[[#This Row],[Valor recibo]]</f>
        <v>264</v>
      </c>
      <c r="O81" s="216"/>
      <c r="P81" s="205"/>
    </row>
    <row r="82" spans="1:16" ht="15.75">
      <c r="A82" s="205">
        <v>19248108</v>
      </c>
      <c r="B82" s="215"/>
      <c r="C82" s="205"/>
      <c r="D82" s="205"/>
      <c r="E82" s="205"/>
      <c r="F82" s="205">
        <v>23015</v>
      </c>
      <c r="G82" s="215">
        <v>45665</v>
      </c>
      <c r="H82" s="215">
        <v>45665</v>
      </c>
      <c r="I82" s="216">
        <v>1222</v>
      </c>
      <c r="J82" s="205" t="s">
        <v>17</v>
      </c>
      <c r="K82" s="205"/>
      <c r="L82" s="205" t="s">
        <v>18</v>
      </c>
      <c r="M82" s="215">
        <v>45665</v>
      </c>
      <c r="N82" s="218">
        <f>Tabela13891011121314[[#This Row],[Valor recibo]]</f>
        <v>1222</v>
      </c>
      <c r="O82" s="216"/>
      <c r="P82" s="205"/>
    </row>
    <row r="83" spans="1:16" ht="15.75">
      <c r="A83" s="205">
        <v>19293370</v>
      </c>
      <c r="B83" s="215"/>
      <c r="C83" s="205"/>
      <c r="D83" s="205"/>
      <c r="E83" s="205"/>
      <c r="F83" s="205">
        <v>23327</v>
      </c>
      <c r="G83" s="215">
        <v>45665</v>
      </c>
      <c r="H83" s="215">
        <v>45665</v>
      </c>
      <c r="I83" s="216">
        <v>262</v>
      </c>
      <c r="J83" s="205" t="s">
        <v>17</v>
      </c>
      <c r="K83" s="205"/>
      <c r="L83" s="205" t="s">
        <v>18</v>
      </c>
      <c r="M83" s="215">
        <v>45665</v>
      </c>
      <c r="N83" s="218">
        <f>Tabela13891011121314[[#This Row],[Valor recibo]]</f>
        <v>262</v>
      </c>
      <c r="O83" s="216"/>
      <c r="P83" s="205"/>
    </row>
    <row r="84" spans="1:16" ht="15.75">
      <c r="A84" s="205">
        <v>19297535</v>
      </c>
      <c r="B84" s="215"/>
      <c r="C84" s="205"/>
      <c r="D84" s="205"/>
      <c r="E84" s="205"/>
      <c r="F84" s="205">
        <v>49232</v>
      </c>
      <c r="G84" s="215">
        <v>45665</v>
      </c>
      <c r="H84" s="215">
        <v>45665</v>
      </c>
      <c r="I84" s="216">
        <v>238</v>
      </c>
      <c r="J84" s="205" t="s">
        <v>17</v>
      </c>
      <c r="K84" s="205"/>
      <c r="L84" s="205" t="s">
        <v>18</v>
      </c>
      <c r="M84" s="215">
        <v>45666</v>
      </c>
      <c r="N84" s="218">
        <f>Tabela13891011121314[[#This Row],[Valor recibo]]</f>
        <v>238</v>
      </c>
      <c r="O84" s="216"/>
      <c r="P84" s="205" t="s">
        <v>70</v>
      </c>
    </row>
    <row r="85" spans="1:16" ht="15.75">
      <c r="A85" s="205">
        <v>19249662</v>
      </c>
      <c r="B85" s="215"/>
      <c r="C85" s="205"/>
      <c r="D85" s="205"/>
      <c r="E85" s="205"/>
      <c r="F85" s="205">
        <v>49180</v>
      </c>
      <c r="G85" s="215">
        <v>45665</v>
      </c>
      <c r="H85" s="215">
        <v>45665</v>
      </c>
      <c r="I85" s="216">
        <v>1332.46</v>
      </c>
      <c r="J85" s="205" t="s">
        <v>17</v>
      </c>
      <c r="K85" s="205"/>
      <c r="L85" s="205" t="s">
        <v>18</v>
      </c>
      <c r="M85" s="215">
        <v>45666</v>
      </c>
      <c r="N85" s="218">
        <f>Tabela13891011121314[[#This Row],[Valor recibo]]</f>
        <v>1332.46</v>
      </c>
      <c r="O85" s="216"/>
      <c r="P85" s="205" t="s">
        <v>70</v>
      </c>
    </row>
    <row r="86" spans="1:16" ht="15.75">
      <c r="A86" s="205">
        <v>19290429</v>
      </c>
      <c r="B86" s="215"/>
      <c r="C86" s="205"/>
      <c r="D86" s="205"/>
      <c r="E86" s="205"/>
      <c r="F86" s="205" t="s">
        <v>71</v>
      </c>
      <c r="G86" s="215">
        <v>45665</v>
      </c>
      <c r="H86" s="215">
        <v>45665</v>
      </c>
      <c r="I86" s="216">
        <v>2305.6</v>
      </c>
      <c r="J86" s="205" t="s">
        <v>17</v>
      </c>
      <c r="K86" s="205"/>
      <c r="L86" s="205" t="s">
        <v>18</v>
      </c>
      <c r="M86" s="215">
        <v>45666</v>
      </c>
      <c r="N86" s="218">
        <f>Tabela13891011121314[[#This Row],[Valor recibo]]</f>
        <v>2305.6</v>
      </c>
      <c r="O86" s="216"/>
      <c r="P86" s="205" t="s">
        <v>70</v>
      </c>
    </row>
    <row r="87" spans="1:16" ht="15.75">
      <c r="A87" s="205">
        <v>19248424</v>
      </c>
      <c r="B87" s="215"/>
      <c r="C87" s="205"/>
      <c r="D87" s="205"/>
      <c r="E87" s="205"/>
      <c r="F87" s="205" t="s">
        <v>72</v>
      </c>
      <c r="G87" s="215">
        <v>45661</v>
      </c>
      <c r="H87" s="215">
        <v>45661</v>
      </c>
      <c r="I87" s="216">
        <v>255</v>
      </c>
      <c r="J87" s="205" t="s">
        <v>17</v>
      </c>
      <c r="K87" s="205"/>
      <c r="L87" s="205" t="s">
        <v>18</v>
      </c>
      <c r="M87" s="215">
        <v>45666</v>
      </c>
      <c r="N87" s="218">
        <f>Tabela13891011121314[[#This Row],[Valor recibo]]</f>
        <v>255</v>
      </c>
      <c r="O87" s="216"/>
      <c r="P87" s="205" t="s">
        <v>70</v>
      </c>
    </row>
    <row r="88" spans="1:16" ht="15.75">
      <c r="A88" s="205">
        <v>19249976</v>
      </c>
      <c r="B88" s="215"/>
      <c r="C88" s="205"/>
      <c r="D88" s="205"/>
      <c r="E88" s="205"/>
      <c r="F88" s="205" t="s">
        <v>73</v>
      </c>
      <c r="G88" s="215">
        <v>45664</v>
      </c>
      <c r="H88" s="215">
        <v>45664</v>
      </c>
      <c r="I88" s="216">
        <v>585</v>
      </c>
      <c r="J88" s="205" t="s">
        <v>17</v>
      </c>
      <c r="K88" s="205"/>
      <c r="L88" s="205" t="s">
        <v>18</v>
      </c>
      <c r="M88" s="215">
        <v>45666</v>
      </c>
      <c r="N88" s="218">
        <f>Tabela13891011121314[[#This Row],[Valor recibo]]</f>
        <v>585</v>
      </c>
      <c r="O88" s="216"/>
      <c r="P88" s="205" t="s">
        <v>70</v>
      </c>
    </row>
    <row r="89" spans="1:16" ht="15.75">
      <c r="A89" s="205">
        <v>19248639</v>
      </c>
      <c r="B89" s="215"/>
      <c r="C89" s="205"/>
      <c r="D89" s="205"/>
      <c r="E89" s="205"/>
      <c r="F89" s="205">
        <v>48827</v>
      </c>
      <c r="G89" s="215">
        <v>45661</v>
      </c>
      <c r="H89" s="215">
        <v>45661</v>
      </c>
      <c r="I89" s="216">
        <v>238</v>
      </c>
      <c r="J89" s="205" t="s">
        <v>17</v>
      </c>
      <c r="K89" s="205"/>
      <c r="L89" s="205" t="s">
        <v>18</v>
      </c>
      <c r="M89" s="215">
        <v>45666</v>
      </c>
      <c r="N89" s="218">
        <f>Tabela13891011121314[[#This Row],[Valor recibo]]</f>
        <v>238</v>
      </c>
      <c r="O89" s="216"/>
      <c r="P89" s="205" t="s">
        <v>70</v>
      </c>
    </row>
    <row r="90" spans="1:16" ht="15.75">
      <c r="A90" s="205">
        <v>19246930</v>
      </c>
      <c r="B90" s="215"/>
      <c r="C90" s="205"/>
      <c r="D90" s="205"/>
      <c r="E90" s="205"/>
      <c r="F90" s="205" t="s">
        <v>74</v>
      </c>
      <c r="G90" s="215">
        <v>45661</v>
      </c>
      <c r="H90" s="215">
        <v>45661</v>
      </c>
      <c r="I90" s="216">
        <v>238</v>
      </c>
      <c r="J90" s="205" t="s">
        <v>17</v>
      </c>
      <c r="K90" s="205"/>
      <c r="L90" s="205" t="s">
        <v>18</v>
      </c>
      <c r="M90" s="215">
        <v>45666</v>
      </c>
      <c r="N90" s="218">
        <f>Tabela13891011121314[[#This Row],[Valor recibo]]</f>
        <v>238</v>
      </c>
      <c r="O90" s="216"/>
      <c r="P90" s="205" t="s">
        <v>70</v>
      </c>
    </row>
    <row r="91" spans="1:16" ht="15.75">
      <c r="A91" s="205">
        <v>19292366</v>
      </c>
      <c r="B91" s="215"/>
      <c r="C91" s="205"/>
      <c r="D91" s="205"/>
      <c r="E91" s="205"/>
      <c r="F91" s="205" t="s">
        <v>75</v>
      </c>
      <c r="G91" s="215">
        <v>45666</v>
      </c>
      <c r="H91" s="215">
        <v>45666</v>
      </c>
      <c r="I91" s="216">
        <v>0</v>
      </c>
      <c r="J91" s="205" t="s">
        <v>17</v>
      </c>
      <c r="K91" s="205"/>
      <c r="L91" s="205"/>
      <c r="M91" s="215">
        <v>45666</v>
      </c>
      <c r="N91" s="218">
        <f>Tabela13891011121314[[#This Row],[Valor recibo]]</f>
        <v>0</v>
      </c>
      <c r="O91" s="216"/>
      <c r="P91" s="205" t="s">
        <v>70</v>
      </c>
    </row>
    <row r="92" spans="1:16" ht="15.75">
      <c r="A92" s="205">
        <v>19288805</v>
      </c>
      <c r="B92" s="215"/>
      <c r="C92" s="205"/>
      <c r="D92" s="205"/>
      <c r="E92" s="205"/>
      <c r="F92" s="205" t="s">
        <v>76</v>
      </c>
      <c r="G92" s="215">
        <v>45665</v>
      </c>
      <c r="H92" s="215">
        <v>45665</v>
      </c>
      <c r="I92" s="216">
        <v>374.4</v>
      </c>
      <c r="J92" s="205" t="s">
        <v>17</v>
      </c>
      <c r="K92" s="205"/>
      <c r="L92" s="205" t="s">
        <v>18</v>
      </c>
      <c r="M92" s="215">
        <v>45666</v>
      </c>
      <c r="N92" s="218">
        <f>Tabela13891011121314[[#This Row],[Valor recibo]]</f>
        <v>374.4</v>
      </c>
      <c r="O92" s="216"/>
      <c r="P92" s="205" t="s">
        <v>70</v>
      </c>
    </row>
    <row r="93" spans="1:16" ht="15.75">
      <c r="A93" s="205">
        <v>19297384</v>
      </c>
      <c r="B93" s="215"/>
      <c r="C93" s="205"/>
      <c r="D93" s="205"/>
      <c r="E93" s="205"/>
      <c r="F93" s="205">
        <v>49488</v>
      </c>
      <c r="G93" s="215">
        <v>45666</v>
      </c>
      <c r="H93" s="215">
        <v>45666</v>
      </c>
      <c r="I93" s="216">
        <v>0</v>
      </c>
      <c r="J93" s="205" t="s">
        <v>17</v>
      </c>
      <c r="K93" s="205"/>
      <c r="L93" s="205"/>
      <c r="M93" s="215">
        <v>45666</v>
      </c>
      <c r="N93" s="218">
        <f>Tabela13891011121314[[#This Row],[Valor recibo]]</f>
        <v>0</v>
      </c>
      <c r="O93" s="216"/>
      <c r="P93" s="205" t="s">
        <v>70</v>
      </c>
    </row>
    <row r="94" spans="1:16" ht="15.75">
      <c r="A94" s="205">
        <v>19293373</v>
      </c>
      <c r="B94" s="215"/>
      <c r="C94" s="205"/>
      <c r="D94" s="205"/>
      <c r="E94" s="205"/>
      <c r="F94" s="205">
        <v>23337</v>
      </c>
      <c r="G94" s="215">
        <v>45666</v>
      </c>
      <c r="H94" s="215">
        <v>45666</v>
      </c>
      <c r="I94" s="216">
        <v>248</v>
      </c>
      <c r="J94" s="205" t="s">
        <v>17</v>
      </c>
      <c r="K94" s="205"/>
      <c r="L94" s="205" t="s">
        <v>18</v>
      </c>
      <c r="M94" s="215">
        <v>45666</v>
      </c>
      <c r="N94" s="218">
        <f>Tabela13891011121314[[#This Row],[Valor recibo]]</f>
        <v>248</v>
      </c>
      <c r="O94" s="216"/>
      <c r="P94" s="205" t="s">
        <v>70</v>
      </c>
    </row>
    <row r="95" spans="1:16" ht="15.75">
      <c r="A95" s="205">
        <v>19299128</v>
      </c>
      <c r="B95" s="215"/>
      <c r="C95" s="205"/>
      <c r="D95" s="205"/>
      <c r="E95" s="205"/>
      <c r="F95" s="205">
        <v>23340</v>
      </c>
      <c r="G95" s="215">
        <v>45666</v>
      </c>
      <c r="H95" s="215">
        <v>45666</v>
      </c>
      <c r="I95" s="216">
        <v>1728</v>
      </c>
      <c r="J95" s="205" t="s">
        <v>17</v>
      </c>
      <c r="K95" s="205"/>
      <c r="L95" s="205" t="s">
        <v>18</v>
      </c>
      <c r="M95" s="215">
        <v>45666</v>
      </c>
      <c r="N95" s="218">
        <f>Tabela13891011121314[[#This Row],[Valor recibo]]</f>
        <v>1728</v>
      </c>
      <c r="O95" s="216"/>
      <c r="P95" s="205" t="s">
        <v>70</v>
      </c>
    </row>
    <row r="96" spans="1:16" ht="15.75">
      <c r="A96" s="205">
        <v>19293367</v>
      </c>
      <c r="B96" s="215"/>
      <c r="C96" s="205"/>
      <c r="D96" s="205"/>
      <c r="E96" s="205"/>
      <c r="F96" s="205">
        <v>23323</v>
      </c>
      <c r="G96" s="215">
        <v>45666</v>
      </c>
      <c r="H96" s="215">
        <v>45666</v>
      </c>
      <c r="I96" s="216">
        <v>265</v>
      </c>
      <c r="J96" s="205" t="s">
        <v>17</v>
      </c>
      <c r="K96" s="205"/>
      <c r="L96" s="205" t="s">
        <v>18</v>
      </c>
      <c r="M96" s="215">
        <v>45666</v>
      </c>
      <c r="N96" s="218">
        <f>Tabela13891011121314[[#This Row],[Valor recibo]]</f>
        <v>265</v>
      </c>
      <c r="O96" s="216"/>
      <c r="P96" s="205" t="s">
        <v>70</v>
      </c>
    </row>
    <row r="97" spans="1:16" ht="15.75">
      <c r="A97" s="205">
        <v>19297382</v>
      </c>
      <c r="B97" s="215"/>
      <c r="C97" s="205"/>
      <c r="D97" s="205"/>
      <c r="E97" s="205"/>
      <c r="F97" s="205">
        <v>49363</v>
      </c>
      <c r="G97" s="215">
        <v>45666</v>
      </c>
      <c r="H97" s="215">
        <v>45666</v>
      </c>
      <c r="I97" s="216">
        <v>0</v>
      </c>
      <c r="J97" s="205" t="s">
        <v>17</v>
      </c>
      <c r="K97" s="205"/>
      <c r="L97" s="205"/>
      <c r="M97" s="215">
        <v>45666</v>
      </c>
      <c r="N97" s="218">
        <f>Tabela13891011121314[[#This Row],[Valor recibo]]</f>
        <v>0</v>
      </c>
      <c r="O97" s="216"/>
      <c r="P97" s="205" t="s">
        <v>70</v>
      </c>
    </row>
    <row r="98" spans="1:16" ht="15.75">
      <c r="A98" s="205">
        <v>19297381</v>
      </c>
      <c r="B98" s="215"/>
      <c r="C98" s="205"/>
      <c r="D98" s="205"/>
      <c r="E98" s="205"/>
      <c r="F98" s="205">
        <v>49366</v>
      </c>
      <c r="G98" s="215">
        <v>45666</v>
      </c>
      <c r="H98" s="215">
        <v>45666</v>
      </c>
      <c r="I98" s="216">
        <v>0</v>
      </c>
      <c r="J98" s="205" t="s">
        <v>17</v>
      </c>
      <c r="K98" s="205"/>
      <c r="L98" s="205"/>
      <c r="M98" s="215">
        <v>45666</v>
      </c>
      <c r="N98" s="218">
        <f>Tabela13891011121314[[#This Row],[Valor recibo]]</f>
        <v>0</v>
      </c>
      <c r="O98" s="216"/>
      <c r="P98" s="205" t="s">
        <v>70</v>
      </c>
    </row>
    <row r="99" spans="1:16" ht="15.75">
      <c r="A99" s="205">
        <v>19290808</v>
      </c>
      <c r="B99" s="215"/>
      <c r="C99" s="205"/>
      <c r="D99" s="205"/>
      <c r="E99" s="205"/>
      <c r="F99" s="205" t="s">
        <v>77</v>
      </c>
      <c r="G99" s="215">
        <v>45666</v>
      </c>
      <c r="H99" s="215">
        <v>45666</v>
      </c>
      <c r="I99" s="216">
        <v>476</v>
      </c>
      <c r="J99" s="205" t="s">
        <v>17</v>
      </c>
      <c r="K99" s="205"/>
      <c r="L99" s="205" t="s">
        <v>18</v>
      </c>
      <c r="M99" s="215">
        <v>45666</v>
      </c>
      <c r="N99" s="218">
        <f>Tabela13891011121314[[#This Row],[Valor recibo]]</f>
        <v>476</v>
      </c>
      <c r="O99" s="216"/>
      <c r="P99" s="205" t="s">
        <v>70</v>
      </c>
    </row>
    <row r="100" spans="1:16" ht="15.75">
      <c r="A100" s="205">
        <v>19297383</v>
      </c>
      <c r="B100" s="215"/>
      <c r="C100" s="205"/>
      <c r="D100" s="205"/>
      <c r="E100" s="205"/>
      <c r="F100" s="205">
        <v>49367</v>
      </c>
      <c r="G100" s="215">
        <v>45666</v>
      </c>
      <c r="H100" s="215">
        <v>45666</v>
      </c>
      <c r="I100" s="216">
        <v>0</v>
      </c>
      <c r="J100" s="205" t="s">
        <v>17</v>
      </c>
      <c r="K100" s="205"/>
      <c r="L100" s="205"/>
      <c r="M100" s="215">
        <v>45666</v>
      </c>
      <c r="N100" s="218">
        <f>Tabela13891011121314[[#This Row],[Valor recibo]]</f>
        <v>0</v>
      </c>
      <c r="O100" s="216"/>
      <c r="P100" s="205" t="s">
        <v>70</v>
      </c>
    </row>
    <row r="101" spans="1:16" ht="15.75">
      <c r="A101" s="205">
        <v>19290810</v>
      </c>
      <c r="B101" s="215"/>
      <c r="C101" s="205"/>
      <c r="D101" s="205"/>
      <c r="E101" s="205"/>
      <c r="F101" s="205" t="s">
        <v>78</v>
      </c>
      <c r="G101" s="215">
        <v>45666</v>
      </c>
      <c r="H101" s="215">
        <v>45666</v>
      </c>
      <c r="I101" s="216">
        <v>476</v>
      </c>
      <c r="J101" s="205" t="s">
        <v>17</v>
      </c>
      <c r="K101" s="205"/>
      <c r="L101" s="205" t="s">
        <v>18</v>
      </c>
      <c r="M101" s="215">
        <v>45666</v>
      </c>
      <c r="N101" s="218">
        <f>Tabela13891011121314[[#This Row],[Valor recibo]]</f>
        <v>476</v>
      </c>
      <c r="O101" s="216"/>
      <c r="P101" s="205" t="s">
        <v>70</v>
      </c>
    </row>
    <row r="102" spans="1:16" ht="15.75">
      <c r="A102" s="205">
        <v>19297379</v>
      </c>
      <c r="B102" s="215"/>
      <c r="C102" s="205"/>
      <c r="D102" s="205"/>
      <c r="E102" s="205"/>
      <c r="F102" s="205">
        <v>49391</v>
      </c>
      <c r="G102" s="215">
        <v>45666</v>
      </c>
      <c r="H102" s="215">
        <v>45666</v>
      </c>
      <c r="I102" s="216">
        <v>0</v>
      </c>
      <c r="J102" s="205"/>
      <c r="K102" s="205"/>
      <c r="L102" s="205"/>
      <c r="M102" s="215">
        <v>45666</v>
      </c>
      <c r="N102" s="218">
        <f>Tabela13891011121314[[#This Row],[Valor recibo]]</f>
        <v>0</v>
      </c>
      <c r="O102" s="216"/>
      <c r="P102" s="205" t="s">
        <v>70</v>
      </c>
    </row>
    <row r="103" spans="1:16" ht="15.75">
      <c r="A103" s="205">
        <v>19290805</v>
      </c>
      <c r="B103" s="215"/>
      <c r="C103" s="205"/>
      <c r="D103" s="205"/>
      <c r="E103" s="205"/>
      <c r="F103" s="205" t="s">
        <v>79</v>
      </c>
      <c r="G103" s="215">
        <v>45666</v>
      </c>
      <c r="H103" s="215">
        <v>45666</v>
      </c>
      <c r="I103" s="216">
        <v>476</v>
      </c>
      <c r="J103" s="205" t="s">
        <v>17</v>
      </c>
      <c r="K103" s="205"/>
      <c r="L103" s="205" t="s">
        <v>18</v>
      </c>
      <c r="M103" s="215">
        <v>45666</v>
      </c>
      <c r="N103" s="218">
        <f>Tabela13891011121314[[#This Row],[Valor recibo]]</f>
        <v>476</v>
      </c>
      <c r="O103" s="216"/>
      <c r="P103" s="205" t="s">
        <v>70</v>
      </c>
    </row>
    <row r="104" spans="1:16" ht="15.75">
      <c r="A104" s="205">
        <v>19230364</v>
      </c>
      <c r="B104" s="215"/>
      <c r="C104" s="205"/>
      <c r="D104" s="205"/>
      <c r="E104" s="205"/>
      <c r="F104" s="205" t="s">
        <v>80</v>
      </c>
      <c r="G104" s="215">
        <v>45659</v>
      </c>
      <c r="H104" s="215">
        <v>45659</v>
      </c>
      <c r="I104" s="216">
        <v>810.15</v>
      </c>
      <c r="J104" s="205" t="s">
        <v>17</v>
      </c>
      <c r="K104" s="205"/>
      <c r="L104" s="205" t="s">
        <v>18</v>
      </c>
      <c r="M104" s="215">
        <v>45667</v>
      </c>
      <c r="N104" s="218">
        <f>Tabela13891011121314[[#This Row],[Valor recibo]]</f>
        <v>810.15</v>
      </c>
      <c r="O104" s="216"/>
      <c r="P104" s="205" t="s">
        <v>70</v>
      </c>
    </row>
    <row r="105" spans="1:16" ht="15.75">
      <c r="A105" s="205">
        <v>19289886</v>
      </c>
      <c r="B105" s="215"/>
      <c r="C105" s="205"/>
      <c r="D105" s="205"/>
      <c r="E105" s="205"/>
      <c r="F105" s="205">
        <v>49543</v>
      </c>
      <c r="G105" s="215">
        <v>45666</v>
      </c>
      <c r="H105" s="215">
        <v>45666</v>
      </c>
      <c r="I105" s="216">
        <v>420</v>
      </c>
      <c r="J105" s="205" t="s">
        <v>17</v>
      </c>
      <c r="K105" s="205"/>
      <c r="L105" s="205" t="s">
        <v>18</v>
      </c>
      <c r="M105" s="215">
        <v>45667</v>
      </c>
      <c r="N105" s="218">
        <f>Tabela13891011121314[[#This Row],[Valor recibo]]</f>
        <v>420</v>
      </c>
      <c r="O105" s="216"/>
      <c r="P105" s="205" t="s">
        <v>70</v>
      </c>
    </row>
    <row r="106" spans="1:16" ht="15.75">
      <c r="A106" s="205">
        <v>19299618</v>
      </c>
      <c r="B106" s="215"/>
      <c r="C106" s="205"/>
      <c r="D106" s="205"/>
      <c r="E106" s="205"/>
      <c r="F106" s="205">
        <v>49538</v>
      </c>
      <c r="G106" s="215">
        <v>45666</v>
      </c>
      <c r="H106" s="215">
        <v>45666</v>
      </c>
      <c r="I106" s="216">
        <v>570</v>
      </c>
      <c r="J106" s="205" t="s">
        <v>17</v>
      </c>
      <c r="K106" s="205"/>
      <c r="L106" s="205" t="s">
        <v>18</v>
      </c>
      <c r="M106" s="215">
        <v>45667</v>
      </c>
      <c r="N106" s="218">
        <f>Tabela13891011121314[[#This Row],[Valor recibo]]</f>
        <v>570</v>
      </c>
      <c r="O106" s="216"/>
      <c r="P106" s="219" t="s">
        <v>81</v>
      </c>
    </row>
    <row r="107" spans="1:16" ht="15.75">
      <c r="A107" s="205">
        <v>19290803</v>
      </c>
      <c r="B107" s="215"/>
      <c r="C107" s="205"/>
      <c r="D107" s="205"/>
      <c r="E107" s="205"/>
      <c r="F107" s="205" t="s">
        <v>82</v>
      </c>
      <c r="G107" s="215">
        <v>45666</v>
      </c>
      <c r="H107" s="215">
        <v>45666</v>
      </c>
      <c r="I107" s="216">
        <v>476</v>
      </c>
      <c r="J107" s="205" t="s">
        <v>17</v>
      </c>
      <c r="K107" s="205"/>
      <c r="L107" s="205" t="s">
        <v>18</v>
      </c>
      <c r="M107" s="215">
        <v>45667</v>
      </c>
      <c r="N107" s="218">
        <f>Tabela13891011121314[[#This Row],[Valor recibo]]</f>
        <v>476</v>
      </c>
      <c r="O107" s="216"/>
      <c r="P107" s="205" t="s">
        <v>70</v>
      </c>
    </row>
    <row r="108" spans="1:16" ht="15.75">
      <c r="A108" s="205">
        <v>19178384</v>
      </c>
      <c r="B108" s="215"/>
      <c r="C108" s="205"/>
      <c r="D108" s="205"/>
      <c r="E108" s="205"/>
      <c r="F108" s="205">
        <v>47199</v>
      </c>
      <c r="G108" s="215">
        <v>45666</v>
      </c>
      <c r="H108" s="215">
        <v>45666</v>
      </c>
      <c r="I108" s="216">
        <v>420</v>
      </c>
      <c r="J108" s="205" t="s">
        <v>17</v>
      </c>
      <c r="K108" s="205"/>
      <c r="L108" s="205" t="s">
        <v>18</v>
      </c>
      <c r="M108" s="215">
        <v>45667</v>
      </c>
      <c r="N108" s="218">
        <f>Tabela13891011121314[[#This Row],[Valor recibo]]</f>
        <v>420</v>
      </c>
      <c r="O108" s="216"/>
      <c r="P108" s="205" t="s">
        <v>70</v>
      </c>
    </row>
    <row r="109" spans="1:16" ht="15.75">
      <c r="A109" s="205">
        <v>19290797</v>
      </c>
      <c r="B109" s="215"/>
      <c r="C109" s="205"/>
      <c r="D109" s="205"/>
      <c r="E109" s="205"/>
      <c r="F109" s="205" t="s">
        <v>83</v>
      </c>
      <c r="G109" s="215">
        <v>45666</v>
      </c>
      <c r="H109" s="215">
        <v>45666</v>
      </c>
      <c r="I109" s="216">
        <v>476</v>
      </c>
      <c r="J109" s="205" t="s">
        <v>17</v>
      </c>
      <c r="K109" s="205"/>
      <c r="L109" s="205" t="s">
        <v>18</v>
      </c>
      <c r="M109" s="215">
        <v>45667</v>
      </c>
      <c r="N109" s="218">
        <f>Tabela13891011121314[[#This Row],[Valor recibo]]</f>
        <v>476</v>
      </c>
      <c r="O109" s="216"/>
      <c r="P109" s="205" t="s">
        <v>70</v>
      </c>
    </row>
    <row r="110" spans="1:16" ht="15.75">
      <c r="A110" s="205">
        <v>19249663</v>
      </c>
      <c r="B110" s="215"/>
      <c r="C110" s="205"/>
      <c r="D110" s="205"/>
      <c r="E110" s="205"/>
      <c r="F110" s="205">
        <v>49388</v>
      </c>
      <c r="G110" s="215">
        <v>45666</v>
      </c>
      <c r="H110" s="215">
        <v>45666</v>
      </c>
      <c r="I110" s="216">
        <v>1627</v>
      </c>
      <c r="J110" s="205" t="s">
        <v>17</v>
      </c>
      <c r="K110" s="205"/>
      <c r="L110" s="205" t="s">
        <v>18</v>
      </c>
      <c r="M110" s="215">
        <v>45667</v>
      </c>
      <c r="N110" s="218">
        <f>Tabela13891011121314[[#This Row],[Valor recibo]]</f>
        <v>1627</v>
      </c>
      <c r="O110" s="216"/>
      <c r="P110" s="205" t="s">
        <v>70</v>
      </c>
    </row>
    <row r="111" spans="1:16" ht="15.75">
      <c r="A111" s="205">
        <v>19290801</v>
      </c>
      <c r="B111" s="215"/>
      <c r="C111" s="205"/>
      <c r="D111" s="205"/>
      <c r="E111" s="205"/>
      <c r="F111" s="205" t="s">
        <v>84</v>
      </c>
      <c r="G111" s="215">
        <v>45666</v>
      </c>
      <c r="H111" s="215">
        <v>45666</v>
      </c>
      <c r="I111" s="216">
        <v>476</v>
      </c>
      <c r="J111" s="205" t="s">
        <v>17</v>
      </c>
      <c r="K111" s="205"/>
      <c r="L111" s="205" t="s">
        <v>18</v>
      </c>
      <c r="M111" s="215">
        <v>45667</v>
      </c>
      <c r="N111" s="218">
        <f>Tabela13891011121314[[#This Row],[Valor recibo]]</f>
        <v>476</v>
      </c>
      <c r="O111" s="216"/>
      <c r="P111" s="205" t="s">
        <v>70</v>
      </c>
    </row>
    <row r="112" spans="1:16" ht="15.75">
      <c r="A112" s="205">
        <v>19290794</v>
      </c>
      <c r="B112" s="215"/>
      <c r="C112" s="205"/>
      <c r="D112" s="205"/>
      <c r="E112" s="205"/>
      <c r="F112" s="205" t="s">
        <v>85</v>
      </c>
      <c r="G112" s="215">
        <v>45666</v>
      </c>
      <c r="H112" s="215">
        <v>45666</v>
      </c>
      <c r="I112" s="216">
        <v>476</v>
      </c>
      <c r="J112" s="205" t="s">
        <v>17</v>
      </c>
      <c r="K112" s="205"/>
      <c r="L112" s="205" t="s">
        <v>18</v>
      </c>
      <c r="M112" s="215">
        <v>45667</v>
      </c>
      <c r="N112" s="218">
        <f>Tabela13891011121314[[#This Row],[Valor recibo]]</f>
        <v>476</v>
      </c>
      <c r="O112" s="216"/>
      <c r="P112" s="205" t="s">
        <v>70</v>
      </c>
    </row>
    <row r="113" spans="1:16" ht="15.75">
      <c r="A113" s="205">
        <v>19249613</v>
      </c>
      <c r="B113" s="215"/>
      <c r="C113" s="205"/>
      <c r="D113" s="205"/>
      <c r="E113" s="205"/>
      <c r="F113" s="205">
        <v>49365</v>
      </c>
      <c r="G113" s="215">
        <v>45666</v>
      </c>
      <c r="H113" s="215">
        <v>45666</v>
      </c>
      <c r="I113" s="216">
        <v>214</v>
      </c>
      <c r="J113" s="205" t="s">
        <v>17</v>
      </c>
      <c r="K113" s="205"/>
      <c r="L113" s="205" t="s">
        <v>18</v>
      </c>
      <c r="M113" s="215">
        <v>45667</v>
      </c>
      <c r="N113" s="218">
        <f>Tabela13891011121314[[#This Row],[Valor recibo]]</f>
        <v>214</v>
      </c>
      <c r="O113" s="216"/>
      <c r="P113" s="205" t="s">
        <v>70</v>
      </c>
    </row>
    <row r="114" spans="1:16" ht="15.75">
      <c r="A114" s="205">
        <v>19292087</v>
      </c>
      <c r="B114" s="215"/>
      <c r="C114" s="205"/>
      <c r="D114" s="205"/>
      <c r="E114" s="205"/>
      <c r="F114" s="205">
        <v>49183</v>
      </c>
      <c r="G114" s="215">
        <v>45666</v>
      </c>
      <c r="H114" s="215">
        <v>45666</v>
      </c>
      <c r="I114" s="216">
        <v>1440</v>
      </c>
      <c r="J114" s="205" t="s">
        <v>17</v>
      </c>
      <c r="K114" s="205"/>
      <c r="L114" s="205" t="s">
        <v>18</v>
      </c>
      <c r="M114" s="215">
        <v>45667</v>
      </c>
      <c r="N114" s="218">
        <f>Tabela13891011121314[[#This Row],[Valor recibo]]</f>
        <v>1440</v>
      </c>
      <c r="O114" s="216"/>
      <c r="P114" s="205" t="s">
        <v>70</v>
      </c>
    </row>
    <row r="115" spans="1:16" ht="15.75">
      <c r="A115" s="205">
        <v>19298131</v>
      </c>
      <c r="B115" s="215"/>
      <c r="C115" s="205"/>
      <c r="D115" s="205"/>
      <c r="E115" s="205"/>
      <c r="F115" s="205" t="s">
        <v>86</v>
      </c>
      <c r="G115" s="215">
        <v>45667</v>
      </c>
      <c r="H115" s="215">
        <v>45667</v>
      </c>
      <c r="I115" s="216">
        <v>557.20000000000005</v>
      </c>
      <c r="J115" s="205" t="s">
        <v>17</v>
      </c>
      <c r="K115" s="205"/>
      <c r="L115" s="205" t="s">
        <v>18</v>
      </c>
      <c r="M115" s="215">
        <v>45667</v>
      </c>
      <c r="N115" s="218">
        <f>Tabela13891011121314[[#This Row],[Valor recibo]]</f>
        <v>557.20000000000005</v>
      </c>
      <c r="O115" s="216"/>
      <c r="P115" s="205" t="s">
        <v>70</v>
      </c>
    </row>
    <row r="116" spans="1:16" ht="15.75">
      <c r="A116" s="205">
        <v>19298948</v>
      </c>
      <c r="B116" s="215"/>
      <c r="C116" s="205"/>
      <c r="D116" s="205"/>
      <c r="E116" s="205"/>
      <c r="F116" s="205" t="s">
        <v>87</v>
      </c>
      <c r="G116" s="215">
        <v>45666</v>
      </c>
      <c r="H116" s="215">
        <v>45666</v>
      </c>
      <c r="I116" s="216">
        <v>1684</v>
      </c>
      <c r="J116" s="205" t="s">
        <v>17</v>
      </c>
      <c r="K116" s="205"/>
      <c r="L116" s="205" t="s">
        <v>18</v>
      </c>
      <c r="M116" s="215">
        <v>45667</v>
      </c>
      <c r="N116" s="218">
        <f>Tabela13891011121314[[#This Row],[Valor recibo]]</f>
        <v>1684</v>
      </c>
      <c r="O116" s="216"/>
      <c r="P116" s="205" t="s">
        <v>70</v>
      </c>
    </row>
    <row r="117" spans="1:16" ht="15.75">
      <c r="A117" s="205">
        <v>19298064</v>
      </c>
      <c r="B117" s="215"/>
      <c r="C117" s="205"/>
      <c r="D117" s="205"/>
      <c r="E117" s="205"/>
      <c r="F117" s="205">
        <v>49643</v>
      </c>
      <c r="G117" s="215">
        <v>45667</v>
      </c>
      <c r="H117" s="215">
        <v>45667</v>
      </c>
      <c r="I117" s="216">
        <v>0</v>
      </c>
      <c r="J117" s="205" t="s">
        <v>17</v>
      </c>
      <c r="K117" s="205"/>
      <c r="L117" s="205"/>
      <c r="M117" s="215">
        <v>45667</v>
      </c>
      <c r="N117" s="218">
        <f>Tabela13891011121314[[#This Row],[Valor recibo]]</f>
        <v>0</v>
      </c>
      <c r="O117" s="216"/>
      <c r="P117" s="205" t="s">
        <v>70</v>
      </c>
    </row>
    <row r="118" spans="1:16" ht="15.75">
      <c r="A118" s="205">
        <v>19289892</v>
      </c>
      <c r="B118" s="215"/>
      <c r="C118" s="205"/>
      <c r="D118" s="205"/>
      <c r="E118" s="205"/>
      <c r="F118" s="205">
        <v>49655</v>
      </c>
      <c r="G118" s="215">
        <v>45667</v>
      </c>
      <c r="H118" s="215">
        <v>45667</v>
      </c>
      <c r="I118" s="216">
        <v>476</v>
      </c>
      <c r="J118" s="205" t="s">
        <v>17</v>
      </c>
      <c r="K118" s="205"/>
      <c r="L118" s="205" t="s">
        <v>18</v>
      </c>
      <c r="M118" s="215">
        <v>45667</v>
      </c>
      <c r="N118" s="218">
        <f>Tabela13891011121314[[#This Row],[Valor recibo]]</f>
        <v>476</v>
      </c>
      <c r="O118" s="216"/>
      <c r="P118" s="205" t="s">
        <v>70</v>
      </c>
    </row>
    <row r="119" spans="1:16" ht="15.75">
      <c r="A119" s="205">
        <v>19299875</v>
      </c>
      <c r="B119" s="215"/>
      <c r="C119" s="205"/>
      <c r="D119" s="205"/>
      <c r="E119" s="205"/>
      <c r="F119" s="205" t="s">
        <v>88</v>
      </c>
      <c r="G119" s="215">
        <v>45667</v>
      </c>
      <c r="H119" s="215">
        <v>45667</v>
      </c>
      <c r="I119" s="216">
        <v>454.53</v>
      </c>
      <c r="J119" s="205" t="s">
        <v>17</v>
      </c>
      <c r="K119" s="205"/>
      <c r="L119" s="205" t="s">
        <v>18</v>
      </c>
      <c r="M119" s="215">
        <v>45667</v>
      </c>
      <c r="N119" s="218">
        <f>Tabela13891011121314[[#This Row],[Valor recibo]]</f>
        <v>454.53</v>
      </c>
      <c r="O119" s="216"/>
      <c r="P119" s="205" t="s">
        <v>70</v>
      </c>
    </row>
    <row r="120" spans="1:16" ht="15.75">
      <c r="A120" s="205">
        <v>19306579</v>
      </c>
      <c r="B120" s="215"/>
      <c r="C120" s="205"/>
      <c r="D120" s="205"/>
      <c r="E120" s="205"/>
      <c r="F120" s="205" t="s">
        <v>89</v>
      </c>
      <c r="G120" s="215">
        <v>45668</v>
      </c>
      <c r="H120" s="215">
        <v>45668</v>
      </c>
      <c r="I120" s="216">
        <v>476</v>
      </c>
      <c r="J120" s="205" t="s">
        <v>17</v>
      </c>
      <c r="K120" s="205"/>
      <c r="L120" s="205" t="s">
        <v>18</v>
      </c>
      <c r="M120" s="215">
        <v>45670</v>
      </c>
      <c r="N120" s="218">
        <f>Tabela13891011121314[[#This Row],[Valor recibo]]</f>
        <v>476</v>
      </c>
      <c r="O120" s="216"/>
      <c r="P120" s="205" t="s">
        <v>70</v>
      </c>
    </row>
    <row r="121" spans="1:16" ht="15.75">
      <c r="A121" s="205">
        <v>19297767</v>
      </c>
      <c r="B121" s="215"/>
      <c r="C121" s="205"/>
      <c r="D121" s="205"/>
      <c r="E121" s="205"/>
      <c r="F121" s="205" t="s">
        <v>90</v>
      </c>
      <c r="G121" s="215">
        <v>45668</v>
      </c>
      <c r="H121" s="215">
        <v>45668</v>
      </c>
      <c r="I121" s="216">
        <v>476</v>
      </c>
      <c r="J121" s="205" t="s">
        <v>17</v>
      </c>
      <c r="K121" s="205"/>
      <c r="L121" s="205" t="s">
        <v>18</v>
      </c>
      <c r="M121" s="215">
        <v>45670</v>
      </c>
      <c r="N121" s="218">
        <f>Tabela13891011121314[[#This Row],[Valor recibo]]</f>
        <v>476</v>
      </c>
      <c r="O121" s="216"/>
      <c r="P121" s="205" t="s">
        <v>70</v>
      </c>
    </row>
    <row r="122" spans="1:16" ht="15.75">
      <c r="A122" s="205">
        <v>19292374</v>
      </c>
      <c r="B122" s="215"/>
      <c r="C122" s="205"/>
      <c r="D122" s="205"/>
      <c r="E122" s="205"/>
      <c r="F122" s="205" t="s">
        <v>91</v>
      </c>
      <c r="G122" s="215">
        <v>45667</v>
      </c>
      <c r="H122" s="215">
        <v>45667</v>
      </c>
      <c r="I122" s="216">
        <v>476</v>
      </c>
      <c r="J122" s="205" t="s">
        <v>17</v>
      </c>
      <c r="K122" s="205"/>
      <c r="L122" s="205" t="s">
        <v>18</v>
      </c>
      <c r="M122" s="215">
        <v>45670</v>
      </c>
      <c r="N122" s="218">
        <f>Tabela13891011121314[[#This Row],[Valor recibo]]</f>
        <v>476</v>
      </c>
      <c r="O122" s="216"/>
      <c r="P122" s="219" t="s">
        <v>81</v>
      </c>
    </row>
    <row r="123" spans="1:16" ht="15.75">
      <c r="A123" s="205">
        <v>19290988</v>
      </c>
      <c r="B123" s="215"/>
      <c r="C123" s="205"/>
      <c r="D123" s="205"/>
      <c r="E123" s="205"/>
      <c r="F123" s="205">
        <v>49619</v>
      </c>
      <c r="G123" s="215">
        <v>45667</v>
      </c>
      <c r="H123" s="215">
        <v>45667</v>
      </c>
      <c r="I123" s="216">
        <v>1627</v>
      </c>
      <c r="J123" s="205" t="s">
        <v>17</v>
      </c>
      <c r="K123" s="205"/>
      <c r="L123" s="205" t="s">
        <v>18</v>
      </c>
      <c r="M123" s="215">
        <v>45670</v>
      </c>
      <c r="N123" s="218">
        <f>Tabela13891011121314[[#This Row],[Valor recibo]]</f>
        <v>1627</v>
      </c>
      <c r="O123" s="216"/>
      <c r="P123" s="205" t="s">
        <v>70</v>
      </c>
    </row>
    <row r="124" spans="1:16" ht="15.75">
      <c r="A124" s="205">
        <v>19299857</v>
      </c>
      <c r="B124" s="215"/>
      <c r="C124" s="205"/>
      <c r="D124" s="205"/>
      <c r="E124" s="205"/>
      <c r="F124" s="205" t="s">
        <v>92</v>
      </c>
      <c r="G124" s="215">
        <v>45667</v>
      </c>
      <c r="H124" s="215">
        <v>45667</v>
      </c>
      <c r="I124" s="216">
        <v>476</v>
      </c>
      <c r="J124" s="205" t="s">
        <v>17</v>
      </c>
      <c r="K124" s="205"/>
      <c r="L124" s="205" t="s">
        <v>18</v>
      </c>
      <c r="M124" s="215">
        <v>45670</v>
      </c>
      <c r="N124" s="218">
        <f>Tabela13891011121314[[#This Row],[Valor recibo]]</f>
        <v>476</v>
      </c>
      <c r="O124" s="216"/>
      <c r="P124" s="205" t="s">
        <v>70</v>
      </c>
    </row>
    <row r="125" spans="1:16" ht="15.75">
      <c r="A125" s="205">
        <v>19299856</v>
      </c>
      <c r="B125" s="215"/>
      <c r="C125" s="205"/>
      <c r="D125" s="205"/>
      <c r="E125" s="205"/>
      <c r="F125" s="205">
        <v>49709</v>
      </c>
      <c r="G125" s="215">
        <v>45667</v>
      </c>
      <c r="H125" s="215">
        <v>45667</v>
      </c>
      <c r="I125" s="216">
        <v>476</v>
      </c>
      <c r="J125" s="205" t="s">
        <v>17</v>
      </c>
      <c r="K125" s="205"/>
      <c r="L125" s="205" t="s">
        <v>18</v>
      </c>
      <c r="M125" s="215">
        <v>45670</v>
      </c>
      <c r="N125" s="218">
        <f>Tabela13891011121314[[#This Row],[Valor recibo]]</f>
        <v>476</v>
      </c>
      <c r="O125" s="216"/>
      <c r="P125" s="205" t="s">
        <v>70</v>
      </c>
    </row>
    <row r="126" spans="1:16" ht="15.75">
      <c r="A126" s="205">
        <v>19299938</v>
      </c>
      <c r="B126" s="215"/>
      <c r="C126" s="205"/>
      <c r="D126" s="205"/>
      <c r="E126" s="205"/>
      <c r="F126" s="205">
        <v>49684</v>
      </c>
      <c r="G126" s="215">
        <v>45667</v>
      </c>
      <c r="H126" s="215">
        <v>45667</v>
      </c>
      <c r="I126" s="216">
        <v>476</v>
      </c>
      <c r="J126" s="205" t="s">
        <v>17</v>
      </c>
      <c r="K126" s="205"/>
      <c r="L126" s="205" t="s">
        <v>18</v>
      </c>
      <c r="M126" s="215">
        <v>45670</v>
      </c>
      <c r="N126" s="218">
        <f>Tabela13891011121314[[#This Row],[Valor recibo]]</f>
        <v>476</v>
      </c>
      <c r="O126" s="216"/>
      <c r="P126" s="205" t="s">
        <v>70</v>
      </c>
    </row>
    <row r="127" spans="1:16" ht="15.75">
      <c r="A127" s="205">
        <v>19299939</v>
      </c>
      <c r="B127" s="215"/>
      <c r="C127" s="205"/>
      <c r="D127" s="205"/>
      <c r="E127" s="205"/>
      <c r="F127" s="205" t="s">
        <v>93</v>
      </c>
      <c r="G127" s="215">
        <v>45667</v>
      </c>
      <c r="H127" s="215">
        <v>45667</v>
      </c>
      <c r="I127" s="216">
        <v>476</v>
      </c>
      <c r="J127" s="205" t="s">
        <v>17</v>
      </c>
      <c r="K127" s="205"/>
      <c r="L127" s="205" t="s">
        <v>18</v>
      </c>
      <c r="M127" s="215">
        <v>45670</v>
      </c>
      <c r="N127" s="218">
        <f>Tabela13891011121314[[#This Row],[Valor recibo]]</f>
        <v>476</v>
      </c>
      <c r="O127" s="216"/>
      <c r="P127" s="205" t="s">
        <v>70</v>
      </c>
    </row>
    <row r="128" spans="1:16" ht="15.75">
      <c r="A128" s="205">
        <v>19299853</v>
      </c>
      <c r="B128" s="215"/>
      <c r="C128" s="205"/>
      <c r="D128" s="205"/>
      <c r="E128" s="205"/>
      <c r="F128" s="205" t="s">
        <v>94</v>
      </c>
      <c r="G128" s="215">
        <v>45667</v>
      </c>
      <c r="H128" s="215">
        <v>45667</v>
      </c>
      <c r="I128" s="216">
        <v>476</v>
      </c>
      <c r="J128" s="205" t="s">
        <v>17</v>
      </c>
      <c r="K128" s="205"/>
      <c r="L128" s="205" t="s">
        <v>18</v>
      </c>
      <c r="M128" s="215">
        <v>45670</v>
      </c>
      <c r="N128" s="218">
        <f>Tabela13891011121314[[#This Row],[Valor recibo]]</f>
        <v>476</v>
      </c>
      <c r="O128" s="216"/>
      <c r="P128" s="205" t="s">
        <v>70</v>
      </c>
    </row>
    <row r="129" spans="1:16" ht="15.75">
      <c r="A129" s="205">
        <v>19299876</v>
      </c>
      <c r="B129" s="215"/>
      <c r="C129" s="205"/>
      <c r="D129" s="205"/>
      <c r="E129" s="205"/>
      <c r="F129" s="205" t="s">
        <v>95</v>
      </c>
      <c r="G129" s="215">
        <v>45667</v>
      </c>
      <c r="H129" s="215">
        <v>45667</v>
      </c>
      <c r="I129" s="216">
        <v>476</v>
      </c>
      <c r="J129" s="205" t="s">
        <v>17</v>
      </c>
      <c r="K129" s="205"/>
      <c r="L129" s="205" t="s">
        <v>18</v>
      </c>
      <c r="M129" s="215">
        <v>45670</v>
      </c>
      <c r="N129" s="218">
        <f>Tabela13891011121314[[#This Row],[Valor recibo]]</f>
        <v>476</v>
      </c>
      <c r="O129" s="216"/>
      <c r="P129" s="205" t="s">
        <v>70</v>
      </c>
    </row>
    <row r="130" spans="1:16" ht="15.75">
      <c r="A130" s="205">
        <v>19299940</v>
      </c>
      <c r="B130" s="215"/>
      <c r="C130" s="205"/>
      <c r="D130" s="205"/>
      <c r="E130" s="205"/>
      <c r="F130" s="205" t="s">
        <v>96</v>
      </c>
      <c r="G130" s="215">
        <v>45667</v>
      </c>
      <c r="H130" s="215">
        <v>45667</v>
      </c>
      <c r="I130" s="216">
        <v>506</v>
      </c>
      <c r="J130" s="205" t="s">
        <v>17</v>
      </c>
      <c r="K130" s="205"/>
      <c r="L130" s="205" t="s">
        <v>18</v>
      </c>
      <c r="M130" s="215">
        <v>45670</v>
      </c>
      <c r="N130" s="218">
        <f>Tabela13891011121314[[#This Row],[Valor recibo]]</f>
        <v>506</v>
      </c>
      <c r="O130" s="216"/>
      <c r="P130" s="205" t="s">
        <v>70</v>
      </c>
    </row>
    <row r="131" spans="1:16" ht="15.75">
      <c r="A131" s="205">
        <v>19297768</v>
      </c>
      <c r="B131" s="215"/>
      <c r="C131" s="205"/>
      <c r="D131" s="205"/>
      <c r="E131" s="205"/>
      <c r="F131" s="205" t="s">
        <v>97</v>
      </c>
      <c r="G131" s="215">
        <v>45668</v>
      </c>
      <c r="H131" s="215">
        <v>45668</v>
      </c>
      <c r="I131" s="216">
        <v>476</v>
      </c>
      <c r="J131" s="205" t="s">
        <v>17</v>
      </c>
      <c r="K131" s="205"/>
      <c r="L131" s="205" t="s">
        <v>18</v>
      </c>
      <c r="M131" s="215">
        <v>45670</v>
      </c>
      <c r="N131" s="218">
        <f>Tabela13891011121314[[#This Row],[Valor recibo]]</f>
        <v>476</v>
      </c>
      <c r="O131" s="216"/>
      <c r="P131" s="205" t="s">
        <v>70</v>
      </c>
    </row>
    <row r="132" spans="1:16" ht="15.75">
      <c r="A132" s="205">
        <v>19305687</v>
      </c>
      <c r="B132" s="215"/>
      <c r="C132" s="205"/>
      <c r="D132" s="205"/>
      <c r="E132" s="205"/>
      <c r="F132" s="205" t="s">
        <v>98</v>
      </c>
      <c r="G132" s="215">
        <v>45668</v>
      </c>
      <c r="H132" s="215">
        <v>45668</v>
      </c>
      <c r="I132" s="216">
        <v>400</v>
      </c>
      <c r="J132" s="205" t="s">
        <v>17</v>
      </c>
      <c r="K132" s="205"/>
      <c r="L132" s="205" t="s">
        <v>18</v>
      </c>
      <c r="M132" s="215">
        <v>45670</v>
      </c>
      <c r="N132" s="218">
        <f>Tabela13891011121314[[#This Row],[Valor recibo]]</f>
        <v>400</v>
      </c>
      <c r="O132" s="216"/>
      <c r="P132" s="205" t="s">
        <v>70</v>
      </c>
    </row>
    <row r="133" spans="1:16" ht="15.75">
      <c r="A133" s="205">
        <v>19315261</v>
      </c>
      <c r="B133" s="215"/>
      <c r="C133" s="205"/>
      <c r="D133" s="205"/>
      <c r="E133" s="205"/>
      <c r="F133" s="205" t="s">
        <v>99</v>
      </c>
      <c r="G133" s="215">
        <v>45668</v>
      </c>
      <c r="H133" s="215">
        <v>45668</v>
      </c>
      <c r="I133" s="216">
        <v>400</v>
      </c>
      <c r="J133" s="205" t="s">
        <v>17</v>
      </c>
      <c r="K133" s="205"/>
      <c r="L133" s="205" t="s">
        <v>18</v>
      </c>
      <c r="M133" s="215">
        <v>45670</v>
      </c>
      <c r="N133" s="218">
        <f>Tabela13891011121314[[#This Row],[Valor recibo]]</f>
        <v>400</v>
      </c>
      <c r="O133" s="216"/>
      <c r="P133" s="219" t="s">
        <v>81</v>
      </c>
    </row>
    <row r="134" spans="1:16" ht="15.75">
      <c r="A134" s="205">
        <v>19292518</v>
      </c>
      <c r="B134" s="215"/>
      <c r="C134" s="205"/>
      <c r="D134" s="205"/>
      <c r="E134" s="205"/>
      <c r="F134" s="205">
        <v>49762</v>
      </c>
      <c r="G134" s="215">
        <v>45668</v>
      </c>
      <c r="H134" s="215">
        <v>45668</v>
      </c>
      <c r="I134" s="216">
        <v>677.2</v>
      </c>
      <c r="J134" s="205" t="s">
        <v>17</v>
      </c>
      <c r="K134" s="205"/>
      <c r="L134" s="205" t="s">
        <v>18</v>
      </c>
      <c r="M134" s="215">
        <v>45670</v>
      </c>
      <c r="N134" s="218">
        <f>Tabela13891011121314[[#This Row],[Valor recibo]]</f>
        <v>677.2</v>
      </c>
      <c r="O134" s="216"/>
      <c r="P134" s="205" t="s">
        <v>70</v>
      </c>
    </row>
    <row r="135" spans="1:16" ht="15.75">
      <c r="A135" s="205">
        <v>19299615</v>
      </c>
      <c r="B135" s="215"/>
      <c r="C135" s="205"/>
      <c r="D135" s="205"/>
      <c r="E135" s="205"/>
      <c r="F135" s="205" t="s">
        <v>100</v>
      </c>
      <c r="G135" s="215">
        <v>45667</v>
      </c>
      <c r="H135" s="215">
        <v>45667</v>
      </c>
      <c r="I135" s="216">
        <v>237.99</v>
      </c>
      <c r="J135" s="205" t="s">
        <v>17</v>
      </c>
      <c r="K135" s="205"/>
      <c r="L135" s="205" t="s">
        <v>18</v>
      </c>
      <c r="M135" s="215">
        <v>45670</v>
      </c>
      <c r="N135" s="218">
        <f>Tabela13891011121314[[#This Row],[Valor recibo]]</f>
        <v>237.99</v>
      </c>
      <c r="O135" s="216"/>
      <c r="P135" s="205" t="s">
        <v>70</v>
      </c>
    </row>
    <row r="136" spans="1:16" ht="15.75">
      <c r="A136" s="205">
        <v>19305917</v>
      </c>
      <c r="B136" s="215"/>
      <c r="C136" s="205"/>
      <c r="D136" s="205"/>
      <c r="E136" s="205"/>
      <c r="F136" s="205">
        <v>49579</v>
      </c>
      <c r="G136" s="215">
        <v>45667</v>
      </c>
      <c r="H136" s="215">
        <v>45667</v>
      </c>
      <c r="I136" s="216">
        <v>238</v>
      </c>
      <c r="J136" s="205" t="s">
        <v>17</v>
      </c>
      <c r="K136" s="205"/>
      <c r="L136" s="205" t="s">
        <v>18</v>
      </c>
      <c r="M136" s="215">
        <v>45670</v>
      </c>
      <c r="N136" s="218">
        <f>Tabela13891011121314[[#This Row],[Valor recibo]]</f>
        <v>238</v>
      </c>
      <c r="O136" s="216"/>
      <c r="P136" s="205" t="s">
        <v>70</v>
      </c>
    </row>
    <row r="137" spans="1:16" ht="15.75">
      <c r="A137" s="205">
        <v>19311790</v>
      </c>
      <c r="B137" s="215"/>
      <c r="C137" s="205"/>
      <c r="D137" s="205"/>
      <c r="E137" s="205"/>
      <c r="F137" s="205" t="s">
        <v>101</v>
      </c>
      <c r="G137" s="215">
        <v>45668</v>
      </c>
      <c r="H137" s="215">
        <v>45668</v>
      </c>
      <c r="I137" s="216">
        <v>221</v>
      </c>
      <c r="J137" s="205" t="s">
        <v>17</v>
      </c>
      <c r="K137" s="205"/>
      <c r="L137" s="205" t="s">
        <v>18</v>
      </c>
      <c r="M137" s="215">
        <v>45670</v>
      </c>
      <c r="N137" s="218">
        <f>Tabela13891011121314[[#This Row],[Valor recibo]]</f>
        <v>221</v>
      </c>
      <c r="O137" s="216"/>
      <c r="P137" s="205" t="s">
        <v>70</v>
      </c>
    </row>
    <row r="138" spans="1:16" ht="15.75">
      <c r="A138" s="205">
        <v>19298276</v>
      </c>
      <c r="B138" s="215"/>
      <c r="C138" s="205"/>
      <c r="D138" s="205"/>
      <c r="E138" s="205"/>
      <c r="F138" s="205" t="s">
        <v>102</v>
      </c>
      <c r="G138" s="215">
        <v>45667</v>
      </c>
      <c r="H138" s="215">
        <v>45667</v>
      </c>
      <c r="I138" s="216">
        <v>238</v>
      </c>
      <c r="J138" s="205" t="s">
        <v>17</v>
      </c>
      <c r="K138" s="205"/>
      <c r="L138" s="205" t="s">
        <v>18</v>
      </c>
      <c r="M138" s="215">
        <v>45670</v>
      </c>
      <c r="N138" s="218">
        <f>Tabela13891011121314[[#This Row],[Valor recibo]]</f>
        <v>238</v>
      </c>
      <c r="O138" s="216"/>
      <c r="P138" s="219" t="s">
        <v>81</v>
      </c>
    </row>
    <row r="139" spans="1:16" ht="15.75">
      <c r="A139" s="205">
        <v>19310733</v>
      </c>
      <c r="B139" s="215"/>
      <c r="C139" s="205"/>
      <c r="D139" s="205"/>
      <c r="E139" s="205"/>
      <c r="F139" s="205">
        <v>49882</v>
      </c>
      <c r="G139" s="215">
        <v>45670</v>
      </c>
      <c r="H139" s="215">
        <v>45670</v>
      </c>
      <c r="I139" s="216">
        <v>238</v>
      </c>
      <c r="J139" s="205" t="s">
        <v>17</v>
      </c>
      <c r="K139" s="205"/>
      <c r="L139" s="205" t="s">
        <v>18</v>
      </c>
      <c r="M139" s="215">
        <v>45670</v>
      </c>
      <c r="N139" s="218">
        <f>Tabela13891011121314[[#This Row],[Valor recibo]]</f>
        <v>238</v>
      </c>
      <c r="O139" s="216"/>
      <c r="P139" s="205" t="s">
        <v>70</v>
      </c>
    </row>
    <row r="140" spans="1:16" ht="15.75">
      <c r="A140" s="205">
        <v>19311218</v>
      </c>
      <c r="B140" s="215"/>
      <c r="C140" s="205"/>
      <c r="D140" s="205"/>
      <c r="E140" s="205"/>
      <c r="F140" s="205" t="s">
        <v>103</v>
      </c>
      <c r="G140" s="215">
        <v>45670</v>
      </c>
      <c r="H140" s="215">
        <v>45670</v>
      </c>
      <c r="I140" s="216">
        <v>476</v>
      </c>
      <c r="J140" s="205" t="s">
        <v>17</v>
      </c>
      <c r="K140" s="205"/>
      <c r="L140" s="205" t="s">
        <v>18</v>
      </c>
      <c r="M140" s="215">
        <v>45670</v>
      </c>
      <c r="N140" s="218">
        <f>Tabela13891011121314[[#This Row],[Valor recibo]]</f>
        <v>476</v>
      </c>
      <c r="O140" s="216"/>
      <c r="P140" s="205" t="s">
        <v>70</v>
      </c>
    </row>
    <row r="141" spans="1:16" ht="15.75">
      <c r="A141" s="205">
        <v>19311757</v>
      </c>
      <c r="B141" s="215"/>
      <c r="C141" s="205"/>
      <c r="D141" s="205"/>
      <c r="E141" s="205"/>
      <c r="F141" s="205" t="s">
        <v>104</v>
      </c>
      <c r="G141" s="215">
        <v>45670</v>
      </c>
      <c r="H141" s="215">
        <v>45670</v>
      </c>
      <c r="I141" s="216">
        <v>476</v>
      </c>
      <c r="J141" s="205" t="s">
        <v>17</v>
      </c>
      <c r="K141" s="205"/>
      <c r="L141" s="205" t="s">
        <v>18</v>
      </c>
      <c r="M141" s="215">
        <v>45670</v>
      </c>
      <c r="N141" s="218">
        <f>Tabela13891011121314[[#This Row],[Valor recibo]]</f>
        <v>476</v>
      </c>
      <c r="O141" s="216"/>
      <c r="P141" s="205" t="s">
        <v>70</v>
      </c>
    </row>
    <row r="142" spans="1:16" ht="15.75">
      <c r="A142" s="205">
        <v>19311758</v>
      </c>
      <c r="B142" s="215"/>
      <c r="C142" s="205"/>
      <c r="D142" s="205"/>
      <c r="E142" s="205"/>
      <c r="F142" s="205" t="s">
        <v>105</v>
      </c>
      <c r="G142" s="215">
        <v>45670</v>
      </c>
      <c r="H142" s="215">
        <v>45670</v>
      </c>
      <c r="I142" s="216">
        <v>476</v>
      </c>
      <c r="J142" s="205" t="s">
        <v>17</v>
      </c>
      <c r="K142" s="205"/>
      <c r="L142" s="205" t="s">
        <v>18</v>
      </c>
      <c r="M142" s="215">
        <v>45670</v>
      </c>
      <c r="N142" s="218">
        <f>Tabela13891011121314[[#This Row],[Valor recibo]]</f>
        <v>476</v>
      </c>
      <c r="O142" s="216"/>
      <c r="P142" s="205" t="s">
        <v>70</v>
      </c>
    </row>
    <row r="143" spans="1:16" ht="15.75">
      <c r="A143" s="205">
        <v>19315138</v>
      </c>
      <c r="B143" s="215"/>
      <c r="C143" s="205"/>
      <c r="D143" s="205"/>
      <c r="E143" s="205"/>
      <c r="F143" s="205" t="s">
        <v>106</v>
      </c>
      <c r="G143" s="215">
        <v>45670</v>
      </c>
      <c r="H143" s="215">
        <v>45670</v>
      </c>
      <c r="I143" s="216">
        <v>1215</v>
      </c>
      <c r="J143" s="205" t="s">
        <v>17</v>
      </c>
      <c r="K143" s="205"/>
      <c r="L143" s="205" t="s">
        <v>18</v>
      </c>
      <c r="M143" s="215">
        <v>45670</v>
      </c>
      <c r="N143" s="218">
        <f>Tabela13891011121314[[#This Row],[Valor recibo]]</f>
        <v>1215</v>
      </c>
      <c r="O143" s="216"/>
      <c r="P143" s="205" t="s">
        <v>70</v>
      </c>
    </row>
    <row r="144" spans="1:16" ht="15.75">
      <c r="A144" s="205">
        <v>19290989</v>
      </c>
      <c r="B144" s="215"/>
      <c r="C144" s="205"/>
      <c r="D144" s="205"/>
      <c r="E144" s="205"/>
      <c r="F144" s="205">
        <v>49890</v>
      </c>
      <c r="G144" s="215">
        <v>45670</v>
      </c>
      <c r="H144" s="215">
        <v>45670</v>
      </c>
      <c r="I144" s="216">
        <v>1591.9</v>
      </c>
      <c r="J144" s="205" t="s">
        <v>17</v>
      </c>
      <c r="K144" s="205"/>
      <c r="L144" s="205" t="s">
        <v>18</v>
      </c>
      <c r="M144" s="215">
        <v>45671</v>
      </c>
      <c r="N144" s="218">
        <f>Tabela13891011121314[[#This Row],[Valor recibo]]</f>
        <v>1591.9</v>
      </c>
      <c r="O144" s="216"/>
      <c r="P144" s="205" t="s">
        <v>70</v>
      </c>
    </row>
    <row r="145" spans="1:16" ht="15.75">
      <c r="A145" s="205">
        <v>19298078</v>
      </c>
      <c r="B145" s="215"/>
      <c r="C145" s="205"/>
      <c r="D145" s="205"/>
      <c r="E145" s="205"/>
      <c r="F145" s="205" t="s">
        <v>107</v>
      </c>
      <c r="G145" s="215">
        <v>45670</v>
      </c>
      <c r="H145" s="215">
        <v>45670</v>
      </c>
      <c r="I145" s="216">
        <v>442</v>
      </c>
      <c r="J145" s="205" t="s">
        <v>17</v>
      </c>
      <c r="K145" s="205"/>
      <c r="L145" s="205" t="s">
        <v>18</v>
      </c>
      <c r="M145" s="215">
        <v>45671</v>
      </c>
      <c r="N145" s="218">
        <f>Tabela13891011121314[[#This Row],[Valor recibo]]</f>
        <v>442</v>
      </c>
      <c r="O145" s="216"/>
      <c r="P145" s="205" t="s">
        <v>70</v>
      </c>
    </row>
    <row r="146" spans="1:16" ht="15.75">
      <c r="A146" s="205">
        <v>19298371</v>
      </c>
      <c r="B146" s="215"/>
      <c r="C146" s="205"/>
      <c r="D146" s="205"/>
      <c r="E146" s="205"/>
      <c r="F146" s="205" t="s">
        <v>108</v>
      </c>
      <c r="G146" s="215">
        <v>45670</v>
      </c>
      <c r="H146" s="215">
        <v>45670</v>
      </c>
      <c r="I146" s="216">
        <v>476</v>
      </c>
      <c r="J146" s="205" t="s">
        <v>17</v>
      </c>
      <c r="K146" s="205"/>
      <c r="L146" s="205" t="s">
        <v>18</v>
      </c>
      <c r="M146" s="215">
        <v>45671</v>
      </c>
      <c r="N146" s="218">
        <f>Tabela13891011121314[[#This Row],[Valor recibo]]</f>
        <v>476</v>
      </c>
      <c r="O146" s="216"/>
      <c r="P146" s="205" t="s">
        <v>70</v>
      </c>
    </row>
    <row r="147" spans="1:16" ht="15.75">
      <c r="A147" s="205">
        <v>19298370</v>
      </c>
      <c r="B147" s="215"/>
      <c r="C147" s="205"/>
      <c r="D147" s="205"/>
      <c r="E147" s="205"/>
      <c r="F147" s="205" t="s">
        <v>109</v>
      </c>
      <c r="G147" s="215">
        <v>45670</v>
      </c>
      <c r="H147" s="215">
        <v>45670</v>
      </c>
      <c r="I147" s="216">
        <v>442</v>
      </c>
      <c r="J147" s="205" t="s">
        <v>17</v>
      </c>
      <c r="K147" s="205"/>
      <c r="L147" s="205" t="s">
        <v>18</v>
      </c>
      <c r="M147" s="215">
        <v>45671</v>
      </c>
      <c r="N147" s="218">
        <f>Tabela13891011121314[[#This Row],[Valor recibo]]</f>
        <v>442</v>
      </c>
      <c r="O147" s="216"/>
      <c r="P147" s="205" t="s">
        <v>70</v>
      </c>
    </row>
    <row r="148" spans="1:16" ht="15.75">
      <c r="A148" s="205">
        <v>19311330</v>
      </c>
      <c r="B148" s="215"/>
      <c r="C148" s="205"/>
      <c r="D148" s="205"/>
      <c r="E148" s="205"/>
      <c r="F148" s="205" t="s">
        <v>110</v>
      </c>
      <c r="G148" s="215">
        <v>45670</v>
      </c>
      <c r="H148" s="215">
        <v>45670</v>
      </c>
      <c r="I148" s="216">
        <v>476</v>
      </c>
      <c r="J148" s="205" t="s">
        <v>17</v>
      </c>
      <c r="K148" s="205"/>
      <c r="L148" s="205" t="s">
        <v>18</v>
      </c>
      <c r="M148" s="215">
        <v>45671</v>
      </c>
      <c r="N148" s="218">
        <f>Tabela13891011121314[[#This Row],[Valor recibo]]</f>
        <v>476</v>
      </c>
      <c r="O148" s="216"/>
      <c r="P148" s="205" t="s">
        <v>70</v>
      </c>
    </row>
    <row r="149" spans="1:16" ht="15.75">
      <c r="A149" s="205">
        <v>19298372</v>
      </c>
      <c r="B149" s="215"/>
      <c r="C149" s="205"/>
      <c r="D149" s="205"/>
      <c r="E149" s="205"/>
      <c r="F149" s="205" t="s">
        <v>111</v>
      </c>
      <c r="G149" s="215">
        <v>45670</v>
      </c>
      <c r="H149" s="215">
        <v>45670</v>
      </c>
      <c r="I149" s="216">
        <v>476</v>
      </c>
      <c r="J149" s="205" t="s">
        <v>17</v>
      </c>
      <c r="K149" s="205"/>
      <c r="L149" s="205" t="s">
        <v>18</v>
      </c>
      <c r="M149" s="215">
        <v>45671</v>
      </c>
      <c r="N149" s="218">
        <f>Tabela13891011121314[[#This Row],[Valor recibo]]</f>
        <v>476</v>
      </c>
      <c r="O149" s="216"/>
      <c r="P149" s="205" t="s">
        <v>70</v>
      </c>
    </row>
    <row r="150" spans="1:16" ht="15.75">
      <c r="A150" s="205">
        <v>19311833</v>
      </c>
      <c r="B150" s="215"/>
      <c r="C150" s="205"/>
      <c r="D150" s="205"/>
      <c r="E150" s="205"/>
      <c r="F150" s="205" t="s">
        <v>112</v>
      </c>
      <c r="G150" s="215">
        <v>45670</v>
      </c>
      <c r="H150" s="215">
        <v>45670</v>
      </c>
      <c r="I150" s="216">
        <v>476</v>
      </c>
      <c r="J150" s="205" t="s">
        <v>17</v>
      </c>
      <c r="K150" s="205"/>
      <c r="L150" s="205" t="s">
        <v>18</v>
      </c>
      <c r="M150" s="215">
        <v>45671</v>
      </c>
      <c r="N150" s="218">
        <f>Tabela13891011121314[[#This Row],[Valor recibo]]</f>
        <v>476</v>
      </c>
      <c r="O150" s="216"/>
      <c r="P150" s="205" t="s">
        <v>70</v>
      </c>
    </row>
    <row r="151" spans="1:16" ht="15.75">
      <c r="A151" s="205">
        <v>19298103</v>
      </c>
      <c r="B151" s="215"/>
      <c r="C151" s="205"/>
      <c r="D151" s="205"/>
      <c r="E151" s="205"/>
      <c r="F151" s="205" t="s">
        <v>113</v>
      </c>
      <c r="G151" s="215">
        <v>45670</v>
      </c>
      <c r="H151" s="215">
        <v>45670</v>
      </c>
      <c r="I151" s="216">
        <v>476</v>
      </c>
      <c r="J151" s="205" t="s">
        <v>17</v>
      </c>
      <c r="K151" s="205"/>
      <c r="L151" s="205" t="s">
        <v>18</v>
      </c>
      <c r="M151" s="215">
        <v>45671</v>
      </c>
      <c r="N151" s="218">
        <f>Tabela13891011121314[[#This Row],[Valor recibo]]</f>
        <v>476</v>
      </c>
      <c r="O151" s="216"/>
      <c r="P151" s="205" t="s">
        <v>70</v>
      </c>
    </row>
    <row r="152" spans="1:16" ht="15.75">
      <c r="A152" s="205">
        <v>19297765</v>
      </c>
      <c r="B152" s="215"/>
      <c r="C152" s="205"/>
      <c r="D152" s="205"/>
      <c r="E152" s="205"/>
      <c r="F152" s="205" t="s">
        <v>114</v>
      </c>
      <c r="G152" s="215">
        <v>45670</v>
      </c>
      <c r="H152" s="215">
        <v>45670</v>
      </c>
      <c r="I152" s="216">
        <v>476</v>
      </c>
      <c r="J152" s="205" t="s">
        <v>17</v>
      </c>
      <c r="K152" s="205"/>
      <c r="L152" s="205" t="s">
        <v>18</v>
      </c>
      <c r="M152" s="215">
        <v>45671</v>
      </c>
      <c r="N152" s="218">
        <f>Tabela13891011121314[[#This Row],[Valor recibo]]</f>
        <v>476</v>
      </c>
      <c r="O152" s="216"/>
      <c r="P152" s="205" t="s">
        <v>70</v>
      </c>
    </row>
    <row r="153" spans="1:16" ht="15.75">
      <c r="A153" s="205">
        <v>19298077</v>
      </c>
      <c r="B153" s="215"/>
      <c r="C153" s="205"/>
      <c r="D153" s="205"/>
      <c r="E153" s="205"/>
      <c r="F153" s="205" t="s">
        <v>115</v>
      </c>
      <c r="G153" s="215">
        <v>45670</v>
      </c>
      <c r="H153" s="215">
        <v>45670</v>
      </c>
      <c r="I153" s="216">
        <v>493</v>
      </c>
      <c r="J153" s="205" t="s">
        <v>17</v>
      </c>
      <c r="K153" s="205"/>
      <c r="L153" s="205" t="s">
        <v>18</v>
      </c>
      <c r="M153" s="215">
        <v>45671</v>
      </c>
      <c r="N153" s="218">
        <f>Tabela13891011121314[[#This Row],[Valor recibo]]</f>
        <v>493</v>
      </c>
      <c r="O153" s="216"/>
      <c r="P153" s="205" t="s">
        <v>70</v>
      </c>
    </row>
    <row r="154" spans="1:16" ht="15.75">
      <c r="A154" s="205">
        <v>19298259</v>
      </c>
      <c r="B154" s="215"/>
      <c r="C154" s="205"/>
      <c r="D154" s="205"/>
      <c r="E154" s="205"/>
      <c r="F154" s="205" t="s">
        <v>116</v>
      </c>
      <c r="G154" s="215">
        <v>45670</v>
      </c>
      <c r="H154" s="215">
        <v>45670</v>
      </c>
      <c r="I154" s="216">
        <v>442</v>
      </c>
      <c r="J154" s="205" t="s">
        <v>17</v>
      </c>
      <c r="K154" s="205"/>
      <c r="L154" s="205" t="s">
        <v>18</v>
      </c>
      <c r="M154" s="215">
        <v>45671</v>
      </c>
      <c r="N154" s="218">
        <f>Tabela13891011121314[[#This Row],[Valor recibo]]</f>
        <v>442</v>
      </c>
      <c r="O154" s="216"/>
      <c r="P154" s="205" t="s">
        <v>70</v>
      </c>
    </row>
    <row r="155" spans="1:16" ht="15.75">
      <c r="A155" s="205">
        <v>19310593</v>
      </c>
      <c r="B155" s="215"/>
      <c r="C155" s="205"/>
      <c r="D155" s="205"/>
      <c r="E155" s="205"/>
      <c r="F155" s="205" t="s">
        <v>117</v>
      </c>
      <c r="G155" s="215">
        <v>45670</v>
      </c>
      <c r="H155" s="215">
        <v>45670</v>
      </c>
      <c r="I155" s="216">
        <v>476</v>
      </c>
      <c r="J155" s="205" t="s">
        <v>17</v>
      </c>
      <c r="K155" s="205"/>
      <c r="L155" s="205" t="s">
        <v>18</v>
      </c>
      <c r="M155" s="215">
        <v>45671</v>
      </c>
      <c r="N155" s="218">
        <f>Tabela13891011121314[[#This Row],[Valor recibo]]</f>
        <v>476</v>
      </c>
      <c r="O155" s="216"/>
      <c r="P155" s="205" t="s">
        <v>70</v>
      </c>
    </row>
    <row r="156" spans="1:16" ht="15.75">
      <c r="A156" s="205">
        <v>19298369</v>
      </c>
      <c r="B156" s="215"/>
      <c r="C156" s="205"/>
      <c r="D156" s="205"/>
      <c r="E156" s="205"/>
      <c r="F156" s="205" t="s">
        <v>118</v>
      </c>
      <c r="G156" s="215">
        <v>45670</v>
      </c>
      <c r="H156" s="215">
        <v>45670</v>
      </c>
      <c r="I156" s="216">
        <v>442</v>
      </c>
      <c r="J156" s="205" t="s">
        <v>17</v>
      </c>
      <c r="K156" s="205"/>
      <c r="L156" s="205" t="s">
        <v>18</v>
      </c>
      <c r="M156" s="215">
        <v>45671</v>
      </c>
      <c r="N156" s="218">
        <f>Tabela13891011121314[[#This Row],[Valor recibo]]</f>
        <v>442</v>
      </c>
      <c r="O156" s="216"/>
      <c r="P156" s="205" t="s">
        <v>70</v>
      </c>
    </row>
    <row r="157" spans="1:16" ht="15.75">
      <c r="A157" s="205">
        <v>19315139</v>
      </c>
      <c r="B157" s="215"/>
      <c r="C157" s="205"/>
      <c r="D157" s="205"/>
      <c r="E157" s="205"/>
      <c r="F157" s="205">
        <v>23534</v>
      </c>
      <c r="G157" s="215">
        <v>45670</v>
      </c>
      <c r="H157" s="215">
        <v>45670</v>
      </c>
      <c r="I157" s="216">
        <v>264</v>
      </c>
      <c r="J157" s="205" t="s">
        <v>17</v>
      </c>
      <c r="K157" s="205"/>
      <c r="L157" s="205" t="s">
        <v>18</v>
      </c>
      <c r="M157" s="215">
        <v>45671</v>
      </c>
      <c r="N157" s="218">
        <f>Tabela13891011121314[[#This Row],[Valor recibo]]</f>
        <v>264</v>
      </c>
      <c r="O157" s="216"/>
      <c r="P157" s="205" t="s">
        <v>70</v>
      </c>
    </row>
    <row r="158" spans="1:16" ht="15.75">
      <c r="A158" s="205">
        <v>19298098</v>
      </c>
      <c r="B158" s="215"/>
      <c r="C158" s="205"/>
      <c r="D158" s="205"/>
      <c r="E158" s="205"/>
      <c r="F158" s="205" t="s">
        <v>119</v>
      </c>
      <c r="G158" s="215">
        <v>45670</v>
      </c>
      <c r="H158" s="215">
        <v>45670</v>
      </c>
      <c r="I158" s="216">
        <v>476</v>
      </c>
      <c r="J158" s="205" t="s">
        <v>17</v>
      </c>
      <c r="K158" s="205"/>
      <c r="L158" s="205" t="s">
        <v>18</v>
      </c>
      <c r="M158" s="215">
        <v>45671</v>
      </c>
      <c r="N158" s="218">
        <f>Tabela13891011121314[[#This Row],[Valor recibo]]</f>
        <v>476</v>
      </c>
      <c r="O158" s="216"/>
      <c r="P158" s="205" t="s">
        <v>70</v>
      </c>
    </row>
    <row r="159" spans="1:16" ht="15.75">
      <c r="A159" s="205">
        <v>19311816</v>
      </c>
      <c r="B159" s="215"/>
      <c r="C159" s="205"/>
      <c r="D159" s="205"/>
      <c r="E159" s="205"/>
      <c r="F159" s="205" t="s">
        <v>120</v>
      </c>
      <c r="G159" s="215">
        <v>45671</v>
      </c>
      <c r="H159" s="215">
        <v>45671</v>
      </c>
      <c r="I159" s="216">
        <v>0</v>
      </c>
      <c r="J159" s="205" t="s">
        <v>17</v>
      </c>
      <c r="K159" s="205"/>
      <c r="L159" s="205"/>
      <c r="M159" s="215">
        <v>45671</v>
      </c>
      <c r="N159" s="218">
        <f>Tabela13891011121314[[#This Row],[Valor recibo]]</f>
        <v>0</v>
      </c>
      <c r="O159" s="216"/>
      <c r="P159" s="205" t="s">
        <v>70</v>
      </c>
    </row>
    <row r="160" spans="1:16" ht="15.75">
      <c r="A160" s="205">
        <v>19317042</v>
      </c>
      <c r="B160" s="215"/>
      <c r="C160" s="205"/>
      <c r="D160" s="205"/>
      <c r="E160" s="205"/>
      <c r="F160" s="205">
        <v>23703</v>
      </c>
      <c r="G160" s="215">
        <v>45671</v>
      </c>
      <c r="H160" s="215">
        <v>45671</v>
      </c>
      <c r="I160" s="216">
        <v>1771</v>
      </c>
      <c r="J160" s="205" t="s">
        <v>17</v>
      </c>
      <c r="K160" s="205"/>
      <c r="L160" s="205" t="s">
        <v>18</v>
      </c>
      <c r="M160" s="215">
        <v>45671</v>
      </c>
      <c r="N160" s="218">
        <f>Tabela13891011121314[[#This Row],[Valor recibo]]</f>
        <v>1771</v>
      </c>
      <c r="O160" s="216"/>
      <c r="P160" s="205" t="s">
        <v>70</v>
      </c>
    </row>
    <row r="161" spans="1:16" ht="15.75">
      <c r="A161" s="205">
        <v>19311283</v>
      </c>
      <c r="B161" s="215"/>
      <c r="C161" s="205"/>
      <c r="D161" s="205"/>
      <c r="E161" s="205"/>
      <c r="F161" s="205" t="s">
        <v>121</v>
      </c>
      <c r="G161" s="215">
        <v>45671</v>
      </c>
      <c r="H161" s="215">
        <v>45671</v>
      </c>
      <c r="I161" s="216">
        <v>476</v>
      </c>
      <c r="J161" s="205" t="s">
        <v>17</v>
      </c>
      <c r="K161" s="205"/>
      <c r="L161" s="205" t="s">
        <v>18</v>
      </c>
      <c r="M161" s="215">
        <v>45671</v>
      </c>
      <c r="N161" s="218">
        <f>Tabela13891011121314[[#This Row],[Valor recibo]]</f>
        <v>476</v>
      </c>
      <c r="O161" s="216"/>
      <c r="P161" s="205" t="s">
        <v>70</v>
      </c>
    </row>
    <row r="162" spans="1:16" ht="15.75">
      <c r="A162" s="205">
        <v>19293599</v>
      </c>
      <c r="B162" s="215"/>
      <c r="C162" s="205"/>
      <c r="D162" s="205"/>
      <c r="E162" s="205"/>
      <c r="F162" s="205" t="s">
        <v>122</v>
      </c>
      <c r="G162" s="215">
        <v>45671</v>
      </c>
      <c r="H162" s="215">
        <v>45671</v>
      </c>
      <c r="I162" s="216">
        <v>668.6</v>
      </c>
      <c r="J162" s="205" t="s">
        <v>17</v>
      </c>
      <c r="K162" s="205"/>
      <c r="L162" s="205" t="s">
        <v>18</v>
      </c>
      <c r="M162" s="215">
        <v>45671</v>
      </c>
      <c r="N162" s="218">
        <f>Tabela13891011121314[[#This Row],[Valor recibo]]</f>
        <v>668.6</v>
      </c>
      <c r="O162" s="216"/>
      <c r="P162" s="205" t="s">
        <v>70</v>
      </c>
    </row>
    <row r="163" spans="1:16" ht="15.75">
      <c r="A163" s="205">
        <v>19311229</v>
      </c>
      <c r="B163" s="215"/>
      <c r="C163" s="205"/>
      <c r="D163" s="205"/>
      <c r="E163" s="205"/>
      <c r="F163" s="205" t="s">
        <v>123</v>
      </c>
      <c r="G163" s="215">
        <v>45671</v>
      </c>
      <c r="H163" s="215">
        <v>45671</v>
      </c>
      <c r="I163" s="216">
        <v>476</v>
      </c>
      <c r="J163" s="205" t="s">
        <v>17</v>
      </c>
      <c r="K163" s="205"/>
      <c r="L163" s="205" t="s">
        <v>18</v>
      </c>
      <c r="M163" s="215">
        <v>45671</v>
      </c>
      <c r="N163" s="218">
        <f>Tabela13891011121314[[#This Row],[Valor recibo]]</f>
        <v>476</v>
      </c>
      <c r="O163" s="216"/>
      <c r="P163" s="205" t="s">
        <v>70</v>
      </c>
    </row>
    <row r="164" spans="1:16" ht="15.75">
      <c r="A164" s="205">
        <v>19333840</v>
      </c>
      <c r="B164" s="215"/>
      <c r="C164" s="205"/>
      <c r="D164" s="205"/>
      <c r="E164" s="205"/>
      <c r="F164" s="205" t="s">
        <v>124</v>
      </c>
      <c r="G164" s="215">
        <v>45671</v>
      </c>
      <c r="H164" s="215">
        <v>45671</v>
      </c>
      <c r="I164" s="216">
        <v>238</v>
      </c>
      <c r="J164" s="205" t="s">
        <v>17</v>
      </c>
      <c r="K164" s="205"/>
      <c r="L164" s="205" t="s">
        <v>18</v>
      </c>
      <c r="M164" s="215">
        <v>45671</v>
      </c>
      <c r="N164" s="218">
        <f>Tabela13891011121314[[#This Row],[Valor recibo]]</f>
        <v>238</v>
      </c>
      <c r="O164" s="216"/>
      <c r="P164" s="205" t="s">
        <v>70</v>
      </c>
    </row>
    <row r="165" spans="1:16" ht="15.75">
      <c r="A165" s="205">
        <v>19315559</v>
      </c>
      <c r="B165" s="215"/>
      <c r="C165" s="205"/>
      <c r="D165" s="205"/>
      <c r="E165" s="205"/>
      <c r="F165" s="205">
        <v>50095</v>
      </c>
      <c r="G165" s="215">
        <v>45671</v>
      </c>
      <c r="H165" s="215">
        <v>45671</v>
      </c>
      <c r="I165" s="216">
        <v>476</v>
      </c>
      <c r="J165" s="205" t="s">
        <v>17</v>
      </c>
      <c r="K165" s="205"/>
      <c r="L165" s="205" t="s">
        <v>18</v>
      </c>
      <c r="M165" s="215">
        <v>45672</v>
      </c>
      <c r="N165" s="218">
        <f>Tabela13891011121314[[#This Row],[Valor recibo]]</f>
        <v>476</v>
      </c>
      <c r="O165" s="216"/>
      <c r="P165" s="205" t="s">
        <v>70</v>
      </c>
    </row>
    <row r="166" spans="1:16" ht="15.75">
      <c r="A166" s="205">
        <v>19311319</v>
      </c>
      <c r="B166" s="215"/>
      <c r="C166" s="205"/>
      <c r="D166" s="205"/>
      <c r="E166" s="205"/>
      <c r="F166" s="205" t="s">
        <v>125</v>
      </c>
      <c r="G166" s="215">
        <v>45671</v>
      </c>
      <c r="H166" s="215">
        <v>45671</v>
      </c>
      <c r="I166" s="216">
        <v>476</v>
      </c>
      <c r="J166" s="205" t="s">
        <v>17</v>
      </c>
      <c r="K166" s="205"/>
      <c r="L166" s="205" t="s">
        <v>18</v>
      </c>
      <c r="M166" s="215">
        <v>45672</v>
      </c>
      <c r="N166" s="218">
        <f>Tabela13891011121314[[#This Row],[Valor recibo]]</f>
        <v>476</v>
      </c>
      <c r="O166" s="216"/>
      <c r="P166" s="205" t="s">
        <v>70</v>
      </c>
    </row>
    <row r="167" spans="1:16" ht="15.75">
      <c r="A167" s="205">
        <v>19298238</v>
      </c>
      <c r="B167" s="215"/>
      <c r="C167" s="205"/>
      <c r="D167" s="205"/>
      <c r="E167" s="205"/>
      <c r="F167" s="205">
        <v>49885</v>
      </c>
      <c r="G167" s="215">
        <v>45671</v>
      </c>
      <c r="H167" s="215">
        <v>45671</v>
      </c>
      <c r="I167" s="216">
        <v>2219.9499999999998</v>
      </c>
      <c r="J167" s="205" t="s">
        <v>17</v>
      </c>
      <c r="K167" s="205"/>
      <c r="L167" s="205" t="s">
        <v>18</v>
      </c>
      <c r="M167" s="215">
        <v>45672</v>
      </c>
      <c r="N167" s="218">
        <f>Tabela13891011121314[[#This Row],[Valor recibo]]</f>
        <v>2219.9499999999998</v>
      </c>
      <c r="O167" s="216"/>
      <c r="P167" s="205" t="s">
        <v>70</v>
      </c>
    </row>
    <row r="168" spans="1:16" ht="15.75">
      <c r="A168" s="205">
        <v>19316226</v>
      </c>
      <c r="B168" s="215"/>
      <c r="C168" s="205"/>
      <c r="D168" s="205"/>
      <c r="E168" s="205"/>
      <c r="F168" s="205" t="s">
        <v>126</v>
      </c>
      <c r="G168" s="215">
        <v>45672</v>
      </c>
      <c r="H168" s="215">
        <v>45672</v>
      </c>
      <c r="I168" s="216">
        <v>0</v>
      </c>
      <c r="J168" s="205" t="s">
        <v>17</v>
      </c>
      <c r="K168" s="205"/>
      <c r="L168" s="205"/>
      <c r="M168" s="215">
        <v>45672</v>
      </c>
      <c r="N168" s="218">
        <f>Tabela13891011121314[[#This Row],[Valor recibo]]</f>
        <v>0</v>
      </c>
      <c r="O168" s="216"/>
      <c r="P168" s="205" t="s">
        <v>70</v>
      </c>
    </row>
    <row r="169" spans="1:16" ht="15.75">
      <c r="A169" s="205">
        <v>19311315</v>
      </c>
      <c r="B169" s="215"/>
      <c r="C169" s="205"/>
      <c r="D169" s="205"/>
      <c r="E169" s="205"/>
      <c r="F169" s="205" t="s">
        <v>127</v>
      </c>
      <c r="G169" s="215">
        <v>45671</v>
      </c>
      <c r="H169" s="215">
        <v>45671</v>
      </c>
      <c r="I169" s="216">
        <v>476</v>
      </c>
      <c r="J169" s="205" t="s">
        <v>17</v>
      </c>
      <c r="K169" s="205"/>
      <c r="L169" s="205" t="s">
        <v>18</v>
      </c>
      <c r="M169" s="215">
        <v>45672</v>
      </c>
      <c r="N169" s="218">
        <f>Tabela13891011121314[[#This Row],[Valor recibo]]</f>
        <v>476</v>
      </c>
      <c r="O169" s="216"/>
      <c r="P169" s="205" t="s">
        <v>70</v>
      </c>
    </row>
    <row r="170" spans="1:16" ht="15.75">
      <c r="A170" s="205">
        <v>19311281</v>
      </c>
      <c r="B170" s="215"/>
      <c r="C170" s="205"/>
      <c r="D170" s="205"/>
      <c r="E170" s="205"/>
      <c r="F170" s="205" t="s">
        <v>128</v>
      </c>
      <c r="G170" s="215">
        <v>45671</v>
      </c>
      <c r="H170" s="215">
        <v>45671</v>
      </c>
      <c r="I170" s="216">
        <v>476</v>
      </c>
      <c r="J170" s="205" t="s">
        <v>17</v>
      </c>
      <c r="K170" s="205"/>
      <c r="L170" s="205" t="s">
        <v>18</v>
      </c>
      <c r="M170" s="215">
        <v>45672</v>
      </c>
      <c r="N170" s="218">
        <f>Tabela13891011121314[[#This Row],[Valor recibo]]</f>
        <v>476</v>
      </c>
      <c r="O170" s="216"/>
      <c r="P170" s="205" t="s">
        <v>70</v>
      </c>
    </row>
    <row r="171" spans="1:16" ht="15.75">
      <c r="A171" s="205">
        <v>19311238</v>
      </c>
      <c r="B171" s="215"/>
      <c r="C171" s="205"/>
      <c r="D171" s="205"/>
      <c r="E171" s="205"/>
      <c r="F171" s="205" t="s">
        <v>129</v>
      </c>
      <c r="G171" s="215">
        <v>45671</v>
      </c>
      <c r="H171" s="215">
        <v>45671</v>
      </c>
      <c r="I171" s="216">
        <v>476</v>
      </c>
      <c r="J171" s="205" t="s">
        <v>17</v>
      </c>
      <c r="K171" s="205"/>
      <c r="L171" s="205" t="s">
        <v>18</v>
      </c>
      <c r="M171" s="215">
        <v>45672</v>
      </c>
      <c r="N171" s="218">
        <f>Tabela13891011121314[[#This Row],[Valor recibo]]</f>
        <v>476</v>
      </c>
      <c r="O171" s="216"/>
      <c r="P171" s="205" t="s">
        <v>70</v>
      </c>
    </row>
    <row r="172" spans="1:16" ht="15.75">
      <c r="A172" s="205">
        <v>19311317</v>
      </c>
      <c r="B172" s="215"/>
      <c r="C172" s="205"/>
      <c r="D172" s="205"/>
      <c r="E172" s="205"/>
      <c r="F172" s="205" t="s">
        <v>130</v>
      </c>
      <c r="G172" s="215">
        <v>45671</v>
      </c>
      <c r="H172" s="215">
        <v>45671</v>
      </c>
      <c r="I172" s="216">
        <v>476</v>
      </c>
      <c r="J172" s="205" t="s">
        <v>17</v>
      </c>
      <c r="K172" s="205"/>
      <c r="L172" s="205" t="s">
        <v>18</v>
      </c>
      <c r="M172" s="215">
        <v>45672</v>
      </c>
      <c r="N172" s="218">
        <f>Tabela13891011121314[[#This Row],[Valor recibo]]</f>
        <v>476</v>
      </c>
      <c r="O172" s="216"/>
      <c r="P172" s="205" t="s">
        <v>70</v>
      </c>
    </row>
    <row r="173" spans="1:16" ht="15.75">
      <c r="A173" s="205">
        <v>19311273</v>
      </c>
      <c r="B173" s="215"/>
      <c r="C173" s="205"/>
      <c r="D173" s="205"/>
      <c r="E173" s="205"/>
      <c r="F173" s="205" t="s">
        <v>131</v>
      </c>
      <c r="G173" s="215">
        <v>45671</v>
      </c>
      <c r="H173" s="215">
        <v>45671</v>
      </c>
      <c r="I173" s="216">
        <v>476</v>
      </c>
      <c r="J173" s="205" t="s">
        <v>17</v>
      </c>
      <c r="K173" s="205"/>
      <c r="L173" s="205" t="s">
        <v>18</v>
      </c>
      <c r="M173" s="215">
        <v>45672</v>
      </c>
      <c r="N173" s="218">
        <f>Tabela13891011121314[[#This Row],[Valor recibo]]</f>
        <v>476</v>
      </c>
      <c r="O173" s="216"/>
      <c r="P173" s="205" t="s">
        <v>70</v>
      </c>
    </row>
    <row r="174" spans="1:16" ht="15.75">
      <c r="A174" s="205">
        <v>19304315</v>
      </c>
      <c r="B174" s="215"/>
      <c r="C174" s="205"/>
      <c r="D174" s="205"/>
      <c r="E174" s="205"/>
      <c r="F174" s="205" t="s">
        <v>132</v>
      </c>
      <c r="G174" s="215">
        <v>45671</v>
      </c>
      <c r="H174" s="215">
        <v>45671</v>
      </c>
      <c r="I174" s="216">
        <v>476</v>
      </c>
      <c r="J174" s="205" t="s">
        <v>17</v>
      </c>
      <c r="K174" s="205"/>
      <c r="L174" s="205" t="s">
        <v>18</v>
      </c>
      <c r="M174" s="215">
        <v>45672</v>
      </c>
      <c r="N174" s="218">
        <f>Tabela13891011121314[[#This Row],[Valor recibo]]</f>
        <v>476</v>
      </c>
      <c r="O174" s="216"/>
      <c r="P174" s="205" t="s">
        <v>70</v>
      </c>
    </row>
    <row r="175" spans="1:16" ht="15.75">
      <c r="A175" s="205">
        <v>19311271</v>
      </c>
      <c r="B175" s="215"/>
      <c r="C175" s="205"/>
      <c r="D175" s="205"/>
      <c r="E175" s="205"/>
      <c r="F175" s="205" t="s">
        <v>133</v>
      </c>
      <c r="G175" s="215">
        <v>45671</v>
      </c>
      <c r="H175" s="215">
        <v>45671</v>
      </c>
      <c r="I175" s="216">
        <v>476</v>
      </c>
      <c r="J175" s="205" t="s">
        <v>17</v>
      </c>
      <c r="K175" s="205"/>
      <c r="L175" s="205" t="s">
        <v>18</v>
      </c>
      <c r="M175" s="215">
        <v>45672</v>
      </c>
      <c r="N175" s="218">
        <f>Tabela13891011121314[[#This Row],[Valor recibo]]</f>
        <v>476</v>
      </c>
      <c r="O175" s="216"/>
      <c r="P175" s="205" t="s">
        <v>70</v>
      </c>
    </row>
    <row r="176" spans="1:16" ht="15.75">
      <c r="A176" s="205">
        <v>19311240</v>
      </c>
      <c r="B176" s="215"/>
      <c r="C176" s="205"/>
      <c r="D176" s="205"/>
      <c r="E176" s="205"/>
      <c r="F176" s="205" t="s">
        <v>134</v>
      </c>
      <c r="G176" s="215">
        <v>45671</v>
      </c>
      <c r="H176" s="215">
        <v>45671</v>
      </c>
      <c r="I176" s="216">
        <v>476</v>
      </c>
      <c r="J176" s="205" t="s">
        <v>17</v>
      </c>
      <c r="K176" s="205"/>
      <c r="L176" s="205" t="s">
        <v>18</v>
      </c>
      <c r="M176" s="215">
        <v>45672</v>
      </c>
      <c r="N176" s="218">
        <f>Tabela13891011121314[[#This Row],[Valor recibo]]</f>
        <v>476</v>
      </c>
      <c r="O176" s="216"/>
      <c r="P176" s="205" t="s">
        <v>70</v>
      </c>
    </row>
    <row r="177" spans="1:16" ht="15.75">
      <c r="A177" s="205">
        <v>19299874</v>
      </c>
      <c r="B177" s="215"/>
      <c r="C177" s="205"/>
      <c r="D177" s="205"/>
      <c r="E177" s="205"/>
      <c r="F177" s="205">
        <v>49656</v>
      </c>
      <c r="G177" s="215">
        <v>45667</v>
      </c>
      <c r="H177" s="215">
        <v>45667</v>
      </c>
      <c r="I177" s="216">
        <v>238</v>
      </c>
      <c r="J177" s="205" t="s">
        <v>17</v>
      </c>
      <c r="K177" s="205"/>
      <c r="L177" s="205" t="s">
        <v>18</v>
      </c>
      <c r="M177" s="215">
        <v>45672</v>
      </c>
      <c r="N177" s="218">
        <f>Tabela13891011121314[[#This Row],[Valor recibo]]</f>
        <v>238</v>
      </c>
      <c r="O177" s="216"/>
      <c r="P177" s="205" t="s">
        <v>70</v>
      </c>
    </row>
    <row r="178" spans="1:16" ht="15.75">
      <c r="A178" s="205">
        <v>19298288</v>
      </c>
      <c r="B178" s="215"/>
      <c r="C178" s="205"/>
      <c r="D178" s="205"/>
      <c r="E178" s="205"/>
      <c r="F178" s="205">
        <v>49295</v>
      </c>
      <c r="G178" s="215">
        <v>45665</v>
      </c>
      <c r="H178" s="215">
        <v>45665</v>
      </c>
      <c r="I178" s="216">
        <v>700</v>
      </c>
      <c r="J178" s="205" t="s">
        <v>17</v>
      </c>
      <c r="K178" s="205"/>
      <c r="L178" s="205" t="s">
        <v>18</v>
      </c>
      <c r="M178" s="215">
        <v>45672</v>
      </c>
      <c r="N178" s="218">
        <f>Tabela13891011121314[[#This Row],[Valor recibo]]</f>
        <v>700</v>
      </c>
      <c r="O178" s="216"/>
      <c r="P178" s="205" t="s">
        <v>70</v>
      </c>
    </row>
    <row r="179" spans="1:16" ht="15.75">
      <c r="A179" s="205">
        <v>19311316</v>
      </c>
      <c r="B179" s="215"/>
      <c r="C179" s="205"/>
      <c r="D179" s="205"/>
      <c r="E179" s="205"/>
      <c r="F179" s="205" t="s">
        <v>135</v>
      </c>
      <c r="G179" s="215">
        <v>45671</v>
      </c>
      <c r="H179" s="215">
        <v>45671</v>
      </c>
      <c r="I179" s="216">
        <v>476</v>
      </c>
      <c r="J179" s="205" t="s">
        <v>17</v>
      </c>
      <c r="K179" s="205"/>
      <c r="L179" s="205" t="s">
        <v>18</v>
      </c>
      <c r="M179" s="215">
        <v>45672</v>
      </c>
      <c r="N179" s="218">
        <f>Tabela13891011121314[[#This Row],[Valor recibo]]</f>
        <v>476</v>
      </c>
      <c r="O179" s="216"/>
      <c r="P179" s="205" t="s">
        <v>70</v>
      </c>
    </row>
    <row r="180" spans="1:16" ht="15.75">
      <c r="A180" s="205">
        <v>19246656</v>
      </c>
      <c r="B180" s="215"/>
      <c r="C180" s="205"/>
      <c r="D180" s="205"/>
      <c r="E180" s="205"/>
      <c r="F180" s="205" t="s">
        <v>136</v>
      </c>
      <c r="G180" s="215">
        <v>45671</v>
      </c>
      <c r="H180" s="215">
        <v>45671</v>
      </c>
      <c r="I180" s="216">
        <v>476</v>
      </c>
      <c r="J180" s="205" t="s">
        <v>17</v>
      </c>
      <c r="K180" s="205"/>
      <c r="L180" s="205" t="s">
        <v>18</v>
      </c>
      <c r="M180" s="215">
        <v>45672</v>
      </c>
      <c r="N180" s="218">
        <f>Tabela13891011121314[[#This Row],[Valor recibo]]</f>
        <v>476</v>
      </c>
      <c r="O180" s="216"/>
      <c r="P180" s="219" t="s">
        <v>81</v>
      </c>
    </row>
    <row r="181" spans="1:16" ht="15.75">
      <c r="A181" s="205">
        <v>19316743</v>
      </c>
      <c r="B181" s="215"/>
      <c r="C181" s="205"/>
      <c r="D181" s="205"/>
      <c r="E181" s="205"/>
      <c r="F181" s="205" t="s">
        <v>137</v>
      </c>
      <c r="G181" s="215">
        <v>45671</v>
      </c>
      <c r="H181" s="215">
        <v>45671</v>
      </c>
      <c r="I181" s="216">
        <v>476</v>
      </c>
      <c r="J181" s="205" t="s">
        <v>17</v>
      </c>
      <c r="K181" s="205"/>
      <c r="L181" s="205" t="s">
        <v>18</v>
      </c>
      <c r="M181" s="215">
        <v>45672</v>
      </c>
      <c r="N181" s="218">
        <f>Tabela13891011121314[[#This Row],[Valor recibo]]</f>
        <v>476</v>
      </c>
      <c r="O181" s="216"/>
      <c r="P181" s="205" t="s">
        <v>70</v>
      </c>
    </row>
    <row r="182" spans="1:16" ht="15.75">
      <c r="A182" s="205">
        <v>19316227</v>
      </c>
      <c r="B182" s="215"/>
      <c r="C182" s="205"/>
      <c r="D182" s="205"/>
      <c r="E182" s="205"/>
      <c r="F182" s="205">
        <v>50276</v>
      </c>
      <c r="G182" s="215">
        <v>45672</v>
      </c>
      <c r="H182" s="215">
        <v>45672</v>
      </c>
      <c r="I182" s="216">
        <v>0</v>
      </c>
      <c r="J182" s="205" t="s">
        <v>17</v>
      </c>
      <c r="K182" s="205"/>
      <c r="L182" s="205"/>
      <c r="M182" s="215">
        <v>45672</v>
      </c>
      <c r="N182" s="218">
        <f>Tabela13891011121314[[#This Row],[Valor recibo]]</f>
        <v>0</v>
      </c>
      <c r="O182" s="216"/>
      <c r="P182" s="205" t="s">
        <v>70</v>
      </c>
    </row>
    <row r="183" spans="1:16" ht="15.75">
      <c r="A183" s="205">
        <v>19315389</v>
      </c>
      <c r="B183" s="215"/>
      <c r="C183" s="205"/>
      <c r="D183" s="205"/>
      <c r="E183" s="205"/>
      <c r="F183" s="205" t="s">
        <v>138</v>
      </c>
      <c r="G183" s="215">
        <v>45671</v>
      </c>
      <c r="H183" s="215">
        <v>45671</v>
      </c>
      <c r="I183" s="216">
        <v>238</v>
      </c>
      <c r="J183" s="205" t="s">
        <v>17</v>
      </c>
      <c r="K183" s="205"/>
      <c r="L183" s="205" t="s">
        <v>18</v>
      </c>
      <c r="M183" s="215">
        <v>45672</v>
      </c>
      <c r="N183" s="218">
        <f>Tabela13891011121314[[#This Row],[Valor recibo]]</f>
        <v>238</v>
      </c>
      <c r="O183" s="216"/>
      <c r="P183" s="205" t="s">
        <v>70</v>
      </c>
    </row>
    <row r="184" spans="1:16" ht="15.75">
      <c r="A184" s="205">
        <v>19268966</v>
      </c>
      <c r="B184" s="215"/>
      <c r="C184" s="205"/>
      <c r="D184" s="205"/>
      <c r="E184" s="205"/>
      <c r="F184" s="205">
        <v>50378</v>
      </c>
      <c r="G184" s="215">
        <v>45672</v>
      </c>
      <c r="H184" s="215">
        <v>45672</v>
      </c>
      <c r="I184" s="216">
        <v>392</v>
      </c>
      <c r="J184" s="205" t="s">
        <v>17</v>
      </c>
      <c r="K184" s="205"/>
      <c r="L184" s="205" t="s">
        <v>18</v>
      </c>
      <c r="M184" s="215">
        <v>45672</v>
      </c>
      <c r="N184" s="218">
        <f>Tabela13891011121314[[#This Row],[Valor recibo]]</f>
        <v>392</v>
      </c>
      <c r="O184" s="216"/>
      <c r="P184" s="205" t="s">
        <v>70</v>
      </c>
    </row>
    <row r="185" spans="1:16" ht="15.75">
      <c r="A185" s="205">
        <v>19317297</v>
      </c>
      <c r="B185" s="215"/>
      <c r="C185" s="205"/>
      <c r="D185" s="205"/>
      <c r="E185" s="205"/>
      <c r="F185" s="205">
        <v>50362</v>
      </c>
      <c r="G185" s="215">
        <v>45672</v>
      </c>
      <c r="H185" s="215">
        <v>45672</v>
      </c>
      <c r="I185" s="216">
        <v>476</v>
      </c>
      <c r="J185" s="205" t="s">
        <v>17</v>
      </c>
      <c r="K185" s="205"/>
      <c r="L185" s="205" t="s">
        <v>18</v>
      </c>
      <c r="M185" s="215">
        <v>45673</v>
      </c>
      <c r="N185" s="218">
        <f>Tabela13891011121314[[#This Row],[Valor recibo]]</f>
        <v>476</v>
      </c>
      <c r="O185" s="216"/>
      <c r="P185" s="205" t="s">
        <v>70</v>
      </c>
    </row>
    <row r="186" spans="1:16" ht="15.75">
      <c r="A186" s="205">
        <v>19311786</v>
      </c>
      <c r="B186" s="215"/>
      <c r="C186" s="205"/>
      <c r="D186" s="205"/>
      <c r="E186" s="205"/>
      <c r="F186" s="205" t="s">
        <v>139</v>
      </c>
      <c r="G186" s="215">
        <v>45671</v>
      </c>
      <c r="H186" s="215">
        <v>45671</v>
      </c>
      <c r="I186" s="216">
        <v>238</v>
      </c>
      <c r="J186" s="205" t="s">
        <v>17</v>
      </c>
      <c r="K186" s="205"/>
      <c r="L186" s="205" t="s">
        <v>18</v>
      </c>
      <c r="M186" s="215">
        <v>45673</v>
      </c>
      <c r="N186" s="218">
        <f>Tabela13891011121314[[#This Row],[Valor recibo]]</f>
        <v>238</v>
      </c>
      <c r="O186" s="216"/>
      <c r="P186" s="205" t="s">
        <v>70</v>
      </c>
    </row>
    <row r="187" spans="1:16" ht="15.75">
      <c r="A187" s="205">
        <v>19317158</v>
      </c>
      <c r="B187" s="215"/>
      <c r="C187" s="205"/>
      <c r="D187" s="205"/>
      <c r="E187" s="205"/>
      <c r="F187" s="205">
        <v>50385</v>
      </c>
      <c r="G187" s="215">
        <v>45672</v>
      </c>
      <c r="H187" s="215">
        <v>45672</v>
      </c>
      <c r="I187" s="216">
        <v>459</v>
      </c>
      <c r="J187" s="205" t="s">
        <v>17</v>
      </c>
      <c r="K187" s="205"/>
      <c r="L187" s="205" t="s">
        <v>18</v>
      </c>
      <c r="M187" s="215">
        <v>45673</v>
      </c>
      <c r="N187" s="218">
        <f>Tabela13891011121314[[#This Row],[Valor recibo]]</f>
        <v>459</v>
      </c>
      <c r="O187" s="216"/>
      <c r="P187" s="205" t="s">
        <v>70</v>
      </c>
    </row>
    <row r="188" spans="1:16" ht="15.75">
      <c r="A188" s="205">
        <v>19311272</v>
      </c>
      <c r="B188" s="215"/>
      <c r="C188" s="205"/>
      <c r="D188" s="205"/>
      <c r="E188" s="205"/>
      <c r="F188" s="205" t="s">
        <v>140</v>
      </c>
      <c r="G188" s="215">
        <v>45671</v>
      </c>
      <c r="H188" s="215">
        <v>45671</v>
      </c>
      <c r="I188" s="216">
        <v>238</v>
      </c>
      <c r="J188" s="205" t="s">
        <v>17</v>
      </c>
      <c r="K188" s="205"/>
      <c r="L188" s="205" t="s">
        <v>18</v>
      </c>
      <c r="M188" s="215">
        <v>45673</v>
      </c>
      <c r="N188" s="218">
        <f>Tabela13891011121314[[#This Row],[Valor recibo]]</f>
        <v>238</v>
      </c>
      <c r="O188" s="216"/>
      <c r="P188" s="205" t="s">
        <v>70</v>
      </c>
    </row>
    <row r="189" spans="1:16" ht="15.75">
      <c r="A189" s="205">
        <v>19233747</v>
      </c>
      <c r="B189" s="215"/>
      <c r="C189" s="205"/>
      <c r="D189" s="205"/>
      <c r="E189" s="205"/>
      <c r="F189" s="205" t="s">
        <v>141</v>
      </c>
      <c r="G189" s="215">
        <v>45660</v>
      </c>
      <c r="H189" s="215">
        <v>45660</v>
      </c>
      <c r="I189" s="216">
        <v>238</v>
      </c>
      <c r="J189" s="205" t="s">
        <v>17</v>
      </c>
      <c r="K189" s="205"/>
      <c r="L189" s="205" t="s">
        <v>18</v>
      </c>
      <c r="M189" s="215">
        <v>45673</v>
      </c>
      <c r="N189" s="218">
        <f>Tabela13891011121314[[#This Row],[Valor recibo]]</f>
        <v>238</v>
      </c>
      <c r="O189" s="216"/>
      <c r="P189" s="205" t="s">
        <v>70</v>
      </c>
    </row>
    <row r="190" spans="1:16" ht="15.75">
      <c r="A190" s="205">
        <v>19311804</v>
      </c>
      <c r="B190" s="215"/>
      <c r="C190" s="205"/>
      <c r="D190" s="205"/>
      <c r="E190" s="205"/>
      <c r="F190" s="205" t="s">
        <v>142</v>
      </c>
      <c r="G190" s="215">
        <v>45671</v>
      </c>
      <c r="H190" s="215">
        <v>45671</v>
      </c>
      <c r="I190" s="216">
        <v>221</v>
      </c>
      <c r="J190" s="205" t="s">
        <v>17</v>
      </c>
      <c r="K190" s="205"/>
      <c r="L190" s="205"/>
      <c r="M190" s="215">
        <v>45673</v>
      </c>
      <c r="N190" s="218">
        <f>Tabela13891011121314[[#This Row],[Valor recibo]]</f>
        <v>221</v>
      </c>
      <c r="O190" s="216"/>
      <c r="P190" s="219" t="s">
        <v>81</v>
      </c>
    </row>
    <row r="191" spans="1:16" ht="15.75">
      <c r="A191" s="205">
        <v>19312048</v>
      </c>
      <c r="B191" s="215"/>
      <c r="C191" s="205"/>
      <c r="D191" s="205"/>
      <c r="E191" s="205"/>
      <c r="F191" s="205" t="s">
        <v>143</v>
      </c>
      <c r="G191" s="215">
        <v>45672</v>
      </c>
      <c r="H191" s="215">
        <v>45672</v>
      </c>
      <c r="I191" s="216">
        <v>238</v>
      </c>
      <c r="J191" s="205" t="s">
        <v>17</v>
      </c>
      <c r="K191" s="205"/>
      <c r="L191" s="205" t="s">
        <v>18</v>
      </c>
      <c r="M191" s="215">
        <v>45673</v>
      </c>
      <c r="N191" s="218">
        <f>Tabela13891011121314[[#This Row],[Valor recibo]]</f>
        <v>238</v>
      </c>
      <c r="O191" s="216"/>
      <c r="P191" s="205" t="s">
        <v>70</v>
      </c>
    </row>
    <row r="192" spans="1:16" ht="15.75">
      <c r="A192" s="205">
        <v>19299854</v>
      </c>
      <c r="B192" s="215"/>
      <c r="C192" s="205"/>
      <c r="D192" s="205"/>
      <c r="E192" s="205"/>
      <c r="F192" s="205">
        <v>49512</v>
      </c>
      <c r="G192" s="215">
        <v>45667</v>
      </c>
      <c r="H192" s="215">
        <v>45667</v>
      </c>
      <c r="I192" s="216">
        <v>255</v>
      </c>
      <c r="J192" s="205" t="s">
        <v>17</v>
      </c>
      <c r="K192" s="205"/>
      <c r="L192" s="205" t="s">
        <v>18</v>
      </c>
      <c r="M192" s="215">
        <v>45673</v>
      </c>
      <c r="N192" s="218">
        <f>Tabela13891011121314[[#This Row],[Valor recibo]]</f>
        <v>255</v>
      </c>
      <c r="O192" s="216"/>
      <c r="P192" s="205" t="s">
        <v>70</v>
      </c>
    </row>
    <row r="193" spans="1:16" ht="15.75">
      <c r="A193" s="205">
        <v>19336123</v>
      </c>
      <c r="B193" s="215"/>
      <c r="C193" s="205"/>
      <c r="D193" s="205"/>
      <c r="E193" s="205"/>
      <c r="F193" s="205">
        <v>23780</v>
      </c>
      <c r="G193" s="215">
        <v>45672</v>
      </c>
      <c r="H193" s="215">
        <v>45672</v>
      </c>
      <c r="I193" s="216">
        <v>364</v>
      </c>
      <c r="J193" s="205" t="s">
        <v>17</v>
      </c>
      <c r="K193" s="205"/>
      <c r="L193" s="205" t="s">
        <v>18</v>
      </c>
      <c r="M193" s="215">
        <v>45673</v>
      </c>
      <c r="N193" s="218">
        <f>Tabela13891011121314[[#This Row],[Valor recibo]]</f>
        <v>364</v>
      </c>
      <c r="O193" s="216"/>
      <c r="P193" s="205" t="s">
        <v>70</v>
      </c>
    </row>
    <row r="194" spans="1:16" ht="15.75">
      <c r="A194" s="205">
        <v>19337007</v>
      </c>
      <c r="B194" s="215"/>
      <c r="C194" s="205"/>
      <c r="D194" s="205"/>
      <c r="E194" s="205"/>
      <c r="F194" s="205" t="s">
        <v>144</v>
      </c>
      <c r="G194" s="215">
        <v>45672</v>
      </c>
      <c r="H194" s="215">
        <v>45672</v>
      </c>
      <c r="I194" s="216">
        <v>400</v>
      </c>
      <c r="J194" s="205" t="s">
        <v>17</v>
      </c>
      <c r="K194" s="205"/>
      <c r="L194" s="205" t="s">
        <v>18</v>
      </c>
      <c r="M194" s="215">
        <v>45673</v>
      </c>
      <c r="N194" s="218">
        <f>Tabela13891011121314[[#This Row],[Valor recibo]]</f>
        <v>400</v>
      </c>
      <c r="O194" s="216"/>
      <c r="P194" s="205" t="s">
        <v>70</v>
      </c>
    </row>
    <row r="195" spans="1:16" ht="15.75">
      <c r="A195" s="205">
        <v>19268964</v>
      </c>
      <c r="B195" s="215"/>
      <c r="C195" s="205"/>
      <c r="D195" s="205"/>
      <c r="E195" s="205"/>
      <c r="F195" s="205">
        <v>50366</v>
      </c>
      <c r="G195" s="215">
        <v>45672</v>
      </c>
      <c r="H195" s="215">
        <v>45672</v>
      </c>
      <c r="I195" s="216">
        <v>392</v>
      </c>
      <c r="J195" s="205" t="s">
        <v>17</v>
      </c>
      <c r="K195" s="205"/>
      <c r="L195" s="205" t="s">
        <v>18</v>
      </c>
      <c r="M195" s="215">
        <v>45673</v>
      </c>
      <c r="N195" s="218">
        <f>Tabela13891011121314[[#This Row],[Valor recibo]]</f>
        <v>392</v>
      </c>
      <c r="O195" s="216"/>
      <c r="P195" s="205" t="s">
        <v>70</v>
      </c>
    </row>
    <row r="196" spans="1:16" ht="15.75">
      <c r="A196" s="205">
        <v>19315864</v>
      </c>
      <c r="B196" s="215"/>
      <c r="C196" s="205"/>
      <c r="D196" s="205"/>
      <c r="E196" s="205"/>
      <c r="F196" s="205">
        <v>50323</v>
      </c>
      <c r="G196" s="215">
        <v>45672</v>
      </c>
      <c r="H196" s="215">
        <v>45672</v>
      </c>
      <c r="I196" s="216">
        <v>420</v>
      </c>
      <c r="J196" s="205" t="s">
        <v>17</v>
      </c>
      <c r="K196" s="205"/>
      <c r="L196" s="205" t="s">
        <v>18</v>
      </c>
      <c r="M196" s="215">
        <v>45673</v>
      </c>
      <c r="N196" s="218">
        <f>Tabela13891011121314[[#This Row],[Valor recibo]]</f>
        <v>420</v>
      </c>
      <c r="O196" s="216"/>
      <c r="P196" s="205" t="s">
        <v>70</v>
      </c>
    </row>
    <row r="197" spans="1:16" ht="15.75">
      <c r="A197" s="205">
        <v>19311977</v>
      </c>
      <c r="B197" s="215"/>
      <c r="C197" s="205"/>
      <c r="D197" s="205"/>
      <c r="E197" s="205"/>
      <c r="F197" s="205" t="s">
        <v>145</v>
      </c>
      <c r="G197" s="215">
        <v>45672</v>
      </c>
      <c r="H197" s="215">
        <v>45672</v>
      </c>
      <c r="I197" s="216">
        <v>476</v>
      </c>
      <c r="J197" s="205" t="s">
        <v>17</v>
      </c>
      <c r="K197" s="205"/>
      <c r="L197" s="205" t="s">
        <v>18</v>
      </c>
      <c r="M197" s="215">
        <v>45673</v>
      </c>
      <c r="N197" s="218">
        <f>Tabela13891011121314[[#This Row],[Valor recibo]]</f>
        <v>476</v>
      </c>
      <c r="O197" s="216"/>
      <c r="P197" s="205" t="s">
        <v>70</v>
      </c>
    </row>
    <row r="198" spans="1:16" ht="15.75">
      <c r="A198" s="205">
        <v>19312047</v>
      </c>
      <c r="B198" s="215"/>
      <c r="C198" s="205"/>
      <c r="D198" s="205"/>
      <c r="E198" s="205"/>
      <c r="F198" s="205" t="s">
        <v>146</v>
      </c>
      <c r="G198" s="215">
        <v>45672</v>
      </c>
      <c r="H198" s="215">
        <v>45672</v>
      </c>
      <c r="I198" s="216">
        <v>238</v>
      </c>
      <c r="J198" s="205" t="s">
        <v>17</v>
      </c>
      <c r="K198" s="205"/>
      <c r="L198" s="205" t="s">
        <v>18</v>
      </c>
      <c r="M198" s="215">
        <v>45673</v>
      </c>
      <c r="N198" s="218">
        <f>Tabela13891011121314[[#This Row],[Valor recibo]]</f>
        <v>238</v>
      </c>
      <c r="O198" s="216"/>
      <c r="P198" s="205" t="s">
        <v>70</v>
      </c>
    </row>
    <row r="199" spans="1:16" ht="15.75">
      <c r="A199" s="205">
        <v>19334294</v>
      </c>
      <c r="B199" s="215"/>
      <c r="C199" s="205"/>
      <c r="D199" s="205"/>
      <c r="E199" s="205"/>
      <c r="F199" s="205" t="s">
        <v>147</v>
      </c>
      <c r="G199" s="215">
        <v>45672</v>
      </c>
      <c r="H199" s="215">
        <v>45672</v>
      </c>
      <c r="I199" s="216">
        <v>476</v>
      </c>
      <c r="J199" s="205" t="s">
        <v>17</v>
      </c>
      <c r="K199" s="205"/>
      <c r="L199" s="205" t="s">
        <v>18</v>
      </c>
      <c r="M199" s="215">
        <v>45673</v>
      </c>
      <c r="N199" s="218">
        <f>Tabela13891011121314[[#This Row],[Valor recibo]]</f>
        <v>476</v>
      </c>
      <c r="O199" s="216"/>
      <c r="P199" s="205" t="s">
        <v>70</v>
      </c>
    </row>
    <row r="200" spans="1:16" ht="15.75">
      <c r="A200" s="205">
        <v>19317157</v>
      </c>
      <c r="B200" s="215"/>
      <c r="C200" s="205"/>
      <c r="D200" s="205"/>
      <c r="E200" s="205"/>
      <c r="F200" s="205">
        <v>50383</v>
      </c>
      <c r="G200" s="215">
        <v>45672</v>
      </c>
      <c r="H200" s="215">
        <v>45672</v>
      </c>
      <c r="I200" s="216">
        <v>238</v>
      </c>
      <c r="J200" s="205" t="s">
        <v>17</v>
      </c>
      <c r="K200" s="205"/>
      <c r="L200" s="205" t="s">
        <v>18</v>
      </c>
      <c r="M200" s="215">
        <v>45673</v>
      </c>
      <c r="N200" s="218">
        <f>Tabela13891011121314[[#This Row],[Valor recibo]]</f>
        <v>238</v>
      </c>
      <c r="O200" s="216"/>
      <c r="P200" s="205" t="s">
        <v>70</v>
      </c>
    </row>
    <row r="201" spans="1:16" ht="15.75">
      <c r="A201" s="205">
        <v>19317281</v>
      </c>
      <c r="B201" s="215"/>
      <c r="C201" s="205"/>
      <c r="D201" s="205"/>
      <c r="E201" s="205"/>
      <c r="F201" s="205" t="s">
        <v>148</v>
      </c>
      <c r="G201" s="215">
        <v>45672</v>
      </c>
      <c r="H201" s="215">
        <v>45672</v>
      </c>
      <c r="I201" s="216">
        <v>210</v>
      </c>
      <c r="J201" s="205" t="s">
        <v>17</v>
      </c>
      <c r="K201" s="205"/>
      <c r="L201" s="205" t="s">
        <v>18</v>
      </c>
      <c r="M201" s="215">
        <v>45673</v>
      </c>
      <c r="N201" s="218">
        <f>Tabela13891011121314[[#This Row],[Valor recibo]]</f>
        <v>210</v>
      </c>
      <c r="O201" s="216"/>
      <c r="P201" s="205" t="s">
        <v>70</v>
      </c>
    </row>
    <row r="202" spans="1:16" ht="15.75">
      <c r="A202" s="205">
        <v>19311796</v>
      </c>
      <c r="B202" s="215"/>
      <c r="C202" s="205"/>
      <c r="D202" s="205"/>
      <c r="E202" s="205"/>
      <c r="F202" s="205" t="s">
        <v>149</v>
      </c>
      <c r="G202" s="215">
        <v>45671</v>
      </c>
      <c r="H202" s="215">
        <v>45671</v>
      </c>
      <c r="I202" s="216">
        <v>238</v>
      </c>
      <c r="J202" s="205" t="s">
        <v>17</v>
      </c>
      <c r="K202" s="205"/>
      <c r="L202" s="205"/>
      <c r="M202" s="215">
        <v>45673</v>
      </c>
      <c r="N202" s="218">
        <f>Tabela13891011121314[[#This Row],[Valor recibo]]</f>
        <v>238</v>
      </c>
      <c r="O202" s="216"/>
      <c r="P202" s="219" t="s">
        <v>81</v>
      </c>
    </row>
    <row r="203" spans="1:16" ht="15.75">
      <c r="A203" s="205">
        <v>19333476</v>
      </c>
      <c r="B203" s="215"/>
      <c r="C203" s="205"/>
      <c r="D203" s="205"/>
      <c r="E203" s="205"/>
      <c r="F203" s="205">
        <v>50547</v>
      </c>
      <c r="G203" s="215">
        <v>45673</v>
      </c>
      <c r="H203" s="215">
        <v>45673</v>
      </c>
      <c r="I203" s="216">
        <v>0</v>
      </c>
      <c r="J203" s="205" t="s">
        <v>17</v>
      </c>
      <c r="K203" s="205"/>
      <c r="L203" s="205" t="s">
        <v>18</v>
      </c>
      <c r="M203" s="215">
        <v>45673</v>
      </c>
      <c r="N203" s="218">
        <f>Tabela13891011121314[[#This Row],[Valor recibo]]</f>
        <v>0</v>
      </c>
      <c r="O203" s="216"/>
      <c r="P203" s="205" t="s">
        <v>70</v>
      </c>
    </row>
    <row r="204" spans="1:16" ht="15.75">
      <c r="A204" s="205">
        <v>19342570</v>
      </c>
      <c r="B204" s="215"/>
      <c r="C204" s="205"/>
      <c r="D204" s="205"/>
      <c r="E204" s="205"/>
      <c r="F204" s="205" t="s">
        <v>150</v>
      </c>
      <c r="G204" s="215">
        <v>45673</v>
      </c>
      <c r="H204" s="215">
        <v>45673</v>
      </c>
      <c r="I204" s="216">
        <v>476</v>
      </c>
      <c r="J204" s="205" t="s">
        <v>17</v>
      </c>
      <c r="K204" s="205"/>
      <c r="L204" s="205" t="s">
        <v>18</v>
      </c>
      <c r="M204" s="215">
        <v>45673</v>
      </c>
      <c r="N204" s="218">
        <f>Tabela13891011121314[[#This Row],[Valor recibo]]</f>
        <v>476</v>
      </c>
      <c r="O204" s="216"/>
      <c r="P204" s="205" t="s">
        <v>70</v>
      </c>
    </row>
    <row r="205" spans="1:16" ht="15.75">
      <c r="A205" s="205">
        <v>19299663</v>
      </c>
      <c r="B205" s="215"/>
      <c r="C205" s="205"/>
      <c r="D205" s="205"/>
      <c r="E205" s="205"/>
      <c r="F205" s="205">
        <v>50379</v>
      </c>
      <c r="G205" s="215">
        <v>45672</v>
      </c>
      <c r="H205" s="215">
        <v>45672</v>
      </c>
      <c r="I205" s="216">
        <v>220</v>
      </c>
      <c r="J205" s="205" t="s">
        <v>17</v>
      </c>
      <c r="K205" s="205"/>
      <c r="L205" s="205" t="s">
        <v>18</v>
      </c>
      <c r="M205" s="215">
        <v>45673</v>
      </c>
      <c r="N205" s="218">
        <f>Tabela13891011121314[[#This Row],[Valor recibo]]</f>
        <v>220</v>
      </c>
      <c r="O205" s="216"/>
      <c r="P205" s="205" t="s">
        <v>70</v>
      </c>
    </row>
    <row r="206" spans="1:16" ht="15.75">
      <c r="A206" s="205">
        <v>19341677</v>
      </c>
      <c r="B206" s="215"/>
      <c r="C206" s="205"/>
      <c r="D206" s="205"/>
      <c r="E206" s="205"/>
      <c r="F206" s="205" t="s">
        <v>151</v>
      </c>
      <c r="G206" s="215">
        <v>45673</v>
      </c>
      <c r="H206" s="215">
        <v>45673</v>
      </c>
      <c r="I206" s="216">
        <v>238</v>
      </c>
      <c r="J206" s="205" t="s">
        <v>17</v>
      </c>
      <c r="K206" s="205"/>
      <c r="L206" s="205" t="s">
        <v>18</v>
      </c>
      <c r="M206" s="215">
        <v>45673</v>
      </c>
      <c r="N206" s="218">
        <f>Tabela13891011121314[[#This Row],[Valor recibo]]</f>
        <v>238</v>
      </c>
      <c r="O206" s="216"/>
      <c r="P206" s="205" t="s">
        <v>70</v>
      </c>
    </row>
    <row r="207" spans="1:16" ht="15.75">
      <c r="A207" s="205">
        <v>19317285</v>
      </c>
      <c r="B207" s="215"/>
      <c r="C207" s="205"/>
      <c r="D207" s="205"/>
      <c r="E207" s="205"/>
      <c r="F207" s="205" t="s">
        <v>152</v>
      </c>
      <c r="G207" s="215">
        <v>45673</v>
      </c>
      <c r="H207" s="215">
        <v>45673</v>
      </c>
      <c r="I207" s="216">
        <v>442</v>
      </c>
      <c r="J207" s="205" t="s">
        <v>17</v>
      </c>
      <c r="K207" s="205"/>
      <c r="L207" s="205" t="s">
        <v>18</v>
      </c>
      <c r="M207" s="215">
        <v>45673</v>
      </c>
      <c r="N207" s="218">
        <f>Tabela13891011121314[[#This Row],[Valor recibo]]</f>
        <v>442</v>
      </c>
      <c r="O207" s="216"/>
      <c r="P207" s="205" t="s">
        <v>70</v>
      </c>
    </row>
    <row r="208" spans="1:16" ht="15.75">
      <c r="A208" s="205">
        <v>19334436</v>
      </c>
      <c r="B208" s="215"/>
      <c r="C208" s="205"/>
      <c r="D208" s="205"/>
      <c r="E208" s="205"/>
      <c r="F208" s="205" t="s">
        <v>153</v>
      </c>
      <c r="G208" s="215">
        <v>45672</v>
      </c>
      <c r="H208" s="215">
        <v>45672</v>
      </c>
      <c r="I208" s="216">
        <v>1500</v>
      </c>
      <c r="J208" s="205" t="s">
        <v>17</v>
      </c>
      <c r="K208" s="205"/>
      <c r="L208" s="205" t="s">
        <v>18</v>
      </c>
      <c r="M208" s="215">
        <v>45673</v>
      </c>
      <c r="N208" s="218">
        <f>Tabela13891011121314[[#This Row],[Valor recibo]]</f>
        <v>1500</v>
      </c>
      <c r="O208" s="216"/>
      <c r="P208" s="205" t="s">
        <v>70</v>
      </c>
    </row>
    <row r="209" spans="1:16" ht="15.75">
      <c r="A209" s="205">
        <v>19342568</v>
      </c>
      <c r="B209" s="215"/>
      <c r="C209" s="205"/>
      <c r="D209" s="205"/>
      <c r="E209" s="205"/>
      <c r="F209" s="205" t="s">
        <v>154</v>
      </c>
      <c r="G209" s="215">
        <v>45673</v>
      </c>
      <c r="H209" s="215">
        <v>45673</v>
      </c>
      <c r="I209" s="216">
        <v>476</v>
      </c>
      <c r="J209" s="205" t="s">
        <v>17</v>
      </c>
      <c r="K209" s="205"/>
      <c r="L209" s="205" t="s">
        <v>18</v>
      </c>
      <c r="M209" s="215">
        <v>45673</v>
      </c>
      <c r="N209" s="218">
        <f>Tabela13891011121314[[#This Row],[Valor recibo]]</f>
        <v>476</v>
      </c>
      <c r="O209" s="216"/>
      <c r="P209" s="205" t="s">
        <v>70</v>
      </c>
    </row>
    <row r="210" spans="1:16" ht="15.75">
      <c r="A210" s="205">
        <v>19343504</v>
      </c>
      <c r="B210" s="215"/>
      <c r="C210" s="205"/>
      <c r="D210" s="205"/>
      <c r="E210" s="205"/>
      <c r="F210" s="205">
        <v>23827</v>
      </c>
      <c r="G210" s="215">
        <v>45672</v>
      </c>
      <c r="H210" s="215">
        <v>45672</v>
      </c>
      <c r="I210" s="216">
        <v>1468</v>
      </c>
      <c r="J210" s="205" t="s">
        <v>17</v>
      </c>
      <c r="K210" s="205"/>
      <c r="L210" s="205" t="s">
        <v>18</v>
      </c>
      <c r="M210" s="215">
        <v>45673</v>
      </c>
      <c r="N210" s="218">
        <f>Tabela13891011121314[[#This Row],[Valor recibo]]</f>
        <v>1468</v>
      </c>
      <c r="O210" s="216"/>
      <c r="P210" s="205" t="s">
        <v>70</v>
      </c>
    </row>
    <row r="211" spans="1:16" ht="15.75">
      <c r="A211" s="205">
        <v>19342569</v>
      </c>
      <c r="B211" s="215"/>
      <c r="C211" s="205"/>
      <c r="D211" s="205"/>
      <c r="E211" s="205"/>
      <c r="F211" s="205" t="s">
        <v>155</v>
      </c>
      <c r="G211" s="215">
        <v>45673</v>
      </c>
      <c r="H211" s="215">
        <v>45673</v>
      </c>
      <c r="I211" s="216">
        <v>476</v>
      </c>
      <c r="J211" s="205" t="s">
        <v>17</v>
      </c>
      <c r="K211" s="205"/>
      <c r="L211" s="205" t="s">
        <v>18</v>
      </c>
      <c r="M211" s="215">
        <v>45673</v>
      </c>
      <c r="N211" s="218">
        <f>Tabela13891011121314[[#This Row],[Valor recibo]]</f>
        <v>476</v>
      </c>
      <c r="O211" s="216"/>
      <c r="P211" s="205" t="s">
        <v>70</v>
      </c>
    </row>
    <row r="212" spans="1:16" ht="15.75">
      <c r="A212" s="205">
        <v>19342571</v>
      </c>
      <c r="B212" s="215"/>
      <c r="C212" s="205"/>
      <c r="D212" s="205"/>
      <c r="E212" s="205"/>
      <c r="F212" s="205" t="s">
        <v>156</v>
      </c>
      <c r="G212" s="215">
        <v>45673</v>
      </c>
      <c r="H212" s="215">
        <v>45673</v>
      </c>
      <c r="I212" s="216">
        <v>476</v>
      </c>
      <c r="J212" s="205" t="s">
        <v>17</v>
      </c>
      <c r="K212" s="205"/>
      <c r="L212" s="205" t="s">
        <v>18</v>
      </c>
      <c r="M212" s="215">
        <v>45673</v>
      </c>
      <c r="N212" s="218">
        <f>Tabela13891011121314[[#This Row],[Valor recibo]]</f>
        <v>476</v>
      </c>
      <c r="O212" s="216"/>
      <c r="P212" s="205" t="s">
        <v>70</v>
      </c>
    </row>
    <row r="213" spans="1:16" ht="15.75">
      <c r="A213" s="205">
        <v>19347286</v>
      </c>
      <c r="B213" s="215"/>
      <c r="C213" s="205"/>
      <c r="D213" s="205"/>
      <c r="E213" s="205"/>
      <c r="F213" s="205">
        <v>50271</v>
      </c>
      <c r="G213" s="215">
        <v>45672</v>
      </c>
      <c r="H213" s="215">
        <v>45672</v>
      </c>
      <c r="I213" s="216">
        <v>476</v>
      </c>
      <c r="J213" s="205" t="s">
        <v>17</v>
      </c>
      <c r="K213" s="205"/>
      <c r="L213" s="205" t="s">
        <v>18</v>
      </c>
      <c r="M213" s="215">
        <v>45673</v>
      </c>
      <c r="N213" s="218">
        <f>Tabela13891011121314[[#This Row],[Valor recibo]]</f>
        <v>476</v>
      </c>
      <c r="O213" s="216"/>
      <c r="P213" s="205" t="s">
        <v>70</v>
      </c>
    </row>
    <row r="214" spans="1:16" ht="15.75">
      <c r="A214" s="205">
        <v>19311219</v>
      </c>
      <c r="B214" s="215"/>
      <c r="C214" s="205"/>
      <c r="D214" s="205"/>
      <c r="E214" s="205"/>
      <c r="F214" s="205" t="s">
        <v>157</v>
      </c>
      <c r="G214" s="215">
        <v>45673</v>
      </c>
      <c r="H214" s="215">
        <v>45673</v>
      </c>
      <c r="I214" s="216">
        <v>476</v>
      </c>
      <c r="J214" s="205" t="s">
        <v>17</v>
      </c>
      <c r="K214" s="205"/>
      <c r="L214" s="205" t="s">
        <v>18</v>
      </c>
      <c r="M214" s="215">
        <v>45673</v>
      </c>
      <c r="N214" s="218">
        <f>Tabela13891011121314[[#This Row],[Valor recibo]]</f>
        <v>476</v>
      </c>
      <c r="O214" s="216"/>
      <c r="P214" s="205" t="s">
        <v>70</v>
      </c>
    </row>
    <row r="215" spans="1:16" ht="15.75">
      <c r="A215" s="205">
        <v>19342567</v>
      </c>
      <c r="B215" s="215"/>
      <c r="C215" s="205"/>
      <c r="D215" s="205"/>
      <c r="E215" s="205"/>
      <c r="F215" s="205" t="s">
        <v>158</v>
      </c>
      <c r="G215" s="215">
        <v>45673</v>
      </c>
      <c r="H215" s="215">
        <v>45673</v>
      </c>
      <c r="I215" s="216">
        <v>476</v>
      </c>
      <c r="J215" s="205" t="s">
        <v>17</v>
      </c>
      <c r="K215" s="205"/>
      <c r="L215" s="205" t="s">
        <v>18</v>
      </c>
      <c r="M215" s="215">
        <v>45673</v>
      </c>
      <c r="N215" s="218">
        <f>Tabela13891011121314[[#This Row],[Valor recibo]]</f>
        <v>476</v>
      </c>
      <c r="O215" s="216"/>
      <c r="P215" s="205" t="s">
        <v>70</v>
      </c>
    </row>
    <row r="216" spans="1:16" ht="15.75">
      <c r="A216" s="205">
        <v>19311239</v>
      </c>
      <c r="B216" s="215"/>
      <c r="C216" s="205"/>
      <c r="D216" s="205"/>
      <c r="E216" s="205"/>
      <c r="F216" s="205" t="s">
        <v>159</v>
      </c>
      <c r="G216" s="215">
        <v>45671</v>
      </c>
      <c r="H216" s="215">
        <v>45671</v>
      </c>
      <c r="I216" s="216">
        <v>476</v>
      </c>
      <c r="J216" s="205" t="s">
        <v>17</v>
      </c>
      <c r="K216" s="205"/>
      <c r="L216" s="205" t="s">
        <v>18</v>
      </c>
      <c r="M216" s="215">
        <v>45673</v>
      </c>
      <c r="N216" s="218">
        <f>Tabela13891011121314[[#This Row],[Valor recibo]]</f>
        <v>476</v>
      </c>
      <c r="O216" s="216"/>
      <c r="P216" s="205" t="s">
        <v>70</v>
      </c>
    </row>
    <row r="217" spans="1:16" ht="15.75">
      <c r="A217" s="205">
        <v>19335356</v>
      </c>
      <c r="B217" s="215"/>
      <c r="C217" s="205"/>
      <c r="D217" s="205"/>
      <c r="E217" s="205"/>
      <c r="F217" s="205" t="s">
        <v>160</v>
      </c>
      <c r="G217" s="215">
        <v>45673</v>
      </c>
      <c r="H217" s="215">
        <v>45673</v>
      </c>
      <c r="I217" s="216">
        <v>476</v>
      </c>
      <c r="J217" s="205" t="s">
        <v>17</v>
      </c>
      <c r="K217" s="205"/>
      <c r="L217" s="205" t="s">
        <v>18</v>
      </c>
      <c r="M217" s="215">
        <v>45673</v>
      </c>
      <c r="N217" s="218">
        <f>Tabela13891011121314[[#This Row],[Valor recibo]]</f>
        <v>476</v>
      </c>
      <c r="O217" s="216"/>
      <c r="P217" s="205" t="s">
        <v>70</v>
      </c>
    </row>
    <row r="218" spans="1:16" ht="15.75">
      <c r="A218" s="205">
        <v>19311982</v>
      </c>
      <c r="B218" s="215"/>
      <c r="C218" s="205"/>
      <c r="D218" s="205"/>
      <c r="E218" s="205"/>
      <c r="F218" s="205" t="s">
        <v>161</v>
      </c>
      <c r="G218" s="215">
        <v>45673</v>
      </c>
      <c r="H218" s="215">
        <v>45673</v>
      </c>
      <c r="I218" s="216">
        <v>476</v>
      </c>
      <c r="J218" s="205" t="s">
        <v>17</v>
      </c>
      <c r="K218" s="205"/>
      <c r="L218" s="205" t="s">
        <v>18</v>
      </c>
      <c r="M218" s="215">
        <v>45673</v>
      </c>
      <c r="N218" s="218">
        <f>Tabela13891011121314[[#This Row],[Valor recibo]]</f>
        <v>476</v>
      </c>
      <c r="O218" s="216"/>
      <c r="P218" s="205" t="s">
        <v>70</v>
      </c>
    </row>
    <row r="219" spans="1:16" ht="15.75">
      <c r="A219" s="205">
        <v>19343221</v>
      </c>
      <c r="B219" s="215"/>
      <c r="C219" s="205"/>
      <c r="D219" s="205"/>
      <c r="E219" s="205"/>
      <c r="F219" s="205" t="s">
        <v>162</v>
      </c>
      <c r="G219" s="215">
        <v>45673</v>
      </c>
      <c r="H219" s="215">
        <v>45673</v>
      </c>
      <c r="I219" s="216">
        <v>476</v>
      </c>
      <c r="J219" s="205" t="s">
        <v>17</v>
      </c>
      <c r="K219" s="205"/>
      <c r="L219" s="205" t="s">
        <v>18</v>
      </c>
      <c r="M219" s="215">
        <v>45674</v>
      </c>
      <c r="N219" s="218">
        <f>Tabela13891011121314[[#This Row],[Valor recibo]]</f>
        <v>476</v>
      </c>
      <c r="O219" s="216"/>
      <c r="P219" s="205" t="s">
        <v>70</v>
      </c>
    </row>
    <row r="220" spans="1:16" ht="15.75">
      <c r="A220" s="205">
        <v>19314670</v>
      </c>
      <c r="B220" s="215"/>
      <c r="C220" s="205"/>
      <c r="D220" s="205"/>
      <c r="E220" s="205"/>
      <c r="F220" s="205" t="s">
        <v>163</v>
      </c>
      <c r="G220" s="215">
        <v>45673</v>
      </c>
      <c r="H220" s="215">
        <v>45673</v>
      </c>
      <c r="I220" s="216">
        <v>238</v>
      </c>
      <c r="J220" s="205" t="s">
        <v>17</v>
      </c>
      <c r="K220" s="205"/>
      <c r="L220" s="205" t="s">
        <v>18</v>
      </c>
      <c r="M220" s="215">
        <v>45674</v>
      </c>
      <c r="N220" s="218">
        <f>Tabela13891011121314[[#This Row],[Valor recibo]]</f>
        <v>238</v>
      </c>
      <c r="O220" s="216"/>
      <c r="P220" s="205" t="s">
        <v>70</v>
      </c>
    </row>
    <row r="221" spans="1:16" ht="15.75">
      <c r="A221" s="205">
        <v>19314603</v>
      </c>
      <c r="B221" s="215"/>
      <c r="C221" s="205"/>
      <c r="D221" s="205"/>
      <c r="E221" s="205"/>
      <c r="F221" s="205" t="s">
        <v>164</v>
      </c>
      <c r="G221" s="215">
        <v>45673</v>
      </c>
      <c r="H221" s="215">
        <v>45673</v>
      </c>
      <c r="I221" s="216">
        <v>238</v>
      </c>
      <c r="J221" s="205" t="s">
        <v>17</v>
      </c>
      <c r="K221" s="205"/>
      <c r="L221" s="205" t="s">
        <v>18</v>
      </c>
      <c r="M221" s="215">
        <v>45674</v>
      </c>
      <c r="N221" s="218">
        <f>Tabela13891011121314[[#This Row],[Valor recibo]]</f>
        <v>238</v>
      </c>
      <c r="O221" s="216"/>
      <c r="P221" s="205" t="s">
        <v>70</v>
      </c>
    </row>
    <row r="222" spans="1:16" ht="15.75">
      <c r="A222" s="205">
        <v>19342354</v>
      </c>
      <c r="B222" s="215"/>
      <c r="C222" s="205"/>
      <c r="D222" s="205"/>
      <c r="E222" s="205"/>
      <c r="F222" s="205" t="s">
        <v>165</v>
      </c>
      <c r="G222" s="215">
        <v>45673</v>
      </c>
      <c r="H222" s="215">
        <v>45673</v>
      </c>
      <c r="I222" s="216">
        <v>476</v>
      </c>
      <c r="J222" s="205" t="s">
        <v>17</v>
      </c>
      <c r="K222" s="205"/>
      <c r="L222" s="205" t="s">
        <v>18</v>
      </c>
      <c r="M222" s="215">
        <v>45674</v>
      </c>
      <c r="N222" s="218">
        <f>Tabela13891011121314[[#This Row],[Valor recibo]]</f>
        <v>476</v>
      </c>
      <c r="O222" s="216"/>
      <c r="P222" s="205" t="s">
        <v>70</v>
      </c>
    </row>
    <row r="223" spans="1:16" ht="15.75">
      <c r="A223" s="205">
        <v>19343505</v>
      </c>
      <c r="B223" s="215"/>
      <c r="C223" s="205"/>
      <c r="D223" s="205"/>
      <c r="E223" s="205"/>
      <c r="F223" s="205" t="s">
        <v>166</v>
      </c>
      <c r="G223" s="215">
        <v>45673</v>
      </c>
      <c r="H223" s="215">
        <v>45673</v>
      </c>
      <c r="I223" s="216">
        <v>862</v>
      </c>
      <c r="J223" s="205" t="s">
        <v>17</v>
      </c>
      <c r="K223" s="205"/>
      <c r="L223" s="205" t="s">
        <v>18</v>
      </c>
      <c r="M223" s="215">
        <v>45674</v>
      </c>
      <c r="N223" s="218">
        <f>Tabela13891011121314[[#This Row],[Valor recibo]]</f>
        <v>862</v>
      </c>
      <c r="O223" s="216"/>
      <c r="P223" s="205" t="s">
        <v>70</v>
      </c>
    </row>
    <row r="224" spans="1:16" ht="15.75">
      <c r="A224" s="205">
        <v>19314601</v>
      </c>
      <c r="B224" s="215"/>
      <c r="C224" s="205"/>
      <c r="D224" s="205"/>
      <c r="E224" s="205"/>
      <c r="F224" s="205" t="s">
        <v>167</v>
      </c>
      <c r="G224" s="215">
        <v>45673</v>
      </c>
      <c r="H224" s="215">
        <v>45673</v>
      </c>
      <c r="I224" s="216">
        <v>476</v>
      </c>
      <c r="J224" s="205" t="s">
        <v>17</v>
      </c>
      <c r="K224" s="205"/>
      <c r="L224" s="205" t="s">
        <v>18</v>
      </c>
      <c r="M224" s="215">
        <v>45674</v>
      </c>
      <c r="N224" s="218">
        <f>Tabela13891011121314[[#This Row],[Valor recibo]]</f>
        <v>476</v>
      </c>
      <c r="O224" s="216"/>
      <c r="P224" s="205" t="s">
        <v>70</v>
      </c>
    </row>
    <row r="225" spans="1:16" ht="15.75">
      <c r="A225" s="205">
        <v>19316235</v>
      </c>
      <c r="B225" s="215"/>
      <c r="C225" s="205"/>
      <c r="D225" s="205"/>
      <c r="E225" s="205"/>
      <c r="F225" s="205">
        <v>50726</v>
      </c>
      <c r="G225" s="215">
        <v>45674</v>
      </c>
      <c r="H225" s="215">
        <v>45674</v>
      </c>
      <c r="I225" s="216">
        <v>0</v>
      </c>
      <c r="J225" s="205" t="s">
        <v>17</v>
      </c>
      <c r="K225" s="205"/>
      <c r="L225" s="205"/>
      <c r="M225" s="215">
        <v>45674</v>
      </c>
      <c r="N225" s="218">
        <f>Tabela13891011121314[[#This Row],[Valor recibo]]</f>
        <v>0</v>
      </c>
      <c r="O225" s="216"/>
      <c r="P225" s="205" t="s">
        <v>70</v>
      </c>
    </row>
    <row r="226" spans="1:16" ht="15.75">
      <c r="A226" s="205">
        <v>19316231</v>
      </c>
      <c r="B226" s="215"/>
      <c r="C226" s="205"/>
      <c r="D226" s="205"/>
      <c r="E226" s="205"/>
      <c r="F226" s="205">
        <v>50737</v>
      </c>
      <c r="G226" s="215">
        <v>45674</v>
      </c>
      <c r="H226" s="215">
        <v>45674</v>
      </c>
      <c r="I226" s="216">
        <v>0</v>
      </c>
      <c r="J226" s="205" t="s">
        <v>17</v>
      </c>
      <c r="K226" s="205"/>
      <c r="L226" s="205"/>
      <c r="M226" s="215">
        <v>45674</v>
      </c>
      <c r="N226" s="218">
        <f>Tabela13891011121314[[#This Row],[Valor recibo]]</f>
        <v>0</v>
      </c>
      <c r="O226" s="216"/>
      <c r="P226" s="205" t="s">
        <v>70</v>
      </c>
    </row>
    <row r="227" spans="1:16" ht="15.75">
      <c r="A227" s="205">
        <v>19336126</v>
      </c>
      <c r="B227" s="215"/>
      <c r="C227" s="205"/>
      <c r="D227" s="205"/>
      <c r="E227" s="205"/>
      <c r="F227" s="205">
        <v>23743</v>
      </c>
      <c r="G227" s="215">
        <v>45672</v>
      </c>
      <c r="H227" s="215">
        <v>45672</v>
      </c>
      <c r="I227" s="216">
        <v>1032</v>
      </c>
      <c r="J227" s="205" t="s">
        <v>17</v>
      </c>
      <c r="K227" s="205"/>
      <c r="L227" s="205" t="s">
        <v>18</v>
      </c>
      <c r="M227" s="215">
        <v>45674</v>
      </c>
      <c r="N227" s="218">
        <f>Tabela13891011121314[[#This Row],[Valor recibo]]</f>
        <v>1032</v>
      </c>
      <c r="O227" s="216"/>
      <c r="P227" s="205" t="s">
        <v>70</v>
      </c>
    </row>
    <row r="228" spans="1:16" ht="15.75">
      <c r="A228" s="205">
        <v>19311220</v>
      </c>
      <c r="B228" s="215"/>
      <c r="C228" s="205"/>
      <c r="D228" s="205"/>
      <c r="E228" s="205"/>
      <c r="F228" s="205" t="s">
        <v>168</v>
      </c>
      <c r="G228" s="215">
        <v>45673</v>
      </c>
      <c r="H228" s="215">
        <v>45673</v>
      </c>
      <c r="I228" s="216">
        <v>476</v>
      </c>
      <c r="J228" s="205" t="s">
        <v>17</v>
      </c>
      <c r="K228" s="205"/>
      <c r="L228" s="205"/>
      <c r="M228" s="215">
        <v>45674</v>
      </c>
      <c r="N228" s="218">
        <f>Tabela13891011121314[[#This Row],[Valor recibo]]</f>
        <v>476</v>
      </c>
      <c r="O228" s="216"/>
      <c r="P228" s="219" t="s">
        <v>81</v>
      </c>
    </row>
    <row r="229" spans="1:16" ht="15.75">
      <c r="A229" s="205">
        <v>19348598</v>
      </c>
      <c r="B229" s="215"/>
      <c r="C229" s="205"/>
      <c r="D229" s="205"/>
      <c r="E229" s="205"/>
      <c r="F229" s="205" t="s">
        <v>169</v>
      </c>
      <c r="G229" s="215">
        <v>45674</v>
      </c>
      <c r="H229" s="215">
        <v>45674</v>
      </c>
      <c r="I229" s="216">
        <v>0</v>
      </c>
      <c r="J229" s="205" t="s">
        <v>17</v>
      </c>
      <c r="K229" s="205"/>
      <c r="L229" s="205" t="s">
        <v>18</v>
      </c>
      <c r="M229" s="215">
        <v>45674</v>
      </c>
      <c r="N229" s="218">
        <f>Tabela13891011121314[[#This Row],[Valor recibo]]</f>
        <v>0</v>
      </c>
      <c r="O229" s="216"/>
      <c r="P229" s="205" t="s">
        <v>70</v>
      </c>
    </row>
    <row r="230" spans="1:16" ht="15.75">
      <c r="A230" s="205">
        <v>19340918</v>
      </c>
      <c r="B230" s="215"/>
      <c r="C230" s="205"/>
      <c r="D230" s="205"/>
      <c r="E230" s="205"/>
      <c r="F230" s="205" t="s">
        <v>170</v>
      </c>
      <c r="G230" s="215">
        <v>45674</v>
      </c>
      <c r="H230" s="215">
        <v>45674</v>
      </c>
      <c r="I230" s="216">
        <v>476</v>
      </c>
      <c r="J230" s="205" t="s">
        <v>17</v>
      </c>
      <c r="K230" s="205"/>
      <c r="L230" s="205" t="s">
        <v>18</v>
      </c>
      <c r="M230" s="215">
        <v>45674</v>
      </c>
      <c r="N230" s="218">
        <f>Tabela13891011121314[[#This Row],[Valor recibo]]</f>
        <v>476</v>
      </c>
      <c r="O230" s="216"/>
      <c r="P230" s="205" t="s">
        <v>70</v>
      </c>
    </row>
    <row r="231" spans="1:16" ht="15.75">
      <c r="A231" s="205">
        <v>19340917</v>
      </c>
      <c r="B231" s="215"/>
      <c r="C231" s="205"/>
      <c r="D231" s="205"/>
      <c r="E231" s="205"/>
      <c r="F231" s="205" t="s">
        <v>171</v>
      </c>
      <c r="G231" s="215">
        <v>45674</v>
      </c>
      <c r="H231" s="215">
        <v>45674</v>
      </c>
      <c r="I231" s="216">
        <v>476</v>
      </c>
      <c r="J231" s="205" t="s">
        <v>17</v>
      </c>
      <c r="K231" s="205"/>
      <c r="L231" s="205" t="s">
        <v>18</v>
      </c>
      <c r="M231" s="215">
        <v>45674</v>
      </c>
      <c r="N231" s="218">
        <f>Tabela13891011121314[[#This Row],[Valor recibo]]</f>
        <v>476</v>
      </c>
      <c r="O231" s="216"/>
      <c r="P231" s="205" t="s">
        <v>70</v>
      </c>
    </row>
    <row r="232" spans="1:16" ht="15.75">
      <c r="A232" s="205">
        <v>19316860</v>
      </c>
      <c r="B232" s="215"/>
      <c r="C232" s="205"/>
      <c r="D232" s="205"/>
      <c r="E232" s="205"/>
      <c r="F232" s="205">
        <v>50490</v>
      </c>
      <c r="G232" s="215">
        <v>45672</v>
      </c>
      <c r="H232" s="215">
        <v>45672</v>
      </c>
      <c r="I232" s="216">
        <v>238</v>
      </c>
      <c r="J232" s="205" t="s">
        <v>17</v>
      </c>
      <c r="K232" s="205"/>
      <c r="L232" s="205" t="s">
        <v>18</v>
      </c>
      <c r="M232" s="215">
        <v>45674</v>
      </c>
      <c r="N232" s="218">
        <f>Tabela13891011121314[[#This Row],[Valor recibo]]</f>
        <v>238</v>
      </c>
      <c r="O232" s="216"/>
      <c r="P232" s="205" t="s">
        <v>70</v>
      </c>
    </row>
    <row r="233" spans="1:16" ht="15.75">
      <c r="A233" s="205">
        <v>19336614</v>
      </c>
      <c r="B233" s="215"/>
      <c r="C233" s="205"/>
      <c r="D233" s="205"/>
      <c r="E233" s="205"/>
      <c r="F233" s="205" t="s">
        <v>172</v>
      </c>
      <c r="G233" s="215">
        <v>45674</v>
      </c>
      <c r="H233" s="215">
        <v>45674</v>
      </c>
      <c r="I233" s="216">
        <v>476</v>
      </c>
      <c r="J233" s="205" t="s">
        <v>17</v>
      </c>
      <c r="K233" s="205"/>
      <c r="L233" s="205" t="s">
        <v>18</v>
      </c>
      <c r="M233" s="215">
        <v>45674</v>
      </c>
      <c r="N233" s="218">
        <f>Tabela13891011121314[[#This Row],[Valor recibo]]</f>
        <v>476</v>
      </c>
      <c r="O233" s="216"/>
      <c r="P233" s="205" t="s">
        <v>70</v>
      </c>
    </row>
    <row r="234" spans="1:16" ht="15.75">
      <c r="A234" s="205">
        <v>19341586</v>
      </c>
      <c r="B234" s="215"/>
      <c r="C234" s="205"/>
      <c r="D234" s="205"/>
      <c r="E234" s="205"/>
      <c r="F234" s="205" t="s">
        <v>173</v>
      </c>
      <c r="G234" s="215">
        <v>45674</v>
      </c>
      <c r="H234" s="215">
        <v>45674</v>
      </c>
      <c r="I234" s="216">
        <v>476</v>
      </c>
      <c r="J234" s="205" t="s">
        <v>17</v>
      </c>
      <c r="K234" s="205"/>
      <c r="L234" s="205" t="s">
        <v>18</v>
      </c>
      <c r="M234" s="215">
        <v>45674</v>
      </c>
      <c r="N234" s="218">
        <f>Tabela13891011121314[[#This Row],[Valor recibo]]</f>
        <v>476</v>
      </c>
      <c r="O234" s="216"/>
      <c r="P234" s="205" t="s">
        <v>70</v>
      </c>
    </row>
    <row r="235" spans="1:16" ht="15.75">
      <c r="A235" s="205">
        <v>19341582</v>
      </c>
      <c r="B235" s="215"/>
      <c r="C235" s="205"/>
      <c r="D235" s="205"/>
      <c r="E235" s="205"/>
      <c r="F235" s="205" t="s">
        <v>174</v>
      </c>
      <c r="G235" s="215">
        <v>45673</v>
      </c>
      <c r="H235" s="215">
        <v>45673</v>
      </c>
      <c r="I235" s="216">
        <v>238</v>
      </c>
      <c r="J235" s="205" t="s">
        <v>17</v>
      </c>
      <c r="K235" s="205"/>
      <c r="L235" s="205" t="s">
        <v>18</v>
      </c>
      <c r="M235" s="215">
        <v>45674</v>
      </c>
      <c r="N235" s="218">
        <f>Tabela13891011121314[[#This Row],[Valor recibo]]</f>
        <v>238</v>
      </c>
      <c r="O235" s="216"/>
      <c r="P235" s="205" t="s">
        <v>70</v>
      </c>
    </row>
    <row r="236" spans="1:16" ht="15.75">
      <c r="A236" s="205">
        <v>19342721</v>
      </c>
      <c r="B236" s="215"/>
      <c r="C236" s="205"/>
      <c r="D236" s="205"/>
      <c r="E236" s="205"/>
      <c r="F236" s="205" t="s">
        <v>175</v>
      </c>
      <c r="G236" s="215">
        <v>45674</v>
      </c>
      <c r="H236" s="215">
        <v>45674</v>
      </c>
      <c r="I236" s="216">
        <v>493</v>
      </c>
      <c r="J236" s="205" t="s">
        <v>17</v>
      </c>
      <c r="K236" s="205"/>
      <c r="L236" s="205" t="s">
        <v>18</v>
      </c>
      <c r="M236" s="215">
        <v>45674</v>
      </c>
      <c r="N236" s="218">
        <f>Tabela13891011121314[[#This Row],[Valor recibo]]</f>
        <v>493</v>
      </c>
      <c r="O236" s="216"/>
      <c r="P236" s="205" t="s">
        <v>70</v>
      </c>
    </row>
    <row r="237" spans="1:16" ht="15.75">
      <c r="A237" s="205">
        <v>19342939</v>
      </c>
      <c r="B237" s="215"/>
      <c r="C237" s="205"/>
      <c r="D237" s="205"/>
      <c r="E237" s="205"/>
      <c r="F237" s="205" t="s">
        <v>176</v>
      </c>
      <c r="G237" s="215">
        <v>45674</v>
      </c>
      <c r="H237" s="215">
        <v>45674</v>
      </c>
      <c r="I237" s="216">
        <v>476</v>
      </c>
      <c r="J237" s="205" t="s">
        <v>17</v>
      </c>
      <c r="K237" s="205"/>
      <c r="L237" s="205" t="s">
        <v>18</v>
      </c>
      <c r="M237" s="215">
        <v>45677</v>
      </c>
      <c r="N237" s="218">
        <f>Tabela13891011121314[[#This Row],[Valor recibo]]</f>
        <v>476</v>
      </c>
      <c r="O237" s="216"/>
      <c r="P237" s="205" t="s">
        <v>70</v>
      </c>
    </row>
    <row r="238" spans="1:16" ht="15.75">
      <c r="A238" s="205">
        <v>19350738</v>
      </c>
      <c r="B238" s="215"/>
      <c r="C238" s="205"/>
      <c r="D238" s="205"/>
      <c r="E238" s="205"/>
      <c r="F238" s="205" t="s">
        <v>177</v>
      </c>
      <c r="G238" s="215">
        <v>45675</v>
      </c>
      <c r="H238" s="215">
        <v>45675</v>
      </c>
      <c r="I238" s="216">
        <v>476</v>
      </c>
      <c r="J238" s="205" t="s">
        <v>17</v>
      </c>
      <c r="K238" s="205"/>
      <c r="L238" s="205" t="s">
        <v>18</v>
      </c>
      <c r="M238" s="215">
        <v>45677</v>
      </c>
      <c r="N238" s="218">
        <f>Tabela13891011121314[[#This Row],[Valor recibo]]</f>
        <v>476</v>
      </c>
      <c r="O238" s="216"/>
      <c r="P238" s="205" t="s">
        <v>70</v>
      </c>
    </row>
    <row r="239" spans="1:16" ht="15.75">
      <c r="A239" s="205">
        <v>19348695</v>
      </c>
      <c r="B239" s="215"/>
      <c r="C239" s="205"/>
      <c r="D239" s="205"/>
      <c r="E239" s="205"/>
      <c r="F239" s="205">
        <v>50862</v>
      </c>
      <c r="G239" s="215">
        <v>45675</v>
      </c>
      <c r="H239" s="215">
        <v>45675</v>
      </c>
      <c r="I239" s="216">
        <v>1580</v>
      </c>
      <c r="J239" s="205" t="s">
        <v>17</v>
      </c>
      <c r="K239" s="205"/>
      <c r="L239" s="205" t="s">
        <v>18</v>
      </c>
      <c r="M239" s="215">
        <v>45677</v>
      </c>
      <c r="N239" s="218">
        <f>Tabela13891011121314[[#This Row],[Valor recibo]]</f>
        <v>1580</v>
      </c>
      <c r="O239" s="216"/>
      <c r="P239" s="205" t="s">
        <v>70</v>
      </c>
    </row>
    <row r="240" spans="1:16" ht="15.75">
      <c r="A240" s="205">
        <v>19342929</v>
      </c>
      <c r="B240" s="215"/>
      <c r="C240" s="205"/>
      <c r="D240" s="205"/>
      <c r="E240" s="205"/>
      <c r="F240" s="205" t="s">
        <v>178</v>
      </c>
      <c r="G240" s="215">
        <v>45674</v>
      </c>
      <c r="H240" s="215">
        <v>45674</v>
      </c>
      <c r="I240" s="216">
        <v>476</v>
      </c>
      <c r="J240" s="205" t="s">
        <v>17</v>
      </c>
      <c r="K240" s="205"/>
      <c r="L240" s="205"/>
      <c r="M240" s="215">
        <v>45677</v>
      </c>
      <c r="N240" s="218">
        <f>Tabela13891011121314[[#This Row],[Valor recibo]]</f>
        <v>476</v>
      </c>
      <c r="O240" s="216"/>
      <c r="P240" s="219" t="s">
        <v>81</v>
      </c>
    </row>
    <row r="241" spans="1:16" ht="15.75">
      <c r="A241" s="205">
        <v>19314639</v>
      </c>
      <c r="B241" s="215"/>
      <c r="C241" s="205"/>
      <c r="D241" s="205"/>
      <c r="E241" s="205"/>
      <c r="F241" s="205">
        <v>50418</v>
      </c>
      <c r="G241" s="215">
        <v>45672</v>
      </c>
      <c r="H241" s="215">
        <v>45672</v>
      </c>
      <c r="I241" s="216">
        <v>260</v>
      </c>
      <c r="J241" s="205" t="s">
        <v>17</v>
      </c>
      <c r="K241" s="205"/>
      <c r="L241" s="205"/>
      <c r="M241" s="215">
        <v>45677</v>
      </c>
      <c r="N241" s="218">
        <f>Tabela13891011121314[[#This Row],[Valor recibo]]</f>
        <v>260</v>
      </c>
      <c r="O241" s="216"/>
      <c r="P241" s="219" t="s">
        <v>81</v>
      </c>
    </row>
    <row r="242" spans="1:16" ht="15.75">
      <c r="A242" s="205">
        <v>19350735</v>
      </c>
      <c r="B242" s="215"/>
      <c r="C242" s="205"/>
      <c r="D242" s="205"/>
      <c r="E242" s="205"/>
      <c r="F242" s="205" t="s">
        <v>179</v>
      </c>
      <c r="G242" s="215">
        <v>45675</v>
      </c>
      <c r="H242" s="215">
        <v>45675</v>
      </c>
      <c r="I242" s="216">
        <v>476</v>
      </c>
      <c r="J242" s="205" t="s">
        <v>17</v>
      </c>
      <c r="K242" s="205"/>
      <c r="L242" s="205" t="s">
        <v>18</v>
      </c>
      <c r="M242" s="215">
        <v>45677</v>
      </c>
      <c r="N242" s="218">
        <f>Tabela13891011121314[[#This Row],[Valor recibo]]</f>
        <v>476</v>
      </c>
      <c r="O242" s="216"/>
      <c r="P242" s="205" t="s">
        <v>70</v>
      </c>
    </row>
    <row r="243" spans="1:16" ht="15.75">
      <c r="A243" s="205">
        <v>19350821</v>
      </c>
      <c r="B243" s="215"/>
      <c r="C243" s="205"/>
      <c r="D243" s="205"/>
      <c r="E243" s="205"/>
      <c r="F243" s="205" t="s">
        <v>180</v>
      </c>
      <c r="G243" s="215">
        <v>45675</v>
      </c>
      <c r="H243" s="215">
        <v>45675</v>
      </c>
      <c r="I243" s="216">
        <v>476</v>
      </c>
      <c r="J243" s="205" t="s">
        <v>17</v>
      </c>
      <c r="K243" s="205"/>
      <c r="L243" s="205" t="s">
        <v>18</v>
      </c>
      <c r="M243" s="215">
        <v>45677</v>
      </c>
      <c r="N243" s="218">
        <f>Tabela13891011121314[[#This Row],[Valor recibo]]</f>
        <v>476</v>
      </c>
      <c r="O243" s="216"/>
      <c r="P243" s="205" t="s">
        <v>70</v>
      </c>
    </row>
    <row r="244" spans="1:16" ht="15.75">
      <c r="A244" s="205">
        <v>19357906</v>
      </c>
      <c r="B244" s="215"/>
      <c r="C244" s="205"/>
      <c r="D244" s="205"/>
      <c r="E244" s="205"/>
      <c r="F244" s="205" t="s">
        <v>181</v>
      </c>
      <c r="G244" s="215">
        <v>45675</v>
      </c>
      <c r="H244" s="215">
        <v>45675</v>
      </c>
      <c r="I244" s="216">
        <v>476</v>
      </c>
      <c r="J244" s="205" t="s">
        <v>17</v>
      </c>
      <c r="K244" s="205"/>
      <c r="L244" s="205" t="s">
        <v>18</v>
      </c>
      <c r="M244" s="215">
        <v>45677</v>
      </c>
      <c r="N244" s="218">
        <f>Tabela13891011121314[[#This Row],[Valor recibo]]</f>
        <v>476</v>
      </c>
      <c r="O244" s="216"/>
      <c r="P244" s="205" t="s">
        <v>70</v>
      </c>
    </row>
    <row r="245" spans="1:16" ht="15.75">
      <c r="A245" s="205">
        <v>19342937</v>
      </c>
      <c r="B245" s="215"/>
      <c r="C245" s="205"/>
      <c r="D245" s="205"/>
      <c r="E245" s="205"/>
      <c r="F245" s="205" t="s">
        <v>182</v>
      </c>
      <c r="G245" s="215">
        <v>45674</v>
      </c>
      <c r="H245" s="215">
        <v>45674</v>
      </c>
      <c r="I245" s="216">
        <v>476</v>
      </c>
      <c r="J245" s="205" t="s">
        <v>17</v>
      </c>
      <c r="K245" s="205"/>
      <c r="L245" s="205" t="s">
        <v>18</v>
      </c>
      <c r="M245" s="215">
        <v>45677</v>
      </c>
      <c r="N245" s="218">
        <f>Tabela13891011121314[[#This Row],[Valor recibo]]</f>
        <v>476</v>
      </c>
      <c r="O245" s="216"/>
      <c r="P245" s="205" t="s">
        <v>70</v>
      </c>
    </row>
    <row r="246" spans="1:16" ht="15.75">
      <c r="A246" s="205">
        <v>19341097</v>
      </c>
      <c r="B246" s="215"/>
      <c r="C246" s="205"/>
      <c r="D246" s="205"/>
      <c r="E246" s="205"/>
      <c r="F246" s="205">
        <v>50830</v>
      </c>
      <c r="G246" s="215">
        <v>45674</v>
      </c>
      <c r="H246" s="215">
        <v>45674</v>
      </c>
      <c r="I246" s="216">
        <v>476</v>
      </c>
      <c r="J246" s="205" t="s">
        <v>17</v>
      </c>
      <c r="K246" s="205"/>
      <c r="L246" s="205" t="s">
        <v>18</v>
      </c>
      <c r="M246" s="215">
        <v>45677</v>
      </c>
      <c r="N246" s="218">
        <f>Tabela13891011121314[[#This Row],[Valor recibo]]</f>
        <v>476</v>
      </c>
      <c r="O246" s="216"/>
      <c r="P246" s="205" t="s">
        <v>70</v>
      </c>
    </row>
    <row r="247" spans="1:16" ht="15.75">
      <c r="A247" s="205">
        <v>19336613</v>
      </c>
      <c r="B247" s="215"/>
      <c r="C247" s="205"/>
      <c r="D247" s="205"/>
      <c r="E247" s="205"/>
      <c r="F247" s="205" t="s">
        <v>183</v>
      </c>
      <c r="G247" s="215">
        <v>45674</v>
      </c>
      <c r="H247" s="215">
        <v>45674</v>
      </c>
      <c r="I247" s="216">
        <v>476</v>
      </c>
      <c r="J247" s="205" t="s">
        <v>17</v>
      </c>
      <c r="K247" s="205"/>
      <c r="L247" s="205" t="s">
        <v>18</v>
      </c>
      <c r="M247" s="215">
        <v>45677</v>
      </c>
      <c r="N247" s="218">
        <f>Tabela13891011121314[[#This Row],[Valor recibo]]</f>
        <v>476</v>
      </c>
      <c r="O247" s="216"/>
      <c r="P247" s="205" t="s">
        <v>70</v>
      </c>
    </row>
    <row r="248" spans="1:16" ht="15.75">
      <c r="A248" s="205">
        <v>19299659</v>
      </c>
      <c r="B248" s="215"/>
      <c r="C248" s="205"/>
      <c r="D248" s="205"/>
      <c r="E248" s="205"/>
      <c r="F248" s="205" t="s">
        <v>184</v>
      </c>
      <c r="G248" s="215">
        <v>45675</v>
      </c>
      <c r="H248" s="215">
        <v>45675</v>
      </c>
      <c r="I248" s="216">
        <v>0</v>
      </c>
      <c r="J248" s="205" t="s">
        <v>17</v>
      </c>
      <c r="K248" s="205"/>
      <c r="L248" s="205"/>
      <c r="M248" s="215">
        <v>45677</v>
      </c>
      <c r="N248" s="218">
        <f>Tabela13891011121314[[#This Row],[Valor recibo]]</f>
        <v>0</v>
      </c>
      <c r="O248" s="216"/>
      <c r="P248" s="219" t="s">
        <v>81</v>
      </c>
    </row>
    <row r="249" spans="1:16" ht="15.75">
      <c r="A249" s="205">
        <v>19348901</v>
      </c>
      <c r="B249" s="215"/>
      <c r="C249" s="205"/>
      <c r="D249" s="205"/>
      <c r="E249" s="205"/>
      <c r="F249" s="205" t="s">
        <v>185</v>
      </c>
      <c r="G249" s="215">
        <v>45675</v>
      </c>
      <c r="H249" s="215">
        <v>45675</v>
      </c>
      <c r="I249" s="216">
        <v>476</v>
      </c>
      <c r="J249" s="205" t="s">
        <v>17</v>
      </c>
      <c r="K249" s="205"/>
      <c r="L249" s="205" t="s">
        <v>18</v>
      </c>
      <c r="M249" s="215">
        <v>45677</v>
      </c>
      <c r="N249" s="218">
        <f>Tabela13891011121314[[#This Row],[Valor recibo]]</f>
        <v>476</v>
      </c>
      <c r="O249" s="216"/>
      <c r="P249" s="205" t="s">
        <v>70</v>
      </c>
    </row>
    <row r="250" spans="1:16" ht="15.75">
      <c r="A250" s="205">
        <v>19343042</v>
      </c>
      <c r="B250" s="215"/>
      <c r="C250" s="205"/>
      <c r="D250" s="205"/>
      <c r="E250" s="205"/>
      <c r="F250" s="205">
        <v>50880</v>
      </c>
      <c r="G250" s="215">
        <v>45675</v>
      </c>
      <c r="H250" s="215">
        <v>45675</v>
      </c>
      <c r="I250" s="216">
        <v>677.6</v>
      </c>
      <c r="J250" s="205" t="s">
        <v>17</v>
      </c>
      <c r="K250" s="205"/>
      <c r="L250" s="205" t="s">
        <v>18</v>
      </c>
      <c r="M250" s="215">
        <v>45677</v>
      </c>
      <c r="N250" s="218">
        <f>Tabela13891011121314[[#This Row],[Valor recibo]]</f>
        <v>677.6</v>
      </c>
      <c r="O250" s="216"/>
      <c r="P250" s="205" t="s">
        <v>70</v>
      </c>
    </row>
    <row r="251" spans="1:16" ht="15.75">
      <c r="A251" s="205">
        <v>19350818</v>
      </c>
      <c r="B251" s="215"/>
      <c r="C251" s="205"/>
      <c r="D251" s="205"/>
      <c r="E251" s="205"/>
      <c r="F251" s="205" t="s">
        <v>186</v>
      </c>
      <c r="G251" s="215">
        <v>45675</v>
      </c>
      <c r="H251" s="215">
        <v>45675</v>
      </c>
      <c r="I251" s="216">
        <v>476</v>
      </c>
      <c r="J251" s="205" t="s">
        <v>17</v>
      </c>
      <c r="K251" s="205"/>
      <c r="L251" s="205" t="s">
        <v>18</v>
      </c>
      <c r="M251" s="215">
        <v>45677</v>
      </c>
      <c r="N251" s="218">
        <f>Tabela13891011121314[[#This Row],[Valor recibo]]</f>
        <v>476</v>
      </c>
      <c r="O251" s="216"/>
      <c r="P251" s="205" t="s">
        <v>70</v>
      </c>
    </row>
    <row r="252" spans="1:16" ht="15.75">
      <c r="A252" s="205">
        <v>19350822</v>
      </c>
      <c r="B252" s="215"/>
      <c r="C252" s="205"/>
      <c r="D252" s="205"/>
      <c r="E252" s="205"/>
      <c r="F252" s="205" t="s">
        <v>187</v>
      </c>
      <c r="G252" s="215">
        <v>45675</v>
      </c>
      <c r="H252" s="215">
        <v>45675</v>
      </c>
      <c r="I252" s="216">
        <v>476</v>
      </c>
      <c r="J252" s="205" t="s">
        <v>17</v>
      </c>
      <c r="K252" s="205"/>
      <c r="L252" s="205" t="s">
        <v>18</v>
      </c>
      <c r="M252" s="215">
        <v>45677</v>
      </c>
      <c r="N252" s="218">
        <f>Tabela13891011121314[[#This Row],[Valor recibo]]</f>
        <v>476</v>
      </c>
      <c r="O252" s="216"/>
      <c r="P252" s="205" t="s">
        <v>70</v>
      </c>
    </row>
    <row r="253" spans="1:16" ht="15.75">
      <c r="A253" s="205">
        <v>19342492</v>
      </c>
      <c r="B253" s="215"/>
      <c r="C253" s="205"/>
      <c r="D253" s="205"/>
      <c r="E253" s="205"/>
      <c r="F253" s="205">
        <v>50631</v>
      </c>
      <c r="G253" s="215">
        <v>45673</v>
      </c>
      <c r="H253" s="215">
        <v>45673</v>
      </c>
      <c r="I253" s="216">
        <v>238</v>
      </c>
      <c r="J253" s="205" t="s">
        <v>17</v>
      </c>
      <c r="K253" s="205"/>
      <c r="L253" s="205" t="s">
        <v>18</v>
      </c>
      <c r="M253" s="215">
        <v>45677</v>
      </c>
      <c r="N253" s="218">
        <f>Tabela13891011121314[[#This Row],[Valor recibo]]</f>
        <v>238</v>
      </c>
      <c r="O253" s="216"/>
      <c r="P253" s="205" t="s">
        <v>70</v>
      </c>
    </row>
    <row r="254" spans="1:16" ht="15.75">
      <c r="A254" s="205">
        <v>19317336</v>
      </c>
      <c r="B254" s="215"/>
      <c r="C254" s="205"/>
      <c r="D254" s="205"/>
      <c r="E254" s="205"/>
      <c r="F254" s="205" t="s">
        <v>188</v>
      </c>
      <c r="G254" s="215">
        <v>45671</v>
      </c>
      <c r="H254" s="215">
        <v>45671</v>
      </c>
      <c r="I254" s="216">
        <v>238</v>
      </c>
      <c r="J254" s="205" t="s">
        <v>17</v>
      </c>
      <c r="K254" s="205"/>
      <c r="L254" s="205" t="s">
        <v>18</v>
      </c>
      <c r="M254" s="215">
        <v>45677</v>
      </c>
      <c r="N254" s="218">
        <f>Tabela13891011121314[[#This Row],[Valor recibo]]</f>
        <v>238</v>
      </c>
      <c r="O254" s="216"/>
      <c r="P254" s="205" t="s">
        <v>70</v>
      </c>
    </row>
    <row r="255" spans="1:16" ht="15.75">
      <c r="A255" s="220">
        <v>19249613</v>
      </c>
      <c r="B255" s="215"/>
      <c r="C255" s="205"/>
      <c r="D255" s="205"/>
      <c r="E255" s="205"/>
      <c r="F255" s="205">
        <v>49364</v>
      </c>
      <c r="G255" s="215">
        <v>45674</v>
      </c>
      <c r="H255" s="215">
        <v>45674</v>
      </c>
      <c r="I255" s="216">
        <v>538</v>
      </c>
      <c r="J255" s="205" t="s">
        <v>17</v>
      </c>
      <c r="K255" s="205"/>
      <c r="L255" s="205" t="s">
        <v>18</v>
      </c>
      <c r="M255" s="215">
        <v>45677</v>
      </c>
      <c r="N255" s="218">
        <f>Tabela13891011121314[[#This Row],[Valor recibo]]</f>
        <v>538</v>
      </c>
      <c r="O255" s="216"/>
      <c r="P255" s="205" t="s">
        <v>70</v>
      </c>
    </row>
    <row r="256" spans="1:16" ht="15.75">
      <c r="A256" s="205">
        <v>19350774</v>
      </c>
      <c r="B256" s="215"/>
      <c r="C256" s="205"/>
      <c r="D256" s="205"/>
      <c r="E256" s="205"/>
      <c r="F256" s="205" t="s">
        <v>189</v>
      </c>
      <c r="G256" s="215">
        <v>45674</v>
      </c>
      <c r="H256" s="215">
        <v>45674</v>
      </c>
      <c r="I256" s="216">
        <v>238</v>
      </c>
      <c r="J256" s="205" t="s">
        <v>17</v>
      </c>
      <c r="K256" s="205"/>
      <c r="L256" s="205" t="s">
        <v>18</v>
      </c>
      <c r="M256" s="215">
        <v>45677</v>
      </c>
      <c r="N256" s="218">
        <f>Tabela13891011121314[[#This Row],[Valor recibo]]</f>
        <v>238</v>
      </c>
      <c r="O256" s="216"/>
      <c r="P256" s="205" t="s">
        <v>70</v>
      </c>
    </row>
    <row r="257" spans="1:16" ht="15.75">
      <c r="A257" s="205">
        <v>19356790</v>
      </c>
      <c r="B257" s="215"/>
      <c r="C257" s="205"/>
      <c r="D257" s="205"/>
      <c r="E257" s="205"/>
      <c r="F257" s="205" t="s">
        <v>190</v>
      </c>
      <c r="G257" s="215">
        <v>45677</v>
      </c>
      <c r="H257" s="215">
        <v>45677</v>
      </c>
      <c r="I257" s="216">
        <v>493</v>
      </c>
      <c r="J257" s="205" t="s">
        <v>17</v>
      </c>
      <c r="K257" s="205"/>
      <c r="L257" s="205" t="s">
        <v>18</v>
      </c>
      <c r="M257" s="215">
        <v>45677</v>
      </c>
      <c r="N257" s="218">
        <f>Tabela13891011121314[[#This Row],[Valor recibo]]</f>
        <v>493</v>
      </c>
      <c r="O257" s="216"/>
      <c r="P257" s="205" t="s">
        <v>70</v>
      </c>
    </row>
    <row r="258" spans="1:16" ht="15.75">
      <c r="A258" s="205">
        <v>19343134</v>
      </c>
      <c r="B258" s="215"/>
      <c r="C258" s="205"/>
      <c r="D258" s="205"/>
      <c r="E258" s="205"/>
      <c r="F258" s="205">
        <v>50824</v>
      </c>
      <c r="G258" s="215">
        <v>45674</v>
      </c>
      <c r="H258" s="215">
        <v>45674</v>
      </c>
      <c r="I258" s="216">
        <v>238</v>
      </c>
      <c r="J258" s="205" t="s">
        <v>17</v>
      </c>
      <c r="K258" s="205"/>
      <c r="L258" s="205" t="s">
        <v>18</v>
      </c>
      <c r="M258" s="215">
        <v>45677</v>
      </c>
      <c r="N258" s="218">
        <f>Tabela13891011121314[[#This Row],[Valor recibo]]</f>
        <v>238</v>
      </c>
      <c r="O258" s="216"/>
      <c r="P258" s="205" t="s">
        <v>70</v>
      </c>
    </row>
    <row r="259" spans="1:16" ht="15.75">
      <c r="A259" s="205">
        <v>19343190</v>
      </c>
      <c r="B259" s="215"/>
      <c r="C259" s="205"/>
      <c r="D259" s="205"/>
      <c r="E259" s="205"/>
      <c r="F259" s="205" t="s">
        <v>191</v>
      </c>
      <c r="G259" s="215">
        <v>45675</v>
      </c>
      <c r="H259" s="215">
        <v>45675</v>
      </c>
      <c r="I259" s="216">
        <v>255</v>
      </c>
      <c r="J259" s="205" t="s">
        <v>17</v>
      </c>
      <c r="K259" s="205"/>
      <c r="L259" s="205" t="s">
        <v>18</v>
      </c>
      <c r="M259" s="215">
        <v>45677</v>
      </c>
      <c r="N259" s="218">
        <f>Tabela13891011121314[[#This Row],[Valor recibo]]</f>
        <v>255</v>
      </c>
      <c r="O259" s="216"/>
      <c r="P259" s="205" t="s">
        <v>70</v>
      </c>
    </row>
    <row r="260" spans="1:16" ht="15.75">
      <c r="A260" s="205">
        <v>19355857</v>
      </c>
      <c r="B260" s="215"/>
      <c r="C260" s="205"/>
      <c r="D260" s="205"/>
      <c r="E260" s="205"/>
      <c r="F260" s="205" t="s">
        <v>192</v>
      </c>
      <c r="G260" s="215">
        <v>45675</v>
      </c>
      <c r="H260" s="215">
        <v>45675</v>
      </c>
      <c r="I260" s="216">
        <v>238</v>
      </c>
      <c r="J260" s="205" t="s">
        <v>17</v>
      </c>
      <c r="K260" s="205"/>
      <c r="L260" s="205" t="s">
        <v>18</v>
      </c>
      <c r="M260" s="215">
        <v>45677</v>
      </c>
      <c r="N260" s="218">
        <f>Tabela13891011121314[[#This Row],[Valor recibo]]</f>
        <v>238</v>
      </c>
      <c r="O260" s="216"/>
      <c r="P260" s="205" t="s">
        <v>70</v>
      </c>
    </row>
    <row r="261" spans="1:16" ht="15.75">
      <c r="A261" s="205">
        <v>19363667</v>
      </c>
      <c r="B261" s="215"/>
      <c r="C261" s="205"/>
      <c r="D261" s="205"/>
      <c r="E261" s="205"/>
      <c r="F261" s="205" t="s">
        <v>193</v>
      </c>
      <c r="G261" s="215">
        <v>45677</v>
      </c>
      <c r="H261" s="215">
        <v>45677</v>
      </c>
      <c r="I261" s="216">
        <v>476</v>
      </c>
      <c r="J261" s="205" t="s">
        <v>17</v>
      </c>
      <c r="K261" s="205"/>
      <c r="L261" s="205" t="s">
        <v>18</v>
      </c>
      <c r="M261" s="215">
        <v>45677</v>
      </c>
      <c r="N261" s="218">
        <f>Tabela13891011121314[[#This Row],[Valor recibo]]</f>
        <v>476</v>
      </c>
      <c r="O261" s="216"/>
      <c r="P261" s="219" t="s">
        <v>81</v>
      </c>
    </row>
    <row r="262" spans="1:16" ht="15.75">
      <c r="A262" s="205">
        <v>19343285</v>
      </c>
      <c r="B262" s="215"/>
      <c r="C262" s="205"/>
      <c r="D262" s="205"/>
      <c r="E262" s="205"/>
      <c r="F262" s="205">
        <v>51076</v>
      </c>
      <c r="G262" s="215">
        <v>45677</v>
      </c>
      <c r="H262" s="215">
        <v>45677</v>
      </c>
      <c r="I262" s="216">
        <v>532</v>
      </c>
      <c r="J262" s="205" t="s">
        <v>17</v>
      </c>
      <c r="K262" s="205"/>
      <c r="L262" s="205" t="s">
        <v>18</v>
      </c>
      <c r="M262" s="215">
        <v>45677</v>
      </c>
      <c r="N262" s="218">
        <f>Tabela13891011121314[[#This Row],[Valor recibo]]</f>
        <v>532</v>
      </c>
      <c r="O262" s="216"/>
      <c r="P262" s="205" t="s">
        <v>70</v>
      </c>
    </row>
    <row r="263" spans="1:16" ht="15.75">
      <c r="A263" s="205">
        <v>19361873</v>
      </c>
      <c r="B263" s="215"/>
      <c r="C263" s="205"/>
      <c r="D263" s="205"/>
      <c r="E263" s="205"/>
      <c r="F263" s="205" t="s">
        <v>194</v>
      </c>
      <c r="G263" s="215">
        <v>45677</v>
      </c>
      <c r="H263" s="215">
        <v>45677</v>
      </c>
      <c r="I263" s="216">
        <v>476</v>
      </c>
      <c r="J263" s="205" t="s">
        <v>17</v>
      </c>
      <c r="K263" s="205"/>
      <c r="L263" s="205" t="s">
        <v>18</v>
      </c>
      <c r="M263" s="215">
        <v>45677</v>
      </c>
      <c r="N263" s="218">
        <f>Tabela13891011121314[[#This Row],[Valor recibo]]</f>
        <v>476</v>
      </c>
      <c r="O263" s="216"/>
      <c r="P263" s="205" t="s">
        <v>70</v>
      </c>
    </row>
    <row r="264" spans="1:16" ht="15.75">
      <c r="A264" s="205">
        <v>19343280</v>
      </c>
      <c r="B264" s="215"/>
      <c r="C264" s="205"/>
      <c r="D264" s="205"/>
      <c r="E264" s="205"/>
      <c r="F264" s="205">
        <v>51098</v>
      </c>
      <c r="G264" s="215">
        <v>45677</v>
      </c>
      <c r="H264" s="215">
        <v>45677</v>
      </c>
      <c r="I264" s="216">
        <v>532</v>
      </c>
      <c r="J264" s="205" t="s">
        <v>17</v>
      </c>
      <c r="K264" s="205"/>
      <c r="L264" s="205" t="s">
        <v>18</v>
      </c>
      <c r="M264" s="215">
        <v>45677</v>
      </c>
      <c r="N264" s="218">
        <f>Tabela13891011121314[[#This Row],[Valor recibo]]</f>
        <v>532</v>
      </c>
      <c r="O264" s="216"/>
      <c r="P264" s="205" t="s">
        <v>70</v>
      </c>
    </row>
    <row r="265" spans="1:16" ht="15.75">
      <c r="A265" s="205">
        <v>19362034</v>
      </c>
      <c r="B265" s="215"/>
      <c r="C265" s="205"/>
      <c r="D265" s="205"/>
      <c r="E265" s="205"/>
      <c r="F265" s="205" t="s">
        <v>195</v>
      </c>
      <c r="G265" s="215">
        <v>45677</v>
      </c>
      <c r="H265" s="215">
        <v>45677</v>
      </c>
      <c r="I265" s="216">
        <v>476</v>
      </c>
      <c r="J265" s="205" t="s">
        <v>17</v>
      </c>
      <c r="K265" s="205"/>
      <c r="L265" s="205" t="s">
        <v>18</v>
      </c>
      <c r="M265" s="215">
        <v>45677</v>
      </c>
      <c r="N265" s="218">
        <f>Tabela13891011121314[[#This Row],[Valor recibo]]</f>
        <v>476</v>
      </c>
      <c r="O265" s="216"/>
      <c r="P265" s="205" t="s">
        <v>70</v>
      </c>
    </row>
    <row r="266" spans="1:16" ht="15.75">
      <c r="A266" s="205">
        <v>19363648</v>
      </c>
      <c r="B266" s="215"/>
      <c r="C266" s="205"/>
      <c r="D266" s="205"/>
      <c r="E266" s="205"/>
      <c r="F266" s="205" t="s">
        <v>196</v>
      </c>
      <c r="G266" s="215">
        <v>45677</v>
      </c>
      <c r="H266" s="215">
        <v>45677</v>
      </c>
      <c r="I266" s="216">
        <v>510</v>
      </c>
      <c r="J266" s="205" t="s">
        <v>17</v>
      </c>
      <c r="K266" s="205"/>
      <c r="L266" s="205" t="s">
        <v>18</v>
      </c>
      <c r="M266" s="215">
        <v>45677</v>
      </c>
      <c r="N266" s="218">
        <f>Tabela13891011121314[[#This Row],[Valor recibo]]</f>
        <v>510</v>
      </c>
      <c r="O266" s="216"/>
      <c r="P266" s="205" t="s">
        <v>70</v>
      </c>
    </row>
    <row r="267" spans="1:16" ht="15.75">
      <c r="A267" s="205">
        <v>19358002</v>
      </c>
      <c r="B267" s="215"/>
      <c r="C267" s="205"/>
      <c r="D267" s="205"/>
      <c r="E267" s="205"/>
      <c r="F267" s="205" t="s">
        <v>197</v>
      </c>
      <c r="G267" s="215">
        <v>45677</v>
      </c>
      <c r="H267" s="215">
        <v>45677</v>
      </c>
      <c r="I267" s="216">
        <v>476</v>
      </c>
      <c r="J267" s="205" t="s">
        <v>17</v>
      </c>
      <c r="K267" s="205"/>
      <c r="L267" s="205" t="s">
        <v>18</v>
      </c>
      <c r="M267" s="215">
        <v>45677</v>
      </c>
      <c r="N267" s="218">
        <f>Tabela13891011121314[[#This Row],[Valor recibo]]</f>
        <v>476</v>
      </c>
      <c r="O267" s="216"/>
      <c r="P267" s="205" t="s">
        <v>70</v>
      </c>
    </row>
    <row r="268" spans="1:16" ht="15.75">
      <c r="A268" s="205">
        <v>19348723</v>
      </c>
      <c r="B268" s="215"/>
      <c r="C268" s="205"/>
      <c r="D268" s="205"/>
      <c r="E268" s="205"/>
      <c r="F268" s="205">
        <v>51143</v>
      </c>
      <c r="G268" s="215">
        <v>45677</v>
      </c>
      <c r="H268" s="215">
        <v>45677</v>
      </c>
      <c r="I268" s="216">
        <v>238</v>
      </c>
      <c r="J268" s="205" t="s">
        <v>17</v>
      </c>
      <c r="K268" s="205"/>
      <c r="L268" s="205" t="s">
        <v>18</v>
      </c>
      <c r="M268" s="215">
        <v>45677</v>
      </c>
      <c r="N268" s="218">
        <f>Tabela13891011121314[[#This Row],[Valor recibo]]</f>
        <v>238</v>
      </c>
      <c r="O268" s="216"/>
      <c r="P268" s="205" t="s">
        <v>70</v>
      </c>
    </row>
    <row r="269" spans="1:16" ht="15.75">
      <c r="A269" s="205">
        <v>19355873</v>
      </c>
      <c r="B269" s="215"/>
      <c r="C269" s="205"/>
      <c r="D269" s="205"/>
      <c r="E269" s="205"/>
      <c r="F269" s="205" t="s">
        <v>198</v>
      </c>
      <c r="G269" s="215">
        <v>45677</v>
      </c>
      <c r="H269" s="215">
        <v>45677</v>
      </c>
      <c r="I269" s="216">
        <v>476</v>
      </c>
      <c r="J269" s="205" t="s">
        <v>17</v>
      </c>
      <c r="K269" s="205"/>
      <c r="L269" s="205" t="s">
        <v>18</v>
      </c>
      <c r="M269" s="215">
        <v>45677</v>
      </c>
      <c r="N269" s="218">
        <f>Tabela13891011121314[[#This Row],[Valor recibo]]</f>
        <v>476</v>
      </c>
      <c r="O269" s="216"/>
      <c r="P269" s="205" t="s">
        <v>70</v>
      </c>
    </row>
    <row r="270" spans="1:16" ht="15.75">
      <c r="A270" s="205">
        <v>19342462</v>
      </c>
      <c r="B270" s="215"/>
      <c r="C270" s="205"/>
      <c r="D270" s="205"/>
      <c r="E270" s="205"/>
      <c r="F270" s="205" t="s">
        <v>199</v>
      </c>
      <c r="G270" s="215">
        <v>45677</v>
      </c>
      <c r="H270" s="215">
        <v>45677</v>
      </c>
      <c r="I270" s="216">
        <v>238</v>
      </c>
      <c r="J270" s="205" t="s">
        <v>17</v>
      </c>
      <c r="K270" s="205"/>
      <c r="L270" s="205" t="s">
        <v>18</v>
      </c>
      <c r="M270" s="215">
        <v>45678</v>
      </c>
      <c r="N270" s="218">
        <f>Tabela13891011121314[[#This Row],[Valor recibo]]</f>
        <v>238</v>
      </c>
      <c r="O270" s="216"/>
      <c r="P270" s="205" t="s">
        <v>70</v>
      </c>
    </row>
    <row r="271" spans="1:16" ht="15.75">
      <c r="A271" s="205">
        <v>19348729</v>
      </c>
      <c r="B271" s="215"/>
      <c r="C271" s="205"/>
      <c r="D271" s="205"/>
      <c r="E271" s="205"/>
      <c r="F271" s="205" t="s">
        <v>200</v>
      </c>
      <c r="G271" s="215">
        <v>45677</v>
      </c>
      <c r="H271" s="215">
        <v>45677</v>
      </c>
      <c r="I271" s="216">
        <v>238</v>
      </c>
      <c r="J271" s="205" t="s">
        <v>17</v>
      </c>
      <c r="K271" s="205"/>
      <c r="L271" s="205" t="s">
        <v>18</v>
      </c>
      <c r="M271" s="215">
        <v>45678</v>
      </c>
      <c r="N271" s="218">
        <f>Tabela13891011121314[[#This Row],[Valor recibo]]</f>
        <v>238</v>
      </c>
      <c r="O271" s="216"/>
      <c r="P271" s="205" t="s">
        <v>70</v>
      </c>
    </row>
    <row r="272" spans="1:16" ht="15.75">
      <c r="A272" s="205">
        <v>19349836</v>
      </c>
      <c r="B272" s="215"/>
      <c r="C272" s="205"/>
      <c r="D272" s="205"/>
      <c r="E272" s="205"/>
      <c r="F272" s="205" t="s">
        <v>201</v>
      </c>
      <c r="G272" s="215">
        <v>45675</v>
      </c>
      <c r="H272" s="215">
        <v>45675</v>
      </c>
      <c r="I272" s="216">
        <v>238</v>
      </c>
      <c r="J272" s="205" t="s">
        <v>17</v>
      </c>
      <c r="K272" s="205"/>
      <c r="L272" s="205" t="s">
        <v>18</v>
      </c>
      <c r="M272" s="215">
        <v>45678</v>
      </c>
      <c r="N272" s="218">
        <f>Tabela13891011121314[[#This Row],[Valor recibo]]</f>
        <v>238</v>
      </c>
      <c r="O272" s="216"/>
      <c r="P272" s="205" t="s">
        <v>70</v>
      </c>
    </row>
    <row r="273" spans="1:16" ht="15.75">
      <c r="A273" s="205">
        <v>19268988</v>
      </c>
      <c r="B273" s="215"/>
      <c r="C273" s="205"/>
      <c r="D273" s="205"/>
      <c r="E273" s="205"/>
      <c r="F273" s="205" t="s">
        <v>202</v>
      </c>
      <c r="G273" s="215">
        <v>45674</v>
      </c>
      <c r="H273" s="215">
        <v>45674</v>
      </c>
      <c r="I273" s="216">
        <v>0</v>
      </c>
      <c r="J273" s="205" t="s">
        <v>17</v>
      </c>
      <c r="K273" s="205"/>
      <c r="L273" s="205"/>
      <c r="M273" s="215">
        <v>45678</v>
      </c>
      <c r="N273" s="218">
        <f>Tabela13891011121314[[#This Row],[Valor recibo]]</f>
        <v>0</v>
      </c>
      <c r="O273" s="216"/>
      <c r="P273" s="205" t="s">
        <v>70</v>
      </c>
    </row>
    <row r="274" spans="1:16" ht="15.75">
      <c r="A274" s="205">
        <v>19351371</v>
      </c>
      <c r="B274" s="215"/>
      <c r="C274" s="205"/>
      <c r="D274" s="205"/>
      <c r="E274" s="205"/>
      <c r="F274" s="205">
        <v>23975</v>
      </c>
      <c r="G274" s="215">
        <v>45677</v>
      </c>
      <c r="H274" s="215">
        <v>45677</v>
      </c>
      <c r="I274" s="216">
        <v>1680</v>
      </c>
      <c r="J274" s="205" t="s">
        <v>17</v>
      </c>
      <c r="K274" s="205"/>
      <c r="L274" s="205" t="s">
        <v>18</v>
      </c>
      <c r="M274" s="215">
        <v>45678</v>
      </c>
      <c r="N274" s="218">
        <f>Tabela13891011121314[[#This Row],[Valor recibo]]</f>
        <v>1680</v>
      </c>
      <c r="O274" s="216"/>
      <c r="P274" s="219" t="s">
        <v>81</v>
      </c>
    </row>
    <row r="275" spans="1:16" ht="15.75">
      <c r="A275" s="205">
        <v>19361862</v>
      </c>
      <c r="B275" s="215"/>
      <c r="C275" s="205"/>
      <c r="D275" s="205"/>
      <c r="E275" s="205"/>
      <c r="F275" s="205" t="s">
        <v>203</v>
      </c>
      <c r="G275" s="215">
        <v>45677</v>
      </c>
      <c r="H275" s="215">
        <v>45677</v>
      </c>
      <c r="I275" s="216">
        <v>238</v>
      </c>
      <c r="J275" s="205" t="s">
        <v>17</v>
      </c>
      <c r="K275" s="205"/>
      <c r="L275" s="205" t="s">
        <v>18</v>
      </c>
      <c r="M275" s="215">
        <v>45678</v>
      </c>
      <c r="N275" s="218">
        <f>Tabela13891011121314[[#This Row],[Valor recibo]]</f>
        <v>238</v>
      </c>
      <c r="O275" s="216"/>
      <c r="P275" s="205" t="s">
        <v>70</v>
      </c>
    </row>
    <row r="276" spans="1:16" ht="15.75">
      <c r="A276" s="205">
        <v>19341110</v>
      </c>
      <c r="B276" s="215"/>
      <c r="C276" s="205"/>
      <c r="D276" s="205"/>
      <c r="E276" s="205"/>
      <c r="F276" s="205" t="s">
        <v>204</v>
      </c>
      <c r="G276" s="215">
        <v>45674</v>
      </c>
      <c r="H276" s="215">
        <v>45674</v>
      </c>
      <c r="I276" s="216">
        <v>238</v>
      </c>
      <c r="J276" s="205" t="s">
        <v>17</v>
      </c>
      <c r="K276" s="205"/>
      <c r="L276" s="205" t="s">
        <v>18</v>
      </c>
      <c r="M276" s="215">
        <v>45678</v>
      </c>
      <c r="N276" s="218">
        <f>Tabela13891011121314[[#This Row],[Valor recibo]]</f>
        <v>238</v>
      </c>
      <c r="O276" s="216"/>
      <c r="P276" s="205" t="s">
        <v>70</v>
      </c>
    </row>
    <row r="277" spans="1:16" ht="15.75">
      <c r="A277" s="205">
        <v>19356951</v>
      </c>
      <c r="B277" s="215"/>
      <c r="C277" s="205"/>
      <c r="D277" s="205"/>
      <c r="E277" s="205"/>
      <c r="F277" s="205" t="s">
        <v>205</v>
      </c>
      <c r="G277" s="215">
        <v>45677</v>
      </c>
      <c r="H277" s="215">
        <v>45677</v>
      </c>
      <c r="I277" s="216">
        <v>476</v>
      </c>
      <c r="J277" s="205" t="s">
        <v>17</v>
      </c>
      <c r="K277" s="205"/>
      <c r="L277" s="205" t="s">
        <v>18</v>
      </c>
      <c r="M277" s="215">
        <v>45678</v>
      </c>
      <c r="N277" s="218">
        <f>Tabela13891011121314[[#This Row],[Valor recibo]]</f>
        <v>476</v>
      </c>
      <c r="O277" s="216"/>
      <c r="P277" s="205" t="s">
        <v>70</v>
      </c>
    </row>
    <row r="278" spans="1:16" ht="15.75">
      <c r="A278" s="205">
        <v>19340934</v>
      </c>
      <c r="B278" s="215"/>
      <c r="C278" s="205"/>
      <c r="D278" s="205"/>
      <c r="E278" s="205"/>
      <c r="F278" s="205" t="s">
        <v>206</v>
      </c>
      <c r="G278" s="215">
        <v>45674</v>
      </c>
      <c r="H278" s="215">
        <v>45674</v>
      </c>
      <c r="I278" s="216">
        <v>238</v>
      </c>
      <c r="J278" s="205" t="s">
        <v>17</v>
      </c>
      <c r="K278" s="205"/>
      <c r="L278" s="205" t="s">
        <v>18</v>
      </c>
      <c r="M278" s="215">
        <v>45678</v>
      </c>
      <c r="N278" s="218">
        <f>Tabela13891011121314[[#This Row],[Valor recibo]]</f>
        <v>238</v>
      </c>
      <c r="O278" s="216"/>
      <c r="P278" s="205" t="s">
        <v>70</v>
      </c>
    </row>
    <row r="279" spans="1:16" ht="15.75">
      <c r="A279" s="205">
        <v>19348988</v>
      </c>
      <c r="B279" s="215"/>
      <c r="C279" s="205"/>
      <c r="D279" s="205"/>
      <c r="E279" s="205"/>
      <c r="F279" s="205">
        <v>51122</v>
      </c>
      <c r="G279" s="215">
        <v>45678</v>
      </c>
      <c r="H279" s="215">
        <v>45678</v>
      </c>
      <c r="I279" s="216">
        <v>238</v>
      </c>
      <c r="J279" s="205" t="s">
        <v>17</v>
      </c>
      <c r="K279" s="205"/>
      <c r="L279" s="205" t="s">
        <v>18</v>
      </c>
      <c r="M279" s="215">
        <v>45678</v>
      </c>
      <c r="N279" s="218">
        <f>Tabela13891011121314[[#This Row],[Valor recibo]]</f>
        <v>238</v>
      </c>
      <c r="O279" s="216"/>
      <c r="P279" s="205" t="s">
        <v>70</v>
      </c>
    </row>
    <row r="280" spans="1:16" ht="15.75">
      <c r="A280" s="205">
        <v>19363599</v>
      </c>
      <c r="B280" s="215"/>
      <c r="C280" s="205"/>
      <c r="D280" s="205"/>
      <c r="E280" s="205"/>
      <c r="F280" s="205" t="s">
        <v>207</v>
      </c>
      <c r="G280" s="215">
        <v>45677</v>
      </c>
      <c r="H280" s="215">
        <v>45677</v>
      </c>
      <c r="I280" s="216">
        <v>227.8</v>
      </c>
      <c r="J280" s="205" t="s">
        <v>17</v>
      </c>
      <c r="K280" s="205"/>
      <c r="L280" s="205" t="s">
        <v>18</v>
      </c>
      <c r="M280" s="215">
        <v>45678</v>
      </c>
      <c r="N280" s="218">
        <f>Tabela13891011121314[[#This Row],[Valor recibo]]</f>
        <v>227.8</v>
      </c>
      <c r="O280" s="216"/>
      <c r="P280" s="205" t="s">
        <v>70</v>
      </c>
    </row>
    <row r="281" spans="1:16" ht="15.75">
      <c r="A281" s="205">
        <v>19349745</v>
      </c>
      <c r="B281" s="215"/>
      <c r="C281" s="205"/>
      <c r="D281" s="205"/>
      <c r="E281" s="205"/>
      <c r="F281" s="205" t="s">
        <v>208</v>
      </c>
      <c r="G281" s="215">
        <v>45677</v>
      </c>
      <c r="H281" s="215">
        <v>45677</v>
      </c>
      <c r="I281" s="216">
        <v>851</v>
      </c>
      <c r="J281" s="205" t="s">
        <v>17</v>
      </c>
      <c r="K281" s="205"/>
      <c r="L281" s="205" t="s">
        <v>18</v>
      </c>
      <c r="M281" s="215">
        <v>45678</v>
      </c>
      <c r="N281" s="218">
        <f>Tabela13891011121314[[#This Row],[Valor recibo]]</f>
        <v>851</v>
      </c>
      <c r="O281" s="216"/>
      <c r="P281" s="205" t="s">
        <v>70</v>
      </c>
    </row>
    <row r="282" spans="1:16" ht="15.75">
      <c r="A282" s="205">
        <v>19362887</v>
      </c>
      <c r="B282" s="215"/>
      <c r="C282" s="205"/>
      <c r="D282" s="205"/>
      <c r="E282" s="205"/>
      <c r="F282" s="205" t="s">
        <v>209</v>
      </c>
      <c r="G282" s="215">
        <v>45677</v>
      </c>
      <c r="H282" s="215">
        <v>45677</v>
      </c>
      <c r="I282" s="216">
        <v>1200</v>
      </c>
      <c r="J282" s="205" t="s">
        <v>17</v>
      </c>
      <c r="K282" s="205"/>
      <c r="L282" s="205" t="s">
        <v>18</v>
      </c>
      <c r="M282" s="215">
        <v>45678</v>
      </c>
      <c r="N282" s="218">
        <f>Tabela13891011121314[[#This Row],[Valor recibo]]</f>
        <v>1200</v>
      </c>
      <c r="O282" s="216"/>
      <c r="P282" s="205" t="s">
        <v>70</v>
      </c>
    </row>
    <row r="283" spans="1:16" ht="15.75">
      <c r="A283" s="205">
        <v>19362079</v>
      </c>
      <c r="B283" s="215"/>
      <c r="C283" s="205"/>
      <c r="D283" s="205"/>
      <c r="E283" s="205"/>
      <c r="F283" s="205" t="s">
        <v>210</v>
      </c>
      <c r="G283" s="215">
        <v>45677</v>
      </c>
      <c r="H283" s="215">
        <v>45677</v>
      </c>
      <c r="I283" s="216">
        <v>476</v>
      </c>
      <c r="J283" s="205" t="s">
        <v>17</v>
      </c>
      <c r="K283" s="205"/>
      <c r="L283" s="205" t="s">
        <v>18</v>
      </c>
      <c r="M283" s="215">
        <v>45678</v>
      </c>
      <c r="N283" s="218">
        <f>Tabela13891011121314[[#This Row],[Valor recibo]]</f>
        <v>476</v>
      </c>
      <c r="O283" s="216"/>
      <c r="P283" s="205" t="s">
        <v>70</v>
      </c>
    </row>
    <row r="284" spans="1:16" ht="15.75">
      <c r="A284" s="205">
        <v>19355376</v>
      </c>
      <c r="B284" s="215"/>
      <c r="C284" s="205"/>
      <c r="D284" s="205"/>
      <c r="E284" s="205"/>
      <c r="F284" s="205" t="s">
        <v>211</v>
      </c>
      <c r="G284" s="215">
        <v>45677</v>
      </c>
      <c r="H284" s="215">
        <v>45677</v>
      </c>
      <c r="I284" s="216">
        <v>476</v>
      </c>
      <c r="J284" s="205" t="s">
        <v>17</v>
      </c>
      <c r="K284" s="205"/>
      <c r="L284" s="205" t="s">
        <v>18</v>
      </c>
      <c r="M284" s="215">
        <v>45678</v>
      </c>
      <c r="N284" s="218">
        <f>Tabela13891011121314[[#This Row],[Valor recibo]]</f>
        <v>476</v>
      </c>
      <c r="O284" s="216"/>
      <c r="P284" s="205" t="s">
        <v>70</v>
      </c>
    </row>
    <row r="285" spans="1:16" ht="15.75">
      <c r="A285" s="205">
        <v>19343286</v>
      </c>
      <c r="B285" s="215"/>
      <c r="C285" s="205"/>
      <c r="D285" s="205"/>
      <c r="E285" s="205"/>
      <c r="F285" s="205">
        <v>51224</v>
      </c>
      <c r="G285" s="215">
        <v>45678</v>
      </c>
      <c r="H285" s="215">
        <v>45678</v>
      </c>
      <c r="I285" s="216">
        <v>532</v>
      </c>
      <c r="J285" s="205" t="s">
        <v>17</v>
      </c>
      <c r="K285" s="205"/>
      <c r="L285" s="205" t="s">
        <v>18</v>
      </c>
      <c r="M285" s="215">
        <v>45678</v>
      </c>
      <c r="N285" s="218">
        <f>Tabela13891011121314[[#This Row],[Valor recibo]]</f>
        <v>532</v>
      </c>
      <c r="O285" s="216"/>
      <c r="P285" s="205" t="s">
        <v>70</v>
      </c>
    </row>
    <row r="286" spans="1:16" ht="15.75">
      <c r="A286" s="205">
        <v>19360862</v>
      </c>
      <c r="B286" s="215"/>
      <c r="C286" s="205"/>
      <c r="D286" s="205"/>
      <c r="E286" s="205"/>
      <c r="F286" s="205">
        <v>51234</v>
      </c>
      <c r="G286" s="215">
        <v>45678</v>
      </c>
      <c r="H286" s="215">
        <v>45678</v>
      </c>
      <c r="I286" s="216">
        <v>0</v>
      </c>
      <c r="J286" s="205" t="s">
        <v>17</v>
      </c>
      <c r="K286" s="205"/>
      <c r="L286" s="205"/>
      <c r="M286" s="215">
        <v>45678</v>
      </c>
      <c r="N286" s="218">
        <f>Tabela13891011121314[[#This Row],[Valor recibo]]</f>
        <v>0</v>
      </c>
      <c r="O286" s="216"/>
      <c r="P286" s="205" t="s">
        <v>70</v>
      </c>
    </row>
    <row r="287" spans="1:16" ht="15.75">
      <c r="A287" s="205">
        <v>19360860</v>
      </c>
      <c r="B287" s="215"/>
      <c r="C287" s="205"/>
      <c r="D287" s="205"/>
      <c r="E287" s="205"/>
      <c r="F287" s="205">
        <v>51237</v>
      </c>
      <c r="G287" s="215">
        <v>45678</v>
      </c>
      <c r="H287" s="215">
        <v>45678</v>
      </c>
      <c r="I287" s="216">
        <v>0</v>
      </c>
      <c r="J287" s="205" t="s">
        <v>17</v>
      </c>
      <c r="K287" s="205"/>
      <c r="L287" s="205"/>
      <c r="M287" s="215">
        <v>45678</v>
      </c>
      <c r="N287" s="218">
        <f>Tabela13891011121314[[#This Row],[Valor recibo]]</f>
        <v>0</v>
      </c>
      <c r="O287" s="216"/>
      <c r="P287" s="205" t="s">
        <v>70</v>
      </c>
    </row>
    <row r="288" spans="1:16" ht="15.75">
      <c r="A288" s="205">
        <v>19343287</v>
      </c>
      <c r="B288" s="215"/>
      <c r="C288" s="205"/>
      <c r="D288" s="205"/>
      <c r="E288" s="205"/>
      <c r="F288" s="205">
        <v>51247</v>
      </c>
      <c r="G288" s="215">
        <v>45678</v>
      </c>
      <c r="H288" s="215">
        <v>45678</v>
      </c>
      <c r="I288" s="216">
        <v>532</v>
      </c>
      <c r="J288" s="205" t="s">
        <v>17</v>
      </c>
      <c r="K288" s="205"/>
      <c r="L288" s="205" t="s">
        <v>18</v>
      </c>
      <c r="M288" s="215">
        <v>45678</v>
      </c>
      <c r="N288" s="218">
        <f>Tabela13891011121314[[#This Row],[Valor recibo]]</f>
        <v>532</v>
      </c>
      <c r="O288" s="216"/>
      <c r="P288" s="205" t="s">
        <v>70</v>
      </c>
    </row>
    <row r="289" spans="1:16" ht="15.75">
      <c r="A289" s="205">
        <v>19355228</v>
      </c>
      <c r="B289" s="215"/>
      <c r="C289" s="205"/>
      <c r="D289" s="205"/>
      <c r="E289" s="205"/>
      <c r="F289" s="205" t="s">
        <v>212</v>
      </c>
      <c r="G289" s="215">
        <v>45678</v>
      </c>
      <c r="H289" s="215">
        <v>45678</v>
      </c>
      <c r="I289" s="216">
        <v>420</v>
      </c>
      <c r="J289" s="205" t="s">
        <v>17</v>
      </c>
      <c r="K289" s="205"/>
      <c r="L289" s="205" t="s">
        <v>18</v>
      </c>
      <c r="M289" s="215">
        <v>45678</v>
      </c>
      <c r="N289" s="218">
        <f>Tabela13891011121314[[#This Row],[Valor recibo]]</f>
        <v>420</v>
      </c>
      <c r="O289" s="216"/>
      <c r="P289" s="205" t="s">
        <v>70</v>
      </c>
    </row>
    <row r="290" spans="1:16" ht="15.75">
      <c r="A290" s="205">
        <v>19343288</v>
      </c>
      <c r="B290" s="215"/>
      <c r="C290" s="205"/>
      <c r="D290" s="205"/>
      <c r="E290" s="205"/>
      <c r="F290" s="205">
        <v>51284</v>
      </c>
      <c r="G290" s="215">
        <v>45678</v>
      </c>
      <c r="H290" s="215">
        <v>45678</v>
      </c>
      <c r="I290" s="216">
        <v>532</v>
      </c>
      <c r="J290" s="205" t="s">
        <v>17</v>
      </c>
      <c r="K290" s="205"/>
      <c r="L290" s="205" t="s">
        <v>18</v>
      </c>
      <c r="M290" s="215">
        <v>45678</v>
      </c>
      <c r="N290" s="218">
        <f>Tabela13891011121314[[#This Row],[Valor recibo]]</f>
        <v>532</v>
      </c>
      <c r="O290" s="216"/>
      <c r="P290" s="219" t="s">
        <v>81</v>
      </c>
    </row>
    <row r="291" spans="1:16" ht="15.75">
      <c r="A291" s="205">
        <v>19306672</v>
      </c>
      <c r="B291" s="215"/>
      <c r="C291" s="205"/>
      <c r="D291" s="205"/>
      <c r="E291" s="205"/>
      <c r="F291" s="205">
        <v>51285</v>
      </c>
      <c r="G291" s="215">
        <v>45678</v>
      </c>
      <c r="H291" s="215">
        <v>45678</v>
      </c>
      <c r="I291" s="216">
        <v>0</v>
      </c>
      <c r="J291" s="205" t="s">
        <v>17</v>
      </c>
      <c r="K291" s="205"/>
      <c r="L291" s="205"/>
      <c r="M291" s="215">
        <v>45678</v>
      </c>
      <c r="N291" s="218">
        <f>Tabela13891011121314[[#This Row],[Valor recibo]]</f>
        <v>0</v>
      </c>
      <c r="O291" s="216"/>
      <c r="P291" s="205" t="s">
        <v>70</v>
      </c>
    </row>
    <row r="292" spans="1:16" ht="15.75">
      <c r="A292" s="205">
        <v>19306673</v>
      </c>
      <c r="B292" s="215"/>
      <c r="C292" s="205"/>
      <c r="D292" s="205"/>
      <c r="E292" s="205"/>
      <c r="F292" s="205">
        <v>51270</v>
      </c>
      <c r="G292" s="215">
        <v>45678</v>
      </c>
      <c r="H292" s="215">
        <v>45678</v>
      </c>
      <c r="I292" s="216">
        <v>0</v>
      </c>
      <c r="J292" s="205" t="s">
        <v>17</v>
      </c>
      <c r="K292" s="205"/>
      <c r="L292" s="205"/>
      <c r="M292" s="215">
        <v>45678</v>
      </c>
      <c r="N292" s="218">
        <f>Tabela13891011121314[[#This Row],[Valor recibo]]</f>
        <v>0</v>
      </c>
      <c r="O292" s="216"/>
      <c r="P292" s="205" t="s">
        <v>70</v>
      </c>
    </row>
    <row r="293" spans="1:16" ht="15.75">
      <c r="A293" s="205">
        <v>19348824</v>
      </c>
      <c r="B293" s="215"/>
      <c r="C293" s="205"/>
      <c r="D293" s="205"/>
      <c r="E293" s="205"/>
      <c r="F293" s="205" t="s">
        <v>213</v>
      </c>
      <c r="G293" s="215">
        <v>45678</v>
      </c>
      <c r="H293" s="215">
        <v>45678</v>
      </c>
      <c r="I293" s="216">
        <v>0</v>
      </c>
      <c r="J293" s="205" t="s">
        <v>17</v>
      </c>
      <c r="K293" s="205"/>
      <c r="L293" s="205"/>
      <c r="M293" s="215">
        <v>45678</v>
      </c>
      <c r="N293" s="218">
        <f>Tabela13891011121314[[#This Row],[Valor recibo]]</f>
        <v>0</v>
      </c>
      <c r="O293" s="216"/>
      <c r="P293" s="205" t="s">
        <v>70</v>
      </c>
    </row>
    <row r="294" spans="1:16" ht="15.75">
      <c r="A294" s="205">
        <v>19343289</v>
      </c>
      <c r="B294" s="215"/>
      <c r="C294" s="205"/>
      <c r="D294" s="205"/>
      <c r="E294" s="205"/>
      <c r="F294" s="205">
        <v>51281</v>
      </c>
      <c r="G294" s="215">
        <v>45678</v>
      </c>
      <c r="H294" s="215">
        <v>45678</v>
      </c>
      <c r="I294" s="216">
        <v>532</v>
      </c>
      <c r="J294" s="205" t="s">
        <v>17</v>
      </c>
      <c r="K294" s="205"/>
      <c r="L294" s="205" t="s">
        <v>18</v>
      </c>
      <c r="M294" s="215">
        <v>45678</v>
      </c>
      <c r="N294" s="218">
        <f>Tabela13891011121314[[#This Row],[Valor recibo]]</f>
        <v>532</v>
      </c>
      <c r="O294" s="216"/>
      <c r="P294" s="205" t="s">
        <v>70</v>
      </c>
    </row>
    <row r="295" spans="1:16" ht="15.75">
      <c r="A295" s="205">
        <v>19363521</v>
      </c>
      <c r="B295" s="215"/>
      <c r="C295" s="205"/>
      <c r="D295" s="205"/>
      <c r="E295" s="205"/>
      <c r="F295" s="205" t="s">
        <v>214</v>
      </c>
      <c r="G295" s="215">
        <v>45678</v>
      </c>
      <c r="H295" s="215">
        <v>45678</v>
      </c>
      <c r="I295" s="216">
        <v>921</v>
      </c>
      <c r="J295" s="205" t="s">
        <v>17</v>
      </c>
      <c r="K295" s="205"/>
      <c r="L295" s="205" t="s">
        <v>18</v>
      </c>
      <c r="M295" s="215">
        <v>45678</v>
      </c>
      <c r="N295" s="218">
        <f>Tabela13891011121314[[#This Row],[Valor recibo]]</f>
        <v>921</v>
      </c>
      <c r="O295" s="216"/>
      <c r="P295" s="205" t="s">
        <v>70</v>
      </c>
    </row>
    <row r="296" spans="1:16" ht="15.75">
      <c r="A296" s="205">
        <v>19360861</v>
      </c>
      <c r="B296" s="215"/>
      <c r="C296" s="205"/>
      <c r="D296" s="205"/>
      <c r="E296" s="205"/>
      <c r="F296" s="205">
        <v>52362</v>
      </c>
      <c r="G296" s="215">
        <v>45679</v>
      </c>
      <c r="H296" s="215">
        <v>45679</v>
      </c>
      <c r="I296" s="216">
        <v>0</v>
      </c>
      <c r="J296" s="205"/>
      <c r="K296" s="205"/>
      <c r="L296" s="205"/>
      <c r="M296" s="215">
        <v>45679</v>
      </c>
      <c r="N296" s="218">
        <f>Tabela13891011121314[[#This Row],[Valor recibo]]</f>
        <v>0</v>
      </c>
      <c r="O296" s="216"/>
      <c r="P296" s="205" t="s">
        <v>70</v>
      </c>
    </row>
    <row r="297" spans="1:16" ht="15.75">
      <c r="A297" s="205">
        <v>19366873</v>
      </c>
      <c r="B297" s="215"/>
      <c r="C297" s="205"/>
      <c r="D297" s="205"/>
      <c r="E297" s="205"/>
      <c r="F297" s="205" t="s">
        <v>215</v>
      </c>
      <c r="G297" s="215">
        <v>45679</v>
      </c>
      <c r="H297" s="215">
        <v>45679</v>
      </c>
      <c r="I297" s="216">
        <v>476</v>
      </c>
      <c r="J297" s="205"/>
      <c r="K297" s="205"/>
      <c r="L297" s="205" t="s">
        <v>18</v>
      </c>
      <c r="M297" s="215">
        <v>45679</v>
      </c>
      <c r="N297" s="218">
        <f>Tabela13891011121314[[#This Row],[Valor recibo]]</f>
        <v>476</v>
      </c>
      <c r="O297" s="216"/>
      <c r="P297" s="205" t="s">
        <v>70</v>
      </c>
    </row>
    <row r="298" spans="1:16" ht="15.75">
      <c r="A298" s="205">
        <v>19312044</v>
      </c>
      <c r="B298" s="215"/>
      <c r="C298" s="205"/>
      <c r="D298" s="205"/>
      <c r="E298" s="205"/>
      <c r="F298" s="205" t="s">
        <v>216</v>
      </c>
      <c r="G298" s="215">
        <v>45673</v>
      </c>
      <c r="H298" s="215">
        <v>45673</v>
      </c>
      <c r="I298" s="216">
        <v>238</v>
      </c>
      <c r="J298" s="205"/>
      <c r="K298" s="205"/>
      <c r="L298" s="205" t="s">
        <v>18</v>
      </c>
      <c r="M298" s="215">
        <v>45679</v>
      </c>
      <c r="N298" s="218">
        <f>Tabela13891011121314[[#This Row],[Valor recibo]]</f>
        <v>238</v>
      </c>
      <c r="O298" s="216"/>
      <c r="P298" s="205" t="s">
        <v>70</v>
      </c>
    </row>
    <row r="299" spans="1:16" ht="15.75">
      <c r="A299" s="205">
        <v>19343305</v>
      </c>
      <c r="B299" s="215"/>
      <c r="C299" s="205"/>
      <c r="D299" s="205"/>
      <c r="E299" s="205"/>
      <c r="F299" s="205">
        <v>50977</v>
      </c>
      <c r="G299" s="215">
        <v>45675</v>
      </c>
      <c r="H299" s="215">
        <v>45675</v>
      </c>
      <c r="I299" s="216">
        <v>238</v>
      </c>
      <c r="J299" s="205"/>
      <c r="K299" s="205"/>
      <c r="L299" s="205" t="s">
        <v>18</v>
      </c>
      <c r="M299" s="215">
        <v>45679</v>
      </c>
      <c r="N299" s="218">
        <f>Tabela13891011121314[[#This Row],[Valor recibo]]</f>
        <v>238</v>
      </c>
      <c r="O299" s="216"/>
      <c r="P299" s="205" t="s">
        <v>70</v>
      </c>
    </row>
    <row r="300" spans="1:16" ht="15.75">
      <c r="A300" s="205">
        <v>19342471</v>
      </c>
      <c r="B300" s="215"/>
      <c r="C300" s="205"/>
      <c r="D300" s="205"/>
      <c r="E300" s="205"/>
      <c r="F300" s="205">
        <v>51260</v>
      </c>
      <c r="G300" s="215">
        <v>45678</v>
      </c>
      <c r="H300" s="215">
        <v>45678</v>
      </c>
      <c r="I300" s="216">
        <v>308</v>
      </c>
      <c r="J300" s="205"/>
      <c r="K300" s="205"/>
      <c r="L300" s="205" t="s">
        <v>18</v>
      </c>
      <c r="M300" s="215">
        <v>45679</v>
      </c>
      <c r="N300" s="218">
        <f>Tabela13891011121314[[#This Row],[Valor recibo]]</f>
        <v>308</v>
      </c>
      <c r="O300" s="216"/>
      <c r="P300" s="205" t="s">
        <v>70</v>
      </c>
    </row>
    <row r="301" spans="1:16" ht="15.75">
      <c r="A301" s="205">
        <v>19366870</v>
      </c>
      <c r="B301" s="215"/>
      <c r="C301" s="205"/>
      <c r="D301" s="205"/>
      <c r="E301" s="205"/>
      <c r="F301" s="205" t="s">
        <v>217</v>
      </c>
      <c r="G301" s="215">
        <v>45679</v>
      </c>
      <c r="H301" s="215">
        <v>45679</v>
      </c>
      <c r="I301" s="216">
        <v>476</v>
      </c>
      <c r="J301" s="205"/>
      <c r="K301" s="205"/>
      <c r="L301" s="205" t="s">
        <v>18</v>
      </c>
      <c r="M301" s="215">
        <v>45679</v>
      </c>
      <c r="N301" s="218">
        <f>Tabela13891011121314[[#This Row],[Valor recibo]]</f>
        <v>476</v>
      </c>
      <c r="O301" s="216"/>
      <c r="P301" s="205" t="s">
        <v>70</v>
      </c>
    </row>
    <row r="302" spans="1:16" ht="15.75">
      <c r="A302" s="205">
        <v>19356836</v>
      </c>
      <c r="B302" s="215"/>
      <c r="C302" s="205"/>
      <c r="D302" s="205"/>
      <c r="E302" s="205"/>
      <c r="F302" s="205">
        <v>51258</v>
      </c>
      <c r="G302" s="215">
        <v>45678</v>
      </c>
      <c r="H302" s="215">
        <v>45678</v>
      </c>
      <c r="I302" s="216">
        <v>476</v>
      </c>
      <c r="J302" s="205"/>
      <c r="K302" s="205"/>
      <c r="L302" s="205" t="s">
        <v>18</v>
      </c>
      <c r="M302" s="215">
        <v>45679</v>
      </c>
      <c r="N302" s="218">
        <f>Tabela13891011121314[[#This Row],[Valor recibo]]</f>
        <v>476</v>
      </c>
      <c r="O302" s="216"/>
      <c r="P302" s="205" t="s">
        <v>70</v>
      </c>
    </row>
    <row r="303" spans="1:16" ht="15.75">
      <c r="A303" s="205">
        <v>19363518</v>
      </c>
      <c r="B303" s="215"/>
      <c r="C303" s="205"/>
      <c r="D303" s="205"/>
      <c r="E303" s="205"/>
      <c r="F303" s="205" t="s">
        <v>218</v>
      </c>
      <c r="G303" s="215">
        <v>45678</v>
      </c>
      <c r="H303" s="215">
        <v>45678</v>
      </c>
      <c r="I303" s="216">
        <v>1680</v>
      </c>
      <c r="J303" s="205"/>
      <c r="K303" s="205"/>
      <c r="L303" s="205" t="s">
        <v>18</v>
      </c>
      <c r="M303" s="215">
        <v>45679</v>
      </c>
      <c r="N303" s="218">
        <f>Tabela13891011121314[[#This Row],[Valor recibo]]</f>
        <v>1680</v>
      </c>
      <c r="O303" s="216"/>
      <c r="P303" s="205" t="s">
        <v>70</v>
      </c>
    </row>
    <row r="304" spans="1:16" ht="15.75">
      <c r="A304" s="205">
        <v>19355960</v>
      </c>
      <c r="B304" s="215"/>
      <c r="C304" s="205"/>
      <c r="D304" s="205"/>
      <c r="E304" s="205"/>
      <c r="F304" s="205">
        <v>51261</v>
      </c>
      <c r="G304" s="215">
        <v>45678</v>
      </c>
      <c r="H304" s="215">
        <v>45678</v>
      </c>
      <c r="I304" s="216">
        <v>238</v>
      </c>
      <c r="J304" s="205"/>
      <c r="K304" s="205"/>
      <c r="L304" s="205" t="s">
        <v>18</v>
      </c>
      <c r="M304" s="215">
        <v>45679</v>
      </c>
      <c r="N304" s="218">
        <f>Tabela13891011121314[[#This Row],[Valor recibo]]</f>
        <v>238</v>
      </c>
      <c r="O304" s="216"/>
      <c r="P304" s="205" t="s">
        <v>70</v>
      </c>
    </row>
    <row r="305" spans="1:16" ht="15.75">
      <c r="A305" s="205">
        <v>19362442</v>
      </c>
      <c r="B305" s="215"/>
      <c r="C305" s="205"/>
      <c r="D305" s="205"/>
      <c r="E305" s="205"/>
      <c r="F305" s="205" t="s">
        <v>219</v>
      </c>
      <c r="G305" s="215">
        <v>45678</v>
      </c>
      <c r="H305" s="215">
        <v>45678</v>
      </c>
      <c r="I305" s="216">
        <v>1103</v>
      </c>
      <c r="J305" s="205"/>
      <c r="K305" s="205"/>
      <c r="L305" s="205" t="s">
        <v>18</v>
      </c>
      <c r="M305" s="215">
        <v>45679</v>
      </c>
      <c r="N305" s="218">
        <f>Tabela13891011121314[[#This Row],[Valor recibo]]</f>
        <v>1103</v>
      </c>
      <c r="O305" s="216"/>
      <c r="P305" s="205" t="s">
        <v>70</v>
      </c>
    </row>
    <row r="306" spans="1:16" ht="15.75">
      <c r="A306" s="205">
        <v>19356825</v>
      </c>
      <c r="B306" s="215"/>
      <c r="C306" s="205"/>
      <c r="D306" s="205"/>
      <c r="E306" s="205"/>
      <c r="F306" s="205" t="s">
        <v>220</v>
      </c>
      <c r="G306" s="215">
        <v>45678</v>
      </c>
      <c r="H306" s="215">
        <v>45678</v>
      </c>
      <c r="I306" s="216">
        <v>700</v>
      </c>
      <c r="J306" s="205"/>
      <c r="K306" s="205"/>
      <c r="L306" s="205" t="s">
        <v>18</v>
      </c>
      <c r="M306" s="215">
        <v>45679</v>
      </c>
      <c r="N306" s="218">
        <f>Tabela13891011121314[[#This Row],[Valor recibo]]</f>
        <v>700</v>
      </c>
      <c r="O306" s="216"/>
      <c r="P306" s="205" t="s">
        <v>70</v>
      </c>
    </row>
    <row r="307" spans="1:16" ht="15.75">
      <c r="A307" s="205">
        <v>19357823</v>
      </c>
      <c r="B307" s="215"/>
      <c r="C307" s="205"/>
      <c r="D307" s="205"/>
      <c r="E307" s="205"/>
      <c r="F307" s="205" t="s">
        <v>221</v>
      </c>
      <c r="G307" s="215">
        <v>45678</v>
      </c>
      <c r="H307" s="215">
        <v>45678</v>
      </c>
      <c r="I307" s="216">
        <v>476</v>
      </c>
      <c r="J307" s="205"/>
      <c r="K307" s="205"/>
      <c r="L307" s="205" t="s">
        <v>18</v>
      </c>
      <c r="M307" s="215">
        <v>45679</v>
      </c>
      <c r="N307" s="218">
        <f>Tabela13891011121314[[#This Row],[Valor recibo]]</f>
        <v>476</v>
      </c>
      <c r="O307" s="216"/>
      <c r="P307" s="205" t="s">
        <v>70</v>
      </c>
    </row>
    <row r="308" spans="1:16" ht="15.75">
      <c r="A308" s="205">
        <v>19355962</v>
      </c>
      <c r="B308" s="215"/>
      <c r="C308" s="205"/>
      <c r="D308" s="205"/>
      <c r="E308" s="205"/>
      <c r="F308" s="205">
        <v>51199</v>
      </c>
      <c r="G308" s="215">
        <v>45678</v>
      </c>
      <c r="H308" s="215">
        <v>45678</v>
      </c>
      <c r="I308" s="216">
        <v>476</v>
      </c>
      <c r="J308" s="205"/>
      <c r="K308" s="205"/>
      <c r="L308" s="205" t="s">
        <v>18</v>
      </c>
      <c r="M308" s="215">
        <v>45679</v>
      </c>
      <c r="N308" s="218">
        <f>Tabela13891011121314[[#This Row],[Valor recibo]]</f>
        <v>476</v>
      </c>
      <c r="O308" s="216"/>
      <c r="P308" s="205" t="s">
        <v>70</v>
      </c>
    </row>
    <row r="309" spans="1:16" ht="15.75">
      <c r="A309" s="205">
        <v>19356934</v>
      </c>
      <c r="B309" s="215"/>
      <c r="C309" s="205"/>
      <c r="D309" s="205"/>
      <c r="E309" s="205"/>
      <c r="F309" s="205" t="s">
        <v>222</v>
      </c>
      <c r="G309" s="215">
        <v>45678</v>
      </c>
      <c r="H309" s="215">
        <v>45678</v>
      </c>
      <c r="I309" s="216">
        <v>700</v>
      </c>
      <c r="J309" s="205"/>
      <c r="K309" s="205"/>
      <c r="L309" s="205" t="s">
        <v>18</v>
      </c>
      <c r="M309" s="215">
        <v>45679</v>
      </c>
      <c r="N309" s="218">
        <f>Tabela13891011121314[[#This Row],[Valor recibo]]</f>
        <v>700</v>
      </c>
      <c r="O309" s="216"/>
      <c r="P309" s="205" t="s">
        <v>70</v>
      </c>
    </row>
    <row r="310" spans="1:16" ht="15.75">
      <c r="A310" s="205">
        <v>19312059</v>
      </c>
      <c r="B310" s="215"/>
      <c r="C310" s="205"/>
      <c r="D310" s="205"/>
      <c r="E310" s="205"/>
      <c r="F310" s="205" t="s">
        <v>223</v>
      </c>
      <c r="G310" s="215">
        <v>45678</v>
      </c>
      <c r="H310" s="215">
        <v>45678</v>
      </c>
      <c r="I310" s="216">
        <v>238</v>
      </c>
      <c r="J310" s="205"/>
      <c r="K310" s="205"/>
      <c r="L310" s="205" t="s">
        <v>18</v>
      </c>
      <c r="M310" s="215">
        <v>45679</v>
      </c>
      <c r="N310" s="218">
        <f>Tabela13891011121314[[#This Row],[Valor recibo]]</f>
        <v>238</v>
      </c>
      <c r="O310" s="216"/>
      <c r="P310" s="205" t="s">
        <v>70</v>
      </c>
    </row>
    <row r="311" spans="1:16" ht="15.75">
      <c r="A311" s="205">
        <v>19350739</v>
      </c>
      <c r="B311" s="215"/>
      <c r="C311" s="205"/>
      <c r="D311" s="205"/>
      <c r="E311" s="205"/>
      <c r="F311" s="205" t="s">
        <v>224</v>
      </c>
      <c r="G311" s="215">
        <v>45675</v>
      </c>
      <c r="H311" s="215">
        <v>45675</v>
      </c>
      <c r="I311" s="216">
        <v>476</v>
      </c>
      <c r="J311" s="205"/>
      <c r="K311" s="205"/>
      <c r="L311" s="205" t="s">
        <v>18</v>
      </c>
      <c r="M311" s="215">
        <v>45679</v>
      </c>
      <c r="N311" s="218">
        <f>Tabela13891011121314[[#This Row],[Valor recibo]]</f>
        <v>476</v>
      </c>
      <c r="O311" s="216"/>
      <c r="P311" s="205" t="s">
        <v>70</v>
      </c>
    </row>
    <row r="312" spans="1:16" ht="15.75">
      <c r="A312" s="205">
        <v>19362082</v>
      </c>
      <c r="B312" s="215"/>
      <c r="C312" s="205"/>
      <c r="D312" s="205"/>
      <c r="E312" s="205"/>
      <c r="F312" s="205" t="s">
        <v>225</v>
      </c>
      <c r="G312" s="215">
        <v>45677</v>
      </c>
      <c r="H312" s="215">
        <v>45677</v>
      </c>
      <c r="I312" s="216">
        <v>476</v>
      </c>
      <c r="J312" s="205"/>
      <c r="K312" s="205"/>
      <c r="L312" s="205" t="s">
        <v>18</v>
      </c>
      <c r="M312" s="215">
        <v>45679</v>
      </c>
      <c r="N312" s="218">
        <f>Tabela13891011121314[[#This Row],[Valor recibo]]</f>
        <v>476</v>
      </c>
      <c r="O312" s="216"/>
      <c r="P312" s="205" t="s">
        <v>70</v>
      </c>
    </row>
    <row r="313" spans="1:16" ht="15.75">
      <c r="A313" s="205">
        <v>19380546</v>
      </c>
      <c r="B313" s="215"/>
      <c r="C313" s="205"/>
      <c r="D313" s="205"/>
      <c r="E313" s="205"/>
      <c r="F313" s="205" t="s">
        <v>226</v>
      </c>
      <c r="G313" s="215">
        <v>45679</v>
      </c>
      <c r="H313" s="215">
        <v>45679</v>
      </c>
      <c r="I313" s="216">
        <v>476</v>
      </c>
      <c r="J313" s="205"/>
      <c r="K313" s="205"/>
      <c r="L313" s="205" t="s">
        <v>18</v>
      </c>
      <c r="M313" s="215">
        <v>45679</v>
      </c>
      <c r="N313" s="218">
        <f>Tabela13891011121314[[#This Row],[Valor recibo]]</f>
        <v>476</v>
      </c>
      <c r="O313" s="216"/>
      <c r="P313" s="205" t="s">
        <v>70</v>
      </c>
    </row>
    <row r="314" spans="1:16" ht="15.75">
      <c r="A314" s="205">
        <v>19366869</v>
      </c>
      <c r="B314" s="215"/>
      <c r="C314" s="205"/>
      <c r="D314" s="205"/>
      <c r="E314" s="205"/>
      <c r="F314" s="205" t="s">
        <v>227</v>
      </c>
      <c r="G314" s="215">
        <v>45679</v>
      </c>
      <c r="H314" s="215">
        <v>45679</v>
      </c>
      <c r="I314" s="216">
        <v>476</v>
      </c>
      <c r="J314" s="205"/>
      <c r="K314" s="205"/>
      <c r="L314" s="205" t="s">
        <v>18</v>
      </c>
      <c r="M314" s="215">
        <v>45679</v>
      </c>
      <c r="N314" s="218">
        <f>Tabela13891011121314[[#This Row],[Valor recibo]]</f>
        <v>476</v>
      </c>
      <c r="O314" s="216"/>
      <c r="P314" s="205" t="s">
        <v>70</v>
      </c>
    </row>
    <row r="315" spans="1:16" ht="15.75">
      <c r="A315" s="205">
        <v>19381110</v>
      </c>
      <c r="B315" s="215"/>
      <c r="C315" s="205"/>
      <c r="D315" s="205"/>
      <c r="E315" s="205"/>
      <c r="F315" s="205" t="s">
        <v>228</v>
      </c>
      <c r="G315" s="215">
        <v>45679</v>
      </c>
      <c r="H315" s="215">
        <v>45679</v>
      </c>
      <c r="I315" s="216">
        <v>476</v>
      </c>
      <c r="J315" s="205"/>
      <c r="K315" s="205"/>
      <c r="L315" s="205" t="s">
        <v>18</v>
      </c>
      <c r="M315" s="215">
        <v>45679</v>
      </c>
      <c r="N315" s="218">
        <f>Tabela13891011121314[[#This Row],[Valor recibo]]</f>
        <v>476</v>
      </c>
      <c r="O315" s="216"/>
      <c r="P315" s="205" t="s">
        <v>70</v>
      </c>
    </row>
    <row r="316" spans="1:16" ht="15.75">
      <c r="A316" s="205">
        <v>19355827</v>
      </c>
      <c r="B316" s="215"/>
      <c r="C316" s="205"/>
      <c r="D316" s="205"/>
      <c r="E316" s="205"/>
      <c r="F316" s="205" t="s">
        <v>229</v>
      </c>
      <c r="G316" s="215">
        <v>45678</v>
      </c>
      <c r="H316" s="215">
        <v>45678</v>
      </c>
      <c r="I316" s="216">
        <v>210</v>
      </c>
      <c r="J316" s="205"/>
      <c r="K316" s="205"/>
      <c r="L316" s="205" t="s">
        <v>18</v>
      </c>
      <c r="M316" s="215">
        <v>45679</v>
      </c>
      <c r="N316" s="218">
        <f>Tabela13891011121314[[#This Row],[Valor recibo]]</f>
        <v>210</v>
      </c>
      <c r="O316" s="216"/>
      <c r="P316" s="205" t="s">
        <v>70</v>
      </c>
    </row>
    <row r="317" spans="1:16" ht="15.75">
      <c r="A317" s="205">
        <v>19363154</v>
      </c>
      <c r="B317" s="215"/>
      <c r="C317" s="205"/>
      <c r="D317" s="205"/>
      <c r="E317" s="205"/>
      <c r="F317" s="205">
        <v>51474</v>
      </c>
      <c r="G317" s="215">
        <v>45679</v>
      </c>
      <c r="H317" s="215">
        <v>45679</v>
      </c>
      <c r="I317" s="216">
        <v>476</v>
      </c>
      <c r="J317" s="205"/>
      <c r="K317" s="205"/>
      <c r="L317" s="205" t="s">
        <v>18</v>
      </c>
      <c r="M317" s="215">
        <v>45679</v>
      </c>
      <c r="N317" s="218">
        <f>Tabela13891011121314[[#This Row],[Valor recibo]]</f>
        <v>476</v>
      </c>
      <c r="O317" s="216"/>
      <c r="P317" s="205" t="s">
        <v>70</v>
      </c>
    </row>
    <row r="318" spans="1:16" ht="15.75">
      <c r="A318" s="205">
        <v>19381109</v>
      </c>
      <c r="B318" s="215"/>
      <c r="C318" s="205"/>
      <c r="D318" s="205"/>
      <c r="E318" s="205"/>
      <c r="F318" s="205" t="s">
        <v>230</v>
      </c>
      <c r="G318" s="215">
        <v>45679</v>
      </c>
      <c r="H318" s="215">
        <v>45679</v>
      </c>
      <c r="I318" s="216">
        <v>476</v>
      </c>
      <c r="J318" s="205"/>
      <c r="K318" s="205"/>
      <c r="L318" s="205" t="s">
        <v>18</v>
      </c>
      <c r="M318" s="215">
        <v>45679</v>
      </c>
      <c r="N318" s="218">
        <f>Tabela13891011121314[[#This Row],[Valor recibo]]</f>
        <v>476</v>
      </c>
      <c r="O318" s="216"/>
      <c r="P318" s="205" t="s">
        <v>70</v>
      </c>
    </row>
    <row r="319" spans="1:16" ht="15.75">
      <c r="A319" s="205">
        <v>19355961</v>
      </c>
      <c r="B319" s="215"/>
      <c r="C319" s="205"/>
      <c r="D319" s="205"/>
      <c r="E319" s="205"/>
      <c r="F319" s="205">
        <v>51223</v>
      </c>
      <c r="G319" s="215">
        <v>45678</v>
      </c>
      <c r="H319" s="215">
        <v>45678</v>
      </c>
      <c r="I319" s="216">
        <v>476</v>
      </c>
      <c r="J319" s="205"/>
      <c r="K319" s="205"/>
      <c r="L319" s="205" t="s">
        <v>18</v>
      </c>
      <c r="M319" s="215">
        <v>45679</v>
      </c>
      <c r="N319" s="218">
        <f>Tabela13891011121314[[#This Row],[Valor recibo]]</f>
        <v>476</v>
      </c>
      <c r="O319" s="216"/>
      <c r="P319" s="205" t="s">
        <v>70</v>
      </c>
    </row>
    <row r="320" spans="1:16" ht="15.75">
      <c r="A320" s="205">
        <v>19380071</v>
      </c>
      <c r="B320" s="215"/>
      <c r="C320" s="205"/>
      <c r="D320" s="205"/>
      <c r="E320" s="205"/>
      <c r="F320" s="205">
        <v>51511</v>
      </c>
      <c r="G320" s="215">
        <v>45680</v>
      </c>
      <c r="H320" s="215">
        <v>45680</v>
      </c>
      <c r="I320" s="216">
        <v>0</v>
      </c>
      <c r="J320" s="205"/>
      <c r="K320" s="205"/>
      <c r="L320" s="205"/>
      <c r="M320" s="215">
        <v>45680</v>
      </c>
      <c r="N320" s="218">
        <f>Tabela13891011121314[[#This Row],[Valor recibo]]</f>
        <v>0</v>
      </c>
      <c r="O320" s="216"/>
      <c r="P320" s="205" t="s">
        <v>70</v>
      </c>
    </row>
    <row r="321" spans="1:16" ht="15.75">
      <c r="A321" s="205">
        <v>19268934</v>
      </c>
      <c r="B321" s="215"/>
      <c r="C321" s="205"/>
      <c r="D321" s="205"/>
      <c r="E321" s="205"/>
      <c r="F321" s="205">
        <v>51209</v>
      </c>
      <c r="G321" s="215">
        <v>45678</v>
      </c>
      <c r="H321" s="215">
        <v>45678</v>
      </c>
      <c r="I321" s="216">
        <v>1805.6</v>
      </c>
      <c r="J321" s="205"/>
      <c r="K321" s="205"/>
      <c r="L321" s="205" t="s">
        <v>18</v>
      </c>
      <c r="M321" s="215">
        <v>45680</v>
      </c>
      <c r="N321" s="218">
        <f>Tabela13891011121314[[#This Row],[Valor recibo]]</f>
        <v>1805.6</v>
      </c>
      <c r="O321" s="216"/>
      <c r="P321" s="219" t="s">
        <v>81</v>
      </c>
    </row>
    <row r="322" spans="1:16" ht="15.75">
      <c r="A322" s="205">
        <v>19366871</v>
      </c>
      <c r="B322" s="215"/>
      <c r="C322" s="205"/>
      <c r="D322" s="205"/>
      <c r="E322" s="205"/>
      <c r="F322" s="205" t="s">
        <v>231</v>
      </c>
      <c r="G322" s="215">
        <v>45679</v>
      </c>
      <c r="H322" s="215">
        <v>45679</v>
      </c>
      <c r="I322" s="216">
        <v>476</v>
      </c>
      <c r="J322" s="205"/>
      <c r="K322" s="205"/>
      <c r="L322" s="205" t="s">
        <v>18</v>
      </c>
      <c r="M322" s="215">
        <v>45680</v>
      </c>
      <c r="N322" s="218">
        <f>Tabela13891011121314[[#This Row],[Valor recibo]]</f>
        <v>476</v>
      </c>
      <c r="O322" s="216"/>
      <c r="P322" s="219" t="s">
        <v>81</v>
      </c>
    </row>
    <row r="323" spans="1:16" ht="15.75">
      <c r="A323" s="205">
        <v>19343293</v>
      </c>
      <c r="B323" s="215"/>
      <c r="C323" s="205"/>
      <c r="D323" s="205"/>
      <c r="E323" s="205"/>
      <c r="F323" s="205">
        <v>51484</v>
      </c>
      <c r="G323" s="215">
        <v>45679</v>
      </c>
      <c r="H323" s="215">
        <v>45679</v>
      </c>
      <c r="I323" s="216">
        <v>532</v>
      </c>
      <c r="J323" s="205"/>
      <c r="K323" s="205"/>
      <c r="L323" s="205" t="s">
        <v>18</v>
      </c>
      <c r="M323" s="215">
        <v>45680</v>
      </c>
      <c r="N323" s="218">
        <f>Tabela13891011121314[[#This Row],[Valor recibo]]</f>
        <v>532</v>
      </c>
      <c r="O323" s="216"/>
      <c r="P323" s="205" t="s">
        <v>70</v>
      </c>
    </row>
    <row r="324" spans="1:16" ht="15.75">
      <c r="A324" s="205">
        <v>19360874</v>
      </c>
      <c r="B324" s="215"/>
      <c r="C324" s="205"/>
      <c r="D324" s="205"/>
      <c r="E324" s="205"/>
      <c r="F324" s="205">
        <v>51368</v>
      </c>
      <c r="G324" s="215">
        <v>45679</v>
      </c>
      <c r="H324" s="215">
        <v>45679</v>
      </c>
      <c r="I324" s="216">
        <v>238</v>
      </c>
      <c r="J324" s="205"/>
      <c r="K324" s="205"/>
      <c r="L324" s="205" t="s">
        <v>18</v>
      </c>
      <c r="M324" s="215">
        <v>45680</v>
      </c>
      <c r="N324" s="218">
        <f>Tabela13891011121314[[#This Row],[Valor recibo]]</f>
        <v>238</v>
      </c>
      <c r="O324" s="216"/>
      <c r="P324" s="205" t="s">
        <v>70</v>
      </c>
    </row>
    <row r="325" spans="1:16" ht="15.75">
      <c r="A325" s="205">
        <v>19367007</v>
      </c>
      <c r="B325" s="215"/>
      <c r="C325" s="205"/>
      <c r="D325" s="205"/>
      <c r="E325" s="205"/>
      <c r="F325" s="205" t="s">
        <v>232</v>
      </c>
      <c r="G325" s="215">
        <v>45679</v>
      </c>
      <c r="H325" s="215">
        <v>45679</v>
      </c>
      <c r="I325" s="216">
        <v>238</v>
      </c>
      <c r="J325" s="205"/>
      <c r="K325" s="205"/>
      <c r="L325" s="205" t="s">
        <v>18</v>
      </c>
      <c r="M325" s="215">
        <v>45680</v>
      </c>
      <c r="N325" s="218">
        <f>Tabela13891011121314[[#This Row],[Valor recibo]]</f>
        <v>238</v>
      </c>
      <c r="O325" s="216"/>
      <c r="P325" s="205" t="s">
        <v>70</v>
      </c>
    </row>
    <row r="326" spans="1:16" ht="15.75">
      <c r="A326" s="205">
        <v>19356897</v>
      </c>
      <c r="B326" s="215"/>
      <c r="C326" s="205"/>
      <c r="D326" s="205"/>
      <c r="E326" s="205"/>
      <c r="F326" s="205">
        <v>51430</v>
      </c>
      <c r="G326" s="215">
        <v>45679</v>
      </c>
      <c r="H326" s="215">
        <v>45679</v>
      </c>
      <c r="I326" s="216">
        <v>1560.5</v>
      </c>
      <c r="J326" s="205"/>
      <c r="K326" s="205"/>
      <c r="L326" s="205" t="s">
        <v>18</v>
      </c>
      <c r="M326" s="215">
        <v>45680</v>
      </c>
      <c r="N326" s="218">
        <f>Tabela13891011121314[[#This Row],[Valor recibo]]</f>
        <v>1560.5</v>
      </c>
      <c r="O326" s="216"/>
      <c r="P326" s="205" t="s">
        <v>70</v>
      </c>
    </row>
    <row r="327" spans="1:16" ht="15.75">
      <c r="A327" s="205">
        <v>19363519</v>
      </c>
      <c r="B327" s="215"/>
      <c r="C327" s="205"/>
      <c r="D327" s="205"/>
      <c r="E327" s="205"/>
      <c r="F327" s="205" t="s">
        <v>233</v>
      </c>
      <c r="G327" s="215">
        <v>45678</v>
      </c>
      <c r="H327" s="215">
        <v>45678</v>
      </c>
      <c r="I327" s="216">
        <v>592.65</v>
      </c>
      <c r="J327" s="205"/>
      <c r="K327" s="205"/>
      <c r="L327" s="205" t="s">
        <v>18</v>
      </c>
      <c r="M327" s="215">
        <v>45680</v>
      </c>
      <c r="N327" s="218">
        <f>Tabela13891011121314[[#This Row],[Valor recibo]]</f>
        <v>592.65</v>
      </c>
      <c r="O327" s="216"/>
      <c r="P327" s="205" t="s">
        <v>70</v>
      </c>
    </row>
    <row r="328" spans="1:16" ht="15.75">
      <c r="A328" s="205">
        <v>19362807</v>
      </c>
      <c r="B328" s="215"/>
      <c r="C328" s="205"/>
      <c r="D328" s="205"/>
      <c r="E328" s="205"/>
      <c r="F328" s="205">
        <v>51493</v>
      </c>
      <c r="G328" s="215">
        <v>45679</v>
      </c>
      <c r="H328" s="215">
        <v>45679</v>
      </c>
      <c r="I328" s="216">
        <v>0</v>
      </c>
      <c r="J328" s="205"/>
      <c r="K328" s="205"/>
      <c r="L328" s="205"/>
      <c r="M328" s="215">
        <v>45680</v>
      </c>
      <c r="N328" s="218">
        <f>Tabela13891011121314[[#This Row],[Valor recibo]]</f>
        <v>0</v>
      </c>
      <c r="O328" s="216"/>
      <c r="P328" s="205" t="s">
        <v>70</v>
      </c>
    </row>
    <row r="329" spans="1:16" ht="15.75">
      <c r="A329" s="205">
        <v>19381383</v>
      </c>
      <c r="B329" s="215"/>
      <c r="C329" s="205"/>
      <c r="D329" s="205"/>
      <c r="E329" s="205"/>
      <c r="F329" s="205" t="s">
        <v>234</v>
      </c>
      <c r="G329" s="215">
        <v>45679</v>
      </c>
      <c r="H329" s="215">
        <v>45679</v>
      </c>
      <c r="I329" s="216">
        <v>602.1</v>
      </c>
      <c r="J329" s="205"/>
      <c r="K329" s="205"/>
      <c r="L329" s="205" t="s">
        <v>18</v>
      </c>
      <c r="M329" s="215">
        <v>45680</v>
      </c>
      <c r="N329" s="218">
        <f>Tabela13891011121314[[#This Row],[Valor recibo]]</f>
        <v>602.1</v>
      </c>
      <c r="O329" s="216"/>
      <c r="P329" s="205" t="s">
        <v>70</v>
      </c>
    </row>
    <row r="330" spans="1:16" ht="15.75">
      <c r="A330" s="205">
        <v>19385253</v>
      </c>
      <c r="B330" s="215"/>
      <c r="C330" s="205"/>
      <c r="D330" s="205"/>
      <c r="E330" s="205"/>
      <c r="F330" s="205" t="s">
        <v>235</v>
      </c>
      <c r="G330" s="215">
        <v>45680</v>
      </c>
      <c r="H330" s="215">
        <v>45680</v>
      </c>
      <c r="I330" s="216">
        <v>476</v>
      </c>
      <c r="J330" s="205"/>
      <c r="K330" s="205"/>
      <c r="L330" s="205" t="s">
        <v>18</v>
      </c>
      <c r="M330" s="215">
        <v>45680</v>
      </c>
      <c r="N330" s="218">
        <f>Tabela13891011121314[[#This Row],[Valor recibo]]</f>
        <v>476</v>
      </c>
      <c r="O330" s="216"/>
      <c r="P330" s="205" t="s">
        <v>70</v>
      </c>
    </row>
    <row r="331" spans="1:16" ht="15.75">
      <c r="A331" s="205">
        <v>19387827</v>
      </c>
      <c r="B331" s="215"/>
      <c r="C331" s="205"/>
      <c r="D331" s="205"/>
      <c r="E331" s="205"/>
      <c r="F331" s="205" t="s">
        <v>236</v>
      </c>
      <c r="G331" s="215">
        <v>45680</v>
      </c>
      <c r="H331" s="215">
        <v>45680</v>
      </c>
      <c r="I331" s="216">
        <v>476</v>
      </c>
      <c r="J331" s="205"/>
      <c r="K331" s="205"/>
      <c r="L331" s="205" t="s">
        <v>18</v>
      </c>
      <c r="M331" s="215">
        <v>45680</v>
      </c>
      <c r="N331" s="218">
        <f>Tabela13891011121314[[#This Row],[Valor recibo]]</f>
        <v>476</v>
      </c>
      <c r="O331" s="216"/>
      <c r="P331" s="205" t="s">
        <v>70</v>
      </c>
    </row>
    <row r="332" spans="1:16" ht="15.75">
      <c r="A332" s="205">
        <v>19223339</v>
      </c>
      <c r="B332" s="215"/>
      <c r="C332" s="205"/>
      <c r="D332" s="205"/>
      <c r="E332" s="205"/>
      <c r="F332" s="205">
        <v>48248</v>
      </c>
      <c r="G332" s="215">
        <v>45680</v>
      </c>
      <c r="H332" s="215">
        <v>45680</v>
      </c>
      <c r="I332" s="216">
        <v>476</v>
      </c>
      <c r="J332" s="205"/>
      <c r="K332" s="205"/>
      <c r="L332" s="205" t="s">
        <v>18</v>
      </c>
      <c r="M332" s="215">
        <v>45680</v>
      </c>
      <c r="N332" s="218">
        <f>Tabela13891011121314[[#This Row],[Valor recibo]]</f>
        <v>476</v>
      </c>
      <c r="O332" s="216"/>
      <c r="P332" s="205" t="s">
        <v>70</v>
      </c>
    </row>
    <row r="333" spans="1:16" ht="15.75">
      <c r="A333" s="205">
        <v>19381116</v>
      </c>
      <c r="B333" s="215"/>
      <c r="C333" s="205"/>
      <c r="D333" s="205"/>
      <c r="E333" s="205"/>
      <c r="F333" s="205" t="s">
        <v>237</v>
      </c>
      <c r="G333" s="215">
        <v>45680</v>
      </c>
      <c r="H333" s="215">
        <v>45680</v>
      </c>
      <c r="I333" s="216">
        <v>476</v>
      </c>
      <c r="J333" s="205"/>
      <c r="K333" s="205"/>
      <c r="L333" s="205" t="s">
        <v>18</v>
      </c>
      <c r="M333" s="215">
        <v>45680</v>
      </c>
      <c r="N333" s="218">
        <f>Tabela13891011121314[[#This Row],[Valor recibo]]</f>
        <v>476</v>
      </c>
      <c r="O333" s="216"/>
      <c r="P333" s="205" t="s">
        <v>70</v>
      </c>
    </row>
    <row r="334" spans="1:16" ht="15.75">
      <c r="A334" s="205">
        <v>19381121</v>
      </c>
      <c r="B334" s="215"/>
      <c r="C334" s="205"/>
      <c r="D334" s="205"/>
      <c r="E334" s="205"/>
      <c r="F334" s="205" t="s">
        <v>238</v>
      </c>
      <c r="G334" s="215">
        <v>45680</v>
      </c>
      <c r="H334" s="215">
        <v>45680</v>
      </c>
      <c r="I334" s="216">
        <v>476</v>
      </c>
      <c r="J334" s="205"/>
      <c r="K334" s="205"/>
      <c r="L334" s="205" t="s">
        <v>18</v>
      </c>
      <c r="M334" s="215">
        <v>45680</v>
      </c>
      <c r="N334" s="218">
        <f>Tabela13891011121314[[#This Row],[Valor recibo]]</f>
        <v>476</v>
      </c>
      <c r="O334" s="216"/>
      <c r="P334" s="205" t="s">
        <v>70</v>
      </c>
    </row>
    <row r="335" spans="1:16" ht="15.75">
      <c r="A335" s="205">
        <v>19385740</v>
      </c>
      <c r="B335" s="215"/>
      <c r="C335" s="205"/>
      <c r="D335" s="205"/>
      <c r="E335" s="205"/>
      <c r="F335" s="205" t="s">
        <v>239</v>
      </c>
      <c r="G335" s="215">
        <v>45680</v>
      </c>
      <c r="H335" s="215">
        <v>45680</v>
      </c>
      <c r="I335" s="216">
        <v>476</v>
      </c>
      <c r="J335" s="205"/>
      <c r="K335" s="205"/>
      <c r="L335" s="205" t="s">
        <v>18</v>
      </c>
      <c r="M335" s="215">
        <v>45680</v>
      </c>
      <c r="N335" s="218">
        <f>Tabela13891011121314[[#This Row],[Valor recibo]]</f>
        <v>476</v>
      </c>
      <c r="O335" s="216"/>
      <c r="P335" s="205" t="s">
        <v>70</v>
      </c>
    </row>
    <row r="336" spans="1:16" ht="15.75">
      <c r="A336" s="205">
        <v>19387771</v>
      </c>
      <c r="B336" s="215"/>
      <c r="C336" s="205"/>
      <c r="D336" s="205"/>
      <c r="E336" s="205"/>
      <c r="F336" s="205">
        <v>24260</v>
      </c>
      <c r="G336" s="215">
        <v>45680</v>
      </c>
      <c r="H336" s="215">
        <v>45680</v>
      </c>
      <c r="I336" s="216">
        <v>516</v>
      </c>
      <c r="J336" s="205"/>
      <c r="K336" s="205"/>
      <c r="L336" s="205" t="s">
        <v>18</v>
      </c>
      <c r="M336" s="215">
        <v>45680</v>
      </c>
      <c r="N336" s="218">
        <f>Tabela13891011121314[[#This Row],[Valor recibo]]</f>
        <v>516</v>
      </c>
      <c r="O336" s="216"/>
      <c r="P336" s="205" t="s">
        <v>70</v>
      </c>
    </row>
    <row r="337" spans="1:16" ht="15.75">
      <c r="A337" s="205">
        <v>19385962</v>
      </c>
      <c r="B337" s="215"/>
      <c r="C337" s="205"/>
      <c r="D337" s="205"/>
      <c r="E337" s="205"/>
      <c r="F337" s="205" t="s">
        <v>240</v>
      </c>
      <c r="G337" s="215">
        <v>45680</v>
      </c>
      <c r="H337" s="215">
        <v>45680</v>
      </c>
      <c r="I337" s="216">
        <v>476</v>
      </c>
      <c r="J337" s="205"/>
      <c r="K337" s="205"/>
      <c r="L337" s="205" t="s">
        <v>18</v>
      </c>
      <c r="M337" s="215">
        <v>45680</v>
      </c>
      <c r="N337" s="218">
        <f>Tabela13891011121314[[#This Row],[Valor recibo]]</f>
        <v>476</v>
      </c>
      <c r="O337" s="216"/>
      <c r="P337" s="205" t="s">
        <v>70</v>
      </c>
    </row>
    <row r="338" spans="1:16" ht="15.75">
      <c r="A338" s="205">
        <v>19360865</v>
      </c>
      <c r="B338" s="215"/>
      <c r="C338" s="205"/>
      <c r="D338" s="205"/>
      <c r="E338" s="205"/>
      <c r="F338" s="205" t="s">
        <v>241</v>
      </c>
      <c r="G338" s="215">
        <v>45680</v>
      </c>
      <c r="H338" s="215">
        <v>45680</v>
      </c>
      <c r="I338" s="216">
        <v>476</v>
      </c>
      <c r="J338" s="205"/>
      <c r="K338" s="205"/>
      <c r="L338" s="205" t="s">
        <v>18</v>
      </c>
      <c r="M338" s="215">
        <v>45680</v>
      </c>
      <c r="N338" s="218">
        <f>Tabela13891011121314[[#This Row],[Valor recibo]]</f>
        <v>476</v>
      </c>
      <c r="O338" s="216"/>
      <c r="P338" s="205" t="s">
        <v>70</v>
      </c>
    </row>
    <row r="339" spans="1:16" ht="15.75">
      <c r="A339" s="205">
        <v>19385964</v>
      </c>
      <c r="B339" s="215"/>
      <c r="C339" s="205"/>
      <c r="D339" s="205"/>
      <c r="E339" s="205"/>
      <c r="F339" s="205" t="s">
        <v>242</v>
      </c>
      <c r="G339" s="215">
        <v>45680</v>
      </c>
      <c r="H339" s="215">
        <v>45680</v>
      </c>
      <c r="I339" s="216">
        <v>476</v>
      </c>
      <c r="J339" s="205"/>
      <c r="K339" s="205"/>
      <c r="L339" s="205" t="s">
        <v>18</v>
      </c>
      <c r="M339" s="215">
        <v>45680</v>
      </c>
      <c r="N339" s="218">
        <f>Tabela13891011121314[[#This Row],[Valor recibo]]</f>
        <v>476</v>
      </c>
      <c r="O339" s="216"/>
      <c r="P339" s="205" t="s">
        <v>70</v>
      </c>
    </row>
    <row r="340" spans="1:16" ht="15.75">
      <c r="A340" s="205">
        <v>19356900</v>
      </c>
      <c r="B340" s="215"/>
      <c r="C340" s="205"/>
      <c r="D340" s="205"/>
      <c r="E340" s="205"/>
      <c r="F340" s="205">
        <v>51528</v>
      </c>
      <c r="G340" s="215">
        <v>45680</v>
      </c>
      <c r="H340" s="215">
        <v>45680</v>
      </c>
      <c r="I340" s="216">
        <v>1531.46</v>
      </c>
      <c r="J340" s="205"/>
      <c r="K340" s="205"/>
      <c r="L340" s="205" t="s">
        <v>18</v>
      </c>
      <c r="M340" s="215">
        <v>45681</v>
      </c>
      <c r="N340" s="218">
        <f>Tabela13891011121314[[#This Row],[Valor recibo]]</f>
        <v>1531.46</v>
      </c>
      <c r="O340" s="216"/>
      <c r="P340" s="205" t="s">
        <v>70</v>
      </c>
    </row>
    <row r="341" spans="1:16" ht="15.75">
      <c r="A341" s="205">
        <v>19381119</v>
      </c>
      <c r="B341" s="215"/>
      <c r="C341" s="205"/>
      <c r="D341" s="205"/>
      <c r="E341" s="205"/>
      <c r="F341" s="205" t="s">
        <v>243</v>
      </c>
      <c r="G341" s="215">
        <v>45680</v>
      </c>
      <c r="H341" s="215">
        <v>45680</v>
      </c>
      <c r="I341" s="216">
        <v>476</v>
      </c>
      <c r="J341" s="205"/>
      <c r="K341" s="205"/>
      <c r="L341" s="205" t="s">
        <v>18</v>
      </c>
      <c r="M341" s="215">
        <v>45681</v>
      </c>
      <c r="N341" s="218">
        <f>Tabela13891011121314[[#This Row],[Valor recibo]]</f>
        <v>476</v>
      </c>
      <c r="O341" s="216"/>
      <c r="P341" s="205" t="s">
        <v>70</v>
      </c>
    </row>
    <row r="342" spans="1:16" ht="15.75">
      <c r="A342" s="205">
        <v>19360866</v>
      </c>
      <c r="B342" s="215"/>
      <c r="C342" s="205"/>
      <c r="D342" s="205"/>
      <c r="E342" s="205"/>
      <c r="F342" s="205" t="s">
        <v>244</v>
      </c>
      <c r="G342" s="215">
        <v>45680</v>
      </c>
      <c r="H342" s="215">
        <v>45680</v>
      </c>
      <c r="I342" s="216">
        <v>476</v>
      </c>
      <c r="J342" s="205"/>
      <c r="K342" s="205"/>
      <c r="L342" s="205" t="s">
        <v>18</v>
      </c>
      <c r="M342" s="215">
        <v>45681</v>
      </c>
      <c r="N342" s="218">
        <f>Tabela13891011121314[[#This Row],[Valor recibo]]</f>
        <v>476</v>
      </c>
      <c r="O342" s="216"/>
      <c r="P342" s="205" t="s">
        <v>70</v>
      </c>
    </row>
    <row r="343" spans="1:16" ht="15.75">
      <c r="A343" s="205">
        <v>19381117</v>
      </c>
      <c r="B343" s="215"/>
      <c r="C343" s="205"/>
      <c r="D343" s="205"/>
      <c r="E343" s="205"/>
      <c r="F343" s="205" t="s">
        <v>245</v>
      </c>
      <c r="G343" s="215">
        <v>45680</v>
      </c>
      <c r="H343" s="215">
        <v>45680</v>
      </c>
      <c r="I343" s="216">
        <v>476</v>
      </c>
      <c r="J343" s="205"/>
      <c r="K343" s="205"/>
      <c r="L343" s="205" t="s">
        <v>18</v>
      </c>
      <c r="M343" s="215">
        <v>45681</v>
      </c>
      <c r="N343" s="218">
        <f>Tabela13891011121314[[#This Row],[Valor recibo]]</f>
        <v>476</v>
      </c>
      <c r="O343" s="216"/>
      <c r="P343" s="205" t="s">
        <v>70</v>
      </c>
    </row>
    <row r="344" spans="1:16" ht="15.75">
      <c r="A344" s="205">
        <v>19350747</v>
      </c>
      <c r="B344" s="215"/>
      <c r="C344" s="205"/>
      <c r="D344" s="205"/>
      <c r="E344" s="205"/>
      <c r="F344" s="205" t="s">
        <v>246</v>
      </c>
      <c r="G344" s="215">
        <v>45679</v>
      </c>
      <c r="H344" s="215">
        <v>45679</v>
      </c>
      <c r="I344" s="216">
        <v>238</v>
      </c>
      <c r="J344" s="205"/>
      <c r="K344" s="205"/>
      <c r="L344" s="205" t="s">
        <v>18</v>
      </c>
      <c r="M344" s="215">
        <v>45681</v>
      </c>
      <c r="N344" s="218">
        <f>Tabela13891011121314[[#This Row],[Valor recibo]]</f>
        <v>238</v>
      </c>
      <c r="O344" s="216"/>
      <c r="P344" s="205" t="s">
        <v>70</v>
      </c>
    </row>
    <row r="345" spans="1:16" ht="15.75">
      <c r="A345" s="205">
        <v>19360887</v>
      </c>
      <c r="B345" s="215"/>
      <c r="C345" s="205"/>
      <c r="D345" s="205"/>
      <c r="E345" s="205"/>
      <c r="F345" s="205" t="s">
        <v>247</v>
      </c>
      <c r="G345" s="215">
        <v>45680</v>
      </c>
      <c r="H345" s="215">
        <v>45680</v>
      </c>
      <c r="I345" s="216">
        <v>238</v>
      </c>
      <c r="J345" s="205"/>
      <c r="K345" s="205"/>
      <c r="L345" s="205" t="s">
        <v>18</v>
      </c>
      <c r="M345" s="215">
        <v>45681</v>
      </c>
      <c r="N345" s="218">
        <f>Tabela13891011121314[[#This Row],[Valor recibo]]</f>
        <v>238</v>
      </c>
      <c r="O345" s="216"/>
      <c r="P345" s="205" t="s">
        <v>70</v>
      </c>
    </row>
    <row r="346" spans="1:16" ht="15.75">
      <c r="A346" s="205">
        <v>19348676</v>
      </c>
      <c r="B346" s="215"/>
      <c r="C346" s="205"/>
      <c r="D346" s="205"/>
      <c r="E346" s="205"/>
      <c r="F346" s="205">
        <v>51124</v>
      </c>
      <c r="G346" s="215">
        <v>45678</v>
      </c>
      <c r="H346" s="215">
        <v>45678</v>
      </c>
      <c r="I346" s="216">
        <v>238</v>
      </c>
      <c r="J346" s="205"/>
      <c r="K346" s="205"/>
      <c r="L346" s="205" t="s">
        <v>18</v>
      </c>
      <c r="M346" s="215">
        <v>45681</v>
      </c>
      <c r="N346" s="218">
        <f>Tabela13891011121314[[#This Row],[Valor recibo]]</f>
        <v>238</v>
      </c>
      <c r="O346" s="216"/>
      <c r="P346" s="205" t="s">
        <v>70</v>
      </c>
    </row>
    <row r="347" spans="1:16" ht="15.75">
      <c r="A347" s="205">
        <v>19385347</v>
      </c>
      <c r="B347" s="215"/>
      <c r="C347" s="205"/>
      <c r="D347" s="205"/>
      <c r="E347" s="205"/>
      <c r="F347" s="205">
        <v>51631</v>
      </c>
      <c r="G347" s="215">
        <v>45680</v>
      </c>
      <c r="H347" s="215">
        <v>45680</v>
      </c>
      <c r="I347" s="216">
        <v>238</v>
      </c>
      <c r="J347" s="205"/>
      <c r="K347" s="205"/>
      <c r="L347" s="205" t="s">
        <v>18</v>
      </c>
      <c r="M347" s="215">
        <v>45681</v>
      </c>
      <c r="N347" s="218">
        <f>Tabela13891011121314[[#This Row],[Valor recibo]]</f>
        <v>238</v>
      </c>
      <c r="O347" s="216"/>
      <c r="P347" s="205" t="s">
        <v>70</v>
      </c>
    </row>
    <row r="348" spans="1:16" ht="15.75">
      <c r="A348" s="205">
        <v>19357690</v>
      </c>
      <c r="B348" s="215"/>
      <c r="C348" s="205"/>
      <c r="D348" s="205"/>
      <c r="E348" s="205"/>
      <c r="F348" s="205" t="s">
        <v>248</v>
      </c>
      <c r="G348" s="215">
        <v>45679</v>
      </c>
      <c r="H348" s="215">
        <v>45679</v>
      </c>
      <c r="I348" s="216">
        <v>238</v>
      </c>
      <c r="J348" s="205"/>
      <c r="K348" s="205"/>
      <c r="L348" s="205" t="s">
        <v>18</v>
      </c>
      <c r="M348" s="215">
        <v>45681</v>
      </c>
      <c r="N348" s="218">
        <f>Tabela13891011121314[[#This Row],[Valor recibo]]</f>
        <v>238</v>
      </c>
      <c r="O348" s="216"/>
      <c r="P348" s="205" t="s">
        <v>70</v>
      </c>
    </row>
    <row r="349" spans="1:16" ht="15.75">
      <c r="A349" s="205">
        <v>19367010</v>
      </c>
      <c r="B349" s="215"/>
      <c r="C349" s="205"/>
      <c r="D349" s="205"/>
      <c r="E349" s="205"/>
      <c r="F349" s="205">
        <v>51468</v>
      </c>
      <c r="G349" s="215">
        <v>45680</v>
      </c>
      <c r="H349" s="215">
        <v>45680</v>
      </c>
      <c r="I349" s="216">
        <v>238</v>
      </c>
      <c r="J349" s="205"/>
      <c r="K349" s="205"/>
      <c r="L349" s="205" t="s">
        <v>18</v>
      </c>
      <c r="M349" s="215">
        <v>45681</v>
      </c>
      <c r="N349" s="218">
        <f>Tabela13891011121314[[#This Row],[Valor recibo]]</f>
        <v>238</v>
      </c>
      <c r="O349" s="216"/>
      <c r="P349" s="205" t="s">
        <v>70</v>
      </c>
    </row>
    <row r="350" spans="1:16" ht="15.75">
      <c r="A350" s="205">
        <v>19362015</v>
      </c>
      <c r="B350" s="215"/>
      <c r="C350" s="205"/>
      <c r="D350" s="205"/>
      <c r="E350" s="205"/>
      <c r="F350" s="205" t="s">
        <v>249</v>
      </c>
      <c r="G350" s="215">
        <v>45680</v>
      </c>
      <c r="H350" s="215">
        <v>45680</v>
      </c>
      <c r="I350" s="216">
        <v>204</v>
      </c>
      <c r="J350" s="205"/>
      <c r="K350" s="205"/>
      <c r="L350" s="205" t="s">
        <v>18</v>
      </c>
      <c r="M350" s="215">
        <v>45681</v>
      </c>
      <c r="N350" s="218">
        <f>Tabela13891011121314[[#This Row],[Valor recibo]]</f>
        <v>204</v>
      </c>
      <c r="O350" s="216"/>
      <c r="P350" s="205" t="s">
        <v>70</v>
      </c>
    </row>
    <row r="351" spans="1:16" ht="15.75">
      <c r="A351" s="205">
        <v>19387774</v>
      </c>
      <c r="B351" s="215"/>
      <c r="C351" s="205"/>
      <c r="D351" s="205"/>
      <c r="E351" s="205"/>
      <c r="F351" s="205" t="s">
        <v>250</v>
      </c>
      <c r="G351" s="215">
        <v>45680</v>
      </c>
      <c r="H351" s="215">
        <v>45680</v>
      </c>
      <c r="I351" s="216">
        <v>774</v>
      </c>
      <c r="J351" s="205"/>
      <c r="K351" s="205"/>
      <c r="L351" s="205" t="s">
        <v>18</v>
      </c>
      <c r="M351" s="215">
        <v>45681</v>
      </c>
      <c r="N351" s="218">
        <f>Tabela13891011121314[[#This Row],[Valor recibo]]</f>
        <v>774</v>
      </c>
      <c r="O351" s="216"/>
      <c r="P351" s="205" t="s">
        <v>70</v>
      </c>
    </row>
    <row r="352" spans="1:16" ht="15.75">
      <c r="A352" s="205">
        <v>19361913</v>
      </c>
      <c r="B352" s="215"/>
      <c r="C352" s="205"/>
      <c r="D352" s="205"/>
      <c r="E352" s="205"/>
      <c r="F352" s="205" t="s">
        <v>251</v>
      </c>
      <c r="G352" s="215">
        <v>45680</v>
      </c>
      <c r="H352" s="215">
        <v>45680</v>
      </c>
      <c r="I352" s="216">
        <v>238</v>
      </c>
      <c r="J352" s="205"/>
      <c r="K352" s="205"/>
      <c r="L352" s="205" t="s">
        <v>18</v>
      </c>
      <c r="M352" s="215">
        <v>45681</v>
      </c>
      <c r="N352" s="218">
        <f>Tabela13891011121314[[#This Row],[Valor recibo]]</f>
        <v>238</v>
      </c>
      <c r="O352" s="216"/>
      <c r="P352" s="205" t="s">
        <v>70</v>
      </c>
    </row>
    <row r="353" spans="1:16" ht="15.75">
      <c r="A353" s="205">
        <v>19390989</v>
      </c>
      <c r="B353" s="215"/>
      <c r="C353" s="205"/>
      <c r="D353" s="205"/>
      <c r="E353" s="205"/>
      <c r="F353" s="205">
        <v>51733</v>
      </c>
      <c r="G353" s="215">
        <v>45681</v>
      </c>
      <c r="H353" s="215">
        <v>45681</v>
      </c>
      <c r="I353" s="216">
        <v>532</v>
      </c>
      <c r="J353" s="205"/>
      <c r="K353" s="205"/>
      <c r="L353" s="205" t="s">
        <v>18</v>
      </c>
      <c r="M353" s="215">
        <v>45681</v>
      </c>
      <c r="N353" s="218">
        <f>Tabela13891011121314[[#This Row],[Valor recibo]]</f>
        <v>532</v>
      </c>
      <c r="O353" s="216"/>
      <c r="P353" s="205" t="s">
        <v>70</v>
      </c>
    </row>
    <row r="354" spans="1:16" ht="15.75">
      <c r="A354" s="205">
        <v>19390986</v>
      </c>
      <c r="B354" s="215"/>
      <c r="C354" s="205"/>
      <c r="D354" s="205"/>
      <c r="E354" s="205"/>
      <c r="F354" s="205">
        <v>51783</v>
      </c>
      <c r="G354" s="215">
        <v>45681</v>
      </c>
      <c r="H354" s="215">
        <v>45681</v>
      </c>
      <c r="I354" s="216">
        <v>532</v>
      </c>
      <c r="J354" s="205"/>
      <c r="K354" s="205"/>
      <c r="L354" s="205" t="s">
        <v>18</v>
      </c>
      <c r="M354" s="215">
        <v>45681</v>
      </c>
      <c r="N354" s="218">
        <f>Tabela13891011121314[[#This Row],[Valor recibo]]</f>
        <v>532</v>
      </c>
      <c r="O354" s="216"/>
      <c r="P354" s="205" t="s">
        <v>70</v>
      </c>
    </row>
    <row r="355" spans="1:16" ht="15.75">
      <c r="A355" s="205">
        <v>19333349</v>
      </c>
      <c r="B355" s="215"/>
      <c r="C355" s="205"/>
      <c r="D355" s="205"/>
      <c r="E355" s="205"/>
      <c r="F355" s="205">
        <v>51749</v>
      </c>
      <c r="G355" s="215">
        <v>45681</v>
      </c>
      <c r="H355" s="215">
        <v>45681</v>
      </c>
      <c r="I355" s="216">
        <v>0</v>
      </c>
      <c r="J355" s="205"/>
      <c r="K355" s="205"/>
      <c r="L355" s="205" t="s">
        <v>18</v>
      </c>
      <c r="M355" s="215">
        <v>45684</v>
      </c>
      <c r="N355" s="218">
        <f>Tabela13891011121314[[#This Row],[Valor recibo]]</f>
        <v>0</v>
      </c>
      <c r="O355" s="216"/>
      <c r="P355" s="205" t="s">
        <v>70</v>
      </c>
    </row>
    <row r="356" spans="1:16" ht="15.75">
      <c r="A356" s="205">
        <v>19386335</v>
      </c>
      <c r="B356" s="215"/>
      <c r="C356" s="205"/>
      <c r="D356" s="205"/>
      <c r="E356" s="205"/>
      <c r="F356" s="205" t="s">
        <v>252</v>
      </c>
      <c r="G356" s="215">
        <v>45681</v>
      </c>
      <c r="H356" s="215">
        <v>45681</v>
      </c>
      <c r="I356" s="216">
        <v>238</v>
      </c>
      <c r="J356" s="205"/>
      <c r="K356" s="205"/>
      <c r="L356" s="205" t="s">
        <v>18</v>
      </c>
      <c r="M356" s="215">
        <v>45684</v>
      </c>
      <c r="N356" s="218">
        <f>Tabela13891011121314[[#This Row],[Valor recibo]]</f>
        <v>238</v>
      </c>
      <c r="O356" s="216"/>
      <c r="P356" s="205" t="s">
        <v>70</v>
      </c>
    </row>
    <row r="357" spans="1:16" ht="15.75">
      <c r="A357" s="205">
        <v>19387843</v>
      </c>
      <c r="B357" s="215"/>
      <c r="C357" s="205"/>
      <c r="D357" s="205"/>
      <c r="E357" s="205"/>
      <c r="F357" s="205" t="s">
        <v>253</v>
      </c>
      <c r="G357" s="215">
        <v>45682</v>
      </c>
      <c r="H357" s="215">
        <v>45682</v>
      </c>
      <c r="I357" s="216">
        <v>0</v>
      </c>
      <c r="J357" s="205"/>
      <c r="K357" s="205"/>
      <c r="L357" s="205" t="s">
        <v>18</v>
      </c>
      <c r="M357" s="215">
        <v>45684</v>
      </c>
      <c r="N357" s="218">
        <f>Tabela13891011121314[[#This Row],[Valor recibo]]</f>
        <v>0</v>
      </c>
      <c r="O357" s="216"/>
      <c r="P357" s="205" t="s">
        <v>70</v>
      </c>
    </row>
    <row r="358" spans="1:16" ht="15.75">
      <c r="A358" s="205">
        <v>19393414</v>
      </c>
      <c r="B358" s="215"/>
      <c r="C358" s="205"/>
      <c r="D358" s="205"/>
      <c r="E358" s="205"/>
      <c r="F358" s="205">
        <v>24340</v>
      </c>
      <c r="G358" s="215">
        <v>45681</v>
      </c>
      <c r="H358" s="215">
        <v>45681</v>
      </c>
      <c r="I358" s="216">
        <v>1248</v>
      </c>
      <c r="J358" s="205"/>
      <c r="K358" s="205"/>
      <c r="L358" s="205" t="s">
        <v>18</v>
      </c>
      <c r="M358" s="215">
        <v>45684</v>
      </c>
      <c r="N358" s="218">
        <f>Tabela13891011121314[[#This Row],[Valor recibo]]</f>
        <v>1248</v>
      </c>
      <c r="O358" s="216"/>
      <c r="P358" s="205" t="s">
        <v>70</v>
      </c>
    </row>
    <row r="359" spans="1:16" ht="15.75">
      <c r="A359" s="205">
        <v>19385957</v>
      </c>
      <c r="B359" s="215"/>
      <c r="C359" s="205"/>
      <c r="D359" s="205"/>
      <c r="E359" s="205"/>
      <c r="F359" s="205" t="s">
        <v>254</v>
      </c>
      <c r="G359" s="215">
        <v>45681</v>
      </c>
      <c r="H359" s="215">
        <v>45681</v>
      </c>
      <c r="I359" s="216">
        <v>476</v>
      </c>
      <c r="J359" s="205"/>
      <c r="K359" s="205"/>
      <c r="L359" s="205" t="s">
        <v>18</v>
      </c>
      <c r="M359" s="215">
        <v>45684</v>
      </c>
      <c r="N359" s="218">
        <f>Tabela13891011121314[[#This Row],[Valor recibo]]</f>
        <v>476</v>
      </c>
      <c r="O359" s="216"/>
      <c r="P359" s="205" t="s">
        <v>70</v>
      </c>
    </row>
    <row r="360" spans="1:16" ht="15.75">
      <c r="A360" s="205">
        <v>19392046</v>
      </c>
      <c r="B360" s="215"/>
      <c r="C360" s="205"/>
      <c r="D360" s="205"/>
      <c r="E360" s="205"/>
      <c r="F360" s="205" t="s">
        <v>255</v>
      </c>
      <c r="G360" s="215">
        <v>45681</v>
      </c>
      <c r="H360" s="215">
        <v>45681</v>
      </c>
      <c r="I360" s="216">
        <v>400</v>
      </c>
      <c r="J360" s="205"/>
      <c r="K360" s="205"/>
      <c r="L360" s="205" t="s">
        <v>18</v>
      </c>
      <c r="M360" s="215">
        <v>45684</v>
      </c>
      <c r="N360" s="218">
        <f>Tabela13891011121314[[#This Row],[Valor recibo]]</f>
        <v>400</v>
      </c>
      <c r="O360" s="216"/>
      <c r="P360" s="205" t="s">
        <v>70</v>
      </c>
    </row>
    <row r="361" spans="1:16" ht="15.75">
      <c r="A361" s="205">
        <v>19390988</v>
      </c>
      <c r="B361" s="215"/>
      <c r="C361" s="205"/>
      <c r="D361" s="205"/>
      <c r="E361" s="205"/>
      <c r="F361" s="205">
        <v>51723</v>
      </c>
      <c r="G361" s="215">
        <v>45681</v>
      </c>
      <c r="H361" s="215">
        <v>45681</v>
      </c>
      <c r="I361" s="216">
        <v>448</v>
      </c>
      <c r="J361" s="205"/>
      <c r="K361" s="205"/>
      <c r="L361" s="205" t="s">
        <v>18</v>
      </c>
      <c r="M361" s="215">
        <v>45684</v>
      </c>
      <c r="N361" s="218">
        <f>Tabela13891011121314[[#This Row],[Valor recibo]]</f>
        <v>448</v>
      </c>
      <c r="O361" s="216"/>
      <c r="P361" s="205" t="s">
        <v>70</v>
      </c>
    </row>
    <row r="362" spans="1:16" ht="15.75">
      <c r="A362" s="205">
        <v>19385960</v>
      </c>
      <c r="B362" s="215"/>
      <c r="C362" s="205"/>
      <c r="D362" s="205"/>
      <c r="E362" s="205"/>
      <c r="F362" s="205" t="s">
        <v>256</v>
      </c>
      <c r="G362" s="215">
        <v>45681</v>
      </c>
      <c r="H362" s="215">
        <v>45681</v>
      </c>
      <c r="I362" s="216">
        <v>476</v>
      </c>
      <c r="J362" s="205"/>
      <c r="K362" s="205"/>
      <c r="L362" s="205" t="s">
        <v>18</v>
      </c>
      <c r="M362" s="215">
        <v>45684</v>
      </c>
      <c r="N362" s="218">
        <f>Tabela13891011121314[[#This Row],[Valor recibo]]</f>
        <v>476</v>
      </c>
      <c r="O362" s="216"/>
      <c r="P362" s="205" t="s">
        <v>70</v>
      </c>
    </row>
    <row r="363" spans="1:16" ht="15.75">
      <c r="A363" s="205">
        <v>19387858</v>
      </c>
      <c r="B363" s="215"/>
      <c r="C363" s="205"/>
      <c r="D363" s="205"/>
      <c r="E363" s="205"/>
      <c r="F363" s="205" t="s">
        <v>257</v>
      </c>
      <c r="G363" s="215">
        <v>45681</v>
      </c>
      <c r="H363" s="215">
        <v>45681</v>
      </c>
      <c r="I363" s="216">
        <v>557.20000000000005</v>
      </c>
      <c r="J363" s="205"/>
      <c r="K363" s="205"/>
      <c r="L363" s="205" t="s">
        <v>18</v>
      </c>
      <c r="M363" s="215">
        <v>45684</v>
      </c>
      <c r="N363" s="218">
        <f>Tabela13891011121314[[#This Row],[Valor recibo]]</f>
        <v>557.20000000000005</v>
      </c>
      <c r="O363" s="216"/>
      <c r="P363" s="205" t="s">
        <v>70</v>
      </c>
    </row>
    <row r="364" spans="1:16" ht="15.75">
      <c r="A364" s="205">
        <v>19385903</v>
      </c>
      <c r="B364" s="215"/>
      <c r="C364" s="205"/>
      <c r="D364" s="205"/>
      <c r="E364" s="205"/>
      <c r="F364" s="205" t="s">
        <v>258</v>
      </c>
      <c r="G364" s="215">
        <v>45681</v>
      </c>
      <c r="H364" s="215">
        <v>45681</v>
      </c>
      <c r="I364" s="216">
        <v>238</v>
      </c>
      <c r="J364" s="205"/>
      <c r="K364" s="205"/>
      <c r="L364" s="205" t="s">
        <v>18</v>
      </c>
      <c r="M364" s="215">
        <v>45684</v>
      </c>
      <c r="N364" s="218">
        <f>Tabela13891011121314[[#This Row],[Valor recibo]]</f>
        <v>238</v>
      </c>
      <c r="O364" s="216"/>
      <c r="P364" s="205" t="s">
        <v>70</v>
      </c>
    </row>
    <row r="365" spans="1:16" ht="15.75">
      <c r="A365" s="205">
        <v>19385320</v>
      </c>
      <c r="B365" s="215"/>
      <c r="C365" s="205"/>
      <c r="D365" s="205"/>
      <c r="E365" s="205"/>
      <c r="F365" s="205" t="s">
        <v>259</v>
      </c>
      <c r="G365" s="215">
        <v>45681</v>
      </c>
      <c r="H365" s="215">
        <v>45681</v>
      </c>
      <c r="I365" s="216">
        <v>238</v>
      </c>
      <c r="J365" s="205"/>
      <c r="K365" s="205"/>
      <c r="L365" s="205" t="s">
        <v>18</v>
      </c>
      <c r="M365" s="215">
        <v>45684</v>
      </c>
      <c r="N365" s="218">
        <f>Tabela13891011121314[[#This Row],[Valor recibo]]</f>
        <v>238</v>
      </c>
      <c r="O365" s="216"/>
      <c r="P365" s="205" t="s">
        <v>70</v>
      </c>
    </row>
    <row r="366" spans="1:16" ht="15.75">
      <c r="A366" s="205">
        <v>19387859</v>
      </c>
      <c r="B366" s="215"/>
      <c r="C366" s="205"/>
      <c r="D366" s="205"/>
      <c r="E366" s="205"/>
      <c r="F366" s="205" t="s">
        <v>260</v>
      </c>
      <c r="G366" s="215">
        <v>45681</v>
      </c>
      <c r="H366" s="215">
        <v>45681</v>
      </c>
      <c r="I366" s="216">
        <v>557.20000000000005</v>
      </c>
      <c r="J366" s="205"/>
      <c r="K366" s="205"/>
      <c r="L366" s="205" t="s">
        <v>18</v>
      </c>
      <c r="M366" s="215">
        <v>45684</v>
      </c>
      <c r="N366" s="218">
        <f>Tabela13891011121314[[#This Row],[Valor recibo]]</f>
        <v>557.20000000000005</v>
      </c>
      <c r="O366" s="216"/>
      <c r="P366" s="205" t="s">
        <v>70</v>
      </c>
    </row>
    <row r="367" spans="1:16" ht="15.75">
      <c r="A367" s="205">
        <v>19393035</v>
      </c>
      <c r="B367" s="215"/>
      <c r="C367" s="205"/>
      <c r="D367" s="205"/>
      <c r="E367" s="205"/>
      <c r="F367" s="205">
        <v>51955</v>
      </c>
      <c r="G367" s="215">
        <v>45682</v>
      </c>
      <c r="H367" s="215">
        <v>45682</v>
      </c>
      <c r="I367" s="216">
        <v>0</v>
      </c>
      <c r="J367" s="205"/>
      <c r="K367" s="205"/>
      <c r="L367" s="205" t="s">
        <v>18</v>
      </c>
      <c r="M367" s="215">
        <v>45684</v>
      </c>
      <c r="N367" s="218">
        <f>Tabela13891011121314[[#This Row],[Valor recibo]]</f>
        <v>0</v>
      </c>
      <c r="O367" s="216"/>
      <c r="P367" s="205" t="s">
        <v>70</v>
      </c>
    </row>
    <row r="368" spans="1:16" ht="15.75">
      <c r="A368" s="205">
        <v>19366921</v>
      </c>
      <c r="B368" s="215"/>
      <c r="C368" s="205"/>
      <c r="D368" s="205"/>
      <c r="E368" s="205"/>
      <c r="F368" s="205" t="s">
        <v>261</v>
      </c>
      <c r="G368" s="215">
        <v>45682</v>
      </c>
      <c r="H368" s="215">
        <v>45682</v>
      </c>
      <c r="I368" s="216">
        <v>400</v>
      </c>
      <c r="J368" s="205"/>
      <c r="K368" s="205"/>
      <c r="L368" s="205" t="s">
        <v>18</v>
      </c>
      <c r="M368" s="215">
        <v>45684</v>
      </c>
      <c r="N368" s="218">
        <f>Tabela13891011121314[[#This Row],[Valor recibo]]</f>
        <v>400</v>
      </c>
      <c r="O368" s="216"/>
      <c r="P368" s="205" t="s">
        <v>70</v>
      </c>
    </row>
    <row r="369" spans="1:16" ht="15.75">
      <c r="A369" s="205">
        <v>19386356</v>
      </c>
      <c r="B369" s="215"/>
      <c r="C369" s="205"/>
      <c r="D369" s="205"/>
      <c r="E369" s="205"/>
      <c r="F369" s="205">
        <v>51898</v>
      </c>
      <c r="G369" s="215">
        <v>45682</v>
      </c>
      <c r="H369" s="215">
        <v>45682</v>
      </c>
      <c r="I369" s="216">
        <v>476</v>
      </c>
      <c r="J369" s="205"/>
      <c r="K369" s="205"/>
      <c r="L369" s="205" t="s">
        <v>18</v>
      </c>
      <c r="M369" s="215">
        <v>45684</v>
      </c>
      <c r="N369" s="218">
        <f>Tabela13891011121314[[#This Row],[Valor recibo]]</f>
        <v>476</v>
      </c>
      <c r="O369" s="216"/>
      <c r="P369" s="205" t="s">
        <v>70</v>
      </c>
    </row>
    <row r="370" spans="1:16" ht="15.75">
      <c r="A370" s="205">
        <v>19361688</v>
      </c>
      <c r="B370" s="215"/>
      <c r="C370" s="205"/>
      <c r="D370" s="205"/>
      <c r="E370" s="205"/>
      <c r="F370" s="205">
        <v>51449</v>
      </c>
      <c r="G370" s="215">
        <v>45682</v>
      </c>
      <c r="H370" s="215">
        <v>45682</v>
      </c>
      <c r="I370" s="216">
        <v>0</v>
      </c>
      <c r="J370" s="205"/>
      <c r="K370" s="205"/>
      <c r="L370" s="205" t="s">
        <v>18</v>
      </c>
      <c r="M370" s="215">
        <v>45684</v>
      </c>
      <c r="N370" s="218">
        <f>Tabela13891011121314[[#This Row],[Valor recibo]]</f>
        <v>0</v>
      </c>
      <c r="O370" s="216"/>
      <c r="P370" s="205" t="s">
        <v>70</v>
      </c>
    </row>
    <row r="371" spans="1:16" ht="15.75">
      <c r="A371" s="205">
        <v>19342479</v>
      </c>
      <c r="B371" s="215"/>
      <c r="C371" s="205"/>
      <c r="D371" s="205"/>
      <c r="E371" s="205"/>
      <c r="F371" s="205" t="s">
        <v>262</v>
      </c>
      <c r="G371" s="215">
        <v>45681</v>
      </c>
      <c r="H371" s="215">
        <v>45681</v>
      </c>
      <c r="I371" s="216">
        <v>242</v>
      </c>
      <c r="J371" s="205"/>
      <c r="K371" s="205"/>
      <c r="L371" s="205" t="s">
        <v>18</v>
      </c>
      <c r="M371" s="215">
        <v>45684</v>
      </c>
      <c r="N371" s="218">
        <f>Tabela13891011121314[[#This Row],[Valor recibo]]</f>
        <v>242</v>
      </c>
      <c r="O371" s="216"/>
      <c r="P371" s="205" t="s">
        <v>70</v>
      </c>
    </row>
    <row r="372" spans="1:16" ht="15.75">
      <c r="A372" s="205">
        <v>19356921</v>
      </c>
      <c r="B372" s="215"/>
      <c r="C372" s="205"/>
      <c r="D372" s="205"/>
      <c r="E372" s="205"/>
      <c r="F372" s="205" t="s">
        <v>263</v>
      </c>
      <c r="G372" s="215">
        <v>45678</v>
      </c>
      <c r="H372" s="215">
        <v>45678</v>
      </c>
      <c r="I372" s="216">
        <v>238</v>
      </c>
      <c r="J372" s="205"/>
      <c r="K372" s="205"/>
      <c r="L372" s="205" t="s">
        <v>18</v>
      </c>
      <c r="M372" s="215">
        <v>45684</v>
      </c>
      <c r="N372" s="218">
        <f>Tabela13891011121314[[#This Row],[Valor recibo]]</f>
        <v>238</v>
      </c>
      <c r="O372" s="216"/>
      <c r="P372" s="205" t="s">
        <v>70</v>
      </c>
    </row>
    <row r="373" spans="1:16" ht="15.75">
      <c r="A373" s="205">
        <v>19366479</v>
      </c>
      <c r="B373" s="215"/>
      <c r="C373" s="205"/>
      <c r="D373" s="205"/>
      <c r="E373" s="205"/>
      <c r="F373" s="205" t="s">
        <v>264</v>
      </c>
      <c r="G373" s="215">
        <v>45682</v>
      </c>
      <c r="H373" s="215">
        <v>45682</v>
      </c>
      <c r="I373" s="216">
        <v>420</v>
      </c>
      <c r="J373" s="205"/>
      <c r="K373" s="205"/>
      <c r="L373" s="205" t="s">
        <v>18</v>
      </c>
      <c r="M373" s="215">
        <v>45684</v>
      </c>
      <c r="N373" s="218">
        <f>Tabela13891011121314[[#This Row],[Valor recibo]]</f>
        <v>420</v>
      </c>
      <c r="O373" s="216"/>
      <c r="P373" s="205" t="s">
        <v>70</v>
      </c>
    </row>
    <row r="374" spans="1:16" ht="15.75">
      <c r="A374" s="205">
        <v>19385261</v>
      </c>
      <c r="B374" s="215"/>
      <c r="C374" s="205"/>
      <c r="D374" s="205"/>
      <c r="E374" s="205"/>
      <c r="F374" s="205" t="s">
        <v>265</v>
      </c>
      <c r="G374" s="215">
        <v>45681</v>
      </c>
      <c r="H374" s="215">
        <v>45681</v>
      </c>
      <c r="I374" s="216">
        <v>238</v>
      </c>
      <c r="J374" s="205"/>
      <c r="K374" s="205"/>
      <c r="L374" s="205" t="s">
        <v>18</v>
      </c>
      <c r="M374" s="215">
        <v>45684</v>
      </c>
      <c r="N374" s="218">
        <f>Tabela13891011121314[[#This Row],[Valor recibo]]</f>
        <v>238</v>
      </c>
      <c r="O374" s="216"/>
      <c r="P374" s="205" t="s">
        <v>70</v>
      </c>
    </row>
    <row r="375" spans="1:16" ht="15.75">
      <c r="A375" s="205">
        <v>19407973</v>
      </c>
      <c r="B375" s="215"/>
      <c r="C375" s="205"/>
      <c r="D375" s="205"/>
      <c r="E375" s="205"/>
      <c r="F375" s="205">
        <v>52085</v>
      </c>
      <c r="G375" s="215">
        <v>45684</v>
      </c>
      <c r="H375" s="215">
        <v>45684</v>
      </c>
      <c r="I375" s="216">
        <v>405</v>
      </c>
      <c r="J375" s="205"/>
      <c r="K375" s="205"/>
      <c r="L375" s="205" t="s">
        <v>18</v>
      </c>
      <c r="M375" s="215">
        <v>45684</v>
      </c>
      <c r="N375" s="218">
        <f>Tabela13891011121314[[#This Row],[Valor recibo]]</f>
        <v>405</v>
      </c>
      <c r="O375" s="216"/>
      <c r="P375" s="205" t="s">
        <v>70</v>
      </c>
    </row>
    <row r="376" spans="1:16" ht="15.75">
      <c r="A376" s="205">
        <v>19386358</v>
      </c>
      <c r="B376" s="215"/>
      <c r="C376" s="205"/>
      <c r="D376" s="205"/>
      <c r="E376" s="205"/>
      <c r="F376" s="205">
        <v>51916</v>
      </c>
      <c r="G376" s="215">
        <v>45682</v>
      </c>
      <c r="H376" s="215">
        <v>45682</v>
      </c>
      <c r="I376" s="216">
        <v>442</v>
      </c>
      <c r="J376" s="205"/>
      <c r="K376" s="205"/>
      <c r="L376" s="205" t="s">
        <v>18</v>
      </c>
      <c r="M376" s="215">
        <v>45684</v>
      </c>
      <c r="N376" s="218">
        <f>Tabela13891011121314[[#This Row],[Valor recibo]]</f>
        <v>442</v>
      </c>
      <c r="O376" s="216"/>
      <c r="P376" s="205" t="s">
        <v>70</v>
      </c>
    </row>
    <row r="377" spans="1:16" ht="15.75">
      <c r="A377" s="205">
        <v>19380060</v>
      </c>
      <c r="B377" s="215"/>
      <c r="C377" s="205"/>
      <c r="D377" s="205"/>
      <c r="E377" s="205"/>
      <c r="F377" s="205" t="s">
        <v>266</v>
      </c>
      <c r="G377" s="215">
        <v>45682</v>
      </c>
      <c r="H377" s="215">
        <v>45682</v>
      </c>
      <c r="I377" s="216">
        <v>0</v>
      </c>
      <c r="J377" s="205"/>
      <c r="K377" s="205"/>
      <c r="L377" s="205" t="s">
        <v>18</v>
      </c>
      <c r="M377" s="215">
        <v>45684</v>
      </c>
      <c r="N377" s="218">
        <f>Tabela13891011121314[[#This Row],[Valor recibo]]</f>
        <v>0</v>
      </c>
      <c r="O377" s="216"/>
      <c r="P377" s="205" t="s">
        <v>70</v>
      </c>
    </row>
    <row r="378" spans="1:16" ht="15.75">
      <c r="A378" s="205">
        <v>19392850</v>
      </c>
      <c r="B378" s="215"/>
      <c r="C378" s="205"/>
      <c r="D378" s="205"/>
      <c r="E378" s="205"/>
      <c r="F378" s="205" t="s">
        <v>267</v>
      </c>
      <c r="G378" s="215">
        <v>45684</v>
      </c>
      <c r="H378" s="215">
        <v>45684</v>
      </c>
      <c r="I378" s="216">
        <v>476</v>
      </c>
      <c r="J378" s="205"/>
      <c r="K378" s="205"/>
      <c r="L378" s="205" t="s">
        <v>18</v>
      </c>
      <c r="M378" s="215">
        <v>45684</v>
      </c>
      <c r="N378" s="218">
        <f>Tabela13891011121314[[#This Row],[Valor recibo]]</f>
        <v>476</v>
      </c>
      <c r="O378" s="216"/>
      <c r="P378" s="205" t="s">
        <v>70</v>
      </c>
    </row>
    <row r="379" spans="1:16" ht="15.75">
      <c r="A379" s="205">
        <v>19407929</v>
      </c>
      <c r="B379" s="215"/>
      <c r="C379" s="205"/>
      <c r="D379" s="205"/>
      <c r="E379" s="205"/>
      <c r="F379" s="205" t="s">
        <v>268</v>
      </c>
      <c r="G379" s="215">
        <v>45684</v>
      </c>
      <c r="H379" s="215">
        <v>45684</v>
      </c>
      <c r="I379" s="216">
        <v>400</v>
      </c>
      <c r="J379" s="205"/>
      <c r="K379" s="205"/>
      <c r="L379" s="205" t="s">
        <v>18</v>
      </c>
      <c r="M379" s="215">
        <v>45684</v>
      </c>
      <c r="N379" s="218">
        <f>Tabela13891011121314[[#This Row],[Valor recibo]]</f>
        <v>400</v>
      </c>
      <c r="O379" s="216"/>
      <c r="P379" s="205" t="s">
        <v>70</v>
      </c>
    </row>
    <row r="380" spans="1:16" ht="15.75">
      <c r="A380" s="205">
        <v>19392915</v>
      </c>
      <c r="B380" s="215"/>
      <c r="C380" s="205"/>
      <c r="D380" s="205"/>
      <c r="E380" s="205"/>
      <c r="F380" s="205" t="s">
        <v>269</v>
      </c>
      <c r="G380" s="215">
        <v>45684</v>
      </c>
      <c r="H380" s="215">
        <v>45684</v>
      </c>
      <c r="I380" s="216">
        <v>476</v>
      </c>
      <c r="J380" s="205"/>
      <c r="K380" s="205"/>
      <c r="L380" s="205" t="s">
        <v>18</v>
      </c>
      <c r="M380" s="215">
        <v>45684</v>
      </c>
      <c r="N380" s="218">
        <f>Tabela13891011121314[[#This Row],[Valor recibo]]</f>
        <v>476</v>
      </c>
      <c r="O380" s="216"/>
      <c r="P380" s="205" t="s">
        <v>70</v>
      </c>
    </row>
    <row r="381" spans="1:16" ht="15.75">
      <c r="A381" s="205">
        <v>19407920</v>
      </c>
      <c r="B381" s="215"/>
      <c r="C381" s="205"/>
      <c r="D381" s="205"/>
      <c r="E381" s="205"/>
      <c r="F381" s="205" t="s">
        <v>268</v>
      </c>
      <c r="G381" s="215">
        <v>45684</v>
      </c>
      <c r="H381" s="215">
        <v>45684</v>
      </c>
      <c r="I381" s="216">
        <v>400</v>
      </c>
      <c r="J381" s="205"/>
      <c r="K381" s="205"/>
      <c r="L381" s="205" t="s">
        <v>18</v>
      </c>
      <c r="M381" s="215">
        <v>45684</v>
      </c>
      <c r="N381" s="218">
        <f>Tabela13891011121314[[#This Row],[Valor recibo]]</f>
        <v>400</v>
      </c>
      <c r="O381" s="216"/>
      <c r="P381" s="205" t="s">
        <v>70</v>
      </c>
    </row>
    <row r="382" spans="1:16" ht="15.75">
      <c r="A382" s="205">
        <v>19387849</v>
      </c>
      <c r="B382" s="215"/>
      <c r="C382" s="205"/>
      <c r="D382" s="205"/>
      <c r="E382" s="205"/>
      <c r="F382" s="205" t="s">
        <v>270</v>
      </c>
      <c r="G382" s="215">
        <v>45684</v>
      </c>
      <c r="H382" s="215">
        <v>45684</v>
      </c>
      <c r="I382" s="216">
        <v>476</v>
      </c>
      <c r="J382" s="205"/>
      <c r="K382" s="205"/>
      <c r="L382" s="205" t="s">
        <v>18</v>
      </c>
      <c r="M382" s="215">
        <v>45684</v>
      </c>
      <c r="N382" s="218">
        <f>Tabela13891011121314[[#This Row],[Valor recibo]]</f>
        <v>476</v>
      </c>
      <c r="O382" s="216"/>
      <c r="P382" s="205" t="s">
        <v>70</v>
      </c>
    </row>
    <row r="383" spans="1:16" ht="15.75">
      <c r="A383" s="205">
        <v>19348827</v>
      </c>
      <c r="B383" s="215"/>
      <c r="C383" s="205"/>
      <c r="D383" s="205"/>
      <c r="E383" s="205"/>
      <c r="F383" s="205">
        <v>51687</v>
      </c>
      <c r="G383" s="215">
        <v>45684</v>
      </c>
      <c r="H383" s="215">
        <v>45684</v>
      </c>
      <c r="I383" s="216">
        <v>0</v>
      </c>
      <c r="J383" s="205"/>
      <c r="K383" s="205"/>
      <c r="L383" s="205" t="s">
        <v>18</v>
      </c>
      <c r="M383" s="215">
        <v>45684</v>
      </c>
      <c r="N383" s="218">
        <f>Tabela13891011121314[[#This Row],[Valor recibo]]</f>
        <v>0</v>
      </c>
      <c r="O383" s="216"/>
      <c r="P383" s="205" t="s">
        <v>70</v>
      </c>
    </row>
    <row r="384" spans="1:16" ht="15.75">
      <c r="A384" s="205">
        <v>19385349</v>
      </c>
      <c r="B384" s="215"/>
      <c r="C384" s="205"/>
      <c r="D384" s="205"/>
      <c r="E384" s="205"/>
      <c r="F384" s="205" t="s">
        <v>271</v>
      </c>
      <c r="G384" s="215">
        <v>45684</v>
      </c>
      <c r="H384" s="215">
        <v>45684</v>
      </c>
      <c r="I384" s="216">
        <v>476</v>
      </c>
      <c r="J384" s="205"/>
      <c r="K384" s="205"/>
      <c r="L384" s="205" t="s">
        <v>18</v>
      </c>
      <c r="M384" s="215">
        <v>45684</v>
      </c>
      <c r="N384" s="218">
        <f>Tabela13891011121314[[#This Row],[Valor recibo]]</f>
        <v>476</v>
      </c>
      <c r="O384" s="216"/>
      <c r="P384" s="205" t="s">
        <v>70</v>
      </c>
    </row>
    <row r="385" spans="1:16" ht="15.75">
      <c r="A385" s="205">
        <v>19402346</v>
      </c>
      <c r="B385" s="215"/>
      <c r="C385" s="205"/>
      <c r="D385" s="205"/>
      <c r="E385" s="205"/>
      <c r="F385" s="205" t="s">
        <v>272</v>
      </c>
      <c r="G385" s="215">
        <v>45684</v>
      </c>
      <c r="H385" s="215">
        <v>45684</v>
      </c>
      <c r="I385" s="216">
        <v>476</v>
      </c>
      <c r="J385" s="205"/>
      <c r="K385" s="205"/>
      <c r="L385" s="205" t="s">
        <v>18</v>
      </c>
      <c r="M385" s="215">
        <v>45685</v>
      </c>
      <c r="N385" s="218">
        <f>Tabela13891011121314[[#This Row],[Valor recibo]]</f>
        <v>476</v>
      </c>
      <c r="O385" s="216"/>
      <c r="P385" s="205" t="s">
        <v>70</v>
      </c>
    </row>
    <row r="386" spans="1:16" ht="15.75">
      <c r="A386" s="205">
        <v>19401733</v>
      </c>
      <c r="B386" s="215"/>
      <c r="C386" s="205"/>
      <c r="D386" s="205"/>
      <c r="E386" s="205"/>
      <c r="F386" s="205">
        <v>24442</v>
      </c>
      <c r="G386" s="215">
        <v>45684</v>
      </c>
      <c r="H386" s="215">
        <v>45684</v>
      </c>
      <c r="I386" s="216">
        <v>0</v>
      </c>
      <c r="J386" s="205"/>
      <c r="K386" s="205"/>
      <c r="L386" s="205" t="s">
        <v>18</v>
      </c>
      <c r="M386" s="215">
        <v>45685</v>
      </c>
      <c r="N386" s="218">
        <f>Tabela13891011121314[[#This Row],[Valor recibo]]</f>
        <v>0</v>
      </c>
      <c r="O386" s="216"/>
      <c r="P386" s="205" t="s">
        <v>70</v>
      </c>
    </row>
    <row r="387" spans="1:16" ht="15.75">
      <c r="A387" s="205">
        <v>19393511</v>
      </c>
      <c r="B387" s="215"/>
      <c r="C387" s="205"/>
      <c r="D387" s="205"/>
      <c r="E387" s="205"/>
      <c r="F387" s="205">
        <v>52077</v>
      </c>
      <c r="G387" s="215">
        <v>45684</v>
      </c>
      <c r="H387" s="215">
        <v>45684</v>
      </c>
      <c r="I387" s="216">
        <v>1728.14</v>
      </c>
      <c r="J387" s="205"/>
      <c r="K387" s="205"/>
      <c r="L387" s="205" t="s">
        <v>18</v>
      </c>
      <c r="M387" s="215">
        <v>45685</v>
      </c>
      <c r="N387" s="218">
        <f>Tabela13891011121314[[#This Row],[Valor recibo]]</f>
        <v>1728.14</v>
      </c>
      <c r="O387" s="216"/>
      <c r="P387" s="205" t="s">
        <v>70</v>
      </c>
    </row>
    <row r="388" spans="1:16" ht="15.75">
      <c r="A388" s="205">
        <v>19392723</v>
      </c>
      <c r="B388" s="215"/>
      <c r="C388" s="205"/>
      <c r="D388" s="205"/>
      <c r="E388" s="205"/>
      <c r="F388" s="205" t="s">
        <v>273</v>
      </c>
      <c r="G388" s="215">
        <v>45684</v>
      </c>
      <c r="H388" s="215">
        <v>45684</v>
      </c>
      <c r="I388" s="216">
        <v>476</v>
      </c>
      <c r="J388" s="205"/>
      <c r="K388" s="205"/>
      <c r="L388" s="205" t="s">
        <v>18</v>
      </c>
      <c r="M388" s="215">
        <v>45685</v>
      </c>
      <c r="N388" s="218">
        <f>Tabela13891011121314[[#This Row],[Valor recibo]]</f>
        <v>476</v>
      </c>
      <c r="O388" s="216"/>
      <c r="P388" s="205" t="s">
        <v>70</v>
      </c>
    </row>
    <row r="389" spans="1:16" ht="15.75">
      <c r="A389" s="205">
        <v>19393724</v>
      </c>
      <c r="B389" s="215"/>
      <c r="C389" s="205"/>
      <c r="D389" s="205"/>
      <c r="E389" s="205"/>
      <c r="F389" s="205" t="s">
        <v>274</v>
      </c>
      <c r="G389" s="215">
        <v>45684</v>
      </c>
      <c r="H389" s="215">
        <v>45684</v>
      </c>
      <c r="I389" s="216">
        <v>2381.0500000000002</v>
      </c>
      <c r="J389" s="205"/>
      <c r="K389" s="205"/>
      <c r="L389" s="205" t="s">
        <v>18</v>
      </c>
      <c r="M389" s="215">
        <v>45685</v>
      </c>
      <c r="N389" s="218">
        <f>Tabela13891011121314[[#This Row],[Valor recibo]]</f>
        <v>2381.0500000000002</v>
      </c>
      <c r="O389" s="216"/>
      <c r="P389" s="205" t="s">
        <v>70</v>
      </c>
    </row>
    <row r="390" spans="1:16" ht="15.75">
      <c r="A390" s="205">
        <v>19393442</v>
      </c>
      <c r="B390" s="215"/>
      <c r="C390" s="205"/>
      <c r="D390" s="205"/>
      <c r="E390" s="205"/>
      <c r="F390" s="205" t="s">
        <v>275</v>
      </c>
      <c r="G390" s="215">
        <v>45684</v>
      </c>
      <c r="H390" s="215">
        <v>45684</v>
      </c>
      <c r="I390" s="216">
        <v>480</v>
      </c>
      <c r="J390" s="205"/>
      <c r="K390" s="205"/>
      <c r="L390" s="205" t="s">
        <v>18</v>
      </c>
      <c r="M390" s="215">
        <v>45685</v>
      </c>
      <c r="N390" s="218">
        <f>Tabela13891011121314[[#This Row],[Valor recibo]]</f>
        <v>480</v>
      </c>
      <c r="O390" s="216"/>
      <c r="P390" s="205" t="s">
        <v>70</v>
      </c>
    </row>
    <row r="391" spans="1:16" ht="15.75">
      <c r="A391" s="205">
        <v>19399319</v>
      </c>
      <c r="B391" s="215"/>
      <c r="C391" s="205"/>
      <c r="D391" s="205"/>
      <c r="E391" s="205"/>
      <c r="F391" s="205">
        <v>51996</v>
      </c>
      <c r="G391" s="215">
        <v>45684</v>
      </c>
      <c r="H391" s="215">
        <v>45684</v>
      </c>
      <c r="I391" s="216">
        <v>476</v>
      </c>
      <c r="J391" s="205"/>
      <c r="K391" s="205"/>
      <c r="L391" s="205" t="s">
        <v>18</v>
      </c>
      <c r="M391" s="215">
        <v>45685</v>
      </c>
      <c r="N391" s="218">
        <f>Tabela13891011121314[[#This Row],[Valor recibo]]</f>
        <v>476</v>
      </c>
      <c r="O391" s="216"/>
      <c r="P391" s="205" t="s">
        <v>70</v>
      </c>
    </row>
    <row r="392" spans="1:16" ht="15.75">
      <c r="A392" s="205">
        <v>19399320</v>
      </c>
      <c r="B392" s="215"/>
      <c r="C392" s="205"/>
      <c r="D392" s="205"/>
      <c r="E392" s="205"/>
      <c r="F392" s="205">
        <v>51968</v>
      </c>
      <c r="G392" s="215">
        <v>45684</v>
      </c>
      <c r="H392" s="215">
        <v>45684</v>
      </c>
      <c r="I392" s="216">
        <v>238</v>
      </c>
      <c r="J392" s="205"/>
      <c r="K392" s="205"/>
      <c r="L392" s="205" t="s">
        <v>18</v>
      </c>
      <c r="M392" s="215">
        <v>45685</v>
      </c>
      <c r="N392" s="218">
        <f>Tabela13891011121314[[#This Row],[Valor recibo]]</f>
        <v>238</v>
      </c>
      <c r="O392" s="216"/>
      <c r="P392" s="205" t="s">
        <v>70</v>
      </c>
    </row>
    <row r="393" spans="1:16" ht="15.75">
      <c r="A393" s="205">
        <v>19385961</v>
      </c>
      <c r="B393" s="215"/>
      <c r="C393" s="205"/>
      <c r="D393" s="205"/>
      <c r="E393" s="205"/>
      <c r="F393" s="205">
        <v>51820</v>
      </c>
      <c r="G393" s="215">
        <v>45681</v>
      </c>
      <c r="H393" s="215">
        <v>45681</v>
      </c>
      <c r="I393" s="216">
        <v>238</v>
      </c>
      <c r="J393" s="205"/>
      <c r="K393" s="205"/>
      <c r="L393" s="205" t="s">
        <v>18</v>
      </c>
      <c r="M393" s="215">
        <v>45685</v>
      </c>
      <c r="N393" s="218">
        <f>Tabela13891011121314[[#This Row],[Valor recibo]]</f>
        <v>238</v>
      </c>
      <c r="O393" s="216"/>
      <c r="P393" s="205" t="s">
        <v>70</v>
      </c>
    </row>
    <row r="394" spans="1:16" ht="15.75">
      <c r="A394" s="205">
        <v>19355878</v>
      </c>
      <c r="B394" s="215"/>
      <c r="C394" s="205"/>
      <c r="D394" s="205"/>
      <c r="E394" s="205"/>
      <c r="F394" s="205">
        <v>51200</v>
      </c>
      <c r="G394" s="215">
        <v>45678</v>
      </c>
      <c r="H394" s="215">
        <v>45678</v>
      </c>
      <c r="I394" s="216">
        <v>238</v>
      </c>
      <c r="J394" s="205"/>
      <c r="K394" s="205"/>
      <c r="L394" s="205" t="s">
        <v>18</v>
      </c>
      <c r="M394" s="215">
        <v>45685</v>
      </c>
      <c r="N394" s="218">
        <f>Tabela13891011121314[[#This Row],[Valor recibo]]</f>
        <v>238</v>
      </c>
      <c r="O394" s="216"/>
      <c r="P394" s="205" t="s">
        <v>70</v>
      </c>
    </row>
    <row r="395" spans="1:16" ht="15.75">
      <c r="A395" s="205">
        <v>19378567</v>
      </c>
      <c r="B395" s="215"/>
      <c r="C395" s="205"/>
      <c r="D395" s="205"/>
      <c r="E395" s="205"/>
      <c r="F395" s="205" t="s">
        <v>276</v>
      </c>
      <c r="G395" s="215">
        <v>45680</v>
      </c>
      <c r="H395" s="215">
        <v>45680</v>
      </c>
      <c r="I395" s="216">
        <v>238</v>
      </c>
      <c r="J395" s="205"/>
      <c r="K395" s="205"/>
      <c r="L395" s="205" t="s">
        <v>18</v>
      </c>
      <c r="M395" s="215">
        <v>45685</v>
      </c>
      <c r="N395" s="218">
        <f>Tabela13891011121314[[#This Row],[Valor recibo]]</f>
        <v>238</v>
      </c>
      <c r="O395" s="216"/>
      <c r="P395" s="205" t="s">
        <v>70</v>
      </c>
    </row>
    <row r="396" spans="1:16" ht="15.75">
      <c r="A396" s="205">
        <v>19366900</v>
      </c>
      <c r="B396" s="215"/>
      <c r="C396" s="205"/>
      <c r="D396" s="205"/>
      <c r="E396" s="205"/>
      <c r="F396" s="205">
        <v>51456</v>
      </c>
      <c r="G396" s="215">
        <v>45679</v>
      </c>
      <c r="H396" s="215">
        <v>45679</v>
      </c>
      <c r="I396" s="216">
        <v>238</v>
      </c>
      <c r="J396" s="205"/>
      <c r="K396" s="205"/>
      <c r="L396" s="205" t="s">
        <v>18</v>
      </c>
      <c r="M396" s="215">
        <v>45685</v>
      </c>
      <c r="N396" s="218">
        <f>Tabela13891011121314[[#This Row],[Valor recibo]]</f>
        <v>238</v>
      </c>
      <c r="O396" s="216"/>
      <c r="P396" s="205" t="s">
        <v>70</v>
      </c>
    </row>
    <row r="397" spans="1:16" ht="15.75">
      <c r="A397" s="205">
        <v>19428348</v>
      </c>
      <c r="B397" s="215"/>
      <c r="C397" s="205"/>
      <c r="D397" s="205"/>
      <c r="E397" s="205"/>
      <c r="F397" s="205">
        <v>24553</v>
      </c>
      <c r="G397" s="215">
        <v>45685</v>
      </c>
      <c r="H397" s="215">
        <v>45685</v>
      </c>
      <c r="I397" s="216">
        <v>476</v>
      </c>
      <c r="J397" s="205"/>
      <c r="K397" s="205"/>
      <c r="L397" s="205" t="s">
        <v>18</v>
      </c>
      <c r="M397" s="215">
        <v>45685</v>
      </c>
      <c r="N397" s="218">
        <f>Tabela13891011121314[[#This Row],[Valor recibo]]</f>
        <v>476</v>
      </c>
      <c r="O397" s="216"/>
      <c r="P397" s="205" t="s">
        <v>70</v>
      </c>
    </row>
    <row r="398" spans="1:16" ht="15.75">
      <c r="A398" s="205">
        <v>19385963</v>
      </c>
      <c r="B398" s="215"/>
      <c r="C398" s="205"/>
      <c r="D398" s="205"/>
      <c r="E398" s="205"/>
      <c r="F398" s="205" t="s">
        <v>277</v>
      </c>
      <c r="G398" s="215">
        <v>45681</v>
      </c>
      <c r="H398" s="215">
        <v>45681</v>
      </c>
      <c r="I398" s="216">
        <v>464.1</v>
      </c>
      <c r="J398" s="205"/>
      <c r="K398" s="205"/>
      <c r="L398" s="205" t="s">
        <v>18</v>
      </c>
      <c r="M398" s="215">
        <v>45685</v>
      </c>
      <c r="N398" s="218">
        <f>Tabela13891011121314[[#This Row],[Valor recibo]]</f>
        <v>464.1</v>
      </c>
      <c r="O398" s="216"/>
      <c r="P398" s="205" t="s">
        <v>70</v>
      </c>
    </row>
    <row r="399" spans="1:16" ht="15.75">
      <c r="A399" s="205">
        <v>19393036</v>
      </c>
      <c r="B399" s="215"/>
      <c r="C399" s="205"/>
      <c r="D399" s="205"/>
      <c r="E399" s="205"/>
      <c r="F399" s="205">
        <v>52202</v>
      </c>
      <c r="G399" s="215">
        <v>45685</v>
      </c>
      <c r="H399" s="215">
        <v>45685</v>
      </c>
      <c r="I399" s="216">
        <v>0</v>
      </c>
      <c r="J399" s="205"/>
      <c r="K399" s="205"/>
      <c r="L399" s="205" t="s">
        <v>18</v>
      </c>
      <c r="M399" s="215">
        <v>45685</v>
      </c>
      <c r="N399" s="218">
        <f>Tabela13891011121314[[#This Row],[Valor recibo]]</f>
        <v>0</v>
      </c>
      <c r="O399" s="216"/>
      <c r="P399" s="219" t="s">
        <v>81</v>
      </c>
    </row>
    <row r="400" spans="1:16" ht="15.75">
      <c r="A400" s="205">
        <v>19399444</v>
      </c>
      <c r="B400" s="215"/>
      <c r="C400" s="205"/>
      <c r="D400" s="205"/>
      <c r="E400" s="205"/>
      <c r="F400" s="205">
        <v>52288</v>
      </c>
      <c r="G400" s="215">
        <v>45685</v>
      </c>
      <c r="H400" s="215">
        <v>45685</v>
      </c>
      <c r="I400" s="216">
        <v>459</v>
      </c>
      <c r="J400" s="205"/>
      <c r="K400" s="205"/>
      <c r="L400" s="205" t="s">
        <v>18</v>
      </c>
      <c r="M400" s="215">
        <v>45685</v>
      </c>
      <c r="N400" s="218">
        <f>Tabela13891011121314[[#This Row],[Valor recibo]]</f>
        <v>459</v>
      </c>
      <c r="O400" s="216"/>
      <c r="P400" s="205" t="s">
        <v>70</v>
      </c>
    </row>
    <row r="401" spans="1:16" ht="15.75">
      <c r="A401" s="205">
        <v>19393433</v>
      </c>
      <c r="B401" s="215"/>
      <c r="C401" s="205"/>
      <c r="D401" s="205"/>
      <c r="E401" s="205"/>
      <c r="F401" s="205">
        <v>52237</v>
      </c>
      <c r="G401" s="215">
        <v>45685</v>
      </c>
      <c r="H401" s="215">
        <v>45685</v>
      </c>
      <c r="I401" s="216">
        <v>560</v>
      </c>
      <c r="J401" s="205"/>
      <c r="K401" s="205"/>
      <c r="L401" s="205" t="s">
        <v>18</v>
      </c>
      <c r="M401" s="215">
        <v>45685</v>
      </c>
      <c r="N401" s="218">
        <f>Tabela13891011121314[[#This Row],[Valor recibo]]</f>
        <v>560</v>
      </c>
      <c r="O401" s="216"/>
      <c r="P401" s="205" t="s">
        <v>70</v>
      </c>
    </row>
    <row r="402" spans="1:16" ht="15.75">
      <c r="A402" s="205">
        <v>19398723</v>
      </c>
      <c r="B402" s="215"/>
      <c r="C402" s="205"/>
      <c r="D402" s="205"/>
      <c r="E402" s="205"/>
      <c r="F402" s="205" t="s">
        <v>278</v>
      </c>
      <c r="G402" s="215">
        <v>45685</v>
      </c>
      <c r="H402" s="215">
        <v>45685</v>
      </c>
      <c r="I402" s="216">
        <v>1288</v>
      </c>
      <c r="J402" s="205"/>
      <c r="K402" s="205"/>
      <c r="L402" s="205" t="s">
        <v>18</v>
      </c>
      <c r="M402" s="215">
        <v>45685</v>
      </c>
      <c r="N402" s="218">
        <f>Tabela13891011121314[[#This Row],[Valor recibo]]</f>
        <v>1288</v>
      </c>
      <c r="O402" s="216"/>
      <c r="P402" s="205" t="s">
        <v>70</v>
      </c>
    </row>
    <row r="403" spans="1:16" ht="15.75">
      <c r="A403" s="205">
        <v>19399428</v>
      </c>
      <c r="B403" s="215"/>
      <c r="C403" s="205"/>
      <c r="D403" s="205"/>
      <c r="E403" s="205"/>
      <c r="F403" s="205" t="s">
        <v>279</v>
      </c>
      <c r="G403" s="215">
        <v>45685</v>
      </c>
      <c r="H403" s="215">
        <v>45685</v>
      </c>
      <c r="I403" s="216">
        <v>476</v>
      </c>
      <c r="J403" s="205"/>
      <c r="K403" s="205"/>
      <c r="L403" s="205" t="s">
        <v>18</v>
      </c>
      <c r="M403" s="215">
        <v>45685</v>
      </c>
      <c r="N403" s="218">
        <f>Tabela13891011121314[[#This Row],[Valor recibo]]</f>
        <v>476</v>
      </c>
      <c r="O403" s="216"/>
      <c r="P403" s="205" t="s">
        <v>70</v>
      </c>
    </row>
    <row r="404" spans="1:16" ht="15.75">
      <c r="A404" s="205">
        <v>19393435</v>
      </c>
      <c r="B404" s="215"/>
      <c r="C404" s="205"/>
      <c r="D404" s="205"/>
      <c r="E404" s="205"/>
      <c r="F404" s="205">
        <v>52272</v>
      </c>
      <c r="G404" s="215">
        <v>45685</v>
      </c>
      <c r="H404" s="215">
        <v>45685</v>
      </c>
      <c r="I404" s="216">
        <v>560</v>
      </c>
      <c r="J404" s="205"/>
      <c r="K404" s="205"/>
      <c r="L404" s="205" t="s">
        <v>18</v>
      </c>
      <c r="M404" s="215">
        <v>45685</v>
      </c>
      <c r="N404" s="218">
        <f>Tabela13891011121314[[#This Row],[Valor recibo]]</f>
        <v>560</v>
      </c>
      <c r="O404" s="216"/>
      <c r="P404" s="205" t="s">
        <v>70</v>
      </c>
    </row>
    <row r="405" spans="1:16" ht="15.75">
      <c r="A405" s="205">
        <v>19399342</v>
      </c>
      <c r="B405" s="215"/>
      <c r="C405" s="205"/>
      <c r="D405" s="205"/>
      <c r="E405" s="205"/>
      <c r="F405" s="205" t="s">
        <v>280</v>
      </c>
      <c r="G405" s="215">
        <v>45685</v>
      </c>
      <c r="H405" s="215">
        <v>45685</v>
      </c>
      <c r="I405" s="216">
        <v>1083</v>
      </c>
      <c r="J405" s="205"/>
      <c r="K405" s="205"/>
      <c r="L405" s="205" t="s">
        <v>18</v>
      </c>
      <c r="M405" s="215">
        <v>45686</v>
      </c>
      <c r="N405" s="218">
        <f>Tabela13891011121314[[#This Row],[Valor recibo]]</f>
        <v>1083</v>
      </c>
      <c r="O405" s="216"/>
      <c r="P405" s="205" t="s">
        <v>70</v>
      </c>
    </row>
    <row r="406" spans="1:16" ht="15.75">
      <c r="A406" s="205">
        <v>19426040</v>
      </c>
      <c r="B406" s="215"/>
      <c r="C406" s="205"/>
      <c r="D406" s="205"/>
      <c r="E406" s="205"/>
      <c r="F406" s="205">
        <v>24560</v>
      </c>
      <c r="G406" s="215">
        <v>45685</v>
      </c>
      <c r="H406" s="215">
        <v>45685</v>
      </c>
      <c r="I406" s="216">
        <v>0</v>
      </c>
      <c r="J406" s="205"/>
      <c r="K406" s="205"/>
      <c r="L406" s="205" t="s">
        <v>18</v>
      </c>
      <c r="M406" s="215">
        <v>45686</v>
      </c>
      <c r="N406" s="218">
        <f>Tabela13891011121314[[#This Row],[Valor recibo]]</f>
        <v>0</v>
      </c>
      <c r="O406" s="216"/>
      <c r="P406" s="205" t="s">
        <v>70</v>
      </c>
    </row>
    <row r="407" spans="1:16" ht="15.75">
      <c r="A407" s="205">
        <v>19298464</v>
      </c>
      <c r="B407" s="215"/>
      <c r="C407" s="205"/>
      <c r="D407" s="205"/>
      <c r="E407" s="205"/>
      <c r="F407" s="205">
        <v>50818</v>
      </c>
      <c r="G407" s="215">
        <v>45685</v>
      </c>
      <c r="H407" s="215">
        <v>45685</v>
      </c>
      <c r="I407" s="216">
        <v>2034.2</v>
      </c>
      <c r="J407" s="205"/>
      <c r="K407" s="205"/>
      <c r="L407" s="205" t="s">
        <v>18</v>
      </c>
      <c r="M407" s="215">
        <v>45686</v>
      </c>
      <c r="N407" s="218">
        <f>Tabela13891011121314[[#This Row],[Valor recibo]]</f>
        <v>2034.2</v>
      </c>
      <c r="O407" s="216"/>
      <c r="P407" s="205" t="s">
        <v>70</v>
      </c>
    </row>
    <row r="408" spans="1:16" ht="15.75">
      <c r="A408" s="205">
        <v>19426054</v>
      </c>
      <c r="B408" s="215"/>
      <c r="C408" s="205"/>
      <c r="D408" s="205"/>
      <c r="E408" s="205"/>
      <c r="F408" s="205">
        <v>24566</v>
      </c>
      <c r="G408" s="215">
        <v>45685</v>
      </c>
      <c r="H408" s="215">
        <v>45685</v>
      </c>
      <c r="I408" s="216">
        <v>951</v>
      </c>
      <c r="J408" s="205"/>
      <c r="K408" s="205"/>
      <c r="L408" s="205" t="s">
        <v>18</v>
      </c>
      <c r="M408" s="215">
        <v>45686</v>
      </c>
      <c r="N408" s="218">
        <f>Tabela13891011121314[[#This Row],[Valor recibo]]</f>
        <v>951</v>
      </c>
      <c r="O408" s="216"/>
      <c r="P408" s="205" t="s">
        <v>70</v>
      </c>
    </row>
    <row r="409" spans="1:16" ht="15.75">
      <c r="A409" s="205">
        <v>19399445</v>
      </c>
      <c r="B409" s="215"/>
      <c r="C409" s="205"/>
      <c r="D409" s="205"/>
      <c r="E409" s="205"/>
      <c r="F409" s="205">
        <v>52310</v>
      </c>
      <c r="G409" s="215">
        <v>45685</v>
      </c>
      <c r="H409" s="215">
        <v>45685</v>
      </c>
      <c r="I409" s="216">
        <v>476</v>
      </c>
      <c r="J409" s="205"/>
      <c r="K409" s="205"/>
      <c r="L409" s="205" t="s">
        <v>18</v>
      </c>
      <c r="M409" s="215">
        <v>45686</v>
      </c>
      <c r="N409" s="218">
        <f>Tabela13891011121314[[#This Row],[Valor recibo]]</f>
        <v>476</v>
      </c>
      <c r="O409" s="216"/>
      <c r="P409" s="205" t="s">
        <v>70</v>
      </c>
    </row>
    <row r="410" spans="1:16" ht="15.75">
      <c r="A410" s="205">
        <v>19391782</v>
      </c>
      <c r="B410" s="215"/>
      <c r="C410" s="205"/>
      <c r="D410" s="205"/>
      <c r="E410" s="205"/>
      <c r="F410" s="205" t="s">
        <v>281</v>
      </c>
      <c r="G410" s="215">
        <v>45685</v>
      </c>
      <c r="H410" s="215">
        <v>45685</v>
      </c>
      <c r="I410" s="216">
        <v>557.20000000000005</v>
      </c>
      <c r="J410" s="205"/>
      <c r="K410" s="205"/>
      <c r="L410" s="205" t="s">
        <v>18</v>
      </c>
      <c r="M410" s="215">
        <v>45686</v>
      </c>
      <c r="N410" s="218">
        <f>Tabela13891011121314[[#This Row],[Valor recibo]]</f>
        <v>557.20000000000005</v>
      </c>
      <c r="O410" s="216"/>
      <c r="P410" s="205" t="s">
        <v>70</v>
      </c>
    </row>
    <row r="411" spans="1:16" ht="15.75">
      <c r="A411" s="205">
        <v>19427925</v>
      </c>
      <c r="B411" s="215"/>
      <c r="C411" s="205"/>
      <c r="D411" s="205"/>
      <c r="E411" s="205"/>
      <c r="F411" s="205" t="s">
        <v>282</v>
      </c>
      <c r="G411" s="215">
        <v>45686</v>
      </c>
      <c r="H411" s="215">
        <v>45686</v>
      </c>
      <c r="I411" s="216">
        <v>476</v>
      </c>
      <c r="J411" s="205"/>
      <c r="K411" s="205"/>
      <c r="L411" s="205" t="s">
        <v>18</v>
      </c>
      <c r="M411" s="215">
        <v>45686</v>
      </c>
      <c r="N411" s="218">
        <f>Tabela13891011121314[[#This Row],[Valor recibo]]</f>
        <v>476</v>
      </c>
      <c r="O411" s="216"/>
      <c r="P411" s="205" t="s">
        <v>70</v>
      </c>
    </row>
    <row r="412" spans="1:16" ht="15.75">
      <c r="A412" s="205">
        <v>19427601</v>
      </c>
      <c r="B412" s="215"/>
      <c r="C412" s="205"/>
      <c r="D412" s="205"/>
      <c r="E412" s="205"/>
      <c r="F412" s="205" t="s">
        <v>283</v>
      </c>
      <c r="G412" s="215">
        <v>45686</v>
      </c>
      <c r="H412" s="215">
        <v>45686</v>
      </c>
      <c r="I412" s="216">
        <v>476</v>
      </c>
      <c r="J412" s="205"/>
      <c r="K412" s="205"/>
      <c r="L412" s="205" t="s">
        <v>18</v>
      </c>
      <c r="M412" s="215">
        <v>45686</v>
      </c>
      <c r="N412" s="218">
        <f>Tabela13891011121314[[#This Row],[Valor recibo]]</f>
        <v>476</v>
      </c>
      <c r="O412" s="216"/>
      <c r="P412" s="205" t="s">
        <v>70</v>
      </c>
    </row>
    <row r="413" spans="1:16" ht="15.75">
      <c r="A413" s="205">
        <v>19428543</v>
      </c>
      <c r="B413" s="215"/>
      <c r="C413" s="205"/>
      <c r="D413" s="205"/>
      <c r="E413" s="205"/>
      <c r="F413" s="205" t="s">
        <v>284</v>
      </c>
      <c r="G413" s="215">
        <v>45686</v>
      </c>
      <c r="H413" s="215">
        <v>45686</v>
      </c>
      <c r="I413" s="216">
        <v>476</v>
      </c>
      <c r="J413" s="205"/>
      <c r="K413" s="205"/>
      <c r="L413" s="205" t="s">
        <v>18</v>
      </c>
      <c r="M413" s="215">
        <v>45686</v>
      </c>
      <c r="N413" s="218">
        <f>Tabela13891011121314[[#This Row],[Valor recibo]]</f>
        <v>476</v>
      </c>
      <c r="O413" s="216"/>
      <c r="P413" s="205" t="s">
        <v>70</v>
      </c>
    </row>
    <row r="414" spans="1:16" ht="15.75">
      <c r="A414" s="205">
        <v>19426648</v>
      </c>
      <c r="B414" s="215"/>
      <c r="C414" s="205"/>
      <c r="D414" s="205"/>
      <c r="E414" s="205"/>
      <c r="F414" s="205">
        <v>52204</v>
      </c>
      <c r="G414" s="215">
        <v>45685</v>
      </c>
      <c r="H414" s="215">
        <v>45685</v>
      </c>
      <c r="I414" s="216">
        <v>778.5</v>
      </c>
      <c r="J414" s="205"/>
      <c r="K414" s="205"/>
      <c r="L414" s="205" t="s">
        <v>18</v>
      </c>
      <c r="M414" s="215">
        <v>45686</v>
      </c>
      <c r="N414" s="218">
        <f>Tabela13891011121314[[#This Row],[Valor recibo]]</f>
        <v>778.5</v>
      </c>
      <c r="O414" s="216"/>
      <c r="P414" s="205" t="s">
        <v>70</v>
      </c>
    </row>
    <row r="415" spans="1:16" ht="15.75">
      <c r="A415" s="205">
        <v>19399446</v>
      </c>
      <c r="B415" s="215"/>
      <c r="C415" s="205"/>
      <c r="D415" s="205"/>
      <c r="E415" s="205"/>
      <c r="F415" s="205">
        <v>52316</v>
      </c>
      <c r="G415" s="215">
        <v>45685</v>
      </c>
      <c r="H415" s="215">
        <v>45685</v>
      </c>
      <c r="I415" s="216">
        <v>476</v>
      </c>
      <c r="J415" s="205"/>
      <c r="K415" s="205"/>
      <c r="L415" s="205" t="s">
        <v>18</v>
      </c>
      <c r="M415" s="215">
        <v>45686</v>
      </c>
      <c r="N415" s="218">
        <f>Tabela13891011121314[[#This Row],[Valor recibo]]</f>
        <v>476</v>
      </c>
      <c r="O415" s="216"/>
      <c r="P415" s="205" t="s">
        <v>70</v>
      </c>
    </row>
    <row r="416" spans="1:16" ht="15.75">
      <c r="A416" s="205">
        <v>19402370</v>
      </c>
      <c r="B416" s="215"/>
      <c r="C416" s="205"/>
      <c r="D416" s="205"/>
      <c r="E416" s="205"/>
      <c r="F416" s="205" t="s">
        <v>285</v>
      </c>
      <c r="G416" s="215">
        <v>45685</v>
      </c>
      <c r="H416" s="215">
        <v>45685</v>
      </c>
      <c r="I416" s="216">
        <v>1020</v>
      </c>
      <c r="J416" s="205"/>
      <c r="K416" s="205"/>
      <c r="L416" s="205" t="s">
        <v>18</v>
      </c>
      <c r="M416" s="215">
        <v>45686</v>
      </c>
      <c r="N416" s="218">
        <f>Tabela13891011121314[[#This Row],[Valor recibo]]</f>
        <v>1020</v>
      </c>
      <c r="O416" s="216"/>
      <c r="P416" s="205" t="s">
        <v>70</v>
      </c>
    </row>
    <row r="417" spans="1:16" ht="15.75">
      <c r="A417" s="205">
        <v>19360870</v>
      </c>
      <c r="B417" s="215"/>
      <c r="C417" s="205"/>
      <c r="D417" s="205"/>
      <c r="E417" s="205"/>
      <c r="F417" s="205" t="s">
        <v>286</v>
      </c>
      <c r="G417" s="215">
        <v>45685</v>
      </c>
      <c r="H417" s="215">
        <v>45685</v>
      </c>
      <c r="I417" s="216">
        <v>476</v>
      </c>
      <c r="J417" s="205"/>
      <c r="K417" s="205"/>
      <c r="L417" s="205" t="s">
        <v>18</v>
      </c>
      <c r="M417" s="215">
        <v>45686</v>
      </c>
      <c r="N417" s="218">
        <f>Tabela13891011121314[[#This Row],[Valor recibo]]</f>
        <v>476</v>
      </c>
      <c r="O417" s="216"/>
      <c r="P417" s="205" t="s">
        <v>70</v>
      </c>
    </row>
    <row r="418" spans="1:16" ht="15.75">
      <c r="A418" s="205">
        <v>19393513</v>
      </c>
      <c r="B418" s="215"/>
      <c r="C418" s="205"/>
      <c r="D418" s="205"/>
      <c r="E418" s="205"/>
      <c r="F418" s="205">
        <v>52280</v>
      </c>
      <c r="G418" s="215">
        <v>45685</v>
      </c>
      <c r="H418" s="215">
        <v>45685</v>
      </c>
      <c r="I418" s="216">
        <v>1580.16</v>
      </c>
      <c r="J418" s="205"/>
      <c r="K418" s="205"/>
      <c r="L418" s="205" t="s">
        <v>18</v>
      </c>
      <c r="M418" s="215">
        <v>45686</v>
      </c>
      <c r="N418" s="218">
        <f>Tabela13891011121314[[#This Row],[Valor recibo]]</f>
        <v>1580.16</v>
      </c>
      <c r="O418" s="216"/>
      <c r="P418" s="205" t="s">
        <v>70</v>
      </c>
    </row>
    <row r="419" spans="1:16" ht="15.75">
      <c r="A419" s="205">
        <v>19393443</v>
      </c>
      <c r="B419" s="215"/>
      <c r="C419" s="205"/>
      <c r="D419" s="205"/>
      <c r="E419" s="205"/>
      <c r="F419" s="205" t="s">
        <v>287</v>
      </c>
      <c r="G419" s="215">
        <v>45685</v>
      </c>
      <c r="H419" s="215">
        <v>45685</v>
      </c>
      <c r="I419" s="216">
        <v>238</v>
      </c>
      <c r="J419" s="205"/>
      <c r="K419" s="205"/>
      <c r="L419" s="205" t="s">
        <v>18</v>
      </c>
      <c r="M419" s="215">
        <v>45686</v>
      </c>
      <c r="N419" s="218">
        <f>Tabela13891011121314[[#This Row],[Valor recibo]]</f>
        <v>238</v>
      </c>
      <c r="O419" s="216"/>
      <c r="P419" s="205" t="s">
        <v>70</v>
      </c>
    </row>
    <row r="420" spans="1:16" ht="15.75">
      <c r="A420" s="205">
        <v>19398288</v>
      </c>
      <c r="B420" s="215"/>
      <c r="C420" s="205"/>
      <c r="D420" s="205"/>
      <c r="E420" s="205"/>
      <c r="F420" s="205">
        <v>51969</v>
      </c>
      <c r="G420" s="215">
        <v>45684</v>
      </c>
      <c r="H420" s="215">
        <v>45684</v>
      </c>
      <c r="I420" s="216">
        <v>238</v>
      </c>
      <c r="J420" s="205"/>
      <c r="K420" s="205"/>
      <c r="L420" s="205" t="s">
        <v>18</v>
      </c>
      <c r="M420" s="215">
        <v>45686</v>
      </c>
      <c r="N420" s="218">
        <f>Tabela13891011121314[[#This Row],[Valor recibo]]</f>
        <v>238</v>
      </c>
      <c r="O420" s="216"/>
      <c r="P420" s="205" t="s">
        <v>70</v>
      </c>
    </row>
    <row r="421" spans="1:16" ht="15.75">
      <c r="A421" s="205">
        <v>19366893</v>
      </c>
      <c r="B421" s="215"/>
      <c r="C421" s="205"/>
      <c r="D421" s="205"/>
      <c r="E421" s="205"/>
      <c r="F421" s="205" t="s">
        <v>288</v>
      </c>
      <c r="G421" s="215">
        <v>45679</v>
      </c>
      <c r="H421" s="215">
        <v>45679</v>
      </c>
      <c r="I421" s="216">
        <v>238</v>
      </c>
      <c r="J421" s="205"/>
      <c r="K421" s="205"/>
      <c r="L421" s="205" t="s">
        <v>18</v>
      </c>
      <c r="M421" s="215">
        <v>45686</v>
      </c>
      <c r="N421" s="218">
        <f>Tabela13891011121314[[#This Row],[Valor recibo]]</f>
        <v>238</v>
      </c>
      <c r="O421" s="216"/>
      <c r="P421" s="205" t="s">
        <v>70</v>
      </c>
    </row>
    <row r="422" spans="1:16" ht="15.75">
      <c r="A422" s="205">
        <v>19428629</v>
      </c>
      <c r="B422" s="215"/>
      <c r="C422" s="205"/>
      <c r="D422" s="205"/>
      <c r="E422" s="205"/>
      <c r="F422" s="205" t="s">
        <v>289</v>
      </c>
      <c r="G422" s="215">
        <v>45686</v>
      </c>
      <c r="H422" s="215">
        <v>45686</v>
      </c>
      <c r="I422" s="216">
        <v>476</v>
      </c>
      <c r="J422" s="205"/>
      <c r="K422" s="205"/>
      <c r="L422" s="205" t="s">
        <v>18</v>
      </c>
      <c r="M422" s="215">
        <v>45686</v>
      </c>
      <c r="N422" s="218">
        <f>Tabela13891011121314[[#This Row],[Valor recibo]]</f>
        <v>476</v>
      </c>
      <c r="O422" s="216"/>
      <c r="P422" s="205" t="s">
        <v>70</v>
      </c>
    </row>
    <row r="423" spans="1:16" ht="15.75">
      <c r="A423" s="205">
        <v>19428628</v>
      </c>
      <c r="B423" s="215"/>
      <c r="C423" s="205"/>
      <c r="D423" s="205"/>
      <c r="E423" s="205"/>
      <c r="F423" s="205" t="s">
        <v>290</v>
      </c>
      <c r="G423" s="215">
        <v>45686</v>
      </c>
      <c r="H423" s="215">
        <v>45686</v>
      </c>
      <c r="I423" s="216">
        <v>476</v>
      </c>
      <c r="J423" s="205"/>
      <c r="K423" s="205"/>
      <c r="L423" s="205" t="s">
        <v>18</v>
      </c>
      <c r="M423" s="215">
        <v>45686</v>
      </c>
      <c r="N423" s="218">
        <f>Tabela13891011121314[[#This Row],[Valor recibo]]</f>
        <v>476</v>
      </c>
      <c r="O423" s="216"/>
      <c r="P423" s="205" t="s">
        <v>70</v>
      </c>
    </row>
    <row r="424" spans="1:16" ht="15.75">
      <c r="A424" s="205">
        <v>19385959</v>
      </c>
      <c r="B424" s="215"/>
      <c r="C424" s="205"/>
      <c r="D424" s="205"/>
      <c r="E424" s="205"/>
      <c r="F424" s="205" t="s">
        <v>291</v>
      </c>
      <c r="G424" s="215">
        <v>45681</v>
      </c>
      <c r="H424" s="215">
        <v>45681</v>
      </c>
      <c r="I424" s="216">
        <v>238</v>
      </c>
      <c r="J424" s="205"/>
      <c r="K424" s="205"/>
      <c r="L424" s="205" t="s">
        <v>18</v>
      </c>
      <c r="M424" s="215">
        <v>45686</v>
      </c>
      <c r="N424" s="218">
        <f>Tabela13891011121314[[#This Row],[Valor recibo]]</f>
        <v>238</v>
      </c>
      <c r="O424" s="216"/>
      <c r="P424" s="205" t="s">
        <v>70</v>
      </c>
    </row>
    <row r="425" spans="1:16" ht="15.75">
      <c r="A425" s="205">
        <v>19398663</v>
      </c>
      <c r="B425" s="215"/>
      <c r="C425" s="205"/>
      <c r="D425" s="205"/>
      <c r="E425" s="205"/>
      <c r="F425" s="205" t="s">
        <v>292</v>
      </c>
      <c r="G425" s="215">
        <v>45685</v>
      </c>
      <c r="H425" s="215">
        <v>45685</v>
      </c>
      <c r="I425" s="216">
        <v>238</v>
      </c>
      <c r="J425" s="205"/>
      <c r="K425" s="205"/>
      <c r="L425" s="205" t="s">
        <v>18</v>
      </c>
      <c r="M425" s="215">
        <v>45686</v>
      </c>
      <c r="N425" s="218">
        <f>Tabela13891011121314[[#This Row],[Valor recibo]]</f>
        <v>238</v>
      </c>
      <c r="O425" s="216"/>
      <c r="P425" s="205" t="s">
        <v>70</v>
      </c>
    </row>
    <row r="426" spans="1:16" ht="15.75">
      <c r="A426" s="205">
        <v>19432776</v>
      </c>
      <c r="B426" s="215"/>
      <c r="C426" s="205"/>
      <c r="D426" s="205"/>
      <c r="E426" s="205"/>
      <c r="F426" s="205" t="s">
        <v>293</v>
      </c>
      <c r="G426" s="215">
        <v>45686</v>
      </c>
      <c r="H426" s="215">
        <v>45686</v>
      </c>
      <c r="I426" s="216">
        <v>238</v>
      </c>
      <c r="J426" s="205"/>
      <c r="K426" s="205"/>
      <c r="L426" s="205" t="s">
        <v>18</v>
      </c>
      <c r="M426" s="215">
        <v>45686</v>
      </c>
      <c r="N426" s="218">
        <f>Tabela13891011121314[[#This Row],[Valor recibo]]</f>
        <v>238</v>
      </c>
      <c r="O426" s="216"/>
      <c r="P426" s="205" t="s">
        <v>70</v>
      </c>
    </row>
    <row r="427" spans="1:16" ht="15.75">
      <c r="A427" s="205">
        <v>19392848</v>
      </c>
      <c r="B427" s="215"/>
      <c r="C427" s="205"/>
      <c r="D427" s="205"/>
      <c r="E427" s="205"/>
      <c r="F427" s="205" t="s">
        <v>294</v>
      </c>
      <c r="G427" s="215">
        <v>45684</v>
      </c>
      <c r="H427" s="215">
        <v>45684</v>
      </c>
      <c r="I427" s="216">
        <v>238</v>
      </c>
      <c r="J427" s="205"/>
      <c r="K427" s="205"/>
      <c r="L427" s="205" t="s">
        <v>18</v>
      </c>
      <c r="M427" s="215">
        <v>45686</v>
      </c>
      <c r="N427" s="218">
        <f>Tabela13891011121314[[#This Row],[Valor recibo]]</f>
        <v>238</v>
      </c>
      <c r="O427" s="216"/>
      <c r="P427" s="205" t="s">
        <v>70</v>
      </c>
    </row>
    <row r="428" spans="1:16" ht="15.75">
      <c r="A428" s="205">
        <v>19427602</v>
      </c>
      <c r="B428" s="215"/>
      <c r="C428" s="205"/>
      <c r="D428" s="205"/>
      <c r="E428" s="205"/>
      <c r="F428" s="205" t="s">
        <v>295</v>
      </c>
      <c r="G428" s="215">
        <v>45686</v>
      </c>
      <c r="H428" s="215">
        <v>45686</v>
      </c>
      <c r="I428" s="216">
        <v>476</v>
      </c>
      <c r="J428" s="205"/>
      <c r="K428" s="205"/>
      <c r="L428" s="205" t="s">
        <v>18</v>
      </c>
      <c r="M428" s="215">
        <v>45687</v>
      </c>
      <c r="N428" s="218">
        <f>Tabela13891011121314[[#This Row],[Valor recibo]]</f>
        <v>476</v>
      </c>
      <c r="O428" s="216"/>
      <c r="P428" s="205" t="s">
        <v>70</v>
      </c>
    </row>
    <row r="429" spans="1:16" ht="15.75">
      <c r="A429" s="205">
        <v>19428832</v>
      </c>
      <c r="B429" s="215"/>
      <c r="C429" s="205"/>
      <c r="D429" s="205"/>
      <c r="E429" s="205"/>
      <c r="F429" s="205">
        <v>24639</v>
      </c>
      <c r="G429" s="215">
        <v>45687</v>
      </c>
      <c r="H429" s="215">
        <v>45687</v>
      </c>
      <c r="I429" s="216">
        <v>476</v>
      </c>
      <c r="J429" s="205"/>
      <c r="K429" s="205"/>
      <c r="L429" s="205" t="s">
        <v>18</v>
      </c>
      <c r="M429" s="215">
        <v>45687</v>
      </c>
      <c r="N429" s="218">
        <f>Tabela13891011121314[[#This Row],[Valor recibo]]</f>
        <v>476</v>
      </c>
      <c r="O429" s="216"/>
      <c r="P429" s="205" t="s">
        <v>70</v>
      </c>
    </row>
    <row r="430" spans="1:16" ht="15.75">
      <c r="A430" s="205">
        <v>19428831</v>
      </c>
      <c r="B430" s="215"/>
      <c r="C430" s="205"/>
      <c r="D430" s="205"/>
      <c r="E430" s="205"/>
      <c r="F430" s="205">
        <v>24634</v>
      </c>
      <c r="G430" s="215">
        <v>45686</v>
      </c>
      <c r="H430" s="215">
        <v>45686</v>
      </c>
      <c r="I430" s="216">
        <v>476</v>
      </c>
      <c r="J430" s="205"/>
      <c r="K430" s="205"/>
      <c r="L430" s="205" t="s">
        <v>18</v>
      </c>
      <c r="M430" s="215">
        <v>45687</v>
      </c>
      <c r="N430" s="218">
        <f>Tabela13891011121314[[#This Row],[Valor recibo]]</f>
        <v>476</v>
      </c>
      <c r="O430" s="216"/>
      <c r="P430" s="205" t="s">
        <v>70</v>
      </c>
    </row>
    <row r="431" spans="1:16" ht="15.75">
      <c r="A431" s="205">
        <v>19381120</v>
      </c>
      <c r="B431" s="215"/>
      <c r="C431" s="205"/>
      <c r="D431" s="205"/>
      <c r="E431" s="205"/>
      <c r="F431" s="205" t="s">
        <v>296</v>
      </c>
      <c r="G431" s="215">
        <v>45685</v>
      </c>
      <c r="H431" s="215">
        <v>45685</v>
      </c>
      <c r="I431" s="216">
        <v>476</v>
      </c>
      <c r="J431" s="205"/>
      <c r="K431" s="205"/>
      <c r="L431" s="205" t="s">
        <v>18</v>
      </c>
      <c r="M431" s="215">
        <v>45687</v>
      </c>
      <c r="N431" s="218">
        <f>Tabela13891011121314[[#This Row],[Valor recibo]]</f>
        <v>476</v>
      </c>
      <c r="O431" s="216"/>
      <c r="P431" s="205" t="s">
        <v>70</v>
      </c>
    </row>
    <row r="432" spans="1:16" ht="15.75">
      <c r="A432" s="205">
        <v>19405031</v>
      </c>
      <c r="B432" s="215"/>
      <c r="C432" s="205"/>
      <c r="D432" s="205"/>
      <c r="E432" s="205"/>
      <c r="F432" s="205">
        <v>52400</v>
      </c>
      <c r="G432" s="215">
        <v>45686</v>
      </c>
      <c r="H432" s="215">
        <v>45686</v>
      </c>
      <c r="I432" s="216">
        <v>545.6</v>
      </c>
      <c r="J432" s="205"/>
      <c r="K432" s="205"/>
      <c r="L432" s="205" t="s">
        <v>18</v>
      </c>
      <c r="M432" s="215">
        <v>45687</v>
      </c>
      <c r="N432" s="218">
        <f>Tabela13891011121314[[#This Row],[Valor recibo]]</f>
        <v>545.6</v>
      </c>
      <c r="O432" s="216"/>
      <c r="P432" s="205" t="s">
        <v>70</v>
      </c>
    </row>
    <row r="433" spans="1:16" ht="15.75">
      <c r="A433" s="205">
        <v>19393515</v>
      </c>
      <c r="B433" s="215"/>
      <c r="C433" s="205"/>
      <c r="D433" s="205"/>
      <c r="E433" s="205"/>
      <c r="F433" s="205">
        <v>52466</v>
      </c>
      <c r="G433" s="215">
        <v>45686</v>
      </c>
      <c r="H433" s="215">
        <v>45686</v>
      </c>
      <c r="I433" s="216">
        <v>1573.3</v>
      </c>
      <c r="J433" s="205"/>
      <c r="K433" s="205"/>
      <c r="L433" s="205" t="s">
        <v>18</v>
      </c>
      <c r="M433" s="215">
        <v>45687</v>
      </c>
      <c r="N433" s="218">
        <f>Tabela13891011121314[[#This Row],[Valor recibo]]</f>
        <v>1573.3</v>
      </c>
      <c r="O433" s="216"/>
      <c r="P433" s="205" t="s">
        <v>70</v>
      </c>
    </row>
    <row r="434" spans="1:16" ht="15.75">
      <c r="A434" s="205">
        <v>19399379</v>
      </c>
      <c r="B434" s="215"/>
      <c r="C434" s="205"/>
      <c r="D434" s="205"/>
      <c r="E434" s="205"/>
      <c r="F434" s="205" t="s">
        <v>297</v>
      </c>
      <c r="G434" s="215">
        <v>45684</v>
      </c>
      <c r="H434" s="215">
        <v>45684</v>
      </c>
      <c r="I434" s="216">
        <v>238</v>
      </c>
      <c r="J434" s="205"/>
      <c r="K434" s="205"/>
      <c r="L434" s="205" t="s">
        <v>18</v>
      </c>
      <c r="M434" s="215">
        <v>45687</v>
      </c>
      <c r="N434" s="218">
        <f>Tabela13891011121314[[#This Row],[Valor recibo]]</f>
        <v>238</v>
      </c>
      <c r="O434" s="216"/>
      <c r="P434" s="205" t="s">
        <v>70</v>
      </c>
    </row>
    <row r="435" spans="1:16" ht="15.75">
      <c r="A435" s="205">
        <v>19398782</v>
      </c>
      <c r="B435" s="215"/>
      <c r="C435" s="205"/>
      <c r="D435" s="205"/>
      <c r="E435" s="205"/>
      <c r="F435" s="205" t="s">
        <v>298</v>
      </c>
      <c r="G435" s="215">
        <v>45686</v>
      </c>
      <c r="H435" s="215">
        <v>45686</v>
      </c>
      <c r="I435" s="216">
        <v>238</v>
      </c>
      <c r="J435" s="205"/>
      <c r="K435" s="205"/>
      <c r="L435" s="205" t="s">
        <v>18</v>
      </c>
      <c r="M435" s="215">
        <v>45687</v>
      </c>
      <c r="N435" s="218">
        <f>Tabela13891011121314[[#This Row],[Valor recibo]]</f>
        <v>238</v>
      </c>
      <c r="O435" s="216"/>
      <c r="P435" s="205" t="s">
        <v>70</v>
      </c>
    </row>
    <row r="436" spans="1:16" ht="15.75">
      <c r="A436" s="205">
        <v>19405002</v>
      </c>
      <c r="B436" s="215"/>
      <c r="C436" s="205"/>
      <c r="D436" s="205"/>
      <c r="E436" s="205"/>
      <c r="F436" s="205" t="s">
        <v>299</v>
      </c>
      <c r="G436" s="215">
        <v>45686</v>
      </c>
      <c r="H436" s="215">
        <v>45686</v>
      </c>
      <c r="I436" s="216">
        <v>300</v>
      </c>
      <c r="J436" s="205"/>
      <c r="K436" s="205"/>
      <c r="L436" s="205" t="s">
        <v>18</v>
      </c>
      <c r="M436" s="215">
        <v>45687</v>
      </c>
      <c r="N436" s="218">
        <f>Tabela13891011121314[[#This Row],[Valor recibo]]</f>
        <v>300</v>
      </c>
      <c r="O436" s="216"/>
      <c r="P436" s="219" t="s">
        <v>81</v>
      </c>
    </row>
    <row r="437" spans="1:16" ht="15.75">
      <c r="A437" s="205">
        <v>19427950</v>
      </c>
      <c r="B437" s="215"/>
      <c r="C437" s="205"/>
      <c r="D437" s="205"/>
      <c r="E437" s="205"/>
      <c r="F437" s="205" t="s">
        <v>300</v>
      </c>
      <c r="G437" s="215">
        <v>45686</v>
      </c>
      <c r="H437" s="215">
        <v>45686</v>
      </c>
      <c r="I437" s="216">
        <v>981</v>
      </c>
      <c r="J437" s="205"/>
      <c r="K437" s="205"/>
      <c r="L437" s="205" t="s">
        <v>18</v>
      </c>
      <c r="M437" s="215">
        <v>45687</v>
      </c>
      <c r="N437" s="218">
        <f>Tabela13891011121314[[#This Row],[Valor recibo]]</f>
        <v>981</v>
      </c>
      <c r="O437" s="216"/>
      <c r="P437" s="205"/>
    </row>
    <row r="438" spans="1:16" ht="15.75">
      <c r="A438" s="205">
        <v>19436400</v>
      </c>
      <c r="B438" s="215"/>
      <c r="C438" s="205"/>
      <c r="D438" s="205"/>
      <c r="E438" s="205"/>
      <c r="F438" s="205">
        <v>24690</v>
      </c>
      <c r="G438" s="215">
        <v>45687</v>
      </c>
      <c r="H438" s="215">
        <v>45687</v>
      </c>
      <c r="I438" s="216">
        <v>476</v>
      </c>
      <c r="J438" s="205"/>
      <c r="K438" s="205"/>
      <c r="L438" s="205" t="s">
        <v>18</v>
      </c>
      <c r="M438" s="215">
        <v>45687</v>
      </c>
      <c r="N438" s="218">
        <f>Tabela13891011121314[[#This Row],[Valor recibo]]</f>
        <v>476</v>
      </c>
      <c r="O438" s="216"/>
      <c r="P438" s="205"/>
    </row>
    <row r="439" spans="1:16" ht="15.75">
      <c r="A439" s="205">
        <v>19429668</v>
      </c>
      <c r="B439" s="215"/>
      <c r="C439" s="205"/>
      <c r="D439" s="205"/>
      <c r="E439" s="205"/>
      <c r="F439" s="205">
        <v>52740</v>
      </c>
      <c r="G439" s="215">
        <v>45687</v>
      </c>
      <c r="H439" s="215">
        <v>45687</v>
      </c>
      <c r="I439" s="216">
        <v>476</v>
      </c>
      <c r="J439" s="205"/>
      <c r="K439" s="205"/>
      <c r="L439" s="205" t="s">
        <v>18</v>
      </c>
      <c r="M439" s="215">
        <v>45687</v>
      </c>
      <c r="N439" s="218">
        <f>Tabela13891011121314[[#This Row],[Valor recibo]]</f>
        <v>476</v>
      </c>
      <c r="O439" s="216"/>
      <c r="P439" s="205"/>
    </row>
    <row r="440" spans="1:16" ht="15.75">
      <c r="A440" s="205">
        <v>19429394</v>
      </c>
      <c r="B440" s="215"/>
      <c r="C440" s="205"/>
      <c r="D440" s="205"/>
      <c r="E440" s="205"/>
      <c r="F440" s="205" t="s">
        <v>301</v>
      </c>
      <c r="G440" s="215">
        <v>45687</v>
      </c>
      <c r="H440" s="215">
        <v>45687</v>
      </c>
      <c r="I440" s="216">
        <v>476</v>
      </c>
      <c r="J440" s="205"/>
      <c r="K440" s="205"/>
      <c r="L440" s="205" t="s">
        <v>18</v>
      </c>
      <c r="M440" s="215">
        <v>45687</v>
      </c>
      <c r="N440" s="218">
        <f>Tabela13891011121314[[#This Row],[Valor recibo]]</f>
        <v>476</v>
      </c>
      <c r="O440" s="216"/>
      <c r="P440" s="205"/>
    </row>
    <row r="441" spans="1:16" ht="15.75">
      <c r="A441" s="205">
        <v>19436669</v>
      </c>
      <c r="B441" s="215"/>
      <c r="C441" s="205"/>
      <c r="D441" s="205"/>
      <c r="E441" s="205"/>
      <c r="F441" s="205">
        <v>24649</v>
      </c>
      <c r="G441" s="215">
        <v>45686</v>
      </c>
      <c r="H441" s="215">
        <v>45686</v>
      </c>
      <c r="I441" s="216">
        <v>476</v>
      </c>
      <c r="J441" s="205"/>
      <c r="K441" s="205"/>
      <c r="L441" s="205" t="s">
        <v>18</v>
      </c>
      <c r="M441" s="215">
        <v>45687</v>
      </c>
      <c r="N441" s="218">
        <f>Tabela13891011121314[[#This Row],[Valor recibo]]</f>
        <v>476</v>
      </c>
      <c r="O441" s="216"/>
      <c r="P441" s="205"/>
    </row>
    <row r="442" spans="1:16" ht="15.75">
      <c r="A442" s="205">
        <v>19429398</v>
      </c>
      <c r="B442" s="215"/>
      <c r="C442" s="205"/>
      <c r="D442" s="205"/>
      <c r="E442" s="205"/>
      <c r="F442" s="205" t="s">
        <v>302</v>
      </c>
      <c r="G442" s="215">
        <v>45687</v>
      </c>
      <c r="H442" s="215">
        <v>45687</v>
      </c>
      <c r="I442" s="216">
        <v>442</v>
      </c>
      <c r="J442" s="205"/>
      <c r="K442" s="205"/>
      <c r="L442" s="205" t="s">
        <v>18</v>
      </c>
      <c r="M442" s="215">
        <v>45687</v>
      </c>
      <c r="N442" s="218">
        <f>Tabela13891011121314[[#This Row],[Valor recibo]]</f>
        <v>442</v>
      </c>
      <c r="O442" s="216"/>
      <c r="P442" s="205"/>
    </row>
    <row r="443" spans="1:16" ht="15.75">
      <c r="A443" s="205">
        <v>19429397</v>
      </c>
      <c r="B443" s="215"/>
      <c r="C443" s="205"/>
      <c r="D443" s="205"/>
      <c r="E443" s="205"/>
      <c r="F443" s="205" t="s">
        <v>303</v>
      </c>
      <c r="G443" s="215">
        <v>45687</v>
      </c>
      <c r="H443" s="215">
        <v>45687</v>
      </c>
      <c r="I443" s="216">
        <v>476</v>
      </c>
      <c r="J443" s="205"/>
      <c r="K443" s="205"/>
      <c r="L443" s="205" t="s">
        <v>18</v>
      </c>
      <c r="M443" s="215">
        <v>45687</v>
      </c>
      <c r="N443" s="218">
        <f>Tabela13891011121314[[#This Row],[Valor recibo]]</f>
        <v>476</v>
      </c>
      <c r="O443" s="216"/>
      <c r="P443" s="205"/>
    </row>
    <row r="444" spans="1:16" ht="15.75">
      <c r="A444" s="205">
        <v>19429667</v>
      </c>
      <c r="B444" s="215"/>
      <c r="C444" s="205"/>
      <c r="D444" s="205"/>
      <c r="E444" s="205"/>
      <c r="F444" s="205">
        <v>52765</v>
      </c>
      <c r="G444" s="215">
        <v>45687</v>
      </c>
      <c r="H444" s="215">
        <v>45687</v>
      </c>
      <c r="I444" s="216">
        <v>476</v>
      </c>
      <c r="J444" s="205"/>
      <c r="K444" s="205"/>
      <c r="L444" s="205" t="s">
        <v>18</v>
      </c>
      <c r="M444" s="215">
        <v>45687</v>
      </c>
      <c r="N444" s="218">
        <f>Tabela13891011121314[[#This Row],[Valor recibo]]</f>
        <v>476</v>
      </c>
      <c r="O444" s="216"/>
      <c r="P444" s="205"/>
    </row>
    <row r="445" spans="1:16" ht="15.75">
      <c r="A445" s="205">
        <v>19429649</v>
      </c>
      <c r="B445" s="215"/>
      <c r="C445" s="205"/>
      <c r="D445" s="205"/>
      <c r="E445" s="205"/>
      <c r="F445" s="205" t="s">
        <v>304</v>
      </c>
      <c r="G445" s="215">
        <v>45687</v>
      </c>
      <c r="H445" s="215">
        <v>45687</v>
      </c>
      <c r="I445" s="216">
        <v>238</v>
      </c>
      <c r="J445" s="205"/>
      <c r="K445" s="205"/>
      <c r="L445" s="205" t="s">
        <v>18</v>
      </c>
      <c r="M445" s="215">
        <v>45688</v>
      </c>
      <c r="N445" s="218">
        <f>Tabela13891011121314[[#This Row],[Valor recibo]]</f>
        <v>238</v>
      </c>
      <c r="O445" s="216"/>
      <c r="P445" s="205"/>
    </row>
    <row r="446" spans="1:16" ht="15.75">
      <c r="A446" s="205">
        <v>19429670</v>
      </c>
      <c r="B446" s="215"/>
      <c r="C446" s="205"/>
      <c r="D446" s="205"/>
      <c r="E446" s="205"/>
      <c r="F446" s="205">
        <v>52783</v>
      </c>
      <c r="G446" s="215">
        <v>45687</v>
      </c>
      <c r="H446" s="215">
        <v>45687</v>
      </c>
      <c r="I446" s="216">
        <v>476</v>
      </c>
      <c r="J446" s="205"/>
      <c r="K446" s="205"/>
      <c r="L446" s="205" t="s">
        <v>18</v>
      </c>
      <c r="M446" s="215">
        <v>45688</v>
      </c>
      <c r="N446" s="218">
        <f>Tabela13891011121314[[#This Row],[Valor recibo]]</f>
        <v>476</v>
      </c>
      <c r="O446" s="216"/>
      <c r="P446" s="205"/>
    </row>
    <row r="447" spans="1:16" ht="15.75">
      <c r="A447" s="205">
        <v>19429384</v>
      </c>
      <c r="B447" s="215"/>
      <c r="C447" s="205"/>
      <c r="D447" s="205"/>
      <c r="E447" s="205"/>
      <c r="F447" s="205" t="s">
        <v>305</v>
      </c>
      <c r="G447" s="215">
        <v>45688</v>
      </c>
      <c r="H447" s="215">
        <v>45688</v>
      </c>
      <c r="I447" s="216">
        <v>476</v>
      </c>
      <c r="J447" s="205"/>
      <c r="K447" s="205"/>
      <c r="L447" s="205" t="s">
        <v>18</v>
      </c>
      <c r="M447" s="215">
        <v>45688</v>
      </c>
      <c r="N447" s="218">
        <f>Tabela13891011121314[[#This Row],[Valor recibo]]</f>
        <v>476</v>
      </c>
      <c r="O447" s="216"/>
      <c r="P447" s="205"/>
    </row>
    <row r="448" spans="1:16" ht="15.75">
      <c r="A448" s="205">
        <v>19442068</v>
      </c>
      <c r="B448" s="215"/>
      <c r="C448" s="205"/>
      <c r="D448" s="205"/>
      <c r="E448" s="205"/>
      <c r="F448" s="205">
        <v>52957</v>
      </c>
      <c r="G448" s="215">
        <v>45688</v>
      </c>
      <c r="H448" s="215">
        <v>45688</v>
      </c>
      <c r="I448" s="216">
        <v>476</v>
      </c>
      <c r="J448" s="205"/>
      <c r="K448" s="205"/>
      <c r="L448" s="205" t="s">
        <v>18</v>
      </c>
      <c r="M448" s="215">
        <v>45688</v>
      </c>
      <c r="N448" s="218">
        <f>Tabela13891011121314[[#This Row],[Valor recibo]]</f>
        <v>476</v>
      </c>
      <c r="O448" s="216"/>
      <c r="P448" s="205"/>
    </row>
    <row r="449" spans="1:16" ht="15.75">
      <c r="A449" s="205">
        <v>19429666</v>
      </c>
      <c r="B449" s="215"/>
      <c r="C449" s="205"/>
      <c r="D449" s="205"/>
      <c r="E449" s="205"/>
      <c r="F449" s="205">
        <v>52820</v>
      </c>
      <c r="G449" s="215">
        <v>45688</v>
      </c>
      <c r="H449" s="215">
        <v>45688</v>
      </c>
      <c r="I449" s="216">
        <v>459</v>
      </c>
      <c r="J449" s="205"/>
      <c r="K449" s="205"/>
      <c r="L449" s="205" t="s">
        <v>18</v>
      </c>
      <c r="M449" s="215">
        <v>45688</v>
      </c>
      <c r="N449" s="218">
        <f>Tabela13891011121314[[#This Row],[Valor recibo]]</f>
        <v>459</v>
      </c>
      <c r="O449" s="216"/>
      <c r="P449" s="205"/>
    </row>
    <row r="450" spans="1:16" ht="15.75">
      <c r="A450" s="205">
        <v>19429389</v>
      </c>
      <c r="B450" s="215"/>
      <c r="C450" s="205"/>
      <c r="D450" s="205"/>
      <c r="E450" s="205"/>
      <c r="F450" s="205" t="s">
        <v>306</v>
      </c>
      <c r="G450" s="215">
        <v>45687</v>
      </c>
      <c r="H450" s="215">
        <v>45687</v>
      </c>
      <c r="I450" s="216">
        <v>476</v>
      </c>
      <c r="J450" s="205"/>
      <c r="K450" s="205"/>
      <c r="L450" s="205" t="s">
        <v>18</v>
      </c>
      <c r="M450" s="215">
        <v>45688</v>
      </c>
      <c r="N450" s="218">
        <f>Tabela13891011121314[[#This Row],[Valor recibo]]</f>
        <v>476</v>
      </c>
      <c r="O450" s="216"/>
      <c r="P450" s="205"/>
    </row>
    <row r="451" spans="1:16" ht="15.75">
      <c r="A451" s="205">
        <v>19409133</v>
      </c>
      <c r="B451" s="215"/>
      <c r="C451" s="205"/>
      <c r="D451" s="205"/>
      <c r="E451" s="205"/>
      <c r="F451" s="205" t="s">
        <v>307</v>
      </c>
      <c r="G451" s="215">
        <v>45687</v>
      </c>
      <c r="H451" s="215">
        <v>45687</v>
      </c>
      <c r="I451" s="216">
        <v>476</v>
      </c>
      <c r="J451" s="205"/>
      <c r="K451" s="205"/>
      <c r="L451" s="205" t="s">
        <v>18</v>
      </c>
      <c r="M451" s="215">
        <v>45688</v>
      </c>
      <c r="N451" s="218">
        <f>Tabela13891011121314[[#This Row],[Valor recibo]]</f>
        <v>476</v>
      </c>
      <c r="O451" s="216"/>
      <c r="P451" s="205"/>
    </row>
    <row r="452" spans="1:16" ht="15.75">
      <c r="A452" s="205">
        <v>19366602</v>
      </c>
      <c r="B452" s="215"/>
      <c r="C452" s="205"/>
      <c r="D452" s="205"/>
      <c r="E452" s="205"/>
      <c r="F452" s="205">
        <v>52665</v>
      </c>
      <c r="G452" s="215">
        <v>45687</v>
      </c>
      <c r="H452" s="215">
        <v>45687</v>
      </c>
      <c r="I452" s="216">
        <v>308</v>
      </c>
      <c r="J452" s="205"/>
      <c r="K452" s="205"/>
      <c r="L452" s="205" t="s">
        <v>18</v>
      </c>
      <c r="M452" s="215">
        <v>45688</v>
      </c>
      <c r="N452" s="218">
        <f>Tabela13891011121314[[#This Row],[Valor recibo]]</f>
        <v>308</v>
      </c>
      <c r="O452" s="216"/>
      <c r="P452" s="205"/>
    </row>
    <row r="453" spans="1:16" ht="15.75">
      <c r="A453" s="205">
        <v>19429390</v>
      </c>
      <c r="B453" s="215"/>
      <c r="C453" s="205"/>
      <c r="D453" s="205"/>
      <c r="E453" s="205"/>
      <c r="F453" s="205">
        <v>52662</v>
      </c>
      <c r="G453" s="215">
        <v>45687</v>
      </c>
      <c r="H453" s="215">
        <v>45687</v>
      </c>
      <c r="I453" s="216">
        <v>476</v>
      </c>
      <c r="J453" s="205"/>
      <c r="K453" s="205"/>
      <c r="L453" s="205" t="s">
        <v>18</v>
      </c>
      <c r="M453" s="215">
        <v>45688</v>
      </c>
      <c r="N453" s="218">
        <f>Tabela13891011121314[[#This Row],[Valor recibo]]</f>
        <v>476</v>
      </c>
      <c r="O453" s="216"/>
      <c r="P453" s="205"/>
    </row>
    <row r="454" spans="1:16" ht="15.75">
      <c r="A454" s="205">
        <v>19429392</v>
      </c>
      <c r="B454" s="215"/>
      <c r="C454" s="205"/>
      <c r="D454" s="205"/>
      <c r="E454" s="205"/>
      <c r="F454" s="205" t="s">
        <v>308</v>
      </c>
      <c r="G454" s="215">
        <v>45688</v>
      </c>
      <c r="H454" s="215">
        <v>45688</v>
      </c>
      <c r="I454" s="216">
        <v>476</v>
      </c>
      <c r="J454" s="205"/>
      <c r="K454" s="205"/>
      <c r="L454" s="205" t="s">
        <v>18</v>
      </c>
      <c r="M454" s="215">
        <v>45688</v>
      </c>
      <c r="N454" s="218">
        <f>Tabela13891011121314[[#This Row],[Valor recibo]]</f>
        <v>476</v>
      </c>
      <c r="O454" s="216"/>
      <c r="P454" s="205"/>
    </row>
    <row r="455" spans="1:16" ht="15.75">
      <c r="A455" s="205">
        <v>19427659</v>
      </c>
      <c r="B455" s="215"/>
      <c r="C455" s="205"/>
      <c r="D455" s="205"/>
      <c r="E455" s="205"/>
      <c r="F455" s="205" t="s">
        <v>309</v>
      </c>
      <c r="G455" s="215">
        <v>45687</v>
      </c>
      <c r="H455" s="215">
        <v>45687</v>
      </c>
      <c r="I455" s="216">
        <v>1330</v>
      </c>
      <c r="J455" s="205"/>
      <c r="K455" s="205"/>
      <c r="L455" s="205" t="s">
        <v>18</v>
      </c>
      <c r="M455" s="215">
        <v>45688</v>
      </c>
      <c r="N455" s="218">
        <f>Tabela13891011121314[[#This Row],[Valor recibo]]</f>
        <v>1330</v>
      </c>
      <c r="O455" s="216"/>
      <c r="P455" s="205"/>
    </row>
    <row r="456" spans="1:16" ht="15.75">
      <c r="A456" s="205">
        <v>19429646</v>
      </c>
      <c r="B456" s="215"/>
      <c r="C456" s="205"/>
      <c r="D456" s="205"/>
      <c r="E456" s="205"/>
      <c r="F456" s="205">
        <v>52772</v>
      </c>
      <c r="G456" s="215">
        <v>45687</v>
      </c>
      <c r="H456" s="215">
        <v>45687</v>
      </c>
      <c r="I456" s="216">
        <v>238</v>
      </c>
      <c r="J456" s="205"/>
      <c r="K456" s="205"/>
      <c r="L456" s="205" t="s">
        <v>18</v>
      </c>
      <c r="M456" s="215">
        <v>45688</v>
      </c>
      <c r="N456" s="218">
        <f>Tabela13891011121314[[#This Row],[Valor recibo]]</f>
        <v>238</v>
      </c>
      <c r="O456" s="216"/>
      <c r="P456" s="205"/>
    </row>
    <row r="457" spans="1:16" ht="15.75">
      <c r="A457" s="205">
        <v>19429645</v>
      </c>
      <c r="B457" s="215"/>
      <c r="C457" s="205"/>
      <c r="D457" s="205"/>
      <c r="E457" s="205"/>
      <c r="F457" s="205">
        <v>52454</v>
      </c>
      <c r="G457" s="215">
        <v>45686</v>
      </c>
      <c r="H457" s="215">
        <v>45686</v>
      </c>
      <c r="I457" s="216">
        <v>238</v>
      </c>
      <c r="J457" s="205"/>
      <c r="K457" s="205"/>
      <c r="L457" s="205" t="s">
        <v>18</v>
      </c>
      <c r="M457" s="215">
        <v>45688</v>
      </c>
      <c r="N457" s="218">
        <f>Tabela13891011121314[[#This Row],[Valor recibo]]</f>
        <v>238</v>
      </c>
      <c r="O457" s="216"/>
      <c r="P457" s="205"/>
    </row>
    <row r="458" spans="1:16" ht="15.75">
      <c r="A458" s="205">
        <v>19442967</v>
      </c>
      <c r="B458" s="215"/>
      <c r="C458" s="205"/>
      <c r="D458" s="205"/>
      <c r="E458" s="205"/>
      <c r="F458" s="205">
        <v>24685</v>
      </c>
      <c r="G458" s="215">
        <v>45688</v>
      </c>
      <c r="H458" s="215">
        <v>45688</v>
      </c>
      <c r="I458" s="216">
        <v>1680</v>
      </c>
      <c r="J458" s="205"/>
      <c r="K458" s="205"/>
      <c r="L458" s="205" t="s">
        <v>18</v>
      </c>
      <c r="M458" s="215">
        <v>45688</v>
      </c>
      <c r="N458" s="218">
        <f>Tabela13891011121314[[#This Row],[Valor recibo]]</f>
        <v>1680</v>
      </c>
      <c r="O458" s="216"/>
      <c r="P458" s="205"/>
    </row>
    <row r="459" spans="1:16" ht="15.75">
      <c r="A459" s="205">
        <v>19409118</v>
      </c>
      <c r="B459" s="215"/>
      <c r="C459" s="205"/>
      <c r="D459" s="205"/>
      <c r="E459" s="205"/>
      <c r="F459" s="205">
        <v>52884</v>
      </c>
      <c r="G459" s="215">
        <v>45688</v>
      </c>
      <c r="H459" s="215">
        <v>45688</v>
      </c>
      <c r="I459" s="216">
        <v>0</v>
      </c>
      <c r="J459" s="205"/>
      <c r="K459" s="205"/>
      <c r="L459" s="205" t="s">
        <v>18</v>
      </c>
      <c r="M459" s="215">
        <v>45688</v>
      </c>
      <c r="N459" s="218">
        <f>Tabela13891011121314[[#This Row],[Valor recibo]]</f>
        <v>0</v>
      </c>
      <c r="O459" s="216"/>
      <c r="P459" s="205"/>
    </row>
    <row r="460" spans="1:16" ht="15.75">
      <c r="A460" s="205">
        <v>19396608</v>
      </c>
      <c r="B460" s="215"/>
      <c r="C460" s="205"/>
      <c r="D460" s="205"/>
      <c r="E460" s="205"/>
      <c r="F460" s="205" t="s">
        <v>310</v>
      </c>
      <c r="G460" s="215">
        <v>45688</v>
      </c>
      <c r="H460" s="215">
        <v>45688</v>
      </c>
      <c r="I460" s="216">
        <v>1920</v>
      </c>
      <c r="J460" s="205"/>
      <c r="K460" s="205"/>
      <c r="L460" s="205" t="s">
        <v>18</v>
      </c>
      <c r="M460" s="215">
        <v>45688</v>
      </c>
      <c r="N460" s="218">
        <f>Tabela13891011121314[[#This Row],[Valor recibo]]</f>
        <v>1920</v>
      </c>
      <c r="O460" s="216"/>
      <c r="P460" s="205"/>
    </row>
    <row r="461" spans="1:16" ht="15.75">
      <c r="A461" s="205">
        <v>19429391</v>
      </c>
      <c r="B461" s="215"/>
      <c r="C461" s="205"/>
      <c r="D461" s="205"/>
      <c r="E461" s="205"/>
      <c r="F461" s="205" t="s">
        <v>311</v>
      </c>
      <c r="G461" s="215">
        <v>45688</v>
      </c>
      <c r="H461" s="215">
        <v>45688</v>
      </c>
      <c r="I461" s="216">
        <v>442</v>
      </c>
      <c r="J461" s="205"/>
      <c r="K461" s="205"/>
      <c r="L461" s="205" t="s">
        <v>18</v>
      </c>
      <c r="M461" s="215">
        <v>45688</v>
      </c>
      <c r="N461" s="218">
        <f>Tabela13891011121314[[#This Row],[Valor recibo]]</f>
        <v>442</v>
      </c>
      <c r="O461" s="216"/>
      <c r="P461" s="205"/>
    </row>
    <row r="462" spans="1:16" ht="15.75">
      <c r="A462" s="205">
        <v>19442072</v>
      </c>
      <c r="B462" s="215"/>
      <c r="C462" s="205"/>
      <c r="D462" s="205"/>
      <c r="E462" s="205"/>
      <c r="F462" s="205" t="s">
        <v>312</v>
      </c>
      <c r="G462" s="215">
        <v>45688</v>
      </c>
      <c r="H462" s="215">
        <v>45688</v>
      </c>
      <c r="I462" s="216">
        <v>476</v>
      </c>
      <c r="J462" s="205"/>
      <c r="K462" s="205"/>
      <c r="L462" s="205" t="s">
        <v>18</v>
      </c>
      <c r="M462" s="215">
        <v>45688</v>
      </c>
      <c r="N462" s="218">
        <f>Tabela13891011121314[[#This Row],[Valor recibo]]</f>
        <v>476</v>
      </c>
      <c r="O462" s="216"/>
      <c r="P462" s="205"/>
    </row>
    <row r="463" spans="1:16" ht="15.75">
      <c r="A463" s="205">
        <v>19429637</v>
      </c>
      <c r="B463" s="215"/>
      <c r="C463" s="205"/>
      <c r="D463" s="205"/>
      <c r="E463" s="205"/>
      <c r="F463" s="205" t="s">
        <v>313</v>
      </c>
      <c r="G463" s="215">
        <v>45688</v>
      </c>
      <c r="H463" s="215">
        <v>45688</v>
      </c>
      <c r="I463" s="216">
        <v>506</v>
      </c>
      <c r="J463" s="205"/>
      <c r="K463" s="205"/>
      <c r="L463" s="205" t="s">
        <v>18</v>
      </c>
      <c r="M463" s="215">
        <v>45688</v>
      </c>
      <c r="N463" s="218">
        <f>Tabela13891011121314[[#This Row],[Valor recibo]]</f>
        <v>506</v>
      </c>
      <c r="O463" s="216"/>
      <c r="P463" s="205"/>
    </row>
    <row r="464" spans="1:16" ht="15.75">
      <c r="A464" s="205">
        <v>19442070</v>
      </c>
      <c r="B464" s="215"/>
      <c r="C464" s="205"/>
      <c r="D464" s="205"/>
      <c r="E464" s="205"/>
      <c r="F464" s="205" t="s">
        <v>314</v>
      </c>
      <c r="G464" s="215">
        <v>45688</v>
      </c>
      <c r="H464" s="215">
        <v>45688</v>
      </c>
      <c r="I464" s="216">
        <v>476</v>
      </c>
      <c r="J464" s="205"/>
      <c r="K464" s="205"/>
      <c r="L464" s="205" t="s">
        <v>315</v>
      </c>
      <c r="M464" s="215"/>
      <c r="N464" s="218">
        <f>Tabela13891011121314[[#This Row],[Valor recibo]]</f>
        <v>476</v>
      </c>
      <c r="O464" s="216"/>
      <c r="P464" s="205"/>
    </row>
    <row r="465" spans="1:16" ht="15.75">
      <c r="A465" s="205"/>
      <c r="B465" s="215"/>
      <c r="C465" s="205"/>
      <c r="D465" s="205"/>
      <c r="E465" s="205"/>
      <c r="F465" s="205"/>
      <c r="G465" s="215"/>
      <c r="H465" s="215"/>
      <c r="I465" s="216"/>
      <c r="J465" s="205"/>
      <c r="K465" s="205"/>
      <c r="L465" s="205" t="s">
        <v>315</v>
      </c>
      <c r="M465" s="215"/>
      <c r="N465" s="218">
        <f>Tabela13891011121314[[#This Row],[Valor recibo]]</f>
        <v>0</v>
      </c>
      <c r="O465" s="216"/>
      <c r="P465" s="205"/>
    </row>
    <row r="466" spans="1:16" ht="15.75">
      <c r="A466" s="205"/>
      <c r="B466" s="215"/>
      <c r="C466" s="205"/>
      <c r="D466" s="205"/>
      <c r="E466" s="205"/>
      <c r="F466" s="205"/>
      <c r="G466" s="215"/>
      <c r="H466" s="215"/>
      <c r="I466" s="216"/>
      <c r="J466" s="205"/>
      <c r="K466" s="205"/>
      <c r="L466" s="205" t="s">
        <v>315</v>
      </c>
      <c r="M466" s="215"/>
      <c r="N466" s="218">
        <f>Tabela13891011121314[[#This Row],[Valor recibo]]</f>
        <v>0</v>
      </c>
      <c r="O466" s="216"/>
      <c r="P466" s="205"/>
    </row>
    <row r="467" spans="1:16" ht="15.75">
      <c r="A467" s="205"/>
      <c r="B467" s="215"/>
      <c r="C467" s="205"/>
      <c r="D467" s="205"/>
      <c r="E467" s="205"/>
      <c r="F467" s="205"/>
      <c r="G467" s="215"/>
      <c r="H467" s="215"/>
      <c r="I467" s="216"/>
      <c r="J467" s="205"/>
      <c r="K467" s="205"/>
      <c r="L467" s="205" t="s">
        <v>315</v>
      </c>
      <c r="M467" s="215"/>
      <c r="N467" s="218">
        <f>Tabela13891011121314[[#This Row],[Valor recibo]]</f>
        <v>0</v>
      </c>
      <c r="O467" s="216"/>
      <c r="P467" s="205"/>
    </row>
    <row r="468" spans="1:16" ht="15.75">
      <c r="A468" s="205"/>
      <c r="B468" s="215"/>
      <c r="C468" s="205"/>
      <c r="D468" s="205"/>
      <c r="E468" s="205"/>
      <c r="F468" s="205"/>
      <c r="G468" s="215"/>
      <c r="H468" s="215"/>
      <c r="I468" s="216"/>
      <c r="J468" s="205"/>
      <c r="K468" s="205"/>
      <c r="L468" s="205" t="s">
        <v>315</v>
      </c>
      <c r="M468" s="215"/>
      <c r="N468" s="218">
        <f>Tabela13891011121314[[#This Row],[Valor recibo]]</f>
        <v>0</v>
      </c>
      <c r="O468" s="216"/>
      <c r="P468" s="205"/>
    </row>
    <row r="469" spans="1:16" ht="15.75">
      <c r="A469" s="205"/>
      <c r="B469" s="215"/>
      <c r="C469" s="205"/>
      <c r="D469" s="205"/>
      <c r="E469" s="205"/>
      <c r="F469" s="205"/>
      <c r="G469" s="215"/>
      <c r="H469" s="215"/>
      <c r="I469" s="216"/>
      <c r="J469" s="205"/>
      <c r="K469" s="205"/>
      <c r="L469" s="205" t="s">
        <v>315</v>
      </c>
      <c r="M469" s="215"/>
      <c r="N469" s="218">
        <f>Tabela13891011121314[[#This Row],[Valor recibo]]</f>
        <v>0</v>
      </c>
      <c r="O469" s="216"/>
      <c r="P469" s="205"/>
    </row>
    <row r="470" spans="1:16" ht="15.75">
      <c r="A470" s="205"/>
      <c r="B470" s="215"/>
      <c r="C470" s="205"/>
      <c r="D470" s="205"/>
      <c r="E470" s="205"/>
      <c r="F470" s="205"/>
      <c r="G470" s="215"/>
      <c r="H470" s="215"/>
      <c r="I470" s="216"/>
      <c r="J470" s="205"/>
      <c r="K470" s="205"/>
      <c r="L470" s="205" t="s">
        <v>315</v>
      </c>
      <c r="M470" s="215"/>
      <c r="N470" s="218">
        <f>Tabela13891011121314[[#This Row],[Valor recibo]]</f>
        <v>0</v>
      </c>
      <c r="O470" s="216"/>
      <c r="P470" s="205"/>
    </row>
    <row r="471" spans="1:16" ht="15.75">
      <c r="A471" s="205"/>
      <c r="B471" s="215"/>
      <c r="C471" s="205"/>
      <c r="D471" s="205"/>
      <c r="E471" s="205"/>
      <c r="F471" s="205"/>
      <c r="G471" s="215"/>
      <c r="H471" s="215"/>
      <c r="I471" s="216"/>
      <c r="J471" s="205"/>
      <c r="K471" s="205"/>
      <c r="L471" s="205" t="s">
        <v>315</v>
      </c>
      <c r="M471" s="215"/>
      <c r="N471" s="218">
        <f>Tabela13891011121314[[#This Row],[Valor recibo]]</f>
        <v>0</v>
      </c>
      <c r="O471" s="216"/>
      <c r="P471" s="205"/>
    </row>
    <row r="472" spans="1:16" ht="15.75">
      <c r="A472" s="205"/>
      <c r="B472" s="215"/>
      <c r="C472" s="205"/>
      <c r="D472" s="205"/>
      <c r="E472" s="205"/>
      <c r="F472" s="205"/>
      <c r="G472" s="215"/>
      <c r="H472" s="215"/>
      <c r="I472" s="216"/>
      <c r="J472" s="205"/>
      <c r="K472" s="205"/>
      <c r="L472" s="205" t="s">
        <v>315</v>
      </c>
      <c r="M472" s="215"/>
      <c r="N472" s="218">
        <f>Tabela13891011121314[[#This Row],[Valor recibo]]</f>
        <v>0</v>
      </c>
      <c r="O472" s="216"/>
      <c r="P472" s="205"/>
    </row>
    <row r="473" spans="1:16" ht="15.75">
      <c r="A473" s="205"/>
      <c r="B473" s="215"/>
      <c r="C473" s="205"/>
      <c r="D473" s="205"/>
      <c r="E473" s="205"/>
      <c r="F473" s="205"/>
      <c r="G473" s="215"/>
      <c r="H473" s="215"/>
      <c r="I473" s="216"/>
      <c r="J473" s="205"/>
      <c r="K473" s="205"/>
      <c r="L473" s="205" t="s">
        <v>315</v>
      </c>
      <c r="M473" s="215"/>
      <c r="N473" s="218">
        <f>Tabela13891011121314[[#This Row],[Valor recibo]]</f>
        <v>0</v>
      </c>
      <c r="O473" s="216"/>
      <c r="P473" s="205"/>
    </row>
    <row r="474" spans="1:16" ht="15.75">
      <c r="A474" s="205"/>
      <c r="B474" s="215"/>
      <c r="C474" s="205"/>
      <c r="D474" s="205"/>
      <c r="E474" s="205"/>
      <c r="F474" s="205"/>
      <c r="G474" s="215"/>
      <c r="H474" s="215"/>
      <c r="I474" s="216"/>
      <c r="J474" s="205"/>
      <c r="K474" s="205"/>
      <c r="L474" s="205" t="s">
        <v>315</v>
      </c>
      <c r="M474" s="215"/>
      <c r="N474" s="218">
        <f>Tabela13891011121314[[#This Row],[Valor recibo]]</f>
        <v>0</v>
      </c>
      <c r="O474" s="216"/>
      <c r="P474" s="205"/>
    </row>
    <row r="475" spans="1:16" ht="15.75">
      <c r="A475" s="205"/>
      <c r="B475" s="215"/>
      <c r="C475" s="205"/>
      <c r="D475" s="205"/>
      <c r="E475" s="205"/>
      <c r="F475" s="205"/>
      <c r="G475" s="215"/>
      <c r="H475" s="215"/>
      <c r="I475" s="216"/>
      <c r="J475" s="205"/>
      <c r="K475" s="205"/>
      <c r="L475" s="205" t="s">
        <v>315</v>
      </c>
      <c r="M475" s="215"/>
      <c r="N475" s="218">
        <f>Tabela13891011121314[[#This Row],[Valor recibo]]</f>
        <v>0</v>
      </c>
      <c r="O475" s="216"/>
      <c r="P475" s="205"/>
    </row>
    <row r="476" spans="1:16" ht="15.75">
      <c r="A476" s="205"/>
      <c r="B476" s="215"/>
      <c r="C476" s="205"/>
      <c r="D476" s="205"/>
      <c r="E476" s="205"/>
      <c r="F476" s="205"/>
      <c r="G476" s="215"/>
      <c r="H476" s="215"/>
      <c r="I476" s="216"/>
      <c r="J476" s="205"/>
      <c r="K476" s="205"/>
      <c r="L476" s="205" t="s">
        <v>315</v>
      </c>
      <c r="M476" s="215"/>
      <c r="N476" s="218">
        <f>Tabela13891011121314[[#This Row],[Valor recibo]]</f>
        <v>0</v>
      </c>
      <c r="O476" s="216"/>
      <c r="P476" s="205"/>
    </row>
    <row r="477" spans="1:16" ht="15.75">
      <c r="A477" s="205"/>
      <c r="B477" s="215"/>
      <c r="C477" s="205"/>
      <c r="D477" s="205"/>
      <c r="E477" s="205"/>
      <c r="F477" s="205"/>
      <c r="G477" s="215"/>
      <c r="H477" s="215"/>
      <c r="I477" s="216"/>
      <c r="J477" s="205"/>
      <c r="K477" s="205"/>
      <c r="L477" s="205"/>
      <c r="M477" s="215"/>
      <c r="N477" s="218">
        <f>Tabela13891011121314[[#This Row],[Valor recibo]]</f>
        <v>0</v>
      </c>
      <c r="O477" s="216"/>
      <c r="P477" s="205"/>
    </row>
    <row r="478" spans="1:16" ht="15.75">
      <c r="A478" s="205"/>
      <c r="B478" s="215"/>
      <c r="C478" s="205"/>
      <c r="D478" s="205"/>
      <c r="E478" s="205"/>
      <c r="F478" s="205"/>
      <c r="G478" s="215"/>
      <c r="H478" s="215"/>
      <c r="I478" s="216"/>
      <c r="J478" s="205"/>
      <c r="K478" s="205"/>
      <c r="L478" s="205"/>
      <c r="M478" s="215"/>
      <c r="N478" s="218">
        <f>Tabela13891011121314[[#This Row],[Valor recibo]]</f>
        <v>0</v>
      </c>
      <c r="O478" s="216"/>
      <c r="P478" s="205"/>
    </row>
    <row r="479" spans="1:16" ht="15.75">
      <c r="A479" s="205"/>
      <c r="B479" s="215"/>
      <c r="C479" s="205"/>
      <c r="D479" s="205"/>
      <c r="E479" s="205"/>
      <c r="F479" s="205"/>
      <c r="G479" s="215"/>
      <c r="H479" s="215"/>
      <c r="I479" s="216"/>
      <c r="J479" s="205"/>
      <c r="K479" s="205"/>
      <c r="L479" s="205"/>
      <c r="M479" s="215"/>
      <c r="N479" s="218">
        <f>Tabela13891011121314[[#This Row],[Valor recibo]]</f>
        <v>0</v>
      </c>
      <c r="O479" s="216"/>
      <c r="P479" s="205"/>
    </row>
    <row r="480" spans="1:16" ht="15.75">
      <c r="A480" s="205"/>
      <c r="B480" s="215"/>
      <c r="C480" s="205"/>
      <c r="D480" s="205"/>
      <c r="E480" s="205"/>
      <c r="F480" s="205"/>
      <c r="G480" s="215"/>
      <c r="H480" s="215"/>
      <c r="I480" s="216"/>
      <c r="J480" s="205"/>
      <c r="K480" s="205"/>
      <c r="L480" s="205"/>
      <c r="M480" s="215"/>
      <c r="N480" s="218">
        <f>Tabela13891011121314[[#This Row],[Valor recibo]]</f>
        <v>0</v>
      </c>
      <c r="O480" s="216"/>
      <c r="P480" s="205"/>
    </row>
    <row r="481" spans="1:16" ht="15.75">
      <c r="A481" s="205"/>
      <c r="B481" s="215"/>
      <c r="C481" s="205"/>
      <c r="D481" s="205"/>
      <c r="E481" s="205"/>
      <c r="F481" s="205"/>
      <c r="G481" s="215"/>
      <c r="H481" s="215"/>
      <c r="I481" s="216"/>
      <c r="J481" s="205"/>
      <c r="K481" s="205"/>
      <c r="L481" s="205"/>
      <c r="M481" s="215"/>
      <c r="N481" s="218">
        <f>Tabela13891011121314[[#This Row],[Valor recibo]]</f>
        <v>0</v>
      </c>
      <c r="O481" s="216"/>
      <c r="P481" s="205"/>
    </row>
    <row r="482" spans="1:16" ht="15.75">
      <c r="A482" s="205"/>
      <c r="B482" s="215"/>
      <c r="C482" s="205"/>
      <c r="D482" s="205"/>
      <c r="E482" s="205"/>
      <c r="F482" s="205"/>
      <c r="G482" s="215"/>
      <c r="H482" s="215"/>
      <c r="I482" s="216"/>
      <c r="J482" s="205"/>
      <c r="K482" s="205"/>
      <c r="L482" s="205"/>
      <c r="M482" s="215"/>
      <c r="N482" s="218">
        <f>Tabela13891011121314[[#This Row],[Valor recibo]]</f>
        <v>0</v>
      </c>
      <c r="O482" s="216"/>
      <c r="P482" s="205"/>
    </row>
  </sheetData>
  <autoFilter ref="G483" xr:uid="{6AE87EAB-FEB8-4AA1-8AF8-A6C374DACD80}"/>
  <conditionalFormatting sqref="A1:A1048576">
    <cfRule type="duplicateValues" dxfId="542" priority="937"/>
  </conditionalFormatting>
  <conditionalFormatting sqref="A3:A482">
    <cfRule type="duplicateValues" dxfId="541" priority="936"/>
  </conditionalFormatting>
  <conditionalFormatting sqref="L3:L482">
    <cfRule type="cellIs" dxfId="540" priority="15" operator="equal">
      <formula>"LANÇADO"</formula>
    </cfRule>
    <cfRule type="cellIs" dxfId="539" priority="16" operator="equal">
      <formula>"PENDENTE"</formula>
    </cfRule>
  </conditionalFormatting>
  <conditionalFormatting sqref="N3:N482">
    <cfRule type="cellIs" dxfId="538" priority="3" operator="lessThan">
      <formula>0</formula>
    </cfRule>
  </conditionalFormatting>
  <conditionalFormatting sqref="O1:O6 N3:O482 O483:O1048576">
    <cfRule type="cellIs" dxfId="537" priority="18" operator="lessThan">
      <formula>0</formula>
    </cfRule>
  </conditionalFormatting>
  <dataValidations count="3">
    <dataValidation type="list" allowBlank="1" showInputMessage="1" showErrorMessage="1" sqref="J3:J482" xr:uid="{BB8870A4-9291-4B4C-A076-E3989800BB27}">
      <formula1>"PENDENTE,OK,ISENTO"</formula1>
    </dataValidation>
    <dataValidation type="list" allowBlank="1" showInputMessage="1" showErrorMessage="1" sqref="K3:K482" xr:uid="{8B0E5B26-FC74-4866-A7E2-5EF03AF455C6}">
      <formula1>"PENDENTE,ANEXADO,ISENTO"</formula1>
    </dataValidation>
    <dataValidation type="list" allowBlank="1" showInputMessage="1" showErrorMessage="1" sqref="L3:L482" xr:uid="{0A6B4B15-751A-4592-B5DC-608F3BCE4BDF}">
      <formula1>"LANÇADO,PENDENTE"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ED15-E4DA-4C4A-BD3F-09EE37556863}">
  <dimension ref="A1:P654"/>
  <sheetViews>
    <sheetView showGridLines="0" zoomScale="80" zoomScaleNormal="80" workbookViewId="0">
      <pane ySplit="2" topLeftCell="A3" activePane="bottomLeft" state="frozen"/>
      <selection pane="bottomLeft" activeCell="A3" sqref="A3"/>
    </sheetView>
  </sheetViews>
  <sheetFormatPr defaultRowHeight="15" customHeight="1"/>
  <cols>
    <col min="1" max="1" width="16.42578125" customWidth="1"/>
    <col min="2" max="2" width="13.42578125" customWidth="1"/>
    <col min="3" max="3" width="36.28515625" bestFit="1" customWidth="1"/>
    <col min="4" max="4" width="34.85546875" bestFit="1" customWidth="1"/>
    <col min="5" max="5" width="22" bestFit="1" customWidth="1"/>
    <col min="6" max="6" width="45.28515625" bestFit="1" customWidth="1"/>
    <col min="7" max="7" width="13.5703125" style="10" customWidth="1"/>
    <col min="8" max="8" width="11.42578125" style="17" customWidth="1"/>
    <col min="9" max="9" width="12.85546875" style="17" customWidth="1"/>
    <col min="10" max="10" width="11" customWidth="1"/>
    <col min="11" max="11" width="13.28515625" customWidth="1"/>
    <col min="12" max="12" width="12.42578125" customWidth="1"/>
    <col min="13" max="13" width="20.28515625" customWidth="1"/>
    <col min="14" max="14" width="14.5703125" style="15" customWidth="1"/>
    <col min="15" max="15" width="14.5703125" customWidth="1"/>
    <col min="16" max="16" width="20.85546875" customWidth="1"/>
  </cols>
  <sheetData>
    <row r="1" spans="1:16">
      <c r="N1" s="15">
        <f>SUBTOTAL(9,Tabela1345[Match_Planilha])</f>
        <v>0</v>
      </c>
      <c r="O1" s="15">
        <f>SUBTOTAL(9,O3:O654)</f>
        <v>0</v>
      </c>
    </row>
    <row r="2" spans="1:16" ht="21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1" t="s">
        <v>7</v>
      </c>
      <c r="I2" s="21" t="s">
        <v>8</v>
      </c>
      <c r="J2" s="19" t="s">
        <v>9</v>
      </c>
      <c r="K2" s="19" t="s">
        <v>10</v>
      </c>
      <c r="L2" s="22" t="s">
        <v>11</v>
      </c>
      <c r="M2" s="22" t="s">
        <v>317</v>
      </c>
      <c r="N2" s="23" t="s">
        <v>13</v>
      </c>
      <c r="O2" s="22" t="s">
        <v>14</v>
      </c>
      <c r="P2" s="22" t="s">
        <v>15</v>
      </c>
    </row>
    <row r="3" spans="1:16">
      <c r="A3" s="6"/>
      <c r="B3" s="7"/>
      <c r="C3" s="6"/>
      <c r="D3" s="6"/>
      <c r="E3" s="6"/>
      <c r="F3" s="1"/>
      <c r="G3" s="9"/>
      <c r="H3" s="16"/>
      <c r="I3" s="16"/>
      <c r="J3" s="1"/>
      <c r="K3" s="1"/>
      <c r="L3" s="1"/>
      <c r="M3" s="1"/>
      <c r="N3" s="14"/>
      <c r="O3" s="16"/>
      <c r="P3" s="1"/>
    </row>
    <row r="4" spans="1:16">
      <c r="A4" s="6"/>
      <c r="B4" s="7"/>
      <c r="C4" s="6"/>
      <c r="D4" s="6"/>
      <c r="E4" s="6"/>
      <c r="F4" s="1"/>
      <c r="G4" s="9"/>
      <c r="H4" s="9"/>
      <c r="I4" s="16"/>
      <c r="J4" s="1"/>
      <c r="K4" s="1"/>
      <c r="L4" s="1"/>
      <c r="M4" s="1"/>
      <c r="N4" s="14"/>
      <c r="O4" s="16"/>
      <c r="P4" s="1"/>
    </row>
    <row r="5" spans="1:16">
      <c r="A5" s="6"/>
      <c r="B5" s="7"/>
      <c r="C5" s="6"/>
      <c r="D5" s="6"/>
      <c r="E5" s="6"/>
      <c r="F5" s="1"/>
      <c r="G5" s="9"/>
      <c r="H5" s="9"/>
      <c r="I5" s="16"/>
      <c r="J5" s="1"/>
      <c r="K5" s="1"/>
      <c r="L5" s="1"/>
      <c r="M5" s="9"/>
      <c r="N5" s="14"/>
      <c r="O5" s="16"/>
      <c r="P5" s="1"/>
    </row>
    <row r="6" spans="1:16">
      <c r="A6" s="6"/>
      <c r="B6" s="7"/>
      <c r="C6" s="6"/>
      <c r="D6" s="6"/>
      <c r="E6" s="6"/>
      <c r="F6" s="1"/>
      <c r="G6" s="9"/>
      <c r="H6" s="16"/>
      <c r="I6" s="16"/>
      <c r="J6" s="1"/>
      <c r="K6" s="1"/>
      <c r="L6" s="1"/>
      <c r="M6" s="1"/>
      <c r="N6" s="14"/>
      <c r="O6" s="16"/>
      <c r="P6" s="1"/>
    </row>
    <row r="7" spans="1:16">
      <c r="A7" s="6"/>
      <c r="B7" s="7"/>
      <c r="C7" s="6"/>
      <c r="D7" s="6"/>
      <c r="E7" s="6"/>
      <c r="F7" s="1"/>
      <c r="G7" s="9"/>
      <c r="H7" s="9"/>
      <c r="I7" s="16"/>
      <c r="J7" s="1"/>
      <c r="K7" s="1"/>
      <c r="L7" s="1"/>
      <c r="M7" s="1"/>
      <c r="N7" s="14"/>
      <c r="O7" s="16"/>
      <c r="P7" s="1"/>
    </row>
    <row r="8" spans="1:16">
      <c r="A8" s="6"/>
      <c r="B8" s="7"/>
      <c r="C8" s="6"/>
      <c r="D8" s="6"/>
      <c r="E8" s="6"/>
      <c r="F8" s="1"/>
      <c r="G8" s="9"/>
      <c r="H8" s="16"/>
      <c r="I8" s="16"/>
      <c r="J8" s="1"/>
      <c r="K8" s="1"/>
      <c r="L8" s="1"/>
      <c r="M8" s="1"/>
      <c r="N8" s="14"/>
      <c r="O8" s="16"/>
      <c r="P8" s="1"/>
    </row>
    <row r="9" spans="1:16">
      <c r="A9" s="6"/>
      <c r="B9" s="7"/>
      <c r="C9" s="6"/>
      <c r="D9" s="6"/>
      <c r="E9" s="6"/>
      <c r="F9" s="1"/>
      <c r="G9" s="9"/>
      <c r="H9" s="16"/>
      <c r="I9" s="16"/>
      <c r="J9" s="1"/>
      <c r="K9" s="1"/>
      <c r="L9" s="1"/>
      <c r="M9" s="1"/>
      <c r="N9" s="14"/>
      <c r="O9" s="16"/>
      <c r="P9" s="1"/>
    </row>
    <row r="10" spans="1:16">
      <c r="A10" s="6"/>
      <c r="B10" s="7"/>
      <c r="C10" s="6"/>
      <c r="D10" s="6"/>
      <c r="E10" s="6"/>
      <c r="F10" s="1"/>
      <c r="G10" s="9"/>
      <c r="H10" s="9"/>
      <c r="I10" s="16"/>
      <c r="J10" s="1"/>
      <c r="K10" s="1"/>
      <c r="L10" s="1"/>
      <c r="M10" s="1"/>
      <c r="N10" s="14"/>
      <c r="O10" s="16"/>
      <c r="P10" s="1"/>
    </row>
    <row r="11" spans="1:16">
      <c r="A11" s="6"/>
      <c r="B11" s="7"/>
      <c r="C11" s="6"/>
      <c r="D11" s="6"/>
      <c r="E11" s="6"/>
      <c r="F11" s="1"/>
      <c r="G11" s="9"/>
      <c r="H11" s="16"/>
      <c r="I11" s="16"/>
      <c r="J11" s="1"/>
      <c r="K11" s="1"/>
      <c r="L11" s="1"/>
      <c r="M11" s="1"/>
      <c r="N11" s="14"/>
      <c r="O11" s="16"/>
      <c r="P11" s="1"/>
    </row>
    <row r="12" spans="1:16">
      <c r="A12" s="6"/>
      <c r="B12" s="7"/>
      <c r="C12" s="6"/>
      <c r="D12" s="6"/>
      <c r="E12" s="6"/>
      <c r="F12" s="1"/>
      <c r="G12" s="9"/>
      <c r="H12" s="9"/>
      <c r="I12" s="16"/>
      <c r="J12" s="1"/>
      <c r="K12" s="1"/>
      <c r="L12" s="1"/>
      <c r="M12" s="1"/>
      <c r="N12" s="14"/>
      <c r="O12" s="16"/>
      <c r="P12" s="1"/>
    </row>
    <row r="13" spans="1:16">
      <c r="A13" s="6"/>
      <c r="B13" s="7"/>
      <c r="C13" s="6"/>
      <c r="D13" s="6"/>
      <c r="E13" s="6"/>
      <c r="F13" s="1"/>
      <c r="G13" s="9"/>
      <c r="H13" s="9"/>
      <c r="I13" s="16"/>
      <c r="J13" s="1"/>
      <c r="K13" s="1"/>
      <c r="L13" s="1"/>
      <c r="M13" s="1"/>
      <c r="N13" s="14"/>
      <c r="O13" s="16"/>
      <c r="P13" s="1"/>
    </row>
    <row r="14" spans="1:16">
      <c r="A14" s="6"/>
      <c r="B14" s="7"/>
      <c r="C14" s="6"/>
      <c r="D14" s="6"/>
      <c r="E14" s="6"/>
      <c r="F14" s="1"/>
      <c r="G14" s="9"/>
      <c r="H14" s="16"/>
      <c r="I14" s="16"/>
      <c r="J14" s="1"/>
      <c r="K14" s="1"/>
      <c r="L14" s="1"/>
      <c r="M14" s="1"/>
      <c r="N14" s="14"/>
      <c r="O14" s="16"/>
      <c r="P14" s="1"/>
    </row>
    <row r="15" spans="1:16">
      <c r="A15" s="6"/>
      <c r="B15" s="7"/>
      <c r="C15" s="6"/>
      <c r="D15" s="6"/>
      <c r="E15" s="6"/>
      <c r="F15" s="1"/>
      <c r="G15" s="9"/>
      <c r="H15" s="9"/>
      <c r="I15" s="16"/>
      <c r="J15" s="1"/>
      <c r="K15" s="1"/>
      <c r="L15" s="1"/>
      <c r="M15" s="1"/>
      <c r="N15" s="14"/>
      <c r="O15" s="16"/>
      <c r="P15" s="1"/>
    </row>
    <row r="16" spans="1:16">
      <c r="A16" s="6"/>
      <c r="B16" s="7"/>
      <c r="C16" s="6"/>
      <c r="D16" s="6"/>
      <c r="E16" s="6"/>
      <c r="F16" s="1"/>
      <c r="G16" s="9"/>
      <c r="H16" s="16"/>
      <c r="I16" s="16"/>
      <c r="J16" s="1"/>
      <c r="K16" s="1"/>
      <c r="L16" s="1"/>
      <c r="M16" s="1"/>
      <c r="N16" s="14"/>
      <c r="O16" s="16"/>
      <c r="P16" s="1"/>
    </row>
    <row r="17" spans="1:16">
      <c r="A17" s="6"/>
      <c r="B17" s="7"/>
      <c r="C17" s="6"/>
      <c r="D17" s="6"/>
      <c r="E17" s="6"/>
      <c r="F17" s="1"/>
      <c r="G17" s="9"/>
      <c r="H17" s="9"/>
      <c r="I17" s="16"/>
      <c r="J17" s="1"/>
      <c r="K17" s="1"/>
      <c r="L17" s="1"/>
      <c r="M17" s="1"/>
      <c r="N17" s="14"/>
      <c r="O17" s="16"/>
      <c r="P17" s="1"/>
    </row>
    <row r="18" spans="1:16">
      <c r="A18" s="6"/>
      <c r="B18" s="7"/>
      <c r="C18" s="6"/>
      <c r="D18" s="6"/>
      <c r="E18" s="6"/>
      <c r="F18" s="1"/>
      <c r="G18" s="9"/>
      <c r="H18" s="16"/>
      <c r="I18" s="16"/>
      <c r="J18" s="1"/>
      <c r="K18" s="1"/>
      <c r="L18" s="1"/>
      <c r="M18" s="1"/>
      <c r="N18" s="14"/>
      <c r="O18" s="16"/>
      <c r="P18" s="1"/>
    </row>
    <row r="19" spans="1:16">
      <c r="A19" s="6"/>
      <c r="B19" s="7"/>
      <c r="C19" s="6"/>
      <c r="D19" s="6"/>
      <c r="E19" s="6"/>
      <c r="F19" s="1"/>
      <c r="G19" s="9"/>
      <c r="H19" s="16"/>
      <c r="I19" s="16"/>
      <c r="J19" s="1"/>
      <c r="K19" s="1"/>
      <c r="L19" s="1"/>
      <c r="M19" s="1"/>
      <c r="N19" s="14"/>
      <c r="O19" s="16"/>
      <c r="P19" s="1"/>
    </row>
    <row r="20" spans="1:16">
      <c r="A20" s="6"/>
      <c r="B20" s="7"/>
      <c r="C20" s="6"/>
      <c r="D20" s="6"/>
      <c r="E20" s="6"/>
      <c r="F20" s="1"/>
      <c r="G20" s="9"/>
      <c r="H20" s="66"/>
      <c r="I20" s="16"/>
      <c r="J20" s="1"/>
      <c r="K20" s="1"/>
      <c r="L20" s="1"/>
      <c r="M20" s="1"/>
      <c r="N20" s="14"/>
      <c r="O20" s="16"/>
      <c r="P20" s="1"/>
    </row>
    <row r="21" spans="1:16">
      <c r="A21" s="6"/>
      <c r="B21" s="7"/>
      <c r="C21" s="6"/>
      <c r="D21" s="6"/>
      <c r="E21" s="6"/>
      <c r="F21" s="1"/>
      <c r="G21" s="9"/>
      <c r="H21" s="9"/>
      <c r="I21" s="16"/>
      <c r="J21" s="1"/>
      <c r="K21" s="1"/>
      <c r="L21" s="1"/>
      <c r="M21" s="1"/>
      <c r="N21" s="14"/>
      <c r="O21" s="16"/>
      <c r="P21" s="1"/>
    </row>
    <row r="22" spans="1:16">
      <c r="A22" s="6"/>
      <c r="B22" s="7"/>
      <c r="C22" s="6"/>
      <c r="D22" s="6"/>
      <c r="E22" s="6"/>
      <c r="F22" s="1"/>
      <c r="G22" s="9"/>
      <c r="H22" s="9"/>
      <c r="I22" s="16"/>
      <c r="J22" s="1"/>
      <c r="K22" s="1"/>
      <c r="L22" s="1"/>
      <c r="M22" s="1"/>
      <c r="N22" s="14"/>
      <c r="O22" s="16"/>
      <c r="P22" s="1"/>
    </row>
    <row r="23" spans="1:16">
      <c r="A23" s="6"/>
      <c r="B23" s="7"/>
      <c r="C23" s="6"/>
      <c r="D23" s="6"/>
      <c r="E23" s="6"/>
      <c r="F23" s="1"/>
      <c r="G23" s="9"/>
      <c r="H23" s="9"/>
      <c r="I23" s="16"/>
      <c r="J23" s="1"/>
      <c r="K23" s="1"/>
      <c r="L23" s="1"/>
      <c r="M23" s="1"/>
      <c r="N23" s="14"/>
      <c r="O23" s="16"/>
      <c r="P23" s="1"/>
    </row>
    <row r="24" spans="1:16">
      <c r="A24" s="6"/>
      <c r="B24" s="7"/>
      <c r="C24" s="6"/>
      <c r="D24" s="6"/>
      <c r="E24" s="6"/>
      <c r="F24" s="1"/>
      <c r="G24" s="9"/>
      <c r="H24" s="9"/>
      <c r="I24" s="16"/>
      <c r="J24" s="1"/>
      <c r="K24" s="1"/>
      <c r="L24" s="1"/>
      <c r="M24" s="1"/>
      <c r="N24" s="14"/>
      <c r="O24" s="16"/>
      <c r="P24" s="1"/>
    </row>
    <row r="25" spans="1:16">
      <c r="A25" s="6"/>
      <c r="B25" s="7"/>
      <c r="C25" s="6"/>
      <c r="D25" s="6"/>
      <c r="E25" s="6"/>
      <c r="F25" s="1"/>
      <c r="G25" s="9"/>
      <c r="H25" s="9"/>
      <c r="I25" s="16"/>
      <c r="J25" s="1"/>
      <c r="K25" s="1"/>
      <c r="L25" s="1"/>
      <c r="M25" s="1"/>
      <c r="N25" s="14"/>
      <c r="O25" s="16"/>
      <c r="P25" s="1"/>
    </row>
    <row r="26" spans="1:16">
      <c r="A26" s="6"/>
      <c r="B26" s="7"/>
      <c r="C26" s="6"/>
      <c r="D26" s="6"/>
      <c r="E26" s="6"/>
      <c r="F26" s="1"/>
      <c r="G26" s="9"/>
      <c r="H26" s="16"/>
      <c r="I26" s="16"/>
      <c r="J26" s="1"/>
      <c r="K26" s="1"/>
      <c r="L26" s="1"/>
      <c r="M26" s="1"/>
      <c r="N26" s="14"/>
      <c r="O26" s="16"/>
      <c r="P26" s="1"/>
    </row>
    <row r="27" spans="1:16">
      <c r="A27" s="6"/>
      <c r="B27" s="7"/>
      <c r="C27" s="6"/>
      <c r="D27" s="6"/>
      <c r="E27" s="6"/>
      <c r="F27" s="1"/>
      <c r="G27" s="9"/>
      <c r="H27" s="16"/>
      <c r="I27" s="16"/>
      <c r="J27" s="1"/>
      <c r="K27" s="1"/>
      <c r="L27" s="1"/>
      <c r="M27" s="1"/>
      <c r="N27" s="14"/>
      <c r="O27" s="16"/>
      <c r="P27" s="1"/>
    </row>
    <row r="28" spans="1:16">
      <c r="A28" s="6"/>
      <c r="B28" s="7"/>
      <c r="C28" s="6"/>
      <c r="D28" s="6"/>
      <c r="E28" s="6"/>
      <c r="F28" s="1"/>
      <c r="G28" s="9"/>
      <c r="H28" s="9"/>
      <c r="I28" s="16"/>
      <c r="J28" s="1"/>
      <c r="K28" s="1"/>
      <c r="L28" s="1"/>
      <c r="M28" s="9"/>
      <c r="N28" s="14"/>
      <c r="O28" s="16"/>
      <c r="P28" s="1"/>
    </row>
    <row r="29" spans="1:16">
      <c r="A29" s="6"/>
      <c r="B29" s="7"/>
      <c r="C29" s="6"/>
      <c r="D29" s="6"/>
      <c r="E29" s="6"/>
      <c r="F29" s="1"/>
      <c r="G29" s="9"/>
      <c r="H29" s="9"/>
      <c r="I29" s="16"/>
      <c r="J29" s="1"/>
      <c r="K29" s="1"/>
      <c r="L29" s="1"/>
      <c r="M29" s="1"/>
      <c r="N29" s="14"/>
      <c r="O29" s="16"/>
      <c r="P29" s="1"/>
    </row>
    <row r="30" spans="1:16">
      <c r="A30" s="6"/>
      <c r="B30" s="7"/>
      <c r="C30" s="6"/>
      <c r="D30" s="6"/>
      <c r="E30" s="6"/>
      <c r="F30" s="1"/>
      <c r="G30" s="9"/>
      <c r="H30" s="9"/>
      <c r="I30" s="16"/>
      <c r="J30" s="1"/>
      <c r="K30" s="1"/>
      <c r="L30" s="1"/>
      <c r="M30" s="1"/>
      <c r="N30" s="14"/>
      <c r="O30" s="16"/>
      <c r="P30" s="1"/>
    </row>
    <row r="31" spans="1:16">
      <c r="A31" s="6"/>
      <c r="B31" s="7"/>
      <c r="C31" s="6"/>
      <c r="D31" s="6"/>
      <c r="E31" s="6"/>
      <c r="F31" s="1"/>
      <c r="G31" s="9"/>
      <c r="H31" s="9"/>
      <c r="I31" s="16"/>
      <c r="J31" s="1"/>
      <c r="K31" s="1"/>
      <c r="L31" s="1"/>
      <c r="M31" s="1"/>
      <c r="N31" s="14"/>
      <c r="O31" s="16"/>
      <c r="P31" s="1"/>
    </row>
    <row r="32" spans="1:16">
      <c r="A32" s="6"/>
      <c r="B32" s="7"/>
      <c r="C32" s="6"/>
      <c r="D32" s="6"/>
      <c r="E32" s="6"/>
      <c r="F32" s="1"/>
      <c r="G32" s="9"/>
      <c r="H32" s="16"/>
      <c r="I32" s="16"/>
      <c r="J32" s="1"/>
      <c r="K32" s="1"/>
      <c r="L32" s="1"/>
      <c r="M32" s="1"/>
      <c r="N32" s="14"/>
      <c r="O32" s="16"/>
      <c r="P32" s="1"/>
    </row>
    <row r="33" spans="1:16">
      <c r="A33" s="6"/>
      <c r="B33" s="7"/>
      <c r="C33" s="6"/>
      <c r="D33" s="6"/>
      <c r="E33" s="6"/>
      <c r="F33" s="1"/>
      <c r="G33" s="9"/>
      <c r="H33" s="9"/>
      <c r="I33" s="16"/>
      <c r="J33" s="1"/>
      <c r="K33" s="1"/>
      <c r="L33" s="1"/>
      <c r="M33" s="1"/>
      <c r="N33" s="14"/>
      <c r="O33" s="16"/>
      <c r="P33" s="1"/>
    </row>
    <row r="34" spans="1:16">
      <c r="A34" s="6"/>
      <c r="B34" s="7"/>
      <c r="C34" s="6"/>
      <c r="D34" s="6"/>
      <c r="E34" s="6"/>
      <c r="F34" s="1"/>
      <c r="G34" s="9"/>
      <c r="H34" s="16"/>
      <c r="I34" s="16"/>
      <c r="J34" s="1"/>
      <c r="K34" s="1"/>
      <c r="L34" s="1"/>
      <c r="M34" s="1"/>
      <c r="N34" s="14"/>
      <c r="O34" s="16"/>
      <c r="P34" s="1"/>
    </row>
    <row r="35" spans="1:16">
      <c r="A35" s="6"/>
      <c r="B35" s="7"/>
      <c r="C35" s="6"/>
      <c r="D35" s="6"/>
      <c r="E35" s="6"/>
      <c r="F35" s="1"/>
      <c r="G35" s="9"/>
      <c r="H35" s="16"/>
      <c r="I35" s="16"/>
      <c r="J35" s="1"/>
      <c r="K35" s="1"/>
      <c r="L35" s="1"/>
      <c r="M35" s="1"/>
      <c r="N35" s="14"/>
      <c r="O35" s="16"/>
      <c r="P35" s="1"/>
    </row>
    <row r="36" spans="1:16">
      <c r="A36" s="6"/>
      <c r="B36" s="7"/>
      <c r="C36" s="6"/>
      <c r="D36" s="6"/>
      <c r="E36" s="6"/>
      <c r="F36" s="1"/>
      <c r="G36" s="9"/>
      <c r="H36" s="16"/>
      <c r="I36" s="16"/>
      <c r="J36" s="1"/>
      <c r="K36" s="1"/>
      <c r="L36" s="1"/>
      <c r="M36" s="1"/>
      <c r="N36" s="14"/>
      <c r="O36" s="16"/>
      <c r="P36" s="1"/>
    </row>
    <row r="37" spans="1:16">
      <c r="A37" s="6"/>
      <c r="B37" s="7"/>
      <c r="C37" s="6"/>
      <c r="D37" s="6"/>
      <c r="E37" s="6"/>
      <c r="F37" s="1"/>
      <c r="G37" s="9"/>
      <c r="H37" s="9"/>
      <c r="I37" s="16"/>
      <c r="J37" s="1"/>
      <c r="K37" s="1"/>
      <c r="L37" s="1"/>
      <c r="M37" s="1"/>
      <c r="N37" s="14"/>
      <c r="O37" s="16"/>
      <c r="P37" s="1"/>
    </row>
    <row r="38" spans="1:16">
      <c r="A38" s="6"/>
      <c r="B38" s="7"/>
      <c r="C38" s="6"/>
      <c r="D38" s="6"/>
      <c r="E38" s="6"/>
      <c r="F38" s="1"/>
      <c r="G38" s="9"/>
      <c r="H38" s="16"/>
      <c r="I38" s="16"/>
      <c r="J38" s="1"/>
      <c r="K38" s="1"/>
      <c r="L38" s="1"/>
      <c r="M38" s="1"/>
      <c r="N38" s="14"/>
      <c r="O38" s="16"/>
      <c r="P38" s="1"/>
    </row>
    <row r="39" spans="1:16">
      <c r="A39" s="6"/>
      <c r="B39" s="7"/>
      <c r="C39" s="6"/>
      <c r="D39" s="6"/>
      <c r="E39" s="6"/>
      <c r="F39" s="1"/>
      <c r="G39" s="9"/>
      <c r="H39" s="9"/>
      <c r="I39" s="16"/>
      <c r="J39" s="1"/>
      <c r="K39" s="1"/>
      <c r="L39" s="1"/>
      <c r="M39" s="1"/>
      <c r="N39" s="14"/>
      <c r="O39" s="16"/>
      <c r="P39" s="1"/>
    </row>
    <row r="40" spans="1:16">
      <c r="A40" s="6"/>
      <c r="B40" s="7"/>
      <c r="C40" s="6"/>
      <c r="D40" s="6"/>
      <c r="E40" s="6"/>
      <c r="F40" s="1"/>
      <c r="G40" s="9"/>
      <c r="H40" s="9"/>
      <c r="I40" s="16"/>
      <c r="J40" s="1"/>
      <c r="K40" s="1"/>
      <c r="L40" s="1"/>
      <c r="M40" s="1"/>
      <c r="N40" s="14"/>
      <c r="O40" s="16"/>
      <c r="P40" s="1"/>
    </row>
    <row r="41" spans="1:16">
      <c r="A41" s="6"/>
      <c r="B41" s="7"/>
      <c r="C41" s="6"/>
      <c r="D41" s="6"/>
      <c r="E41" s="6"/>
      <c r="F41" s="1"/>
      <c r="G41" s="9"/>
      <c r="H41" s="16"/>
      <c r="I41" s="16"/>
      <c r="J41" s="1"/>
      <c r="K41" s="1"/>
      <c r="L41" s="1"/>
      <c r="M41" s="1"/>
      <c r="N41" s="14"/>
      <c r="O41" s="16"/>
      <c r="P41" s="1"/>
    </row>
    <row r="42" spans="1:16">
      <c r="A42" s="6"/>
      <c r="B42" s="7"/>
      <c r="C42" s="6"/>
      <c r="D42" s="6"/>
      <c r="E42" s="6"/>
      <c r="F42" s="1"/>
      <c r="G42" s="9"/>
      <c r="H42" s="9"/>
      <c r="I42" s="16"/>
      <c r="J42" s="1"/>
      <c r="K42" s="1"/>
      <c r="L42" s="1"/>
      <c r="M42" s="1"/>
      <c r="N42" s="14"/>
      <c r="O42" s="16"/>
      <c r="P42" s="1"/>
    </row>
    <row r="43" spans="1:16">
      <c r="A43" s="6"/>
      <c r="B43" s="7"/>
      <c r="C43" s="6"/>
      <c r="D43" s="6"/>
      <c r="E43" s="6"/>
      <c r="F43" s="1"/>
      <c r="G43" s="9"/>
      <c r="H43" s="9"/>
      <c r="I43" s="16"/>
      <c r="J43" s="1"/>
      <c r="K43" s="1"/>
      <c r="L43" s="1"/>
      <c r="M43" s="9"/>
      <c r="N43" s="14"/>
      <c r="O43" s="16"/>
      <c r="P43" s="1"/>
    </row>
    <row r="44" spans="1:16">
      <c r="A44" s="6"/>
      <c r="B44" s="7"/>
      <c r="C44" s="6"/>
      <c r="D44" s="6"/>
      <c r="E44" s="6"/>
      <c r="F44" s="1"/>
      <c r="G44" s="9"/>
      <c r="H44" s="16"/>
      <c r="I44" s="16"/>
      <c r="J44" s="1"/>
      <c r="K44" s="1"/>
      <c r="L44" s="1"/>
      <c r="M44" s="1"/>
      <c r="N44" s="14"/>
      <c r="O44" s="16"/>
      <c r="P44" s="1"/>
    </row>
    <row r="45" spans="1:16">
      <c r="A45" s="6"/>
      <c r="B45" s="7"/>
      <c r="C45" s="6"/>
      <c r="D45" s="6"/>
      <c r="E45" s="6"/>
      <c r="F45" s="1"/>
      <c r="G45" s="9"/>
      <c r="H45" s="16"/>
      <c r="I45" s="16"/>
      <c r="J45" s="1"/>
      <c r="K45" s="1"/>
      <c r="L45" s="1"/>
      <c r="M45" s="1"/>
      <c r="N45" s="14"/>
      <c r="O45" s="16"/>
      <c r="P45" s="1"/>
    </row>
    <row r="46" spans="1:16">
      <c r="A46" s="6"/>
      <c r="B46" s="7"/>
      <c r="C46" s="6"/>
      <c r="D46" s="6"/>
      <c r="E46" s="6"/>
      <c r="F46" s="1"/>
      <c r="G46" s="9"/>
      <c r="H46" s="9"/>
      <c r="I46" s="16"/>
      <c r="J46" s="1"/>
      <c r="K46" s="1"/>
      <c r="L46" s="1"/>
      <c r="M46" s="1"/>
      <c r="N46" s="14"/>
      <c r="O46" s="16"/>
      <c r="P46" s="1"/>
    </row>
    <row r="47" spans="1:16">
      <c r="A47" s="6"/>
      <c r="B47" s="7"/>
      <c r="C47" s="6"/>
      <c r="D47" s="6"/>
      <c r="E47" s="6"/>
      <c r="F47" s="1"/>
      <c r="G47" s="9"/>
      <c r="H47" s="16"/>
      <c r="I47" s="16"/>
      <c r="J47" s="1"/>
      <c r="K47" s="1"/>
      <c r="L47" s="1"/>
      <c r="M47" s="1"/>
      <c r="N47" s="14"/>
      <c r="O47" s="16"/>
      <c r="P47" s="1"/>
    </row>
    <row r="48" spans="1:16">
      <c r="A48" s="6"/>
      <c r="B48" s="7"/>
      <c r="C48" s="6"/>
      <c r="D48" s="6"/>
      <c r="E48" s="6"/>
      <c r="F48" s="1"/>
      <c r="G48" s="9"/>
      <c r="H48" s="9"/>
      <c r="I48" s="16"/>
      <c r="J48" s="1"/>
      <c r="K48" s="1"/>
      <c r="L48" s="1"/>
      <c r="M48" s="1"/>
      <c r="N48" s="14"/>
      <c r="O48" s="16"/>
      <c r="P48" s="1"/>
    </row>
    <row r="49" spans="1:16">
      <c r="A49" s="6"/>
      <c r="B49" s="7"/>
      <c r="C49" s="6"/>
      <c r="D49" s="6"/>
      <c r="E49" s="6"/>
      <c r="F49" s="1"/>
      <c r="G49" s="9"/>
      <c r="H49" s="16"/>
      <c r="I49" s="16"/>
      <c r="J49" s="1"/>
      <c r="K49" s="1"/>
      <c r="L49" s="1"/>
      <c r="M49" s="1"/>
      <c r="N49" s="14"/>
      <c r="O49" s="16"/>
      <c r="P49" s="1"/>
    </row>
    <row r="50" spans="1:16">
      <c r="A50" s="6"/>
      <c r="B50" s="7"/>
      <c r="C50" s="6"/>
      <c r="D50" s="6"/>
      <c r="E50" s="6"/>
      <c r="F50" s="1"/>
      <c r="G50" s="9"/>
      <c r="H50" s="9"/>
      <c r="I50" s="16"/>
      <c r="J50" s="1"/>
      <c r="K50" s="1"/>
      <c r="L50" s="1"/>
      <c r="M50" s="1"/>
      <c r="N50" s="14"/>
      <c r="O50" s="16"/>
      <c r="P50" s="1"/>
    </row>
    <row r="51" spans="1:16">
      <c r="A51" s="6"/>
      <c r="B51" s="7"/>
      <c r="C51" s="6"/>
      <c r="D51" s="6"/>
      <c r="E51" s="6"/>
      <c r="F51" s="1"/>
      <c r="G51" s="9"/>
      <c r="H51" s="16"/>
      <c r="I51" s="16"/>
      <c r="J51" s="1"/>
      <c r="K51" s="1"/>
      <c r="L51" s="1"/>
      <c r="M51" s="1"/>
      <c r="N51" s="14"/>
      <c r="O51" s="16"/>
      <c r="P51" s="1"/>
    </row>
    <row r="52" spans="1:16">
      <c r="A52" s="6"/>
      <c r="B52" s="7"/>
      <c r="C52" s="6"/>
      <c r="D52" s="6"/>
      <c r="E52" s="6"/>
      <c r="F52" s="1"/>
      <c r="G52" s="9"/>
      <c r="H52" s="9"/>
      <c r="I52" s="16"/>
      <c r="J52" s="1"/>
      <c r="K52" s="1"/>
      <c r="L52" s="1"/>
      <c r="M52" s="9"/>
      <c r="N52" s="14"/>
      <c r="O52" s="16"/>
      <c r="P52" s="1"/>
    </row>
    <row r="53" spans="1:16">
      <c r="A53" s="6"/>
      <c r="B53" s="7"/>
      <c r="C53" s="6"/>
      <c r="D53" s="6"/>
      <c r="E53" s="6"/>
      <c r="F53" s="1"/>
      <c r="G53" s="9"/>
      <c r="H53" s="9"/>
      <c r="I53" s="16"/>
      <c r="J53" s="1"/>
      <c r="K53" s="1"/>
      <c r="L53" s="1"/>
      <c r="M53" s="1"/>
      <c r="N53" s="14"/>
      <c r="O53" s="16"/>
      <c r="P53" s="1"/>
    </row>
    <row r="54" spans="1:16">
      <c r="A54" s="6"/>
      <c r="B54" s="7"/>
      <c r="C54" s="6"/>
      <c r="D54" s="6"/>
      <c r="E54" s="6"/>
      <c r="F54" s="1"/>
      <c r="G54" s="9"/>
      <c r="H54" s="9"/>
      <c r="I54" s="16"/>
      <c r="J54" s="1"/>
      <c r="K54" s="1"/>
      <c r="L54" s="1"/>
      <c r="M54" s="9"/>
      <c r="N54" s="14"/>
      <c r="O54" s="16"/>
      <c r="P54" s="1"/>
    </row>
    <row r="55" spans="1:16">
      <c r="A55" s="6"/>
      <c r="B55" s="7"/>
      <c r="C55" s="6"/>
      <c r="D55" s="6"/>
      <c r="E55" s="6"/>
      <c r="F55" s="1"/>
      <c r="G55" s="9"/>
      <c r="H55" s="16"/>
      <c r="I55" s="16"/>
      <c r="J55" s="1"/>
      <c r="K55" s="1"/>
      <c r="L55" s="1"/>
      <c r="M55" s="1"/>
      <c r="N55" s="14"/>
      <c r="O55" s="16"/>
      <c r="P55" s="1"/>
    </row>
    <row r="56" spans="1:16">
      <c r="A56" s="6"/>
      <c r="B56" s="7"/>
      <c r="C56" s="6"/>
      <c r="D56" s="6"/>
      <c r="E56" s="6"/>
      <c r="F56" s="1"/>
      <c r="G56" s="9"/>
      <c r="H56" s="16"/>
      <c r="I56" s="16"/>
      <c r="J56" s="1"/>
      <c r="K56" s="1"/>
      <c r="L56" s="1"/>
      <c r="M56" s="1"/>
      <c r="N56" s="14"/>
      <c r="O56" s="16"/>
      <c r="P56" s="1"/>
    </row>
    <row r="57" spans="1:16">
      <c r="A57" s="6"/>
      <c r="B57" s="7"/>
      <c r="C57" s="6"/>
      <c r="D57" s="6"/>
      <c r="E57" s="6"/>
      <c r="F57" s="1"/>
      <c r="G57" s="9"/>
      <c r="H57" s="16"/>
      <c r="I57" s="16"/>
      <c r="J57" s="1"/>
      <c r="K57" s="1"/>
      <c r="L57" s="1"/>
      <c r="M57" s="1"/>
      <c r="N57" s="14"/>
      <c r="O57" s="16"/>
      <c r="P57" s="1"/>
    </row>
    <row r="58" spans="1:16">
      <c r="A58" s="6"/>
      <c r="B58" s="7"/>
      <c r="C58" s="6"/>
      <c r="D58" s="6"/>
      <c r="E58" s="6"/>
      <c r="F58" s="1"/>
      <c r="G58" s="9"/>
      <c r="H58" s="16"/>
      <c r="I58" s="16"/>
      <c r="J58" s="1"/>
      <c r="K58" s="1"/>
      <c r="L58" s="1"/>
      <c r="M58" s="1"/>
      <c r="N58" s="14"/>
      <c r="O58" s="16"/>
      <c r="P58" s="1"/>
    </row>
    <row r="59" spans="1:16">
      <c r="A59" s="6"/>
      <c r="B59" s="7"/>
      <c r="C59" s="6"/>
      <c r="D59" s="6"/>
      <c r="E59" s="6"/>
      <c r="F59" s="1"/>
      <c r="G59" s="9"/>
      <c r="H59" s="9"/>
      <c r="I59" s="16"/>
      <c r="J59" s="1"/>
      <c r="K59" s="1"/>
      <c r="L59" s="1"/>
      <c r="M59" s="1"/>
      <c r="N59" s="14"/>
      <c r="O59" s="16"/>
      <c r="P59" s="1"/>
    </row>
    <row r="60" spans="1:16">
      <c r="A60" s="6"/>
      <c r="B60" s="7"/>
      <c r="C60" s="6"/>
      <c r="D60" s="6"/>
      <c r="E60" s="6"/>
      <c r="F60" s="1"/>
      <c r="G60" s="9"/>
      <c r="H60" s="9"/>
      <c r="I60" s="16"/>
      <c r="J60" s="1"/>
      <c r="K60" s="1"/>
      <c r="L60" s="1"/>
      <c r="M60" s="1"/>
      <c r="N60" s="14"/>
      <c r="O60" s="16"/>
      <c r="P60" s="1"/>
    </row>
    <row r="61" spans="1:16">
      <c r="A61" s="6"/>
      <c r="B61" s="7"/>
      <c r="C61" s="6"/>
      <c r="D61" s="6"/>
      <c r="E61" s="6"/>
      <c r="F61" s="1"/>
      <c r="G61" s="9"/>
      <c r="H61" s="16"/>
      <c r="I61" s="16"/>
      <c r="J61" s="1"/>
      <c r="K61" s="1"/>
      <c r="L61" s="1"/>
      <c r="M61" s="1"/>
      <c r="N61" s="14"/>
      <c r="O61" s="16"/>
      <c r="P61" s="1"/>
    </row>
    <row r="62" spans="1:16">
      <c r="A62" s="6"/>
      <c r="B62" s="7"/>
      <c r="C62" s="6"/>
      <c r="D62" s="6"/>
      <c r="E62" s="6"/>
      <c r="F62" s="1"/>
      <c r="G62" s="9"/>
      <c r="H62" s="16"/>
      <c r="I62" s="16"/>
      <c r="J62" s="1"/>
      <c r="K62" s="1"/>
      <c r="L62" s="1"/>
      <c r="M62" s="1"/>
      <c r="N62" s="14"/>
      <c r="O62" s="16"/>
      <c r="P62" s="1"/>
    </row>
    <row r="63" spans="1:16">
      <c r="A63" s="8"/>
      <c r="B63" s="7"/>
      <c r="C63" s="6"/>
      <c r="D63" s="6"/>
      <c r="E63" s="6"/>
      <c r="F63" s="1"/>
      <c r="G63" s="9"/>
      <c r="H63" s="9"/>
      <c r="I63" s="16"/>
      <c r="J63" s="1"/>
      <c r="K63" s="1"/>
      <c r="L63" s="1"/>
      <c r="M63" s="1"/>
      <c r="N63" s="14"/>
      <c r="O63" s="16"/>
      <c r="P63" s="1"/>
    </row>
    <row r="64" spans="1:16">
      <c r="A64" s="6"/>
      <c r="B64" s="7"/>
      <c r="C64" s="6"/>
      <c r="D64" s="6"/>
      <c r="E64" s="6"/>
      <c r="F64" s="1"/>
      <c r="G64" s="9"/>
      <c r="H64" s="9"/>
      <c r="I64" s="16"/>
      <c r="J64" s="1"/>
      <c r="K64" s="1"/>
      <c r="L64" s="1"/>
      <c r="M64" s="9"/>
      <c r="N64" s="14"/>
      <c r="O64" s="16"/>
      <c r="P64" s="1"/>
    </row>
    <row r="65" spans="1:16">
      <c r="A65" s="6"/>
      <c r="B65" s="7"/>
      <c r="C65" s="6"/>
      <c r="D65" s="6"/>
      <c r="E65" s="6"/>
      <c r="F65" s="1"/>
      <c r="G65" s="9"/>
      <c r="H65" s="16"/>
      <c r="I65" s="16"/>
      <c r="J65" s="1"/>
      <c r="K65" s="1"/>
      <c r="L65" s="1"/>
      <c r="M65" s="1"/>
      <c r="N65" s="14"/>
      <c r="O65" s="16"/>
      <c r="P65" s="1"/>
    </row>
    <row r="66" spans="1:16">
      <c r="A66" s="6"/>
      <c r="B66" s="7"/>
      <c r="C66" s="6"/>
      <c r="D66" s="6"/>
      <c r="E66" s="6"/>
      <c r="F66" s="1"/>
      <c r="G66" s="9"/>
      <c r="H66" s="9"/>
      <c r="I66" s="16"/>
      <c r="J66" s="1"/>
      <c r="K66" s="1"/>
      <c r="L66" s="1"/>
      <c r="M66" s="1"/>
      <c r="N66" s="14"/>
      <c r="O66" s="16"/>
      <c r="P66" s="1"/>
    </row>
    <row r="67" spans="1:16">
      <c r="A67" s="6"/>
      <c r="B67" s="7"/>
      <c r="C67" s="6"/>
      <c r="D67" s="6"/>
      <c r="E67" s="6"/>
      <c r="F67" s="1"/>
      <c r="G67" s="9"/>
      <c r="H67" s="16"/>
      <c r="I67" s="16"/>
      <c r="J67" s="1"/>
      <c r="K67" s="1"/>
      <c r="L67" s="1"/>
      <c r="M67" s="1"/>
      <c r="N67" s="14"/>
      <c r="O67" s="16"/>
      <c r="P67" s="1"/>
    </row>
    <row r="68" spans="1:16">
      <c r="A68" s="6"/>
      <c r="B68" s="7"/>
      <c r="C68" s="6"/>
      <c r="D68" s="6"/>
      <c r="E68" s="6"/>
      <c r="F68" s="1"/>
      <c r="G68" s="9"/>
      <c r="H68" s="16"/>
      <c r="I68" s="16"/>
      <c r="J68" s="1"/>
      <c r="K68" s="1"/>
      <c r="L68" s="1"/>
      <c r="M68" s="1"/>
      <c r="N68" s="14"/>
      <c r="O68" s="16"/>
      <c r="P68" s="1"/>
    </row>
    <row r="69" spans="1:16">
      <c r="A69" s="6"/>
      <c r="B69" s="7"/>
      <c r="C69" s="6"/>
      <c r="D69" s="6"/>
      <c r="E69" s="6"/>
      <c r="F69" s="1"/>
      <c r="G69" s="9"/>
      <c r="H69" s="16"/>
      <c r="I69" s="16"/>
      <c r="J69" s="1"/>
      <c r="K69" s="1"/>
      <c r="L69" s="1"/>
      <c r="M69" s="1"/>
      <c r="N69" s="14"/>
      <c r="O69" s="16"/>
      <c r="P69" s="1"/>
    </row>
    <row r="70" spans="1:16">
      <c r="A70" s="6"/>
      <c r="B70" s="7"/>
      <c r="C70" s="6"/>
      <c r="D70" s="6"/>
      <c r="E70" s="6"/>
      <c r="F70" s="1"/>
      <c r="G70" s="9"/>
      <c r="H70" s="9"/>
      <c r="I70" s="16"/>
      <c r="J70" s="1"/>
      <c r="K70" s="1"/>
      <c r="L70" s="1"/>
      <c r="M70" s="9"/>
      <c r="N70" s="14"/>
      <c r="O70" s="16"/>
      <c r="P70" s="1"/>
    </row>
    <row r="71" spans="1:16">
      <c r="A71" s="6"/>
      <c r="B71" s="7"/>
      <c r="C71" s="6"/>
      <c r="D71" s="6"/>
      <c r="E71" s="6"/>
      <c r="F71" s="1"/>
      <c r="G71" s="9"/>
      <c r="H71" s="9"/>
      <c r="I71" s="16"/>
      <c r="J71" s="1"/>
      <c r="K71" s="1"/>
      <c r="L71" s="1"/>
      <c r="M71" s="1"/>
      <c r="N71" s="14"/>
      <c r="O71" s="16"/>
      <c r="P71" s="1"/>
    </row>
    <row r="72" spans="1:16">
      <c r="A72" s="6"/>
      <c r="B72" s="7"/>
      <c r="C72" s="6"/>
      <c r="D72" s="6"/>
      <c r="E72" s="6"/>
      <c r="F72" s="1"/>
      <c r="G72" s="9"/>
      <c r="H72" s="9"/>
      <c r="I72" s="16"/>
      <c r="J72" s="1"/>
      <c r="K72" s="1"/>
      <c r="L72" s="1"/>
      <c r="M72" s="9"/>
      <c r="N72" s="14"/>
      <c r="O72" s="16"/>
      <c r="P72" s="1"/>
    </row>
    <row r="73" spans="1:16">
      <c r="A73" s="6"/>
      <c r="B73" s="7"/>
      <c r="C73" s="6"/>
      <c r="D73" s="6"/>
      <c r="E73" s="6"/>
      <c r="F73" s="1"/>
      <c r="G73" s="9"/>
      <c r="H73" s="9"/>
      <c r="I73" s="16"/>
      <c r="J73" s="1"/>
      <c r="K73" s="1"/>
      <c r="L73" s="1"/>
      <c r="M73" s="1"/>
      <c r="N73" s="14"/>
      <c r="O73" s="16"/>
      <c r="P73" s="1"/>
    </row>
    <row r="74" spans="1:16">
      <c r="A74" s="6"/>
      <c r="B74" s="7"/>
      <c r="C74" s="6"/>
      <c r="D74" s="6"/>
      <c r="E74" s="6"/>
      <c r="F74" s="1"/>
      <c r="G74" s="9"/>
      <c r="H74" s="9"/>
      <c r="I74" s="16"/>
      <c r="J74" s="1"/>
      <c r="K74" s="1"/>
      <c r="L74" s="1"/>
      <c r="M74" s="1"/>
      <c r="N74" s="14"/>
      <c r="O74" s="16"/>
      <c r="P74" s="1"/>
    </row>
    <row r="75" spans="1:16">
      <c r="A75" s="6"/>
      <c r="B75" s="7"/>
      <c r="C75" s="6"/>
      <c r="D75" s="6"/>
      <c r="E75" s="6"/>
      <c r="F75" s="1"/>
      <c r="G75" s="9"/>
      <c r="H75" s="9"/>
      <c r="I75" s="16"/>
      <c r="J75" s="1"/>
      <c r="K75" s="1"/>
      <c r="L75" s="1"/>
      <c r="M75" s="1"/>
      <c r="N75" s="14"/>
      <c r="O75" s="16"/>
      <c r="P75" s="1"/>
    </row>
    <row r="76" spans="1:16">
      <c r="A76" s="6"/>
      <c r="B76" s="13"/>
      <c r="C76" s="1"/>
      <c r="D76" s="6"/>
      <c r="E76" s="6"/>
      <c r="F76" s="1"/>
      <c r="G76" s="9"/>
      <c r="H76" s="16"/>
      <c r="I76" s="16"/>
      <c r="J76" s="1"/>
      <c r="K76" s="1"/>
      <c r="L76" s="1"/>
      <c r="M76" s="1"/>
      <c r="N76" s="14"/>
      <c r="O76" s="16"/>
      <c r="P76" s="1"/>
    </row>
    <row r="77" spans="1:16">
      <c r="A77" s="6"/>
      <c r="B77" s="13"/>
      <c r="C77" s="1"/>
      <c r="D77" s="6"/>
      <c r="E77" s="6"/>
      <c r="F77" s="1"/>
      <c r="G77" s="9"/>
      <c r="H77" s="16"/>
      <c r="I77" s="16"/>
      <c r="J77" s="1"/>
      <c r="K77" s="1"/>
      <c r="L77" s="1"/>
      <c r="M77" s="1"/>
      <c r="N77" s="14"/>
      <c r="O77" s="16"/>
      <c r="P77" s="1"/>
    </row>
    <row r="78" spans="1:16">
      <c r="A78" s="6"/>
      <c r="B78" s="13"/>
      <c r="C78" s="1"/>
      <c r="D78" s="6"/>
      <c r="E78" s="6"/>
      <c r="F78" s="1"/>
      <c r="G78" s="9"/>
      <c r="H78" s="9"/>
      <c r="I78" s="16"/>
      <c r="J78" s="1"/>
      <c r="K78" s="1"/>
      <c r="L78" s="1"/>
      <c r="M78" s="1"/>
      <c r="N78" s="14"/>
      <c r="O78" s="16"/>
      <c r="P78" s="1"/>
    </row>
    <row r="79" spans="1:16">
      <c r="A79" s="6"/>
      <c r="B79" s="13"/>
      <c r="C79" s="1"/>
      <c r="D79" s="6"/>
      <c r="E79" s="6"/>
      <c r="F79" s="1"/>
      <c r="G79" s="9"/>
      <c r="H79" s="9"/>
      <c r="I79" s="16"/>
      <c r="J79" s="1"/>
      <c r="K79" s="1"/>
      <c r="L79" s="1"/>
      <c r="M79" s="9"/>
      <c r="N79" s="14"/>
      <c r="O79" s="16"/>
      <c r="P79" s="1"/>
    </row>
    <row r="80" spans="1:16">
      <c r="A80" s="6"/>
      <c r="B80" s="13"/>
      <c r="C80" s="1"/>
      <c r="D80" s="6"/>
      <c r="E80" s="6"/>
      <c r="F80" s="1"/>
      <c r="G80" s="9"/>
      <c r="H80" s="9"/>
      <c r="I80" s="16"/>
      <c r="J80" s="1"/>
      <c r="K80" s="1"/>
      <c r="L80" s="1"/>
      <c r="M80" s="1"/>
      <c r="N80" s="14"/>
      <c r="O80" s="16"/>
      <c r="P80" s="1"/>
    </row>
    <row r="81" spans="1:16">
      <c r="A81" s="6"/>
      <c r="B81" s="13"/>
      <c r="C81" s="1"/>
      <c r="D81" s="6"/>
      <c r="E81" s="6"/>
      <c r="F81" s="1"/>
      <c r="G81" s="9"/>
      <c r="H81" s="9"/>
      <c r="I81" s="16"/>
      <c r="J81" s="1"/>
      <c r="K81" s="1"/>
      <c r="L81" s="1"/>
      <c r="M81" s="1"/>
      <c r="N81" s="14"/>
      <c r="O81" s="16"/>
      <c r="P81" s="1"/>
    </row>
    <row r="82" spans="1:16">
      <c r="A82" s="6"/>
      <c r="B82" s="13"/>
      <c r="C82" s="1"/>
      <c r="D82" s="6"/>
      <c r="E82" s="6"/>
      <c r="F82" s="1"/>
      <c r="G82" s="9"/>
      <c r="H82" s="16"/>
      <c r="I82" s="16"/>
      <c r="J82" s="1"/>
      <c r="K82" s="1"/>
      <c r="L82" s="1"/>
      <c r="M82" s="1"/>
      <c r="N82" s="14"/>
      <c r="O82" s="16"/>
      <c r="P82" s="1"/>
    </row>
    <row r="83" spans="1:16">
      <c r="A83" s="6"/>
      <c r="B83" s="13"/>
      <c r="C83" s="1"/>
      <c r="D83" s="6"/>
      <c r="E83" s="6"/>
      <c r="F83" s="1"/>
      <c r="G83" s="9"/>
      <c r="H83" s="16"/>
      <c r="I83" s="16"/>
      <c r="J83" s="1"/>
      <c r="K83" s="1"/>
      <c r="L83" s="1"/>
      <c r="M83" s="1"/>
      <c r="N83" s="14"/>
      <c r="O83" s="16"/>
      <c r="P83" s="1"/>
    </row>
    <row r="84" spans="1:16">
      <c r="A84" s="6"/>
      <c r="B84" s="13"/>
      <c r="C84" s="1"/>
      <c r="D84" s="6"/>
      <c r="E84" s="6"/>
      <c r="F84" s="1"/>
      <c r="G84" s="9"/>
      <c r="H84" s="9"/>
      <c r="I84" s="16"/>
      <c r="J84" s="1"/>
      <c r="K84" s="1"/>
      <c r="L84" s="1"/>
      <c r="M84" s="1"/>
      <c r="N84" s="14"/>
      <c r="O84" s="16"/>
      <c r="P84" s="1"/>
    </row>
    <row r="85" spans="1:16">
      <c r="A85" s="6"/>
      <c r="B85" s="13"/>
      <c r="C85" s="1"/>
      <c r="D85" s="6"/>
      <c r="E85" s="6"/>
      <c r="F85" s="1"/>
      <c r="G85" s="9"/>
      <c r="H85" s="16"/>
      <c r="I85" s="16"/>
      <c r="J85" s="1"/>
      <c r="K85" s="1"/>
      <c r="L85" s="1"/>
      <c r="M85" s="1"/>
      <c r="N85" s="14"/>
      <c r="O85" s="16"/>
      <c r="P85" s="1"/>
    </row>
    <row r="86" spans="1:16">
      <c r="A86" s="6"/>
      <c r="B86" s="13"/>
      <c r="C86" s="1"/>
      <c r="D86" s="6"/>
      <c r="E86" s="6"/>
      <c r="F86" s="1"/>
      <c r="G86" s="9"/>
      <c r="H86" s="9"/>
      <c r="I86" s="16"/>
      <c r="J86" s="1"/>
      <c r="K86" s="1"/>
      <c r="L86" s="1"/>
      <c r="M86" s="1"/>
      <c r="N86" s="14"/>
      <c r="O86" s="16"/>
      <c r="P86" s="1"/>
    </row>
    <row r="87" spans="1:16">
      <c r="A87" s="6"/>
      <c r="B87" s="13"/>
      <c r="C87" s="1"/>
      <c r="D87" s="6"/>
      <c r="E87" s="6"/>
      <c r="F87" s="1"/>
      <c r="G87" s="9"/>
      <c r="H87" s="9"/>
      <c r="I87" s="16"/>
      <c r="J87" s="1"/>
      <c r="K87" s="1"/>
      <c r="L87" s="1"/>
      <c r="M87" s="1"/>
      <c r="N87" s="14"/>
      <c r="O87" s="16"/>
      <c r="P87" s="1"/>
    </row>
    <row r="88" spans="1:16">
      <c r="A88" s="6"/>
      <c r="B88" s="13"/>
      <c r="C88" s="1"/>
      <c r="D88" s="6"/>
      <c r="E88" s="6"/>
      <c r="F88" s="1"/>
      <c r="G88" s="9"/>
      <c r="H88" s="9"/>
      <c r="I88" s="16"/>
      <c r="J88" s="1"/>
      <c r="K88" s="1"/>
      <c r="L88" s="1"/>
      <c r="M88" s="1"/>
      <c r="N88" s="14"/>
      <c r="O88" s="16"/>
      <c r="P88" s="1"/>
    </row>
    <row r="89" spans="1:16">
      <c r="A89" s="6"/>
      <c r="B89" s="13"/>
      <c r="C89" s="1"/>
      <c r="D89" s="6"/>
      <c r="E89" s="6"/>
      <c r="F89" s="1"/>
      <c r="G89" s="9"/>
      <c r="H89" s="9"/>
      <c r="I89" s="16"/>
      <c r="J89" s="1"/>
      <c r="K89" s="1"/>
      <c r="L89" s="1"/>
      <c r="M89" s="1"/>
      <c r="N89" s="14"/>
      <c r="O89" s="16"/>
      <c r="P89" s="1"/>
    </row>
    <row r="90" spans="1:16">
      <c r="A90" s="6"/>
      <c r="B90" s="13"/>
      <c r="C90" s="1"/>
      <c r="D90" s="6"/>
      <c r="E90" s="6"/>
      <c r="F90" s="1"/>
      <c r="G90" s="9"/>
      <c r="H90" s="16"/>
      <c r="I90" s="16"/>
      <c r="J90" s="1"/>
      <c r="K90" s="1"/>
      <c r="L90" s="1"/>
      <c r="M90" s="1"/>
      <c r="N90" s="14"/>
      <c r="O90" s="16"/>
      <c r="P90" s="1"/>
    </row>
    <row r="91" spans="1:16">
      <c r="A91" s="6"/>
      <c r="B91" s="13"/>
      <c r="C91" s="1"/>
      <c r="D91" s="6"/>
      <c r="E91" s="6"/>
      <c r="F91" s="1"/>
      <c r="G91" s="9"/>
      <c r="H91" s="16"/>
      <c r="I91" s="16"/>
      <c r="J91" s="1"/>
      <c r="K91" s="1"/>
      <c r="L91" s="1"/>
      <c r="M91" s="1"/>
      <c r="N91" s="14"/>
      <c r="O91" s="16"/>
      <c r="P91" s="1"/>
    </row>
    <row r="92" spans="1:16">
      <c r="A92" s="6"/>
      <c r="B92" s="13"/>
      <c r="C92" s="1"/>
      <c r="D92" s="6"/>
      <c r="E92" s="6"/>
      <c r="F92" s="1"/>
      <c r="G92" s="9"/>
      <c r="H92" s="9"/>
      <c r="I92" s="16"/>
      <c r="J92" s="1"/>
      <c r="K92" s="1"/>
      <c r="L92" s="1"/>
      <c r="M92" s="1"/>
      <c r="N92" s="14"/>
      <c r="O92" s="16"/>
      <c r="P92" s="1"/>
    </row>
    <row r="93" spans="1:16">
      <c r="A93" s="6"/>
      <c r="B93" s="13"/>
      <c r="C93" s="1"/>
      <c r="D93" s="6"/>
      <c r="E93" s="6"/>
      <c r="F93" s="1"/>
      <c r="G93" s="9"/>
      <c r="H93" s="16"/>
      <c r="I93" s="16"/>
      <c r="J93" s="1"/>
      <c r="K93" s="1"/>
      <c r="L93" s="1"/>
      <c r="M93" s="1"/>
      <c r="N93" s="14"/>
      <c r="O93" s="16"/>
      <c r="P93" s="1"/>
    </row>
    <row r="94" spans="1:16">
      <c r="A94" s="6"/>
      <c r="B94" s="13"/>
      <c r="C94" s="1"/>
      <c r="D94" s="6"/>
      <c r="E94" s="6"/>
      <c r="F94" s="1"/>
      <c r="G94" s="9"/>
      <c r="H94" s="9"/>
      <c r="I94" s="16"/>
      <c r="J94" s="1"/>
      <c r="K94" s="1"/>
      <c r="L94" s="1"/>
      <c r="M94" s="9"/>
      <c r="N94" s="14"/>
      <c r="O94" s="16"/>
      <c r="P94" s="1"/>
    </row>
    <row r="95" spans="1:16">
      <c r="A95" s="6"/>
      <c r="B95" s="13"/>
      <c r="C95" s="1"/>
      <c r="D95" s="6"/>
      <c r="E95" s="6"/>
      <c r="F95" s="1"/>
      <c r="G95" s="9"/>
      <c r="H95" s="9"/>
      <c r="I95" s="16"/>
      <c r="J95" s="1"/>
      <c r="K95" s="1"/>
      <c r="L95" s="1"/>
      <c r="M95" s="9"/>
      <c r="N95" s="14"/>
      <c r="O95" s="16"/>
      <c r="P95" s="1"/>
    </row>
    <row r="96" spans="1:16">
      <c r="A96" s="6"/>
      <c r="B96" s="13"/>
      <c r="C96" s="1"/>
      <c r="D96" s="6"/>
      <c r="E96" s="6"/>
      <c r="F96" s="1"/>
      <c r="G96" s="9"/>
      <c r="H96" s="16"/>
      <c r="I96" s="16"/>
      <c r="J96" s="1"/>
      <c r="K96" s="1"/>
      <c r="L96" s="1"/>
      <c r="M96" s="1"/>
      <c r="N96" s="14"/>
      <c r="O96" s="16"/>
      <c r="P96" s="1"/>
    </row>
    <row r="97" spans="1:16">
      <c r="A97" s="6"/>
      <c r="B97" s="13"/>
      <c r="C97" s="1"/>
      <c r="D97" s="6"/>
      <c r="E97" s="6"/>
      <c r="F97" s="1"/>
      <c r="G97" s="9"/>
      <c r="H97" s="16"/>
      <c r="I97" s="16"/>
      <c r="J97" s="1"/>
      <c r="K97" s="1"/>
      <c r="L97" s="1"/>
      <c r="M97" s="1"/>
      <c r="N97" s="14"/>
      <c r="O97" s="16"/>
      <c r="P97" s="1"/>
    </row>
    <row r="98" spans="1:16">
      <c r="A98" s="6"/>
      <c r="B98" s="13"/>
      <c r="C98" s="1"/>
      <c r="D98" s="6"/>
      <c r="E98" s="6"/>
      <c r="F98" s="1"/>
      <c r="G98" s="9"/>
      <c r="H98" s="9"/>
      <c r="I98" s="16"/>
      <c r="J98" s="1"/>
      <c r="K98" s="1"/>
      <c r="L98" s="1"/>
      <c r="M98" s="1"/>
      <c r="N98" s="14"/>
      <c r="O98" s="16"/>
      <c r="P98" s="1"/>
    </row>
    <row r="99" spans="1:16">
      <c r="A99" s="6"/>
      <c r="B99" s="13"/>
      <c r="C99" s="1"/>
      <c r="D99" s="6"/>
      <c r="E99" s="6"/>
      <c r="F99" s="1"/>
      <c r="G99" s="9"/>
      <c r="H99" s="9"/>
      <c r="I99" s="16"/>
      <c r="J99" s="1"/>
      <c r="K99" s="1"/>
      <c r="L99" s="1"/>
      <c r="M99" s="1"/>
      <c r="N99" s="14"/>
      <c r="O99" s="16"/>
      <c r="P99" s="1"/>
    </row>
    <row r="100" spans="1:16">
      <c r="A100" s="6"/>
      <c r="B100" s="13"/>
      <c r="C100" s="1"/>
      <c r="D100" s="6"/>
      <c r="E100" s="6"/>
      <c r="F100" s="1"/>
      <c r="G100" s="9"/>
      <c r="H100" s="16"/>
      <c r="I100" s="16"/>
      <c r="J100" s="1"/>
      <c r="K100" s="1"/>
      <c r="L100" s="1"/>
      <c r="M100" s="1"/>
      <c r="N100" s="14"/>
      <c r="O100" s="16"/>
      <c r="P100" s="1"/>
    </row>
    <row r="101" spans="1:16">
      <c r="A101" s="6"/>
      <c r="B101" s="13"/>
      <c r="C101" s="1"/>
      <c r="D101" s="6"/>
      <c r="E101" s="6"/>
      <c r="F101" s="1"/>
      <c r="G101" s="9"/>
      <c r="H101" s="9"/>
      <c r="I101" s="16"/>
      <c r="J101" s="1"/>
      <c r="K101" s="1"/>
      <c r="L101" s="1"/>
      <c r="M101" s="1"/>
      <c r="N101" s="14"/>
      <c r="O101" s="16"/>
      <c r="P101" s="1"/>
    </row>
    <row r="102" spans="1:16">
      <c r="A102" s="6"/>
      <c r="B102" s="13"/>
      <c r="C102" s="1"/>
      <c r="D102" s="6"/>
      <c r="E102" s="6"/>
      <c r="F102" s="1"/>
      <c r="G102" s="9"/>
      <c r="H102" s="16"/>
      <c r="I102" s="16"/>
      <c r="J102" s="1"/>
      <c r="K102" s="1"/>
      <c r="L102" s="1"/>
      <c r="M102" s="1"/>
      <c r="N102" s="14"/>
      <c r="O102" s="16"/>
      <c r="P102" s="1"/>
    </row>
    <row r="103" spans="1:16">
      <c r="A103" s="6"/>
      <c r="B103" s="7"/>
      <c r="C103" s="1"/>
      <c r="D103" s="6"/>
      <c r="E103" s="6"/>
      <c r="F103" s="1"/>
      <c r="G103" s="9"/>
      <c r="H103" s="9"/>
      <c r="I103" s="16"/>
      <c r="J103" s="1"/>
      <c r="K103" s="1"/>
      <c r="L103" s="1"/>
      <c r="M103" s="9"/>
      <c r="N103" s="14"/>
      <c r="O103" s="16"/>
      <c r="P103" s="1"/>
    </row>
    <row r="104" spans="1:16">
      <c r="A104" s="6"/>
      <c r="B104" s="7"/>
      <c r="C104" s="1"/>
      <c r="D104" s="6"/>
      <c r="E104" s="6"/>
      <c r="F104" s="1"/>
      <c r="G104" s="9"/>
      <c r="H104" s="9"/>
      <c r="I104" s="16"/>
      <c r="J104" s="1"/>
      <c r="K104" s="1"/>
      <c r="L104" s="1"/>
      <c r="M104" s="1"/>
      <c r="N104" s="14"/>
      <c r="O104" s="16"/>
      <c r="P104" s="1"/>
    </row>
    <row r="105" spans="1:16">
      <c r="A105" s="6"/>
      <c r="B105" s="7"/>
      <c r="C105" s="1"/>
      <c r="D105" s="6"/>
      <c r="E105" s="6"/>
      <c r="F105" s="1"/>
      <c r="G105" s="9"/>
      <c r="H105" s="9"/>
      <c r="I105" s="16"/>
      <c r="J105" s="1"/>
      <c r="K105" s="1"/>
      <c r="L105" s="1"/>
      <c r="M105" s="1"/>
      <c r="N105" s="14"/>
      <c r="O105" s="16"/>
      <c r="P105" s="1"/>
    </row>
    <row r="106" spans="1:16">
      <c r="A106" s="6"/>
      <c r="B106" s="7"/>
      <c r="C106" s="1"/>
      <c r="D106" s="6"/>
      <c r="E106" s="6"/>
      <c r="F106" s="1"/>
      <c r="G106" s="9"/>
      <c r="H106" s="9"/>
      <c r="I106" s="16"/>
      <c r="J106" s="1"/>
      <c r="K106" s="1"/>
      <c r="L106" s="1"/>
      <c r="M106" s="1"/>
      <c r="N106" s="14"/>
      <c r="O106" s="16"/>
      <c r="P106" s="1"/>
    </row>
    <row r="107" spans="1:16">
      <c r="A107" s="6"/>
      <c r="B107" s="7"/>
      <c r="C107" s="1"/>
      <c r="D107" s="6"/>
      <c r="E107" s="6"/>
      <c r="F107" s="1"/>
      <c r="G107" s="9"/>
      <c r="H107" s="9"/>
      <c r="I107" s="16"/>
      <c r="J107" s="1"/>
      <c r="K107" s="1"/>
      <c r="L107" s="1"/>
      <c r="M107" s="1"/>
      <c r="N107" s="14"/>
      <c r="O107" s="16"/>
      <c r="P107" s="1"/>
    </row>
    <row r="108" spans="1:16">
      <c r="A108" s="6"/>
      <c r="B108" s="7"/>
      <c r="C108" s="1"/>
      <c r="D108" s="6"/>
      <c r="E108" s="6"/>
      <c r="F108" s="1"/>
      <c r="G108" s="9"/>
      <c r="H108" s="16"/>
      <c r="I108" s="16"/>
      <c r="J108" s="1"/>
      <c r="K108" s="1"/>
      <c r="L108" s="1"/>
      <c r="M108" s="1"/>
      <c r="N108" s="14"/>
      <c r="O108" s="16"/>
      <c r="P108" s="1"/>
    </row>
    <row r="109" spans="1:16">
      <c r="A109" s="6"/>
      <c r="B109" s="7"/>
      <c r="C109" s="1"/>
      <c r="D109" s="6"/>
      <c r="E109" s="6"/>
      <c r="F109" s="1"/>
      <c r="G109" s="9"/>
      <c r="H109" s="9"/>
      <c r="I109" s="16"/>
      <c r="J109" s="1"/>
      <c r="K109" s="1"/>
      <c r="L109" s="1"/>
      <c r="M109" s="1"/>
      <c r="N109" s="14"/>
      <c r="O109" s="16"/>
      <c r="P109" s="1"/>
    </row>
    <row r="110" spans="1:16">
      <c r="A110" s="6"/>
      <c r="B110" s="7"/>
      <c r="C110" s="1"/>
      <c r="D110" s="6"/>
      <c r="E110" s="6"/>
      <c r="F110" s="1"/>
      <c r="G110" s="9"/>
      <c r="H110" s="9"/>
      <c r="I110" s="16"/>
      <c r="J110" s="1"/>
      <c r="K110" s="1"/>
      <c r="L110" s="1"/>
      <c r="M110" s="1"/>
      <c r="N110" s="14"/>
      <c r="O110" s="16"/>
      <c r="P110" s="1"/>
    </row>
    <row r="111" spans="1:16">
      <c r="A111" s="6"/>
      <c r="B111" s="7"/>
      <c r="C111" s="1"/>
      <c r="D111" s="6"/>
      <c r="E111" s="6"/>
      <c r="F111" s="1"/>
      <c r="G111" s="9"/>
      <c r="H111" s="9"/>
      <c r="I111" s="16"/>
      <c r="J111" s="1"/>
      <c r="K111" s="1"/>
      <c r="L111" s="1"/>
      <c r="M111" s="1"/>
      <c r="N111" s="14"/>
      <c r="O111" s="16"/>
      <c r="P111" s="1"/>
    </row>
    <row r="112" spans="1:16">
      <c r="A112" s="6"/>
      <c r="B112" s="7"/>
      <c r="C112" s="1"/>
      <c r="D112" s="6"/>
      <c r="E112" s="6"/>
      <c r="F112" s="1"/>
      <c r="G112" s="9"/>
      <c r="H112" s="9"/>
      <c r="I112" s="16"/>
      <c r="J112" s="1"/>
      <c r="K112" s="1"/>
      <c r="L112" s="1"/>
      <c r="M112" s="1"/>
      <c r="N112" s="14"/>
      <c r="O112" s="16"/>
      <c r="P112" s="1"/>
    </row>
    <row r="113" spans="1:16">
      <c r="A113" s="6"/>
      <c r="B113" s="7"/>
      <c r="C113" s="1"/>
      <c r="D113" s="6"/>
      <c r="E113" s="6"/>
      <c r="F113" s="1"/>
      <c r="G113" s="9"/>
      <c r="H113" s="9"/>
      <c r="I113" s="16"/>
      <c r="J113" s="1"/>
      <c r="K113" s="1"/>
      <c r="L113" s="1"/>
      <c r="M113" s="9"/>
      <c r="N113" s="14"/>
      <c r="O113" s="16"/>
      <c r="P113" s="1"/>
    </row>
    <row r="114" spans="1:16">
      <c r="A114" s="6"/>
      <c r="B114" s="7"/>
      <c r="C114" s="1"/>
      <c r="D114" s="6"/>
      <c r="E114" s="6"/>
      <c r="F114" s="1"/>
      <c r="G114" s="9"/>
      <c r="H114" s="9"/>
      <c r="I114" s="16"/>
      <c r="J114" s="1"/>
      <c r="K114" s="1"/>
      <c r="L114" s="1"/>
      <c r="M114" s="1"/>
      <c r="N114" s="14"/>
      <c r="O114" s="16"/>
      <c r="P114" s="1"/>
    </row>
    <row r="115" spans="1:16">
      <c r="A115" s="6"/>
      <c r="B115" s="7"/>
      <c r="C115" s="1"/>
      <c r="D115" s="6"/>
      <c r="E115" s="6"/>
      <c r="F115" s="1"/>
      <c r="G115" s="9"/>
      <c r="H115" s="53"/>
      <c r="I115" s="16"/>
      <c r="J115" s="1"/>
      <c r="K115" s="1"/>
      <c r="L115" s="1"/>
      <c r="M115" s="1"/>
      <c r="N115" s="14"/>
      <c r="O115" s="16"/>
      <c r="P115" s="1"/>
    </row>
    <row r="116" spans="1:16">
      <c r="A116" s="6"/>
      <c r="B116" s="7"/>
      <c r="C116" s="1"/>
      <c r="D116" s="6"/>
      <c r="E116" s="6"/>
      <c r="F116" s="1"/>
      <c r="G116" s="9"/>
      <c r="H116" s="9"/>
      <c r="I116" s="16"/>
      <c r="J116" s="1"/>
      <c r="K116" s="1"/>
      <c r="L116" s="1"/>
      <c r="M116" s="1"/>
      <c r="N116" s="14"/>
      <c r="O116" s="16"/>
      <c r="P116" s="1"/>
    </row>
    <row r="117" spans="1:16">
      <c r="A117" s="6"/>
      <c r="B117" s="7"/>
      <c r="C117" s="1"/>
      <c r="D117" s="6"/>
      <c r="E117" s="6"/>
      <c r="F117" s="1"/>
      <c r="G117" s="9"/>
      <c r="H117" s="9"/>
      <c r="I117" s="16"/>
      <c r="J117" s="1"/>
      <c r="K117" s="1"/>
      <c r="L117" s="1"/>
      <c r="M117" s="1"/>
      <c r="N117" s="14"/>
      <c r="O117" s="16"/>
      <c r="P117" s="1"/>
    </row>
    <row r="118" spans="1:16">
      <c r="A118" s="6"/>
      <c r="B118" s="7"/>
      <c r="C118" s="1"/>
      <c r="D118" s="6"/>
      <c r="E118" s="6"/>
      <c r="F118" s="1"/>
      <c r="G118" s="9"/>
      <c r="H118" s="9"/>
      <c r="I118" s="16"/>
      <c r="J118" s="1"/>
      <c r="K118" s="1"/>
      <c r="L118" s="1"/>
      <c r="M118" s="1"/>
      <c r="N118" s="14"/>
      <c r="O118" s="16"/>
      <c r="P118" s="1"/>
    </row>
    <row r="119" spans="1:16">
      <c r="A119" s="6"/>
      <c r="B119" s="7"/>
      <c r="C119" s="1"/>
      <c r="D119" s="6"/>
      <c r="E119" s="6"/>
      <c r="F119" s="1"/>
      <c r="G119" s="9"/>
      <c r="H119" s="9"/>
      <c r="I119" s="16"/>
      <c r="J119" s="1"/>
      <c r="K119" s="1"/>
      <c r="L119" s="1"/>
      <c r="M119" s="1"/>
      <c r="N119" s="14"/>
      <c r="O119" s="16"/>
      <c r="P119" s="1"/>
    </row>
    <row r="120" spans="1:16">
      <c r="A120" s="6"/>
      <c r="B120" s="7"/>
      <c r="C120" s="1"/>
      <c r="D120" s="6"/>
      <c r="E120" s="6"/>
      <c r="F120" s="9"/>
      <c r="G120" s="9"/>
      <c r="H120" s="9"/>
      <c r="I120" s="16"/>
      <c r="J120" s="1"/>
      <c r="K120" s="1"/>
      <c r="L120" s="1"/>
      <c r="M120" s="1"/>
      <c r="N120" s="14"/>
      <c r="O120" s="16"/>
      <c r="P120" s="1"/>
    </row>
    <row r="121" spans="1:16">
      <c r="A121" s="6"/>
      <c r="B121" s="7"/>
      <c r="C121" s="1"/>
      <c r="D121" s="6"/>
      <c r="E121" s="6"/>
      <c r="F121" s="1"/>
      <c r="G121" s="9"/>
      <c r="H121" s="16"/>
      <c r="I121" s="16"/>
      <c r="J121" s="1"/>
      <c r="K121" s="1"/>
      <c r="L121" s="1"/>
      <c r="M121" s="1"/>
      <c r="N121" s="14"/>
      <c r="O121" s="16"/>
      <c r="P121" s="1"/>
    </row>
    <row r="122" spans="1:16">
      <c r="A122" s="6"/>
      <c r="B122" s="7"/>
      <c r="C122" s="1"/>
      <c r="D122" s="6"/>
      <c r="E122" s="6"/>
      <c r="F122" s="1"/>
      <c r="G122" s="9"/>
      <c r="H122" s="9"/>
      <c r="I122" s="16"/>
      <c r="J122" s="1"/>
      <c r="K122" s="1"/>
      <c r="L122" s="1"/>
      <c r="M122" s="1"/>
      <c r="N122" s="14"/>
      <c r="O122" s="16"/>
      <c r="P122" s="1"/>
    </row>
    <row r="123" spans="1:16">
      <c r="A123" s="6"/>
      <c r="B123" s="7"/>
      <c r="C123" s="1"/>
      <c r="D123" s="6"/>
      <c r="E123" s="6"/>
      <c r="F123" s="1"/>
      <c r="G123" s="9"/>
      <c r="H123" s="9"/>
      <c r="I123" s="16"/>
      <c r="J123" s="1"/>
      <c r="K123" s="1"/>
      <c r="L123" s="1"/>
      <c r="M123" s="1"/>
      <c r="N123" s="14"/>
      <c r="O123" s="16"/>
      <c r="P123" s="1"/>
    </row>
    <row r="124" spans="1:16">
      <c r="A124" s="6"/>
      <c r="B124" s="7"/>
      <c r="C124" s="1"/>
      <c r="D124" s="6"/>
      <c r="E124" s="6"/>
      <c r="F124" s="1"/>
      <c r="G124" s="9"/>
      <c r="H124" s="9"/>
      <c r="I124" s="16"/>
      <c r="J124" s="1"/>
      <c r="K124" s="1"/>
      <c r="L124" s="1"/>
      <c r="M124" s="1"/>
      <c r="N124" s="14"/>
      <c r="O124" s="16"/>
      <c r="P124" s="1"/>
    </row>
    <row r="125" spans="1:16">
      <c r="A125" s="6"/>
      <c r="B125" s="7"/>
      <c r="C125" s="1"/>
      <c r="D125" s="6"/>
      <c r="E125" s="6"/>
      <c r="F125" s="1"/>
      <c r="G125" s="9"/>
      <c r="H125" s="16"/>
      <c r="I125" s="16"/>
      <c r="J125" s="1"/>
      <c r="K125" s="1"/>
      <c r="L125" s="1"/>
      <c r="M125" s="1"/>
      <c r="N125" s="14"/>
      <c r="O125" s="16"/>
      <c r="P125" s="1"/>
    </row>
    <row r="126" spans="1:16">
      <c r="A126" s="6"/>
      <c r="B126" s="7"/>
      <c r="C126" s="1"/>
      <c r="D126" s="6"/>
      <c r="E126" s="6"/>
      <c r="F126" s="1"/>
      <c r="G126" s="9"/>
      <c r="H126" s="9"/>
      <c r="I126" s="16"/>
      <c r="J126" s="1"/>
      <c r="K126" s="1"/>
      <c r="L126" s="1"/>
      <c r="M126" s="1"/>
      <c r="N126" s="14"/>
      <c r="O126" s="16"/>
      <c r="P126" s="1"/>
    </row>
    <row r="127" spans="1:16">
      <c r="A127" s="6"/>
      <c r="B127" s="7"/>
      <c r="C127" s="1"/>
      <c r="D127" s="6"/>
      <c r="E127" s="6"/>
      <c r="F127" s="1"/>
      <c r="G127" s="9"/>
      <c r="H127" s="9"/>
      <c r="I127" s="16"/>
      <c r="J127" s="1"/>
      <c r="K127" s="1"/>
      <c r="L127" s="1"/>
      <c r="M127" s="1"/>
      <c r="N127" s="14"/>
      <c r="O127" s="16"/>
      <c r="P127" s="1"/>
    </row>
    <row r="128" spans="1:16">
      <c r="A128" s="6"/>
      <c r="B128" s="7"/>
      <c r="C128" s="1"/>
      <c r="D128" s="6"/>
      <c r="E128" s="6"/>
      <c r="F128" s="1"/>
      <c r="G128" s="9"/>
      <c r="H128" s="9"/>
      <c r="I128" s="16"/>
      <c r="J128" s="1"/>
      <c r="K128" s="1"/>
      <c r="L128" s="1"/>
      <c r="M128" s="1"/>
      <c r="N128" s="14"/>
      <c r="O128" s="16"/>
      <c r="P128" s="1"/>
    </row>
    <row r="129" spans="1:16">
      <c r="A129" s="6"/>
      <c r="B129" s="7"/>
      <c r="C129" s="1"/>
      <c r="D129" s="6"/>
      <c r="E129" s="6"/>
      <c r="F129" s="1"/>
      <c r="G129" s="9"/>
      <c r="H129" s="9"/>
      <c r="I129" s="16"/>
      <c r="J129" s="1"/>
      <c r="K129" s="1"/>
      <c r="L129" s="1"/>
      <c r="M129" s="1"/>
      <c r="N129" s="14"/>
      <c r="O129" s="16"/>
      <c r="P129" s="1"/>
    </row>
    <row r="130" spans="1:16">
      <c r="A130" s="6"/>
      <c r="B130" s="7"/>
      <c r="C130" s="1"/>
      <c r="D130" s="6"/>
      <c r="E130" s="6"/>
      <c r="F130" s="1"/>
      <c r="G130" s="9"/>
      <c r="H130" s="9"/>
      <c r="I130" s="16"/>
      <c r="J130" s="1"/>
      <c r="K130" s="1"/>
      <c r="L130" s="1"/>
      <c r="M130" s="1"/>
      <c r="N130" s="14"/>
      <c r="O130" s="16"/>
      <c r="P130" s="1"/>
    </row>
    <row r="131" spans="1:16">
      <c r="A131" s="6"/>
      <c r="B131" s="7"/>
      <c r="C131" s="1"/>
      <c r="D131" s="6"/>
      <c r="E131" s="6"/>
      <c r="F131" s="1"/>
      <c r="G131" s="9"/>
      <c r="H131" s="9"/>
      <c r="I131" s="16"/>
      <c r="J131" s="1"/>
      <c r="K131" s="1"/>
      <c r="L131" s="1"/>
      <c r="M131" s="1"/>
      <c r="N131" s="14"/>
      <c r="O131" s="16"/>
      <c r="P131" s="1"/>
    </row>
    <row r="132" spans="1:16">
      <c r="A132" s="6"/>
      <c r="B132" s="7"/>
      <c r="C132" s="1"/>
      <c r="D132" s="6"/>
      <c r="E132" s="6"/>
      <c r="F132" s="1"/>
      <c r="G132" s="9"/>
      <c r="H132" s="9"/>
      <c r="I132" s="16"/>
      <c r="J132" s="1"/>
      <c r="K132" s="1"/>
      <c r="L132" s="1"/>
      <c r="M132" s="1"/>
      <c r="N132" s="14"/>
      <c r="O132" s="16"/>
      <c r="P132" s="1"/>
    </row>
    <row r="133" spans="1:16">
      <c r="A133" s="6"/>
      <c r="B133" s="7"/>
      <c r="C133" s="1"/>
      <c r="D133" s="6"/>
      <c r="E133" s="6"/>
      <c r="F133" s="1"/>
      <c r="G133" s="9"/>
      <c r="H133" s="9"/>
      <c r="I133" s="16"/>
      <c r="J133" s="1"/>
      <c r="K133" s="1"/>
      <c r="L133" s="1"/>
      <c r="M133" s="1"/>
      <c r="N133" s="14"/>
      <c r="O133" s="16"/>
      <c r="P133" s="1"/>
    </row>
    <row r="134" spans="1:16">
      <c r="A134" s="6"/>
      <c r="B134" s="7"/>
      <c r="C134" s="1"/>
      <c r="D134" s="6"/>
      <c r="E134" s="6"/>
      <c r="F134" s="1"/>
      <c r="G134" s="9"/>
      <c r="H134" s="9"/>
      <c r="I134" s="16"/>
      <c r="J134" s="1"/>
      <c r="K134" s="1"/>
      <c r="L134" s="1"/>
      <c r="M134" s="1"/>
      <c r="N134" s="14"/>
      <c r="O134" s="16"/>
      <c r="P134" s="1"/>
    </row>
    <row r="135" spans="1:16">
      <c r="A135" s="6"/>
      <c r="B135" s="7"/>
      <c r="C135" s="1"/>
      <c r="D135" s="6"/>
      <c r="E135" s="6"/>
      <c r="F135" s="1"/>
      <c r="G135" s="9"/>
      <c r="H135" s="9"/>
      <c r="I135" s="16"/>
      <c r="J135" s="1"/>
      <c r="K135" s="1"/>
      <c r="L135" s="1"/>
      <c r="M135" s="1"/>
      <c r="N135" s="14"/>
      <c r="O135" s="16"/>
      <c r="P135" s="1"/>
    </row>
    <row r="136" spans="1:16">
      <c r="A136" s="6"/>
      <c r="B136" s="7"/>
      <c r="C136" s="1"/>
      <c r="D136" s="6"/>
      <c r="E136" s="6"/>
      <c r="F136" s="1"/>
      <c r="G136" s="9"/>
      <c r="H136" s="16"/>
      <c r="I136" s="16"/>
      <c r="J136" s="1"/>
      <c r="K136" s="1"/>
      <c r="L136" s="1"/>
      <c r="M136" s="1"/>
      <c r="N136" s="14"/>
      <c r="O136" s="16"/>
      <c r="P136" s="1"/>
    </row>
    <row r="137" spans="1:16">
      <c r="A137" s="6"/>
      <c r="B137" s="7"/>
      <c r="C137" s="1"/>
      <c r="D137" s="6"/>
      <c r="E137" s="6"/>
      <c r="F137" s="1"/>
      <c r="G137" s="9"/>
      <c r="H137" s="9"/>
      <c r="I137" s="16"/>
      <c r="J137" s="1"/>
      <c r="K137" s="1"/>
      <c r="L137" s="1"/>
      <c r="M137" s="1"/>
      <c r="N137" s="14"/>
      <c r="O137" s="16"/>
      <c r="P137" s="1"/>
    </row>
    <row r="138" spans="1:16">
      <c r="A138" s="6"/>
      <c r="B138" s="7"/>
      <c r="C138" s="1"/>
      <c r="D138" s="6"/>
      <c r="E138" s="6"/>
      <c r="F138" s="1"/>
      <c r="G138" s="9"/>
      <c r="H138" s="9"/>
      <c r="I138" s="16"/>
      <c r="J138" s="1"/>
      <c r="K138" s="1"/>
      <c r="L138" s="1"/>
      <c r="M138" s="1"/>
      <c r="N138" s="14"/>
      <c r="O138" s="16"/>
      <c r="P138" s="1"/>
    </row>
    <row r="139" spans="1:16">
      <c r="A139" s="6"/>
      <c r="B139" s="7"/>
      <c r="C139" s="1"/>
      <c r="D139" s="6"/>
      <c r="E139" s="6"/>
      <c r="F139" s="1"/>
      <c r="G139" s="9"/>
      <c r="H139" s="9"/>
      <c r="I139" s="16"/>
      <c r="J139" s="1"/>
      <c r="K139" s="1"/>
      <c r="L139" s="1"/>
      <c r="M139" s="1"/>
      <c r="N139" s="14"/>
      <c r="O139" s="16"/>
      <c r="P139" s="1"/>
    </row>
    <row r="140" spans="1:16">
      <c r="A140" s="6"/>
      <c r="B140" s="7"/>
      <c r="C140" s="1"/>
      <c r="D140" s="6"/>
      <c r="E140" s="6"/>
      <c r="F140" s="1"/>
      <c r="G140" s="9"/>
      <c r="H140" s="9"/>
      <c r="I140" s="16"/>
      <c r="J140" s="1"/>
      <c r="K140" s="1"/>
      <c r="L140" s="1"/>
      <c r="M140" s="1"/>
      <c r="N140" s="14"/>
      <c r="O140" s="16"/>
      <c r="P140" s="1"/>
    </row>
    <row r="141" spans="1:16">
      <c r="A141" s="6"/>
      <c r="B141" s="7"/>
      <c r="C141" s="1"/>
      <c r="D141" s="6"/>
      <c r="E141" s="6"/>
      <c r="F141" s="1"/>
      <c r="G141" s="9"/>
      <c r="H141" s="9"/>
      <c r="I141" s="16"/>
      <c r="J141" s="1"/>
      <c r="K141" s="1"/>
      <c r="L141" s="1"/>
      <c r="M141" s="1"/>
      <c r="N141" s="14"/>
      <c r="O141" s="16"/>
      <c r="P141" s="1"/>
    </row>
    <row r="142" spans="1:16">
      <c r="A142" s="6"/>
      <c r="B142" s="7"/>
      <c r="C142" s="1"/>
      <c r="D142" s="6"/>
      <c r="E142" s="6"/>
      <c r="F142" s="1"/>
      <c r="G142" s="9"/>
      <c r="H142" s="16"/>
      <c r="I142" s="16"/>
      <c r="J142" s="1"/>
      <c r="K142" s="1"/>
      <c r="L142" s="1"/>
      <c r="M142" s="1"/>
      <c r="N142" s="14"/>
      <c r="O142" s="16"/>
      <c r="P142" s="1"/>
    </row>
    <row r="143" spans="1:16">
      <c r="A143" s="6"/>
      <c r="B143" s="7"/>
      <c r="C143" s="1"/>
      <c r="D143" s="6"/>
      <c r="E143" s="6"/>
      <c r="F143" s="1"/>
      <c r="G143" s="9"/>
      <c r="H143" s="9"/>
      <c r="I143" s="16"/>
      <c r="J143" s="1"/>
      <c r="K143" s="1"/>
      <c r="L143" s="1"/>
      <c r="M143" s="9"/>
      <c r="N143" s="14"/>
      <c r="O143" s="16"/>
      <c r="P143" s="1"/>
    </row>
    <row r="144" spans="1:16">
      <c r="A144" s="6"/>
      <c r="B144" s="7"/>
      <c r="C144" s="1"/>
      <c r="D144" s="6"/>
      <c r="E144" s="6"/>
      <c r="F144" s="1"/>
      <c r="G144" s="9"/>
      <c r="H144" s="9"/>
      <c r="I144" s="16"/>
      <c r="J144" s="1"/>
      <c r="K144" s="1"/>
      <c r="L144" s="1"/>
      <c r="M144" s="1"/>
      <c r="N144" s="14"/>
      <c r="O144" s="16"/>
      <c r="P144" s="1"/>
    </row>
    <row r="145" spans="1:16">
      <c r="A145" s="6"/>
      <c r="B145" s="7"/>
      <c r="C145" s="1"/>
      <c r="D145" s="6"/>
      <c r="E145" s="6"/>
      <c r="F145" s="1"/>
      <c r="G145" s="9"/>
      <c r="H145" s="16"/>
      <c r="I145" s="16"/>
      <c r="J145" s="1"/>
      <c r="K145" s="1"/>
      <c r="L145" s="1"/>
      <c r="M145" s="1"/>
      <c r="N145" s="14"/>
      <c r="O145" s="16"/>
      <c r="P145" s="1"/>
    </row>
    <row r="146" spans="1:16">
      <c r="A146" s="6"/>
      <c r="B146" s="7"/>
      <c r="C146" s="6"/>
      <c r="D146" s="6"/>
      <c r="E146" s="6"/>
      <c r="F146" s="1"/>
      <c r="G146" s="9"/>
      <c r="H146" s="16"/>
      <c r="I146" s="16"/>
      <c r="J146" s="1"/>
      <c r="K146" s="1"/>
      <c r="L146" s="1"/>
      <c r="M146" s="1"/>
      <c r="N146" s="14"/>
      <c r="O146" s="16"/>
      <c r="P146" s="1"/>
    </row>
    <row r="147" spans="1:16">
      <c r="A147" s="6"/>
      <c r="B147" s="7"/>
      <c r="C147" s="6"/>
      <c r="D147" s="6"/>
      <c r="E147" s="6"/>
      <c r="F147" s="1"/>
      <c r="G147" s="9"/>
      <c r="H147" s="9"/>
      <c r="I147" s="16"/>
      <c r="J147" s="1"/>
      <c r="K147" s="1"/>
      <c r="L147" s="1"/>
      <c r="M147" s="1"/>
      <c r="N147" s="14"/>
      <c r="O147" s="16"/>
      <c r="P147" s="1"/>
    </row>
    <row r="148" spans="1:16">
      <c r="A148" s="6"/>
      <c r="B148" s="7"/>
      <c r="C148" s="6"/>
      <c r="D148" s="6"/>
      <c r="E148" s="6"/>
      <c r="F148" s="1"/>
      <c r="G148" s="9"/>
      <c r="H148" s="16"/>
      <c r="I148" s="16"/>
      <c r="J148" s="1"/>
      <c r="K148" s="1"/>
      <c r="L148" s="1"/>
      <c r="M148" s="1"/>
      <c r="N148" s="14"/>
      <c r="O148" s="16"/>
      <c r="P148" s="1"/>
    </row>
    <row r="149" spans="1:16">
      <c r="A149" s="6"/>
      <c r="B149" s="7"/>
      <c r="C149" s="6"/>
      <c r="D149" s="6"/>
      <c r="E149" s="6"/>
      <c r="F149" s="1"/>
      <c r="G149" s="9"/>
      <c r="H149" s="16"/>
      <c r="I149" s="16"/>
      <c r="J149" s="1"/>
      <c r="K149" s="1"/>
      <c r="L149" s="1"/>
      <c r="M149" s="1"/>
      <c r="N149" s="14"/>
      <c r="O149" s="16"/>
      <c r="P149" s="1"/>
    </row>
    <row r="150" spans="1:16">
      <c r="A150" s="6"/>
      <c r="B150" s="7"/>
      <c r="C150" s="6"/>
      <c r="D150" s="6"/>
      <c r="E150" s="6"/>
      <c r="F150" s="1"/>
      <c r="G150" s="9"/>
      <c r="H150" s="9"/>
      <c r="I150" s="16"/>
      <c r="J150" s="1"/>
      <c r="K150" s="1"/>
      <c r="L150" s="1"/>
      <c r="M150" s="1"/>
      <c r="N150" s="14"/>
      <c r="O150" s="16"/>
      <c r="P150" s="1"/>
    </row>
    <row r="151" spans="1:16">
      <c r="A151" s="6"/>
      <c r="B151" s="7"/>
      <c r="C151" s="6"/>
      <c r="D151" s="6"/>
      <c r="E151" s="6"/>
      <c r="F151" s="1"/>
      <c r="G151" s="9"/>
      <c r="H151" s="9"/>
      <c r="I151" s="16"/>
      <c r="J151" s="1"/>
      <c r="K151" s="1"/>
      <c r="L151" s="1"/>
      <c r="M151" s="1"/>
      <c r="N151" s="14"/>
      <c r="O151" s="16"/>
      <c r="P151" s="1"/>
    </row>
    <row r="152" spans="1:16">
      <c r="A152" s="6"/>
      <c r="B152" s="7"/>
      <c r="C152" s="6"/>
      <c r="D152" s="6"/>
      <c r="E152" s="6"/>
      <c r="F152" s="1"/>
      <c r="G152" s="9"/>
      <c r="H152" s="9"/>
      <c r="I152" s="16"/>
      <c r="J152" s="1"/>
      <c r="K152" s="1"/>
      <c r="L152" s="1"/>
      <c r="M152" s="1"/>
      <c r="N152" s="14"/>
      <c r="O152" s="16"/>
      <c r="P152" s="1"/>
    </row>
    <row r="153" spans="1:16">
      <c r="A153" s="6"/>
      <c r="B153" s="7"/>
      <c r="C153" s="6"/>
      <c r="D153" s="6"/>
      <c r="E153" s="6"/>
      <c r="F153" s="1"/>
      <c r="G153" s="9"/>
      <c r="H153" s="9"/>
      <c r="I153" s="16"/>
      <c r="J153" s="1"/>
      <c r="K153" s="1"/>
      <c r="L153" s="1"/>
      <c r="M153" s="1"/>
      <c r="N153" s="14"/>
      <c r="O153" s="16"/>
      <c r="P153" s="1"/>
    </row>
    <row r="154" spans="1:16">
      <c r="A154" s="6"/>
      <c r="B154" s="7"/>
      <c r="C154" s="6"/>
      <c r="D154" s="6"/>
      <c r="E154" s="6"/>
      <c r="F154" s="1"/>
      <c r="G154" s="9"/>
      <c r="H154" s="9"/>
      <c r="I154" s="16"/>
      <c r="J154" s="1"/>
      <c r="K154" s="1"/>
      <c r="L154" s="1"/>
      <c r="M154" s="1"/>
      <c r="N154" s="14"/>
      <c r="O154" s="16"/>
      <c r="P154" s="1"/>
    </row>
    <row r="155" spans="1:16">
      <c r="A155" s="6"/>
      <c r="B155" s="7"/>
      <c r="C155" s="6"/>
      <c r="D155" s="6"/>
      <c r="E155" s="6"/>
      <c r="F155" s="1"/>
      <c r="G155" s="9"/>
      <c r="H155" s="9"/>
      <c r="I155" s="16"/>
      <c r="J155" s="1"/>
      <c r="K155" s="1"/>
      <c r="L155" s="1"/>
      <c r="M155" s="1"/>
      <c r="N155" s="14"/>
      <c r="O155" s="16"/>
      <c r="P155" s="1"/>
    </row>
    <row r="156" spans="1:16">
      <c r="A156" s="6"/>
      <c r="B156" s="7"/>
      <c r="C156" s="6"/>
      <c r="D156" s="6"/>
      <c r="E156" s="6"/>
      <c r="F156" s="1"/>
      <c r="G156" s="9"/>
      <c r="H156" s="9"/>
      <c r="I156" s="16"/>
      <c r="J156" s="1"/>
      <c r="K156" s="1"/>
      <c r="L156" s="1"/>
      <c r="M156" s="1"/>
      <c r="N156" s="14"/>
      <c r="O156" s="16"/>
      <c r="P156" s="1"/>
    </row>
    <row r="157" spans="1:16">
      <c r="A157" s="6"/>
      <c r="B157" s="7"/>
      <c r="C157" s="6"/>
      <c r="D157" s="6"/>
      <c r="E157" s="6"/>
      <c r="F157" s="1"/>
      <c r="G157" s="9"/>
      <c r="H157" s="9"/>
      <c r="I157" s="16"/>
      <c r="J157" s="1"/>
      <c r="K157" s="1"/>
      <c r="L157" s="1"/>
      <c r="M157" s="1"/>
      <c r="N157" s="14"/>
      <c r="O157" s="16"/>
      <c r="P157" s="1"/>
    </row>
    <row r="158" spans="1:16">
      <c r="A158" s="6"/>
      <c r="B158" s="7"/>
      <c r="C158" s="6"/>
      <c r="D158" s="6"/>
      <c r="E158" s="6"/>
      <c r="F158" s="1"/>
      <c r="G158" s="9"/>
      <c r="H158" s="16"/>
      <c r="I158" s="16"/>
      <c r="J158" s="1"/>
      <c r="K158" s="1"/>
      <c r="L158" s="1"/>
      <c r="M158" s="1"/>
      <c r="N158" s="14"/>
      <c r="O158" s="16"/>
      <c r="P158" s="1"/>
    </row>
    <row r="159" spans="1:16">
      <c r="A159" s="6"/>
      <c r="B159" s="7"/>
      <c r="C159" s="6"/>
      <c r="D159" s="6"/>
      <c r="E159" s="6"/>
      <c r="F159" s="1"/>
      <c r="G159" s="9"/>
      <c r="H159" s="9"/>
      <c r="I159" s="16"/>
      <c r="J159" s="1"/>
      <c r="K159" s="1"/>
      <c r="L159" s="1"/>
      <c r="M159" s="1"/>
      <c r="N159" s="14"/>
      <c r="O159" s="16"/>
      <c r="P159" s="1"/>
    </row>
    <row r="160" spans="1:16">
      <c r="A160" s="6"/>
      <c r="B160" s="7"/>
      <c r="C160" s="6"/>
      <c r="D160" s="6"/>
      <c r="E160" s="6"/>
      <c r="F160" s="1"/>
      <c r="G160" s="9"/>
      <c r="H160" s="9"/>
      <c r="I160" s="16"/>
      <c r="J160" s="1"/>
      <c r="K160" s="1"/>
      <c r="L160" s="1"/>
      <c r="M160" s="1"/>
      <c r="N160" s="14"/>
      <c r="O160" s="16"/>
      <c r="P160" s="1"/>
    </row>
    <row r="161" spans="1:16">
      <c r="A161" s="6"/>
      <c r="B161" s="7"/>
      <c r="C161" s="6"/>
      <c r="D161" s="6"/>
      <c r="E161" s="6"/>
      <c r="F161" s="1"/>
      <c r="G161" s="9"/>
      <c r="H161" s="9"/>
      <c r="I161" s="16"/>
      <c r="J161" s="1"/>
      <c r="K161" s="1"/>
      <c r="L161" s="1"/>
      <c r="M161" s="1"/>
      <c r="N161" s="14"/>
      <c r="O161" s="16"/>
      <c r="P161" s="1"/>
    </row>
    <row r="162" spans="1:16">
      <c r="A162" s="6"/>
      <c r="B162" s="7"/>
      <c r="C162" s="6"/>
      <c r="D162" s="6"/>
      <c r="E162" s="6"/>
      <c r="F162" s="1"/>
      <c r="G162" s="9"/>
      <c r="H162" s="9"/>
      <c r="I162" s="16"/>
      <c r="J162" s="1"/>
      <c r="K162" s="1"/>
      <c r="L162" s="1"/>
      <c r="M162" s="1"/>
      <c r="N162" s="14"/>
      <c r="O162" s="16"/>
      <c r="P162" s="1"/>
    </row>
    <row r="163" spans="1:16">
      <c r="A163" s="6"/>
      <c r="B163" s="7"/>
      <c r="C163" s="6"/>
      <c r="D163" s="6"/>
      <c r="E163" s="6"/>
      <c r="F163" s="1"/>
      <c r="G163" s="9"/>
      <c r="H163" s="9"/>
      <c r="I163" s="16"/>
      <c r="J163" s="1"/>
      <c r="K163" s="1"/>
      <c r="L163" s="1"/>
      <c r="M163" s="1"/>
      <c r="N163" s="14"/>
      <c r="O163" s="16"/>
      <c r="P163" s="1"/>
    </row>
    <row r="164" spans="1:16">
      <c r="A164" s="6"/>
      <c r="B164" s="7"/>
      <c r="C164" s="6"/>
      <c r="D164" s="6"/>
      <c r="E164" s="6"/>
      <c r="F164" s="1"/>
      <c r="G164" s="9"/>
      <c r="H164" s="16"/>
      <c r="I164" s="16"/>
      <c r="J164" s="1"/>
      <c r="K164" s="1"/>
      <c r="L164" s="1"/>
      <c r="M164" s="1"/>
      <c r="N164" s="14"/>
      <c r="O164" s="16"/>
      <c r="P164" s="1"/>
    </row>
    <row r="165" spans="1:16">
      <c r="A165" s="6"/>
      <c r="B165" s="7"/>
      <c r="C165" s="6"/>
      <c r="D165" s="6"/>
      <c r="E165" s="6"/>
      <c r="F165" s="1"/>
      <c r="G165" s="9"/>
      <c r="H165" s="16"/>
      <c r="I165" s="16"/>
      <c r="J165" s="1"/>
      <c r="K165" s="1"/>
      <c r="L165" s="1"/>
      <c r="M165" s="1"/>
      <c r="N165" s="14"/>
      <c r="O165" s="16"/>
      <c r="P165" s="1"/>
    </row>
    <row r="166" spans="1:16">
      <c r="A166" s="6"/>
      <c r="B166" s="7"/>
      <c r="C166" s="6"/>
      <c r="D166" s="6"/>
      <c r="E166" s="6"/>
      <c r="F166" s="1"/>
      <c r="G166" s="9"/>
      <c r="H166" s="9"/>
      <c r="I166" s="16"/>
      <c r="J166" s="1"/>
      <c r="K166" s="1"/>
      <c r="L166" s="1"/>
      <c r="M166" s="9"/>
      <c r="N166" s="14"/>
      <c r="O166" s="16"/>
      <c r="P166" s="1"/>
    </row>
    <row r="167" spans="1:16">
      <c r="A167" s="6"/>
      <c r="B167" s="7"/>
      <c r="C167" s="6"/>
      <c r="D167" s="6"/>
      <c r="E167" s="6"/>
      <c r="F167" s="1"/>
      <c r="G167" s="9"/>
      <c r="H167" s="9"/>
      <c r="I167" s="16"/>
      <c r="J167" s="1"/>
      <c r="K167" s="1"/>
      <c r="L167" s="1"/>
      <c r="M167" s="1"/>
      <c r="N167" s="14"/>
      <c r="O167" s="16"/>
      <c r="P167" s="1"/>
    </row>
    <row r="168" spans="1:16">
      <c r="A168" s="6"/>
      <c r="B168" s="7"/>
      <c r="C168" s="6"/>
      <c r="D168" s="6"/>
      <c r="E168" s="6"/>
      <c r="F168" s="1"/>
      <c r="G168" s="9"/>
      <c r="H168" s="9"/>
      <c r="I168" s="16"/>
      <c r="J168" s="1"/>
      <c r="K168" s="1"/>
      <c r="L168" s="1"/>
      <c r="M168" s="1"/>
      <c r="N168" s="14"/>
      <c r="O168" s="16"/>
      <c r="P168" s="1"/>
    </row>
    <row r="169" spans="1:16">
      <c r="A169" s="6"/>
      <c r="B169" s="7"/>
      <c r="C169" s="6"/>
      <c r="D169" s="6"/>
      <c r="E169" s="6"/>
      <c r="F169" s="1"/>
      <c r="G169" s="9"/>
      <c r="H169" s="9"/>
      <c r="I169" s="16"/>
      <c r="J169" s="1"/>
      <c r="K169" s="1"/>
      <c r="L169" s="1"/>
      <c r="M169" s="9"/>
      <c r="N169" s="14"/>
      <c r="O169" s="16"/>
      <c r="P169" s="1"/>
    </row>
    <row r="170" spans="1:16">
      <c r="A170" s="6"/>
      <c r="B170" s="7"/>
      <c r="C170" s="6"/>
      <c r="D170" s="6"/>
      <c r="E170" s="6"/>
      <c r="F170" s="1"/>
      <c r="G170" s="9"/>
      <c r="H170" s="9"/>
      <c r="I170" s="16"/>
      <c r="J170" s="1"/>
      <c r="K170" s="1"/>
      <c r="L170" s="1"/>
      <c r="M170" s="1"/>
      <c r="N170" s="14"/>
      <c r="O170" s="16"/>
      <c r="P170" s="1"/>
    </row>
    <row r="171" spans="1:16">
      <c r="A171" s="6"/>
      <c r="B171" s="7"/>
      <c r="C171" s="6"/>
      <c r="D171" s="6"/>
      <c r="E171" s="6"/>
      <c r="F171" s="1"/>
      <c r="G171" s="9"/>
      <c r="H171" s="16"/>
      <c r="I171" s="16"/>
      <c r="J171" s="1"/>
      <c r="K171" s="1"/>
      <c r="L171" s="1"/>
      <c r="M171" s="1"/>
      <c r="N171" s="14"/>
      <c r="O171" s="16"/>
      <c r="P171" s="1"/>
    </row>
    <row r="172" spans="1:16">
      <c r="A172" s="6"/>
      <c r="B172" s="7"/>
      <c r="C172" s="6"/>
      <c r="D172" s="6"/>
      <c r="E172" s="6"/>
      <c r="F172" s="1"/>
      <c r="G172" s="9"/>
      <c r="H172" s="9"/>
      <c r="I172" s="16"/>
      <c r="J172" s="1"/>
      <c r="K172" s="1"/>
      <c r="L172" s="1"/>
      <c r="M172" s="1"/>
      <c r="N172" s="14"/>
      <c r="O172" s="16"/>
      <c r="P172" s="1"/>
    </row>
    <row r="173" spans="1:16">
      <c r="A173" s="6"/>
      <c r="B173" s="7"/>
      <c r="C173" s="6"/>
      <c r="D173" s="6"/>
      <c r="E173" s="6"/>
      <c r="F173" s="1"/>
      <c r="G173" s="9"/>
      <c r="H173" s="9"/>
      <c r="I173" s="16"/>
      <c r="J173" s="1"/>
      <c r="K173" s="1"/>
      <c r="L173" s="1"/>
      <c r="M173" s="1"/>
      <c r="N173" s="14"/>
      <c r="O173" s="16"/>
      <c r="P173" s="1"/>
    </row>
    <row r="174" spans="1:16">
      <c r="A174" s="6"/>
      <c r="B174" s="7"/>
      <c r="C174" s="6"/>
      <c r="D174" s="6"/>
      <c r="E174" s="6"/>
      <c r="F174" s="1"/>
      <c r="G174" s="9"/>
      <c r="H174" s="9"/>
      <c r="I174" s="16"/>
      <c r="J174" s="1"/>
      <c r="K174" s="1"/>
      <c r="L174" s="1"/>
      <c r="M174" s="1"/>
      <c r="N174" s="14"/>
      <c r="O174" s="16"/>
      <c r="P174" s="1"/>
    </row>
    <row r="175" spans="1:16">
      <c r="A175" s="6"/>
      <c r="B175" s="7"/>
      <c r="C175" s="6"/>
      <c r="D175" s="6"/>
      <c r="E175" s="6"/>
      <c r="F175" s="1"/>
      <c r="G175" s="9"/>
      <c r="H175" s="9"/>
      <c r="I175" s="16"/>
      <c r="J175" s="1"/>
      <c r="K175" s="1"/>
      <c r="L175" s="1"/>
      <c r="M175" s="1"/>
      <c r="N175" s="14"/>
      <c r="O175" s="16"/>
      <c r="P175" s="1"/>
    </row>
    <row r="176" spans="1:16">
      <c r="A176" s="6"/>
      <c r="B176" s="7"/>
      <c r="C176" s="6"/>
      <c r="D176" s="6"/>
      <c r="E176" s="6"/>
      <c r="F176" s="1"/>
      <c r="G176" s="9"/>
      <c r="H176" s="16"/>
      <c r="I176" s="16"/>
      <c r="J176" s="1"/>
      <c r="K176" s="1"/>
      <c r="L176" s="1"/>
      <c r="M176" s="1"/>
      <c r="N176" s="14"/>
      <c r="O176" s="16"/>
      <c r="P176" s="1"/>
    </row>
    <row r="177" spans="1:16">
      <c r="A177" s="6"/>
      <c r="B177" s="7"/>
      <c r="C177" s="6"/>
      <c r="D177" s="6"/>
      <c r="E177" s="6"/>
      <c r="F177" s="1"/>
      <c r="G177" s="9"/>
      <c r="H177" s="16"/>
      <c r="I177" s="16"/>
      <c r="J177" s="1"/>
      <c r="K177" s="1"/>
      <c r="L177" s="1"/>
      <c r="M177" s="1"/>
      <c r="N177" s="14"/>
      <c r="O177" s="16"/>
      <c r="P177" s="1"/>
    </row>
    <row r="178" spans="1:16">
      <c r="A178" s="6"/>
      <c r="B178" s="7"/>
      <c r="C178" s="6"/>
      <c r="D178" s="6"/>
      <c r="E178" s="6"/>
      <c r="F178" s="1"/>
      <c r="G178" s="9"/>
      <c r="H178" s="16"/>
      <c r="I178" s="16"/>
      <c r="J178" s="1"/>
      <c r="K178" s="1"/>
      <c r="L178" s="1"/>
      <c r="M178" s="1"/>
      <c r="N178" s="14"/>
      <c r="O178" s="16"/>
      <c r="P178" s="1"/>
    </row>
    <row r="179" spans="1:16">
      <c r="A179" s="6"/>
      <c r="B179" s="7"/>
      <c r="C179" s="6"/>
      <c r="D179" s="6"/>
      <c r="E179" s="6"/>
      <c r="F179" s="1"/>
      <c r="G179" s="9"/>
      <c r="H179" s="9"/>
      <c r="I179" s="16"/>
      <c r="J179" s="1"/>
      <c r="K179" s="1"/>
      <c r="L179" s="1"/>
      <c r="M179" s="1"/>
      <c r="N179" s="14"/>
      <c r="O179" s="16"/>
      <c r="P179" s="1"/>
    </row>
    <row r="180" spans="1:16">
      <c r="A180" s="6"/>
      <c r="B180" s="7"/>
      <c r="C180" s="6"/>
      <c r="D180" s="6"/>
      <c r="E180" s="6"/>
      <c r="F180" s="1"/>
      <c r="G180" s="9"/>
      <c r="H180" s="16"/>
      <c r="I180" s="16"/>
      <c r="J180" s="1"/>
      <c r="K180" s="1"/>
      <c r="L180" s="1"/>
      <c r="M180" s="1"/>
      <c r="N180" s="14"/>
      <c r="O180" s="16"/>
      <c r="P180" s="1"/>
    </row>
    <row r="181" spans="1:16">
      <c r="A181" s="6"/>
      <c r="B181" s="7"/>
      <c r="C181" s="6"/>
      <c r="D181" s="6"/>
      <c r="E181" s="6"/>
      <c r="F181" s="1"/>
      <c r="G181" s="9"/>
      <c r="H181" s="9"/>
      <c r="I181" s="16"/>
      <c r="J181" s="1"/>
      <c r="K181" s="1"/>
      <c r="L181" s="1"/>
      <c r="M181" s="1"/>
      <c r="N181" s="14"/>
      <c r="O181" s="16"/>
      <c r="P181" s="1"/>
    </row>
    <row r="182" spans="1:16">
      <c r="A182" s="6"/>
      <c r="B182" s="7"/>
      <c r="C182" s="6"/>
      <c r="D182" s="6"/>
      <c r="E182" s="6"/>
      <c r="F182" s="1"/>
      <c r="G182" s="9"/>
      <c r="H182" s="9"/>
      <c r="I182" s="16"/>
      <c r="J182" s="1"/>
      <c r="K182" s="1"/>
      <c r="L182" s="1"/>
      <c r="M182" s="1"/>
      <c r="N182" s="14"/>
      <c r="O182" s="16"/>
      <c r="P182" s="1"/>
    </row>
    <row r="183" spans="1:16">
      <c r="A183" s="6"/>
      <c r="B183" s="7"/>
      <c r="C183" s="6"/>
      <c r="D183" s="6"/>
      <c r="E183" s="6"/>
      <c r="F183" s="1"/>
      <c r="G183" s="9"/>
      <c r="H183" s="9"/>
      <c r="I183" s="16"/>
      <c r="J183" s="1"/>
      <c r="K183" s="1"/>
      <c r="L183" s="1"/>
      <c r="M183" s="9"/>
      <c r="N183" s="14"/>
      <c r="O183" s="16"/>
      <c r="P183" s="1"/>
    </row>
    <row r="184" spans="1:16">
      <c r="A184" s="6"/>
      <c r="B184" s="7"/>
      <c r="C184" s="6"/>
      <c r="D184" s="6"/>
      <c r="E184" s="6"/>
      <c r="F184" s="1"/>
      <c r="G184" s="9"/>
      <c r="H184" s="9"/>
      <c r="I184" s="16"/>
      <c r="J184" s="1"/>
      <c r="K184" s="1"/>
      <c r="L184" s="1"/>
      <c r="M184" s="1"/>
      <c r="N184" s="14"/>
      <c r="O184" s="16"/>
      <c r="P184" s="1"/>
    </row>
    <row r="185" spans="1:16">
      <c r="A185" s="6"/>
      <c r="B185" s="7"/>
      <c r="C185" s="6"/>
      <c r="D185" s="6"/>
      <c r="E185" s="6"/>
      <c r="F185" s="1"/>
      <c r="G185" s="9"/>
      <c r="H185" s="9"/>
      <c r="I185" s="16"/>
      <c r="J185" s="1"/>
      <c r="K185" s="1"/>
      <c r="L185" s="1"/>
      <c r="M185" s="1"/>
      <c r="N185" s="14"/>
      <c r="O185" s="16"/>
      <c r="P185" s="1"/>
    </row>
    <row r="186" spans="1:16">
      <c r="A186" s="6"/>
      <c r="B186" s="7"/>
      <c r="C186" s="6"/>
      <c r="D186" s="6"/>
      <c r="E186" s="6"/>
      <c r="F186" s="1"/>
      <c r="G186" s="9"/>
      <c r="H186" s="16"/>
      <c r="I186" s="16"/>
      <c r="J186" s="1"/>
      <c r="K186" s="1"/>
      <c r="L186" s="1"/>
      <c r="M186" s="1"/>
      <c r="N186" s="14"/>
      <c r="O186" s="16"/>
      <c r="P186" s="1"/>
    </row>
    <row r="187" spans="1:16">
      <c r="A187" s="6"/>
      <c r="B187" s="7"/>
      <c r="C187" s="6"/>
      <c r="D187" s="6"/>
      <c r="E187" s="6"/>
      <c r="F187" s="1"/>
      <c r="G187" s="9"/>
      <c r="H187" s="9"/>
      <c r="I187" s="16"/>
      <c r="J187" s="1"/>
      <c r="K187" s="1"/>
      <c r="L187" s="1"/>
      <c r="M187" s="1"/>
      <c r="N187" s="14"/>
      <c r="O187" s="16"/>
      <c r="P187" s="1"/>
    </row>
    <row r="188" spans="1:16">
      <c r="A188" s="6"/>
      <c r="B188" s="7"/>
      <c r="C188" s="6"/>
      <c r="D188" s="6"/>
      <c r="E188" s="6"/>
      <c r="F188" s="1"/>
      <c r="G188" s="9"/>
      <c r="H188" s="9"/>
      <c r="I188" s="16"/>
      <c r="J188" s="1"/>
      <c r="K188" s="1"/>
      <c r="L188" s="1"/>
      <c r="M188" s="1"/>
      <c r="N188" s="14"/>
      <c r="O188" s="16"/>
      <c r="P188" s="1"/>
    </row>
    <row r="189" spans="1:16">
      <c r="A189" s="6"/>
      <c r="B189" s="7"/>
      <c r="C189" s="6"/>
      <c r="D189" s="6"/>
      <c r="E189" s="6"/>
      <c r="F189" s="1"/>
      <c r="G189" s="9"/>
      <c r="H189" s="16"/>
      <c r="I189" s="16"/>
      <c r="J189" s="1"/>
      <c r="K189" s="1"/>
      <c r="L189" s="1"/>
      <c r="M189" s="1"/>
      <c r="N189" s="14"/>
      <c r="O189" s="16"/>
      <c r="P189" s="1"/>
    </row>
    <row r="190" spans="1:16">
      <c r="A190" s="6"/>
      <c r="B190" s="7"/>
      <c r="C190" s="6"/>
      <c r="D190" s="6"/>
      <c r="E190" s="6"/>
      <c r="F190" s="1"/>
      <c r="G190" s="9"/>
      <c r="H190" s="16"/>
      <c r="I190" s="16"/>
      <c r="J190" s="1"/>
      <c r="K190" s="1"/>
      <c r="L190" s="1"/>
      <c r="M190" s="1"/>
      <c r="N190" s="14"/>
      <c r="O190" s="16"/>
      <c r="P190" s="1"/>
    </row>
    <row r="191" spans="1:16">
      <c r="A191" s="6"/>
      <c r="B191" s="7"/>
      <c r="C191" s="6"/>
      <c r="D191" s="6"/>
      <c r="E191" s="6"/>
      <c r="F191" s="1"/>
      <c r="G191" s="9"/>
      <c r="H191" s="9"/>
      <c r="I191" s="16"/>
      <c r="J191" s="1"/>
      <c r="K191" s="1"/>
      <c r="L191" s="1"/>
      <c r="M191" s="1"/>
      <c r="N191" s="14"/>
      <c r="O191" s="16"/>
      <c r="P191" s="1"/>
    </row>
    <row r="192" spans="1:16">
      <c r="A192" s="6"/>
      <c r="B192" s="7"/>
      <c r="C192" s="6"/>
      <c r="D192" s="6"/>
      <c r="E192" s="6"/>
      <c r="F192" s="1"/>
      <c r="G192" s="9"/>
      <c r="H192" s="16"/>
      <c r="I192" s="16"/>
      <c r="J192" s="1"/>
      <c r="K192" s="1"/>
      <c r="L192" s="1"/>
      <c r="M192" s="1"/>
      <c r="N192" s="14"/>
      <c r="O192" s="16"/>
      <c r="P192" s="1"/>
    </row>
    <row r="193" spans="1:16">
      <c r="A193" s="6"/>
      <c r="B193" s="7"/>
      <c r="C193" s="6"/>
      <c r="D193" s="6"/>
      <c r="E193" s="6"/>
      <c r="F193" s="1"/>
      <c r="G193" s="9"/>
      <c r="H193" s="9"/>
      <c r="I193" s="16"/>
      <c r="J193" s="1"/>
      <c r="K193" s="1"/>
      <c r="L193" s="1"/>
      <c r="M193" s="1"/>
      <c r="N193" s="14"/>
      <c r="O193" s="16"/>
      <c r="P193" s="1"/>
    </row>
    <row r="194" spans="1:16">
      <c r="A194" s="6"/>
      <c r="B194" s="7"/>
      <c r="C194" s="6"/>
      <c r="D194" s="6"/>
      <c r="E194" s="6"/>
      <c r="F194" s="1"/>
      <c r="G194" s="9"/>
      <c r="H194" s="9"/>
      <c r="I194" s="16"/>
      <c r="J194" s="1"/>
      <c r="K194" s="1"/>
      <c r="L194" s="1"/>
      <c r="M194" s="1"/>
      <c r="N194" s="14"/>
      <c r="O194" s="16"/>
      <c r="P194" s="1"/>
    </row>
    <row r="195" spans="1:16">
      <c r="A195" s="6"/>
      <c r="B195" s="7"/>
      <c r="C195" s="6"/>
      <c r="D195" s="6"/>
      <c r="E195" s="6"/>
      <c r="F195" s="1"/>
      <c r="G195" s="9"/>
      <c r="H195" s="9"/>
      <c r="I195" s="16"/>
      <c r="J195" s="1"/>
      <c r="K195" s="1"/>
      <c r="L195" s="1"/>
      <c r="M195" s="1"/>
      <c r="N195" s="14"/>
      <c r="O195" s="16"/>
      <c r="P195" s="1"/>
    </row>
    <row r="196" spans="1:16">
      <c r="A196" s="6"/>
      <c r="B196" s="7"/>
      <c r="C196" s="6"/>
      <c r="D196" s="6"/>
      <c r="E196" s="6"/>
      <c r="F196" s="1"/>
      <c r="G196" s="9"/>
      <c r="H196" s="16"/>
      <c r="I196" s="16"/>
      <c r="J196" s="1"/>
      <c r="K196" s="1"/>
      <c r="L196" s="1"/>
      <c r="M196" s="1"/>
      <c r="N196" s="14"/>
      <c r="O196" s="16"/>
      <c r="P196" s="1"/>
    </row>
    <row r="197" spans="1:16">
      <c r="A197" s="6"/>
      <c r="B197" s="7"/>
      <c r="C197" s="6"/>
      <c r="D197" s="6"/>
      <c r="E197" s="6"/>
      <c r="F197" s="1"/>
      <c r="G197" s="9"/>
      <c r="H197" s="16"/>
      <c r="I197" s="16"/>
      <c r="J197" s="1"/>
      <c r="K197" s="1"/>
      <c r="L197" s="1"/>
      <c r="M197" s="1"/>
      <c r="N197" s="14"/>
      <c r="O197" s="16"/>
      <c r="P197" s="1"/>
    </row>
    <row r="198" spans="1:16">
      <c r="A198" s="6"/>
      <c r="B198" s="7"/>
      <c r="C198" s="6"/>
      <c r="D198" s="6"/>
      <c r="E198" s="6"/>
      <c r="F198" s="1"/>
      <c r="G198" s="9"/>
      <c r="H198" s="16"/>
      <c r="I198" s="16"/>
      <c r="J198" s="1"/>
      <c r="K198" s="1"/>
      <c r="L198" s="1"/>
      <c r="M198" s="1"/>
      <c r="N198" s="14"/>
      <c r="O198" s="16"/>
      <c r="P198" s="1"/>
    </row>
    <row r="199" spans="1:16">
      <c r="A199" s="6"/>
      <c r="B199" s="7"/>
      <c r="C199" s="6"/>
      <c r="D199" s="6"/>
      <c r="E199" s="6"/>
      <c r="F199" s="1"/>
      <c r="G199" s="9"/>
      <c r="H199" s="16"/>
      <c r="I199" s="16"/>
      <c r="J199" s="1"/>
      <c r="K199" s="1"/>
      <c r="L199" s="1"/>
      <c r="M199" s="1"/>
      <c r="N199" s="14"/>
      <c r="O199" s="16"/>
      <c r="P199" s="1"/>
    </row>
    <row r="200" spans="1:16">
      <c r="A200" s="6"/>
      <c r="B200" s="7"/>
      <c r="C200" s="6"/>
      <c r="D200" s="6"/>
      <c r="E200" s="6"/>
      <c r="F200" s="1"/>
      <c r="G200" s="9"/>
      <c r="H200" s="16"/>
      <c r="I200" s="16"/>
      <c r="J200" s="1"/>
      <c r="K200" s="1"/>
      <c r="L200" s="1"/>
      <c r="M200" s="1"/>
      <c r="N200" s="14"/>
      <c r="O200" s="16"/>
      <c r="P200" s="1"/>
    </row>
    <row r="201" spans="1:16">
      <c r="A201" s="6"/>
      <c r="B201" s="7"/>
      <c r="C201" s="6"/>
      <c r="D201" s="6"/>
      <c r="E201" s="6"/>
      <c r="F201" s="1"/>
      <c r="G201" s="9"/>
      <c r="H201" s="9"/>
      <c r="I201" s="16"/>
      <c r="J201" s="1"/>
      <c r="K201" s="1"/>
      <c r="L201" s="1"/>
      <c r="M201" s="1"/>
      <c r="N201" s="14"/>
      <c r="O201" s="16"/>
      <c r="P201" s="1"/>
    </row>
    <row r="202" spans="1:16">
      <c r="A202" s="6"/>
      <c r="B202" s="7"/>
      <c r="C202" s="6"/>
      <c r="D202" s="6"/>
      <c r="E202" s="6"/>
      <c r="F202" s="1"/>
      <c r="G202" s="9"/>
      <c r="H202" s="16"/>
      <c r="I202" s="16"/>
      <c r="J202" s="1"/>
      <c r="K202" s="1"/>
      <c r="L202" s="1"/>
      <c r="M202" s="1"/>
      <c r="N202" s="14"/>
      <c r="O202" s="16"/>
      <c r="P202" s="1"/>
    </row>
    <row r="203" spans="1:16">
      <c r="A203" s="6"/>
      <c r="B203" s="7"/>
      <c r="C203" s="6"/>
      <c r="D203" s="6"/>
      <c r="E203" s="6"/>
      <c r="F203" s="1"/>
      <c r="G203" s="9"/>
      <c r="H203" s="16"/>
      <c r="I203" s="16"/>
      <c r="J203" s="1"/>
      <c r="K203" s="1"/>
      <c r="L203" s="1"/>
      <c r="M203" s="1"/>
      <c r="N203" s="14"/>
      <c r="O203" s="16"/>
      <c r="P203" s="1"/>
    </row>
    <row r="204" spans="1:16">
      <c r="A204" s="6"/>
      <c r="B204" s="7"/>
      <c r="C204" s="6"/>
      <c r="D204" s="6"/>
      <c r="E204" s="6"/>
      <c r="F204" s="1"/>
      <c r="G204" s="9"/>
      <c r="H204" s="16"/>
      <c r="I204" s="16"/>
      <c r="J204" s="1"/>
      <c r="K204" s="1"/>
      <c r="L204" s="1"/>
      <c r="M204" s="1"/>
      <c r="N204" s="14"/>
      <c r="O204" s="16"/>
      <c r="P204" s="1"/>
    </row>
    <row r="205" spans="1:16">
      <c r="A205" s="6"/>
      <c r="B205" s="7"/>
      <c r="C205" s="6"/>
      <c r="D205" s="6"/>
      <c r="E205" s="6"/>
      <c r="F205" s="1"/>
      <c r="G205" s="9"/>
      <c r="H205" s="16"/>
      <c r="I205" s="16"/>
      <c r="J205" s="1"/>
      <c r="K205" s="1"/>
      <c r="L205" s="1"/>
      <c r="M205" s="1"/>
      <c r="N205" s="14"/>
      <c r="O205" s="16"/>
      <c r="P205" s="1"/>
    </row>
    <row r="206" spans="1:16">
      <c r="A206" s="6"/>
      <c r="B206" s="7"/>
      <c r="C206" s="6"/>
      <c r="D206" s="6"/>
      <c r="E206" s="6"/>
      <c r="F206" s="1"/>
      <c r="G206" s="9"/>
      <c r="H206" s="9"/>
      <c r="I206" s="16"/>
      <c r="J206" s="1"/>
      <c r="K206" s="1"/>
      <c r="L206" s="1"/>
      <c r="M206" s="1"/>
      <c r="N206" s="14"/>
      <c r="O206" s="16"/>
      <c r="P206" s="1"/>
    </row>
    <row r="207" spans="1:16">
      <c r="A207" s="6"/>
      <c r="B207" s="7"/>
      <c r="C207" s="6"/>
      <c r="D207" s="6"/>
      <c r="E207" s="6"/>
      <c r="F207" s="1"/>
      <c r="G207" s="9"/>
      <c r="H207" s="9"/>
      <c r="I207" s="16"/>
      <c r="J207" s="1"/>
      <c r="K207" s="1"/>
      <c r="L207" s="1"/>
      <c r="M207" s="1"/>
      <c r="N207" s="14"/>
      <c r="O207" s="16"/>
      <c r="P207" s="1"/>
    </row>
    <row r="208" spans="1:16">
      <c r="A208" s="6"/>
      <c r="B208" s="7"/>
      <c r="C208" s="6"/>
      <c r="D208" s="6"/>
      <c r="E208" s="6"/>
      <c r="F208" s="1"/>
      <c r="G208" s="9"/>
      <c r="H208" s="9"/>
      <c r="I208" s="16"/>
      <c r="J208" s="1"/>
      <c r="K208" s="1"/>
      <c r="L208" s="1"/>
      <c r="M208" s="1"/>
      <c r="N208" s="14"/>
      <c r="O208" s="16"/>
      <c r="P208" s="1"/>
    </row>
    <row r="209" spans="1:16">
      <c r="A209" s="6"/>
      <c r="B209" s="7"/>
      <c r="C209" s="6"/>
      <c r="D209" s="6"/>
      <c r="E209" s="6"/>
      <c r="F209" s="1"/>
      <c r="G209" s="9"/>
      <c r="H209" s="9"/>
      <c r="I209" s="16"/>
      <c r="J209" s="1"/>
      <c r="K209" s="1"/>
      <c r="L209" s="1"/>
      <c r="M209" s="1"/>
      <c r="N209" s="14"/>
      <c r="O209" s="16"/>
      <c r="P209" s="1"/>
    </row>
    <row r="210" spans="1:16">
      <c r="A210" s="6"/>
      <c r="B210" s="7"/>
      <c r="C210" s="6"/>
      <c r="D210" s="6"/>
      <c r="E210" s="6"/>
      <c r="F210" s="1"/>
      <c r="G210" s="9"/>
      <c r="H210" s="9"/>
      <c r="I210" s="16"/>
      <c r="J210" s="1"/>
      <c r="K210" s="1"/>
      <c r="L210" s="1"/>
      <c r="M210" s="9"/>
      <c r="N210" s="14"/>
      <c r="O210" s="16"/>
      <c r="P210" s="1"/>
    </row>
    <row r="211" spans="1:16">
      <c r="A211" s="6"/>
      <c r="B211" s="7"/>
      <c r="C211" s="6"/>
      <c r="D211" s="6"/>
      <c r="E211" s="6"/>
      <c r="F211" s="1"/>
      <c r="G211" s="9"/>
      <c r="H211" s="9"/>
      <c r="I211" s="16"/>
      <c r="J211" s="1"/>
      <c r="K211" s="1"/>
      <c r="L211" s="1"/>
      <c r="M211" s="1"/>
      <c r="N211" s="14"/>
      <c r="O211" s="16"/>
      <c r="P211" s="1"/>
    </row>
    <row r="212" spans="1:16">
      <c r="A212" s="6"/>
      <c r="B212" s="7"/>
      <c r="C212" s="6"/>
      <c r="D212" s="6"/>
      <c r="E212" s="6"/>
      <c r="F212" s="1"/>
      <c r="G212" s="9"/>
      <c r="H212" s="9"/>
      <c r="I212" s="16"/>
      <c r="J212" s="1"/>
      <c r="K212" s="1"/>
      <c r="L212" s="1"/>
      <c r="M212" s="1"/>
      <c r="N212" s="14"/>
      <c r="O212" s="16"/>
      <c r="P212" s="1"/>
    </row>
    <row r="213" spans="1:16">
      <c r="A213" s="6"/>
      <c r="B213" s="7"/>
      <c r="C213" s="6"/>
      <c r="D213" s="6"/>
      <c r="E213" s="6"/>
      <c r="F213" s="1"/>
      <c r="G213" s="9"/>
      <c r="H213" s="16"/>
      <c r="I213" s="16"/>
      <c r="J213" s="1"/>
      <c r="K213" s="1"/>
      <c r="L213" s="1"/>
      <c r="M213" s="1"/>
      <c r="N213" s="14"/>
      <c r="O213" s="16"/>
      <c r="P213" s="1"/>
    </row>
    <row r="214" spans="1:16">
      <c r="A214" s="6"/>
      <c r="B214" s="7"/>
      <c r="C214" s="6"/>
      <c r="D214" s="6"/>
      <c r="E214" s="6"/>
      <c r="F214" s="1"/>
      <c r="G214" s="9"/>
      <c r="H214" s="9"/>
      <c r="I214" s="16"/>
      <c r="J214" s="1"/>
      <c r="K214" s="1"/>
      <c r="L214" s="1"/>
      <c r="M214" s="1"/>
      <c r="N214" s="14"/>
      <c r="O214" s="16"/>
      <c r="P214" s="1"/>
    </row>
    <row r="215" spans="1:16">
      <c r="A215" s="6"/>
      <c r="B215" s="7"/>
      <c r="C215" s="6"/>
      <c r="D215" s="6"/>
      <c r="E215" s="6"/>
      <c r="F215" s="1"/>
      <c r="G215" s="9"/>
      <c r="H215" s="9"/>
      <c r="I215" s="16"/>
      <c r="J215" s="1"/>
      <c r="K215" s="1"/>
      <c r="L215" s="1"/>
      <c r="M215" s="9"/>
      <c r="N215" s="14"/>
      <c r="O215" s="16"/>
      <c r="P215" s="1"/>
    </row>
    <row r="216" spans="1:16">
      <c r="A216" s="6"/>
      <c r="B216" s="7"/>
      <c r="C216" s="6"/>
      <c r="D216" s="6"/>
      <c r="E216" s="6"/>
      <c r="F216" s="1"/>
      <c r="G216" s="9"/>
      <c r="H216" s="9"/>
      <c r="I216" s="16"/>
      <c r="J216" s="1"/>
      <c r="K216" s="1"/>
      <c r="L216" s="1"/>
      <c r="M216" s="9"/>
      <c r="N216" s="14"/>
      <c r="O216" s="16"/>
      <c r="P216" s="1"/>
    </row>
    <row r="217" spans="1:16">
      <c r="A217" s="6"/>
      <c r="B217" s="7"/>
      <c r="C217" s="6"/>
      <c r="D217" s="6"/>
      <c r="E217" s="6"/>
      <c r="F217" s="1"/>
      <c r="G217" s="9"/>
      <c r="H217" s="16"/>
      <c r="I217" s="16"/>
      <c r="J217" s="1"/>
      <c r="K217" s="1"/>
      <c r="L217" s="1"/>
      <c r="M217" s="1"/>
      <c r="N217" s="14"/>
      <c r="O217" s="16"/>
      <c r="P217" s="1"/>
    </row>
    <row r="218" spans="1:16">
      <c r="A218" s="6"/>
      <c r="B218" s="7"/>
      <c r="C218" s="6"/>
      <c r="D218" s="6"/>
      <c r="E218" s="6"/>
      <c r="F218" s="1"/>
      <c r="G218" s="9"/>
      <c r="H218" s="9"/>
      <c r="I218" s="16"/>
      <c r="J218" s="1"/>
      <c r="K218" s="1"/>
      <c r="L218" s="1"/>
      <c r="M218" s="9"/>
      <c r="N218" s="14"/>
      <c r="O218" s="16"/>
      <c r="P218" s="1"/>
    </row>
    <row r="219" spans="1:16">
      <c r="A219" s="6"/>
      <c r="B219" s="7"/>
      <c r="C219" s="6"/>
      <c r="D219" s="6"/>
      <c r="E219" s="6"/>
      <c r="F219" s="1"/>
      <c r="G219" s="9"/>
      <c r="H219" s="16"/>
      <c r="I219" s="16"/>
      <c r="J219" s="1"/>
      <c r="K219" s="1"/>
      <c r="L219" s="1"/>
      <c r="M219" s="1"/>
      <c r="N219" s="14"/>
      <c r="O219" s="16"/>
      <c r="P219" s="1"/>
    </row>
    <row r="220" spans="1:16">
      <c r="A220" s="6"/>
      <c r="B220" s="7"/>
      <c r="C220" s="6"/>
      <c r="D220" s="6"/>
      <c r="E220" s="6"/>
      <c r="F220" s="1"/>
      <c r="G220" s="9"/>
      <c r="H220" s="16"/>
      <c r="I220" s="16"/>
      <c r="J220" s="1"/>
      <c r="K220" s="1"/>
      <c r="L220" s="1"/>
      <c r="M220" s="1"/>
      <c r="N220" s="14"/>
      <c r="O220" s="16"/>
      <c r="P220" s="1"/>
    </row>
    <row r="221" spans="1:16">
      <c r="A221" s="6"/>
      <c r="B221" s="7"/>
      <c r="C221" s="6"/>
      <c r="D221" s="6"/>
      <c r="E221" s="6"/>
      <c r="F221" s="1"/>
      <c r="G221" s="9"/>
      <c r="H221" s="9"/>
      <c r="I221" s="16"/>
      <c r="J221" s="1"/>
      <c r="K221" s="1"/>
      <c r="L221" s="1"/>
      <c r="M221" s="9"/>
      <c r="N221" s="14"/>
      <c r="O221" s="16"/>
      <c r="P221" s="1"/>
    </row>
    <row r="222" spans="1:16">
      <c r="A222" s="6"/>
      <c r="B222" s="7"/>
      <c r="C222" s="6"/>
      <c r="D222" s="6"/>
      <c r="E222" s="6"/>
      <c r="F222" s="1"/>
      <c r="G222" s="9"/>
      <c r="H222" s="9"/>
      <c r="I222" s="16"/>
      <c r="J222" s="1"/>
      <c r="K222" s="1"/>
      <c r="L222" s="1"/>
      <c r="M222" s="9"/>
      <c r="N222" s="14"/>
      <c r="O222" s="16"/>
      <c r="P222" s="1"/>
    </row>
    <row r="223" spans="1:16">
      <c r="A223" s="6"/>
      <c r="B223" s="7"/>
      <c r="C223" s="6"/>
      <c r="D223" s="6"/>
      <c r="E223" s="6"/>
      <c r="F223" s="1"/>
      <c r="G223" s="9"/>
      <c r="H223" s="9"/>
      <c r="I223" s="16"/>
      <c r="J223" s="1"/>
      <c r="K223" s="1"/>
      <c r="L223" s="1"/>
      <c r="M223" s="1"/>
      <c r="N223" s="14"/>
      <c r="O223" s="16"/>
      <c r="P223" s="1"/>
    </row>
    <row r="224" spans="1:16">
      <c r="A224" s="6"/>
      <c r="B224" s="7"/>
      <c r="C224" s="6"/>
      <c r="D224" s="6"/>
      <c r="E224" s="6"/>
      <c r="F224" s="1"/>
      <c r="G224" s="9"/>
      <c r="H224" s="16"/>
      <c r="I224" s="16"/>
      <c r="J224" s="1"/>
      <c r="K224" s="1"/>
      <c r="L224" s="1"/>
      <c r="M224" s="1"/>
      <c r="N224" s="14"/>
      <c r="O224" s="16"/>
      <c r="P224" s="1"/>
    </row>
    <row r="225" spans="1:16">
      <c r="A225" s="6"/>
      <c r="B225" s="7"/>
      <c r="C225" s="6"/>
      <c r="D225" s="6"/>
      <c r="E225" s="6"/>
      <c r="F225" s="1"/>
      <c r="G225" s="9"/>
      <c r="H225" s="9"/>
      <c r="I225" s="16"/>
      <c r="J225" s="1"/>
      <c r="K225" s="1"/>
      <c r="L225" s="1"/>
      <c r="M225" s="9"/>
      <c r="N225" s="14"/>
      <c r="O225" s="16"/>
      <c r="P225" s="1"/>
    </row>
    <row r="226" spans="1:16">
      <c r="A226" s="6"/>
      <c r="B226" s="7"/>
      <c r="C226" s="6"/>
      <c r="D226" s="6"/>
      <c r="E226" s="6"/>
      <c r="F226" s="1"/>
      <c r="G226" s="9"/>
      <c r="H226" s="16"/>
      <c r="I226" s="16"/>
      <c r="J226" s="1"/>
      <c r="K226" s="1"/>
      <c r="L226" s="1"/>
      <c r="M226" s="1"/>
      <c r="N226" s="14"/>
      <c r="O226" s="16"/>
      <c r="P226" s="1"/>
    </row>
    <row r="227" spans="1:16">
      <c r="A227" s="6"/>
      <c r="B227" s="7"/>
      <c r="C227" s="6"/>
      <c r="D227" s="6"/>
      <c r="E227" s="6"/>
      <c r="F227" s="1"/>
      <c r="G227" s="9"/>
      <c r="H227" s="16"/>
      <c r="I227" s="16"/>
      <c r="J227" s="1"/>
      <c r="K227" s="1"/>
      <c r="L227" s="1"/>
      <c r="M227" s="1"/>
      <c r="N227" s="14"/>
      <c r="O227" s="16"/>
      <c r="P227" s="1"/>
    </row>
    <row r="228" spans="1:16">
      <c r="A228" s="6"/>
      <c r="B228" s="7"/>
      <c r="C228" s="6"/>
      <c r="D228" s="6"/>
      <c r="E228" s="6"/>
      <c r="F228" s="1"/>
      <c r="G228" s="9"/>
      <c r="H228" s="9"/>
      <c r="I228" s="16"/>
      <c r="J228" s="1"/>
      <c r="K228" s="1"/>
      <c r="L228" s="1"/>
      <c r="M228" s="1"/>
      <c r="N228" s="14"/>
      <c r="O228" s="16"/>
      <c r="P228" s="1"/>
    </row>
    <row r="229" spans="1:16">
      <c r="A229" s="6"/>
      <c r="B229" s="7"/>
      <c r="C229" s="6"/>
      <c r="D229" s="6"/>
      <c r="E229" s="6"/>
      <c r="F229" s="1"/>
      <c r="G229" s="9"/>
      <c r="H229" s="16"/>
      <c r="I229" s="16"/>
      <c r="J229" s="1"/>
      <c r="K229" s="1"/>
      <c r="L229" s="1"/>
      <c r="M229" s="1"/>
      <c r="N229" s="14"/>
      <c r="O229" s="16"/>
      <c r="P229" s="1"/>
    </row>
    <row r="230" spans="1:16">
      <c r="A230" s="6"/>
      <c r="B230" s="7"/>
      <c r="C230" s="6"/>
      <c r="D230" s="6"/>
      <c r="E230" s="6"/>
      <c r="F230" s="1"/>
      <c r="G230" s="9"/>
      <c r="H230" s="16"/>
      <c r="I230" s="16"/>
      <c r="J230" s="1"/>
      <c r="K230" s="1"/>
      <c r="L230" s="1"/>
      <c r="M230" s="1"/>
      <c r="N230" s="14"/>
      <c r="O230" s="16"/>
      <c r="P230" s="1"/>
    </row>
    <row r="231" spans="1:16">
      <c r="A231" s="6"/>
      <c r="B231" s="7"/>
      <c r="C231" s="6"/>
      <c r="D231" s="6"/>
      <c r="E231" s="6"/>
      <c r="F231" s="1"/>
      <c r="G231" s="9"/>
      <c r="H231" s="9"/>
      <c r="I231" s="16"/>
      <c r="J231" s="1"/>
      <c r="K231" s="1"/>
      <c r="L231" s="1"/>
      <c r="M231" s="1"/>
      <c r="N231" s="14"/>
      <c r="O231" s="16"/>
      <c r="P231" s="1"/>
    </row>
    <row r="232" spans="1:16">
      <c r="A232" s="6"/>
      <c r="B232" s="7"/>
      <c r="C232" s="6"/>
      <c r="D232" s="6"/>
      <c r="E232" s="6"/>
      <c r="F232" s="1"/>
      <c r="G232" s="9"/>
      <c r="H232" s="9"/>
      <c r="I232" s="16"/>
      <c r="J232" s="1"/>
      <c r="K232" s="1"/>
      <c r="L232" s="1"/>
      <c r="M232" s="9"/>
      <c r="N232" s="14"/>
      <c r="O232" s="16"/>
      <c r="P232" s="1"/>
    </row>
    <row r="233" spans="1:16">
      <c r="A233" s="6"/>
      <c r="B233" s="7"/>
      <c r="C233" s="6"/>
      <c r="D233" s="6"/>
      <c r="E233" s="6"/>
      <c r="F233" s="1"/>
      <c r="G233" s="9"/>
      <c r="H233" s="9"/>
      <c r="I233" s="16"/>
      <c r="J233" s="1"/>
      <c r="K233" s="1"/>
      <c r="L233" s="1"/>
      <c r="M233" s="1"/>
      <c r="N233" s="14"/>
      <c r="O233" s="16"/>
      <c r="P233" s="1"/>
    </row>
    <row r="234" spans="1:16">
      <c r="A234" s="6"/>
      <c r="B234" s="7"/>
      <c r="C234" s="6"/>
      <c r="D234" s="6"/>
      <c r="E234" s="6"/>
      <c r="F234" s="1"/>
      <c r="G234" s="9"/>
      <c r="H234" s="16"/>
      <c r="I234" s="16"/>
      <c r="J234" s="1"/>
      <c r="K234" s="1"/>
      <c r="L234" s="1"/>
      <c r="M234" s="1"/>
      <c r="N234" s="14"/>
      <c r="O234" s="16"/>
      <c r="P234" s="1"/>
    </row>
    <row r="235" spans="1:16">
      <c r="A235" s="6"/>
      <c r="B235" s="7"/>
      <c r="C235" s="6"/>
      <c r="D235" s="6"/>
      <c r="E235" s="6"/>
      <c r="F235" s="1"/>
      <c r="G235" s="9"/>
      <c r="H235" s="16"/>
      <c r="I235" s="16"/>
      <c r="J235" s="1"/>
      <c r="K235" s="1"/>
      <c r="L235" s="1"/>
      <c r="M235" s="1"/>
      <c r="N235" s="14"/>
      <c r="O235" s="16"/>
      <c r="P235" s="1"/>
    </row>
    <row r="236" spans="1:16">
      <c r="A236" s="6"/>
      <c r="B236" s="7"/>
      <c r="C236" s="6"/>
      <c r="D236" s="6"/>
      <c r="E236" s="6"/>
      <c r="F236" s="1"/>
      <c r="G236" s="9"/>
      <c r="H236" s="9"/>
      <c r="I236" s="16"/>
      <c r="J236" s="1"/>
      <c r="K236" s="1"/>
      <c r="L236" s="1"/>
      <c r="M236" s="1"/>
      <c r="N236" s="14"/>
      <c r="O236" s="16"/>
      <c r="P236" s="1"/>
    </row>
    <row r="237" spans="1:16">
      <c r="A237" s="6"/>
      <c r="B237" s="7"/>
      <c r="C237" s="6"/>
      <c r="D237" s="6"/>
      <c r="E237" s="6"/>
      <c r="F237" s="1"/>
      <c r="G237" s="9"/>
      <c r="H237" s="9"/>
      <c r="I237" s="16"/>
      <c r="J237" s="1"/>
      <c r="K237" s="1"/>
      <c r="L237" s="1"/>
      <c r="M237" s="1"/>
      <c r="N237" s="14"/>
      <c r="O237" s="16"/>
      <c r="P237" s="1"/>
    </row>
    <row r="238" spans="1:16">
      <c r="A238" s="6"/>
      <c r="B238" s="7"/>
      <c r="C238" s="6"/>
      <c r="D238" s="6"/>
      <c r="E238" s="6"/>
      <c r="F238" s="1"/>
      <c r="G238" s="9"/>
      <c r="H238" s="16"/>
      <c r="I238" s="16"/>
      <c r="J238" s="1"/>
      <c r="K238" s="1"/>
      <c r="L238" s="1"/>
      <c r="M238" s="1"/>
      <c r="N238" s="14"/>
      <c r="O238" s="16"/>
      <c r="P238" s="1"/>
    </row>
    <row r="239" spans="1:16">
      <c r="A239" s="6"/>
      <c r="B239" s="7"/>
      <c r="C239" s="6"/>
      <c r="D239" s="6"/>
      <c r="E239" s="6"/>
      <c r="F239" s="1"/>
      <c r="G239" s="9"/>
      <c r="H239" s="16"/>
      <c r="I239" s="16"/>
      <c r="J239" s="1"/>
      <c r="K239" s="1"/>
      <c r="L239" s="1"/>
      <c r="M239" s="1"/>
      <c r="N239" s="14"/>
      <c r="O239" s="16"/>
      <c r="P239" s="1"/>
    </row>
    <row r="240" spans="1:16">
      <c r="A240" s="6"/>
      <c r="B240" s="7"/>
      <c r="C240" s="6"/>
      <c r="D240" s="6"/>
      <c r="E240" s="6"/>
      <c r="F240" s="1"/>
      <c r="G240" s="9"/>
      <c r="H240" s="16"/>
      <c r="I240" s="16"/>
      <c r="J240" s="1"/>
      <c r="K240" s="1"/>
      <c r="L240" s="1"/>
      <c r="M240" s="1"/>
      <c r="N240" s="14"/>
      <c r="O240" s="16"/>
      <c r="P240" s="1"/>
    </row>
    <row r="241" spans="1:16">
      <c r="A241" s="6"/>
      <c r="B241" s="7"/>
      <c r="C241" s="6"/>
      <c r="D241" s="6"/>
      <c r="E241" s="6"/>
      <c r="F241" s="1"/>
      <c r="G241" s="9"/>
      <c r="H241" s="16"/>
      <c r="I241" s="16"/>
      <c r="J241" s="1"/>
      <c r="K241" s="1"/>
      <c r="L241" s="1"/>
      <c r="M241" s="1"/>
      <c r="N241" s="14"/>
      <c r="O241" s="16"/>
      <c r="P241" s="1"/>
    </row>
    <row r="242" spans="1:16">
      <c r="A242" s="6"/>
      <c r="B242" s="7"/>
      <c r="C242" s="6"/>
      <c r="D242" s="6"/>
      <c r="E242" s="6"/>
      <c r="F242" s="1"/>
      <c r="G242" s="9"/>
      <c r="H242" s="16"/>
      <c r="I242" s="16"/>
      <c r="J242" s="1"/>
      <c r="K242" s="1"/>
      <c r="L242" s="1"/>
      <c r="M242" s="1"/>
      <c r="N242" s="14"/>
      <c r="O242" s="16"/>
      <c r="P242" s="1"/>
    </row>
    <row r="243" spans="1:16">
      <c r="A243" s="6"/>
      <c r="B243" s="7"/>
      <c r="C243" s="6"/>
      <c r="D243" s="6"/>
      <c r="E243" s="6"/>
      <c r="F243" s="1"/>
      <c r="G243" s="9"/>
      <c r="H243" s="16"/>
      <c r="I243" s="16"/>
      <c r="J243" s="1"/>
      <c r="K243" s="1"/>
      <c r="L243" s="1"/>
      <c r="M243" s="1"/>
      <c r="N243" s="14"/>
      <c r="O243" s="16"/>
      <c r="P243" s="1"/>
    </row>
    <row r="244" spans="1:16">
      <c r="A244" s="6"/>
      <c r="B244" s="7"/>
      <c r="C244" s="6"/>
      <c r="D244" s="6"/>
      <c r="E244" s="6"/>
      <c r="F244" s="1"/>
      <c r="G244" s="9"/>
      <c r="H244" s="16"/>
      <c r="I244" s="16"/>
      <c r="J244" s="1"/>
      <c r="K244" s="1"/>
      <c r="L244" s="1"/>
      <c r="M244" s="1"/>
      <c r="N244" s="14"/>
      <c r="O244" s="16"/>
      <c r="P244" s="1"/>
    </row>
    <row r="245" spans="1:16">
      <c r="A245" s="6"/>
      <c r="B245" s="7"/>
      <c r="C245" s="6"/>
      <c r="D245" s="6"/>
      <c r="E245" s="6"/>
      <c r="F245" s="1"/>
      <c r="G245" s="9"/>
      <c r="H245" s="16"/>
      <c r="I245" s="16"/>
      <c r="J245" s="1"/>
      <c r="K245" s="1"/>
      <c r="L245" s="1"/>
      <c r="M245" s="1"/>
      <c r="N245" s="14"/>
      <c r="O245" s="16"/>
      <c r="P245" s="1"/>
    </row>
    <row r="246" spans="1:16">
      <c r="A246" s="6"/>
      <c r="B246" s="7"/>
      <c r="C246" s="6"/>
      <c r="D246" s="6"/>
      <c r="E246" s="6"/>
      <c r="F246" s="1"/>
      <c r="G246" s="9"/>
      <c r="H246" s="16"/>
      <c r="I246" s="16"/>
      <c r="J246" s="1"/>
      <c r="K246" s="1"/>
      <c r="L246" s="1"/>
      <c r="M246" s="1"/>
      <c r="N246" s="14"/>
      <c r="O246" s="16"/>
      <c r="P246" s="1"/>
    </row>
    <row r="247" spans="1:16">
      <c r="A247" s="6"/>
      <c r="B247" s="7"/>
      <c r="C247" s="6"/>
      <c r="D247" s="6"/>
      <c r="E247" s="6"/>
      <c r="F247" s="1"/>
      <c r="G247" s="9"/>
      <c r="H247" s="16"/>
      <c r="I247" s="16"/>
      <c r="J247" s="1"/>
      <c r="K247" s="1"/>
      <c r="L247" s="1"/>
      <c r="M247" s="1"/>
      <c r="N247" s="14"/>
      <c r="O247" s="16"/>
      <c r="P247" s="1"/>
    </row>
    <row r="248" spans="1:16">
      <c r="A248" s="6"/>
      <c r="B248" s="7"/>
      <c r="C248" s="6"/>
      <c r="D248" s="6"/>
      <c r="E248" s="6"/>
      <c r="F248" s="1"/>
      <c r="G248" s="9"/>
      <c r="H248" s="16"/>
      <c r="I248" s="16"/>
      <c r="J248" s="1"/>
      <c r="K248" s="1"/>
      <c r="L248" s="1"/>
      <c r="M248" s="1"/>
      <c r="N248" s="14"/>
      <c r="O248" s="16"/>
      <c r="P248" s="1"/>
    </row>
    <row r="249" spans="1:16">
      <c r="A249" s="6"/>
      <c r="B249" s="7"/>
      <c r="C249" s="6"/>
      <c r="D249" s="6"/>
      <c r="E249" s="6"/>
      <c r="F249" s="1"/>
      <c r="G249" s="9"/>
      <c r="H249" s="9"/>
      <c r="I249" s="16"/>
      <c r="J249" s="1"/>
      <c r="K249" s="1"/>
      <c r="L249" s="1"/>
      <c r="M249" s="1"/>
      <c r="N249" s="14"/>
      <c r="O249" s="16"/>
      <c r="P249" s="1"/>
    </row>
    <row r="250" spans="1:16">
      <c r="A250" s="6"/>
      <c r="B250" s="7"/>
      <c r="C250" s="6"/>
      <c r="D250" s="6"/>
      <c r="E250" s="6"/>
      <c r="F250" s="1"/>
      <c r="G250" s="9"/>
      <c r="H250" s="9"/>
      <c r="I250" s="16"/>
      <c r="J250" s="1"/>
      <c r="K250" s="1"/>
      <c r="L250" s="1"/>
      <c r="M250" s="1"/>
      <c r="N250" s="14"/>
      <c r="O250" s="16"/>
      <c r="P250" s="1"/>
    </row>
    <row r="251" spans="1:16">
      <c r="A251" s="6"/>
      <c r="B251" s="7"/>
      <c r="C251" s="6"/>
      <c r="D251" s="6"/>
      <c r="E251" s="6"/>
      <c r="F251" s="1"/>
      <c r="G251" s="9"/>
      <c r="H251" s="9"/>
      <c r="I251" s="16"/>
      <c r="J251" s="1"/>
      <c r="K251" s="1"/>
      <c r="L251" s="1"/>
      <c r="M251" s="1"/>
      <c r="N251" s="14"/>
      <c r="O251" s="16"/>
      <c r="P251" s="1"/>
    </row>
    <row r="252" spans="1:16">
      <c r="A252" s="6"/>
      <c r="B252" s="7"/>
      <c r="C252" s="6"/>
      <c r="D252" s="6"/>
      <c r="E252" s="6"/>
      <c r="F252" s="1"/>
      <c r="G252" s="9"/>
      <c r="H252" s="16"/>
      <c r="I252" s="16"/>
      <c r="J252" s="1"/>
      <c r="K252" s="1"/>
      <c r="L252" s="1"/>
      <c r="M252" s="1"/>
      <c r="N252" s="14"/>
      <c r="O252" s="16"/>
      <c r="P252" s="1"/>
    </row>
    <row r="253" spans="1:16">
      <c r="A253" s="6"/>
      <c r="B253" s="7"/>
      <c r="C253" s="6"/>
      <c r="D253" s="6"/>
      <c r="E253" s="6"/>
      <c r="F253" s="1"/>
      <c r="G253" s="9"/>
      <c r="H253" s="9"/>
      <c r="I253" s="16"/>
      <c r="J253" s="1"/>
      <c r="K253" s="1"/>
      <c r="L253" s="1"/>
      <c r="M253" s="1"/>
      <c r="N253" s="14"/>
      <c r="O253" s="16"/>
      <c r="P253" s="1"/>
    </row>
    <row r="254" spans="1:16">
      <c r="A254" s="6"/>
      <c r="B254" s="7"/>
      <c r="C254" s="6"/>
      <c r="D254" s="6"/>
      <c r="E254" s="6"/>
      <c r="F254" s="1"/>
      <c r="G254" s="9"/>
      <c r="H254" s="9"/>
      <c r="I254" s="16"/>
      <c r="J254" s="1"/>
      <c r="K254" s="1"/>
      <c r="L254" s="1"/>
      <c r="M254" s="1"/>
      <c r="N254" s="14"/>
      <c r="O254" s="16"/>
      <c r="P254" s="1"/>
    </row>
    <row r="255" spans="1:16">
      <c r="A255" s="6"/>
      <c r="B255" s="7"/>
      <c r="C255" s="6"/>
      <c r="D255" s="6"/>
      <c r="E255" s="6"/>
      <c r="F255" s="1"/>
      <c r="G255" s="9"/>
      <c r="H255" s="9"/>
      <c r="I255" s="16"/>
      <c r="J255" s="1"/>
      <c r="K255" s="1"/>
      <c r="L255" s="1"/>
      <c r="M255" s="1"/>
      <c r="N255" s="14"/>
      <c r="O255" s="16"/>
      <c r="P255" s="1"/>
    </row>
    <row r="256" spans="1:16">
      <c r="A256" s="6"/>
      <c r="B256" s="7"/>
      <c r="C256" s="6"/>
      <c r="D256" s="6"/>
      <c r="E256" s="6"/>
      <c r="F256" s="1"/>
      <c r="G256" s="9"/>
      <c r="H256" s="9"/>
      <c r="I256" s="16"/>
      <c r="J256" s="1"/>
      <c r="K256" s="1"/>
      <c r="L256" s="1"/>
      <c r="M256" s="1"/>
      <c r="N256" s="14"/>
      <c r="O256" s="16"/>
      <c r="P256" s="1"/>
    </row>
    <row r="257" spans="1:16">
      <c r="A257" s="6"/>
      <c r="B257" s="7"/>
      <c r="C257" s="6"/>
      <c r="D257" s="6"/>
      <c r="E257" s="6"/>
      <c r="F257" s="1"/>
      <c r="G257" s="9"/>
      <c r="H257" s="9"/>
      <c r="I257" s="16"/>
      <c r="J257" s="1"/>
      <c r="K257" s="1"/>
      <c r="L257" s="1"/>
      <c r="M257" s="1"/>
      <c r="N257" s="14"/>
      <c r="O257" s="16"/>
      <c r="P257" s="1"/>
    </row>
    <row r="258" spans="1:16">
      <c r="A258" s="6"/>
      <c r="B258" s="7"/>
      <c r="C258" s="6"/>
      <c r="D258" s="6"/>
      <c r="E258" s="6"/>
      <c r="F258" s="1"/>
      <c r="G258" s="9"/>
      <c r="H258" s="9"/>
      <c r="I258" s="16"/>
      <c r="J258" s="1"/>
      <c r="K258" s="1"/>
      <c r="L258" s="1"/>
      <c r="M258" s="1"/>
      <c r="N258" s="14"/>
      <c r="O258" s="16"/>
      <c r="P258" s="1"/>
    </row>
    <row r="259" spans="1:16">
      <c r="A259" s="6"/>
      <c r="B259" s="7"/>
      <c r="C259" s="6"/>
      <c r="D259" s="6"/>
      <c r="E259" s="6"/>
      <c r="F259" s="1"/>
      <c r="G259" s="9"/>
      <c r="H259" s="9"/>
      <c r="I259" s="16"/>
      <c r="J259" s="1"/>
      <c r="K259" s="1"/>
      <c r="L259" s="1"/>
      <c r="M259" s="1"/>
      <c r="N259" s="14"/>
      <c r="O259" s="16"/>
      <c r="P259" s="1"/>
    </row>
    <row r="260" spans="1:16">
      <c r="A260" s="6"/>
      <c r="B260" s="7"/>
      <c r="C260" s="6"/>
      <c r="D260" s="6"/>
      <c r="E260" s="6"/>
      <c r="F260" s="1"/>
      <c r="G260" s="9"/>
      <c r="H260" s="16"/>
      <c r="I260" s="16"/>
      <c r="J260" s="1"/>
      <c r="K260" s="1"/>
      <c r="L260" s="1"/>
      <c r="M260" s="1"/>
      <c r="N260" s="14"/>
      <c r="O260" s="16"/>
      <c r="P260" s="1"/>
    </row>
    <row r="261" spans="1:16">
      <c r="A261" s="6"/>
      <c r="B261" s="7"/>
      <c r="C261" s="6"/>
      <c r="D261" s="6"/>
      <c r="E261" s="6"/>
      <c r="F261" s="1"/>
      <c r="G261" s="9"/>
      <c r="H261" s="16"/>
      <c r="I261" s="16"/>
      <c r="J261" s="1"/>
      <c r="K261" s="1"/>
      <c r="L261" s="1"/>
      <c r="M261" s="1"/>
      <c r="N261" s="14"/>
      <c r="O261" s="16"/>
      <c r="P261" s="1"/>
    </row>
    <row r="262" spans="1:16">
      <c r="A262" s="6"/>
      <c r="B262" s="7"/>
      <c r="C262" s="6"/>
      <c r="D262" s="6"/>
      <c r="E262" s="6"/>
      <c r="F262" s="1"/>
      <c r="G262" s="9"/>
      <c r="H262" s="9"/>
      <c r="I262" s="16"/>
      <c r="J262" s="1"/>
      <c r="K262" s="1"/>
      <c r="L262" s="1"/>
      <c r="M262" s="1"/>
      <c r="N262" s="14"/>
      <c r="O262" s="16"/>
      <c r="P262" s="1"/>
    </row>
    <row r="263" spans="1:16">
      <c r="A263" s="6"/>
      <c r="B263" s="7"/>
      <c r="C263" s="6"/>
      <c r="D263" s="6"/>
      <c r="E263" s="6"/>
      <c r="F263" s="1"/>
      <c r="G263" s="9"/>
      <c r="H263" s="16"/>
      <c r="I263" s="16"/>
      <c r="J263" s="1"/>
      <c r="K263" s="1"/>
      <c r="L263" s="1"/>
      <c r="M263" s="1"/>
      <c r="N263" s="14"/>
      <c r="O263" s="16"/>
      <c r="P263" s="1"/>
    </row>
    <row r="264" spans="1:16">
      <c r="A264" s="6"/>
      <c r="B264" s="7"/>
      <c r="C264" s="6"/>
      <c r="D264" s="6"/>
      <c r="E264" s="6"/>
      <c r="F264" s="1"/>
      <c r="G264" s="9"/>
      <c r="H264" s="9"/>
      <c r="I264" s="16"/>
      <c r="J264" s="1"/>
      <c r="K264" s="1"/>
      <c r="L264" s="1"/>
      <c r="M264" s="1"/>
      <c r="N264" s="14"/>
      <c r="O264" s="16"/>
      <c r="P264" s="1"/>
    </row>
    <row r="265" spans="1:16">
      <c r="A265" s="6"/>
      <c r="B265" s="7"/>
      <c r="C265" s="6"/>
      <c r="D265" s="6"/>
      <c r="E265" s="6"/>
      <c r="F265" s="1"/>
      <c r="G265" s="9"/>
      <c r="H265" s="9"/>
      <c r="I265" s="16"/>
      <c r="J265" s="1"/>
      <c r="K265" s="1"/>
      <c r="L265" s="1"/>
      <c r="M265" s="1"/>
      <c r="N265" s="14"/>
      <c r="O265" s="16"/>
      <c r="P265" s="1"/>
    </row>
    <row r="266" spans="1:16">
      <c r="A266" s="6"/>
      <c r="B266" s="7"/>
      <c r="C266" s="6"/>
      <c r="D266" s="6"/>
      <c r="E266" s="6"/>
      <c r="F266" s="1"/>
      <c r="G266" s="9"/>
      <c r="H266" s="9"/>
      <c r="I266" s="16"/>
      <c r="J266" s="1"/>
      <c r="K266" s="1"/>
      <c r="L266" s="1"/>
      <c r="M266" s="1"/>
      <c r="N266" s="14"/>
      <c r="O266" s="16"/>
      <c r="P266" s="1"/>
    </row>
    <row r="267" spans="1:16">
      <c r="A267" s="6"/>
      <c r="B267" s="7"/>
      <c r="C267" s="6"/>
      <c r="D267" s="6"/>
      <c r="E267" s="6"/>
      <c r="F267" s="1"/>
      <c r="G267" s="9"/>
      <c r="H267" s="9"/>
      <c r="I267" s="16"/>
      <c r="J267" s="1"/>
      <c r="K267" s="1"/>
      <c r="L267" s="1"/>
      <c r="M267" s="1"/>
      <c r="N267" s="14"/>
      <c r="O267" s="16"/>
      <c r="P267" s="1"/>
    </row>
    <row r="268" spans="1:16">
      <c r="A268" s="6"/>
      <c r="B268" s="7"/>
      <c r="C268" s="6"/>
      <c r="D268" s="6"/>
      <c r="E268" s="6"/>
      <c r="F268" s="1"/>
      <c r="G268" s="9"/>
      <c r="H268" s="9"/>
      <c r="I268" s="16"/>
      <c r="J268" s="1"/>
      <c r="K268" s="1"/>
      <c r="L268" s="1"/>
      <c r="M268" s="1"/>
      <c r="N268" s="14"/>
      <c r="O268" s="16"/>
      <c r="P268" s="1"/>
    </row>
    <row r="269" spans="1:16">
      <c r="A269" s="6"/>
      <c r="B269" s="7"/>
      <c r="C269" s="6"/>
      <c r="D269" s="6"/>
      <c r="E269" s="6"/>
      <c r="F269" s="1"/>
      <c r="G269" s="9"/>
      <c r="H269" s="16"/>
      <c r="I269" s="16"/>
      <c r="J269" s="1"/>
      <c r="K269" s="1"/>
      <c r="L269" s="1"/>
      <c r="M269" s="1"/>
      <c r="N269" s="14"/>
      <c r="O269" s="16"/>
      <c r="P269" s="1"/>
    </row>
    <row r="270" spans="1:16">
      <c r="A270" s="6"/>
      <c r="B270" s="7"/>
      <c r="C270" s="6"/>
      <c r="D270" s="6"/>
      <c r="E270" s="6"/>
      <c r="F270" s="1"/>
      <c r="G270" s="9"/>
      <c r="H270" s="16"/>
      <c r="I270" s="16"/>
      <c r="J270" s="1"/>
      <c r="K270" s="1"/>
      <c r="L270" s="1"/>
      <c r="M270" s="1"/>
      <c r="N270" s="14"/>
      <c r="O270" s="16"/>
      <c r="P270" s="1"/>
    </row>
    <row r="271" spans="1:16">
      <c r="A271" s="6"/>
      <c r="B271" s="7"/>
      <c r="C271" s="6"/>
      <c r="D271" s="6"/>
      <c r="E271" s="6"/>
      <c r="F271" s="1"/>
      <c r="G271" s="9"/>
      <c r="H271" s="16"/>
      <c r="I271" s="16"/>
      <c r="J271" s="1"/>
      <c r="K271" s="1"/>
      <c r="L271" s="1"/>
      <c r="M271" s="1"/>
      <c r="N271" s="14"/>
      <c r="O271" s="16"/>
      <c r="P271" s="1"/>
    </row>
    <row r="272" spans="1:16">
      <c r="A272" s="6"/>
      <c r="B272" s="7"/>
      <c r="C272" s="6"/>
      <c r="D272" s="6"/>
      <c r="E272" s="6"/>
      <c r="F272" s="1"/>
      <c r="G272" s="9"/>
      <c r="H272" s="16"/>
      <c r="I272" s="16"/>
      <c r="J272" s="1"/>
      <c r="K272" s="1"/>
      <c r="L272" s="1"/>
      <c r="M272" s="1"/>
      <c r="N272" s="14"/>
      <c r="O272" s="16"/>
      <c r="P272" s="1"/>
    </row>
    <row r="273" spans="1:16">
      <c r="A273" s="6"/>
      <c r="B273" s="7"/>
      <c r="C273" s="6"/>
      <c r="D273" s="6"/>
      <c r="E273" s="6"/>
      <c r="F273" s="1"/>
      <c r="G273" s="9"/>
      <c r="H273" s="16"/>
      <c r="I273" s="16"/>
      <c r="J273" s="1"/>
      <c r="K273" s="1"/>
      <c r="L273" s="1"/>
      <c r="M273" s="1"/>
      <c r="N273" s="14"/>
      <c r="O273" s="16"/>
      <c r="P273" s="1"/>
    </row>
    <row r="274" spans="1:16">
      <c r="A274" s="6"/>
      <c r="B274" s="7"/>
      <c r="C274" s="6"/>
      <c r="D274" s="6"/>
      <c r="E274" s="6"/>
      <c r="F274" s="1"/>
      <c r="G274" s="9"/>
      <c r="H274" s="9"/>
      <c r="I274" s="16"/>
      <c r="J274" s="1"/>
      <c r="K274" s="1"/>
      <c r="L274" s="1"/>
      <c r="M274" s="9"/>
      <c r="N274" s="14"/>
      <c r="O274" s="16"/>
      <c r="P274" s="1"/>
    </row>
    <row r="275" spans="1:16">
      <c r="A275" s="6"/>
      <c r="B275" s="7"/>
      <c r="C275" s="6"/>
      <c r="D275" s="6"/>
      <c r="E275" s="6"/>
      <c r="F275" s="1"/>
      <c r="G275" s="9"/>
      <c r="H275" s="9"/>
      <c r="I275" s="16"/>
      <c r="J275" s="1"/>
      <c r="K275" s="1"/>
      <c r="L275" s="1"/>
      <c r="M275" s="1"/>
      <c r="N275" s="14"/>
      <c r="O275" s="16"/>
      <c r="P275" s="1"/>
    </row>
    <row r="276" spans="1:16">
      <c r="A276" s="6"/>
      <c r="B276" s="7"/>
      <c r="C276" s="6"/>
      <c r="D276" s="6"/>
      <c r="E276" s="6"/>
      <c r="F276" s="1"/>
      <c r="G276" s="9"/>
      <c r="H276" s="9"/>
      <c r="I276" s="16"/>
      <c r="J276" s="1"/>
      <c r="K276" s="1"/>
      <c r="L276" s="1"/>
      <c r="M276" s="1"/>
      <c r="N276" s="14"/>
      <c r="O276" s="16"/>
      <c r="P276" s="1"/>
    </row>
    <row r="277" spans="1:16">
      <c r="A277" s="6"/>
      <c r="B277" s="7"/>
      <c r="C277" s="6"/>
      <c r="D277" s="6"/>
      <c r="E277" s="6"/>
      <c r="F277" s="1"/>
      <c r="G277" s="9"/>
      <c r="H277" s="9"/>
      <c r="I277" s="16"/>
      <c r="J277" s="1"/>
      <c r="K277" s="1"/>
      <c r="L277" s="1"/>
      <c r="M277" s="1"/>
      <c r="N277" s="14"/>
      <c r="O277" s="16"/>
      <c r="P277" s="1"/>
    </row>
    <row r="278" spans="1:16">
      <c r="A278" s="6"/>
      <c r="B278" s="7"/>
      <c r="C278" s="6"/>
      <c r="D278" s="6"/>
      <c r="E278" s="6"/>
      <c r="F278" s="1"/>
      <c r="G278" s="9"/>
      <c r="H278" s="9"/>
      <c r="I278" s="16"/>
      <c r="J278" s="1"/>
      <c r="K278" s="1"/>
      <c r="L278" s="1"/>
      <c r="M278" s="1"/>
      <c r="N278" s="14"/>
      <c r="O278" s="16"/>
      <c r="P278" s="1"/>
    </row>
    <row r="279" spans="1:16">
      <c r="A279" s="6"/>
      <c r="B279" s="7"/>
      <c r="C279" s="6"/>
      <c r="D279" s="6"/>
      <c r="E279" s="6"/>
      <c r="F279" s="1"/>
      <c r="G279" s="9"/>
      <c r="H279" s="16"/>
      <c r="I279" s="16"/>
      <c r="J279" s="1"/>
      <c r="K279" s="1"/>
      <c r="L279" s="1"/>
      <c r="M279" s="1"/>
      <c r="N279" s="14"/>
      <c r="O279" s="16"/>
      <c r="P279" s="1"/>
    </row>
    <row r="280" spans="1:16">
      <c r="A280" s="6"/>
      <c r="B280" s="7"/>
      <c r="C280" s="6"/>
      <c r="D280" s="6"/>
      <c r="E280" s="6"/>
      <c r="F280" s="1"/>
      <c r="G280" s="9"/>
      <c r="H280" s="9"/>
      <c r="I280" s="16"/>
      <c r="J280" s="1"/>
      <c r="K280" s="1"/>
      <c r="L280" s="1"/>
      <c r="M280" s="1"/>
      <c r="N280" s="14"/>
      <c r="O280" s="16"/>
      <c r="P280" s="1"/>
    </row>
    <row r="281" spans="1:16">
      <c r="A281" s="6"/>
      <c r="B281" s="7"/>
      <c r="C281" s="6"/>
      <c r="D281" s="6"/>
      <c r="E281" s="6"/>
      <c r="F281" s="1"/>
      <c r="G281" s="9"/>
      <c r="H281" s="9"/>
      <c r="I281" s="16"/>
      <c r="J281" s="1"/>
      <c r="K281" s="1"/>
      <c r="L281" s="1"/>
      <c r="M281" s="1"/>
      <c r="N281" s="14"/>
      <c r="O281" s="16"/>
      <c r="P281" s="1"/>
    </row>
    <row r="282" spans="1:16">
      <c r="A282" s="6"/>
      <c r="B282" s="7"/>
      <c r="C282" s="6"/>
      <c r="D282" s="6"/>
      <c r="E282" s="6"/>
      <c r="F282" s="1"/>
      <c r="G282" s="9"/>
      <c r="H282" s="9"/>
      <c r="I282" s="16"/>
      <c r="J282" s="1"/>
      <c r="K282" s="1"/>
      <c r="L282" s="1"/>
      <c r="M282" s="1"/>
      <c r="N282" s="14"/>
      <c r="O282" s="16"/>
      <c r="P282" s="1"/>
    </row>
    <row r="283" spans="1:16">
      <c r="A283" s="6"/>
      <c r="B283" s="7"/>
      <c r="C283" s="6"/>
      <c r="D283" s="6"/>
      <c r="E283" s="6"/>
      <c r="F283" s="1"/>
      <c r="G283" s="9"/>
      <c r="H283" s="9"/>
      <c r="I283" s="16"/>
      <c r="J283" s="1"/>
      <c r="K283" s="1"/>
      <c r="L283" s="1"/>
      <c r="M283" s="1"/>
      <c r="N283" s="14"/>
      <c r="O283" s="16"/>
      <c r="P283" s="1"/>
    </row>
    <row r="284" spans="1:16">
      <c r="A284" s="6"/>
      <c r="B284" s="7"/>
      <c r="C284" s="6"/>
      <c r="D284" s="6"/>
      <c r="E284" s="6"/>
      <c r="F284" s="1"/>
      <c r="G284" s="9"/>
      <c r="H284" s="9"/>
      <c r="I284" s="16"/>
      <c r="J284" s="1"/>
      <c r="K284" s="1"/>
      <c r="L284" s="1"/>
      <c r="M284" s="1"/>
      <c r="N284" s="14"/>
      <c r="O284" s="16"/>
      <c r="P284" s="1"/>
    </row>
    <row r="285" spans="1:16">
      <c r="A285" s="6"/>
      <c r="B285" s="7"/>
      <c r="C285" s="6"/>
      <c r="D285" s="6"/>
      <c r="E285" s="6"/>
      <c r="F285" s="1"/>
      <c r="G285" s="9"/>
      <c r="H285" s="9"/>
      <c r="I285" s="16"/>
      <c r="J285" s="1"/>
      <c r="K285" s="1"/>
      <c r="L285" s="97"/>
      <c r="M285" s="97"/>
      <c r="N285" s="14"/>
      <c r="O285" s="16"/>
      <c r="P285" s="1"/>
    </row>
    <row r="286" spans="1:16">
      <c r="A286" s="6"/>
      <c r="B286" s="7"/>
      <c r="C286" s="6"/>
      <c r="D286" s="6"/>
      <c r="E286" s="6"/>
      <c r="F286" s="1"/>
      <c r="G286" s="9"/>
      <c r="H286" s="9"/>
      <c r="I286" s="16"/>
      <c r="J286" s="1"/>
      <c r="K286" s="1"/>
      <c r="L286" s="1"/>
      <c r="M286" s="1"/>
      <c r="N286" s="14"/>
      <c r="O286" s="16"/>
      <c r="P286" s="1"/>
    </row>
    <row r="287" spans="1:16">
      <c r="A287" s="6"/>
      <c r="B287" s="7"/>
      <c r="C287" s="6"/>
      <c r="D287" s="6"/>
      <c r="E287" s="6"/>
      <c r="F287" s="1"/>
      <c r="G287" s="9"/>
      <c r="H287" s="16"/>
      <c r="I287" s="16"/>
      <c r="J287" s="1"/>
      <c r="K287" s="1"/>
      <c r="L287" s="1"/>
      <c r="M287" s="1"/>
      <c r="N287" s="14"/>
      <c r="O287" s="16"/>
      <c r="P287" s="1"/>
    </row>
    <row r="288" spans="1:16">
      <c r="A288" s="6"/>
      <c r="B288" s="7"/>
      <c r="C288" s="6"/>
      <c r="D288" s="6"/>
      <c r="E288" s="6"/>
      <c r="F288" s="1"/>
      <c r="G288" s="9"/>
      <c r="H288" s="9"/>
      <c r="I288" s="16"/>
      <c r="J288" s="1"/>
      <c r="K288" s="1"/>
      <c r="L288" s="1"/>
      <c r="M288" s="1"/>
      <c r="N288" s="14"/>
      <c r="O288" s="16"/>
      <c r="P288" s="1"/>
    </row>
    <row r="289" spans="1:16">
      <c r="A289" s="6"/>
      <c r="B289" s="7"/>
      <c r="C289" s="6"/>
      <c r="D289" s="6"/>
      <c r="E289" s="6"/>
      <c r="F289" s="1"/>
      <c r="G289" s="9"/>
      <c r="H289" s="9"/>
      <c r="I289" s="16"/>
      <c r="J289" s="1"/>
      <c r="K289" s="1"/>
      <c r="L289" s="1"/>
      <c r="M289" s="1"/>
      <c r="N289" s="14"/>
      <c r="O289" s="16"/>
      <c r="P289" s="1"/>
    </row>
    <row r="290" spans="1:16">
      <c r="A290" s="6"/>
      <c r="B290" s="7"/>
      <c r="C290" s="6"/>
      <c r="D290" s="6"/>
      <c r="E290" s="6"/>
      <c r="F290" s="1"/>
      <c r="G290" s="9"/>
      <c r="H290" s="9"/>
      <c r="I290" s="16"/>
      <c r="J290" s="1"/>
      <c r="K290" s="1"/>
      <c r="L290" s="1"/>
      <c r="M290" s="9"/>
      <c r="N290" s="14"/>
      <c r="O290" s="16"/>
      <c r="P290" s="1"/>
    </row>
    <row r="291" spans="1:16">
      <c r="A291" s="6"/>
      <c r="B291" s="7"/>
      <c r="C291" s="6"/>
      <c r="D291" s="6"/>
      <c r="E291" s="6"/>
      <c r="F291" s="1"/>
      <c r="G291" s="9"/>
      <c r="H291" s="16"/>
      <c r="I291" s="16"/>
      <c r="J291" s="1"/>
      <c r="K291" s="1"/>
      <c r="L291" s="1"/>
      <c r="M291" s="1"/>
      <c r="N291" s="14"/>
      <c r="O291" s="16"/>
      <c r="P291" s="1"/>
    </row>
    <row r="292" spans="1:16">
      <c r="A292" s="6"/>
      <c r="B292" s="7"/>
      <c r="C292" s="6"/>
      <c r="D292" s="6"/>
      <c r="E292" s="6"/>
      <c r="F292" s="1"/>
      <c r="G292" s="9"/>
      <c r="H292" s="9"/>
      <c r="I292" s="16"/>
      <c r="J292" s="1"/>
      <c r="K292" s="1"/>
      <c r="L292" s="1"/>
      <c r="M292" s="1"/>
      <c r="N292" s="14"/>
      <c r="O292" s="16"/>
      <c r="P292" s="1"/>
    </row>
    <row r="293" spans="1:16">
      <c r="A293" s="6"/>
      <c r="B293" s="7"/>
      <c r="C293" s="6"/>
      <c r="D293" s="6"/>
      <c r="E293" s="6"/>
      <c r="F293" s="1"/>
      <c r="G293" s="9"/>
      <c r="H293" s="16"/>
      <c r="I293" s="16"/>
      <c r="J293" s="1"/>
      <c r="K293" s="1"/>
      <c r="L293" s="1"/>
      <c r="M293" s="1"/>
      <c r="N293" s="14"/>
      <c r="O293" s="16"/>
      <c r="P293" s="1"/>
    </row>
    <row r="294" spans="1:16">
      <c r="A294" s="6"/>
      <c r="B294" s="7"/>
      <c r="C294" s="6"/>
      <c r="D294" s="6"/>
      <c r="E294" s="6"/>
      <c r="F294" s="1"/>
      <c r="G294" s="9"/>
      <c r="H294" s="16"/>
      <c r="I294" s="16"/>
      <c r="J294" s="1"/>
      <c r="K294" s="1"/>
      <c r="L294" s="1"/>
      <c r="M294" s="1"/>
      <c r="N294" s="14"/>
      <c r="O294" s="16"/>
      <c r="P294" s="1"/>
    </row>
    <row r="295" spans="1:16">
      <c r="A295" s="6"/>
      <c r="B295" s="7"/>
      <c r="C295" s="6"/>
      <c r="D295" s="6"/>
      <c r="E295" s="6"/>
      <c r="F295" s="1"/>
      <c r="G295" s="9"/>
      <c r="H295" s="16"/>
      <c r="I295" s="16"/>
      <c r="J295" s="1"/>
      <c r="K295" s="1"/>
      <c r="L295" s="1"/>
      <c r="M295" s="1"/>
      <c r="N295" s="14"/>
      <c r="O295" s="16"/>
      <c r="P295" s="1"/>
    </row>
    <row r="296" spans="1:16">
      <c r="A296" s="6"/>
      <c r="B296" s="7"/>
      <c r="C296" s="6"/>
      <c r="D296" s="6"/>
      <c r="E296" s="6"/>
      <c r="F296" s="1"/>
      <c r="G296" s="9"/>
      <c r="H296" s="16"/>
      <c r="I296" s="16"/>
      <c r="J296" s="1"/>
      <c r="K296" s="1"/>
      <c r="L296" s="1"/>
      <c r="M296" s="1"/>
      <c r="N296" s="14"/>
      <c r="O296" s="16"/>
      <c r="P296" s="1"/>
    </row>
    <row r="297" spans="1:16">
      <c r="A297" s="6"/>
      <c r="B297" s="7"/>
      <c r="C297" s="6"/>
      <c r="D297" s="6"/>
      <c r="E297" s="6"/>
      <c r="F297" s="1"/>
      <c r="G297" s="9"/>
      <c r="H297" s="9"/>
      <c r="I297" s="16"/>
      <c r="J297" s="1"/>
      <c r="K297" s="1"/>
      <c r="L297" s="1"/>
      <c r="M297" s="1"/>
      <c r="N297" s="14"/>
      <c r="O297" s="16"/>
      <c r="P297" s="1"/>
    </row>
    <row r="298" spans="1:16">
      <c r="A298" s="6"/>
      <c r="B298" s="7"/>
      <c r="C298" s="6"/>
      <c r="D298" s="6"/>
      <c r="E298" s="6"/>
      <c r="F298" s="1"/>
      <c r="G298" s="9"/>
      <c r="H298" s="16"/>
      <c r="I298" s="16"/>
      <c r="J298" s="1"/>
      <c r="K298" s="1"/>
      <c r="L298" s="1"/>
      <c r="M298" s="1"/>
      <c r="N298" s="14"/>
      <c r="O298" s="16"/>
      <c r="P298" s="1"/>
    </row>
    <row r="299" spans="1:16">
      <c r="A299" s="6"/>
      <c r="B299" s="7"/>
      <c r="C299" s="6"/>
      <c r="D299" s="6"/>
      <c r="E299" s="6"/>
      <c r="F299" s="1"/>
      <c r="G299" s="9"/>
      <c r="H299" s="9"/>
      <c r="I299" s="16"/>
      <c r="J299" s="1"/>
      <c r="K299" s="1"/>
      <c r="L299" s="1"/>
      <c r="M299" s="1"/>
      <c r="N299" s="14"/>
      <c r="O299" s="16"/>
      <c r="P299" s="1"/>
    </row>
    <row r="300" spans="1:16">
      <c r="A300" s="6"/>
      <c r="B300" s="7"/>
      <c r="C300" s="6"/>
      <c r="D300" s="6"/>
      <c r="E300" s="6"/>
      <c r="F300" s="1"/>
      <c r="G300" s="9"/>
      <c r="H300" s="9"/>
      <c r="I300" s="16"/>
      <c r="J300" s="1"/>
      <c r="K300" s="1"/>
      <c r="L300" s="1"/>
      <c r="M300" s="1"/>
      <c r="N300" s="14"/>
      <c r="O300" s="16"/>
      <c r="P300" s="1"/>
    </row>
    <row r="301" spans="1:16">
      <c r="A301" s="6"/>
      <c r="B301" s="7"/>
      <c r="C301" s="6"/>
      <c r="D301" s="6"/>
      <c r="E301" s="6"/>
      <c r="F301" s="1"/>
      <c r="G301" s="9"/>
      <c r="H301" s="9"/>
      <c r="I301" s="16"/>
      <c r="J301" s="1"/>
      <c r="K301" s="1"/>
      <c r="L301" s="1"/>
      <c r="M301" s="9"/>
      <c r="N301" s="14"/>
      <c r="O301" s="16"/>
      <c r="P301" s="1"/>
    </row>
    <row r="302" spans="1:16">
      <c r="A302" s="6"/>
      <c r="B302" s="7"/>
      <c r="C302" s="6"/>
      <c r="D302" s="6"/>
      <c r="E302" s="6"/>
      <c r="F302" s="1"/>
      <c r="G302" s="9"/>
      <c r="H302" s="9"/>
      <c r="I302" s="16"/>
      <c r="J302" s="1"/>
      <c r="K302" s="1"/>
      <c r="L302" s="1"/>
      <c r="M302" s="1"/>
      <c r="N302" s="14"/>
      <c r="O302" s="16"/>
      <c r="P302" s="1"/>
    </row>
    <row r="303" spans="1:16">
      <c r="A303" s="6"/>
      <c r="B303" s="7"/>
      <c r="C303" s="6"/>
      <c r="D303" s="6"/>
      <c r="E303" s="6"/>
      <c r="F303" s="1"/>
      <c r="G303" s="9"/>
      <c r="H303" s="9"/>
      <c r="I303" s="16"/>
      <c r="J303" s="1"/>
      <c r="K303" s="1"/>
      <c r="L303" s="1"/>
      <c r="M303" s="9"/>
      <c r="N303" s="14"/>
      <c r="O303" s="16"/>
      <c r="P303" s="1"/>
    </row>
    <row r="304" spans="1:16">
      <c r="A304" s="6"/>
      <c r="B304" s="7"/>
      <c r="C304" s="6"/>
      <c r="D304" s="6"/>
      <c r="E304" s="6"/>
      <c r="F304" s="1"/>
      <c r="G304" s="9"/>
      <c r="H304" s="9"/>
      <c r="I304" s="16"/>
      <c r="J304" s="1"/>
      <c r="K304" s="1"/>
      <c r="L304" s="1"/>
      <c r="M304" s="1"/>
      <c r="N304" s="14"/>
      <c r="O304" s="16"/>
      <c r="P304" s="1"/>
    </row>
    <row r="305" spans="1:16">
      <c r="A305" s="6"/>
      <c r="B305" s="7"/>
      <c r="C305" s="6"/>
      <c r="D305" s="6"/>
      <c r="E305" s="6"/>
      <c r="F305" s="1"/>
      <c r="G305" s="9"/>
      <c r="H305" s="9"/>
      <c r="I305" s="16"/>
      <c r="J305" s="1"/>
      <c r="K305" s="1"/>
      <c r="L305" s="1"/>
      <c r="M305" s="9"/>
      <c r="N305" s="14"/>
      <c r="O305" s="16"/>
      <c r="P305" s="1"/>
    </row>
    <row r="306" spans="1:16">
      <c r="A306" s="6"/>
      <c r="B306" s="7"/>
      <c r="C306" s="6"/>
      <c r="D306" s="6"/>
      <c r="E306" s="6"/>
      <c r="F306" s="1"/>
      <c r="G306" s="9"/>
      <c r="H306" s="9"/>
      <c r="I306" s="16"/>
      <c r="J306" s="1"/>
      <c r="K306" s="1"/>
      <c r="L306" s="1"/>
      <c r="M306" s="1"/>
      <c r="N306" s="14"/>
      <c r="O306" s="16"/>
      <c r="P306" s="1"/>
    </row>
    <row r="307" spans="1:16">
      <c r="A307" s="6"/>
      <c r="B307" s="7"/>
      <c r="C307" s="6"/>
      <c r="D307" s="6"/>
      <c r="E307" s="6"/>
      <c r="F307" s="1"/>
      <c r="G307" s="9"/>
      <c r="H307" s="16"/>
      <c r="I307" s="16"/>
      <c r="J307" s="1"/>
      <c r="K307" s="1"/>
      <c r="L307" s="1"/>
      <c r="M307" s="1"/>
      <c r="N307" s="14"/>
      <c r="O307" s="16"/>
      <c r="P307" s="1"/>
    </row>
    <row r="308" spans="1:16">
      <c r="A308" s="6"/>
      <c r="B308" s="7"/>
      <c r="C308" s="6"/>
      <c r="D308" s="6"/>
      <c r="E308" s="6"/>
      <c r="F308" s="1"/>
      <c r="G308" s="9"/>
      <c r="H308" s="16"/>
      <c r="I308" s="16"/>
      <c r="J308" s="1"/>
      <c r="K308" s="1"/>
      <c r="L308" s="1"/>
      <c r="M308" s="1"/>
      <c r="N308" s="14"/>
      <c r="O308" s="16"/>
      <c r="P308" s="1"/>
    </row>
    <row r="309" spans="1:16">
      <c r="A309" s="6"/>
      <c r="B309" s="7"/>
      <c r="C309" s="6"/>
      <c r="D309" s="6"/>
      <c r="E309" s="6"/>
      <c r="F309" s="1"/>
      <c r="G309" s="9"/>
      <c r="H309" s="16"/>
      <c r="I309" s="16"/>
      <c r="J309" s="1"/>
      <c r="K309" s="1"/>
      <c r="L309" s="1"/>
      <c r="M309" s="1"/>
      <c r="N309" s="14"/>
      <c r="O309" s="16"/>
      <c r="P309" s="1"/>
    </row>
    <row r="310" spans="1:16">
      <c r="A310" s="6"/>
      <c r="B310" s="7"/>
      <c r="C310" s="6"/>
      <c r="D310" s="6"/>
      <c r="E310" s="6"/>
      <c r="F310" s="1"/>
      <c r="G310" s="9"/>
      <c r="H310" s="9"/>
      <c r="I310" s="16"/>
      <c r="J310" s="1"/>
      <c r="K310" s="1"/>
      <c r="L310" s="1"/>
      <c r="M310" s="1"/>
      <c r="N310" s="14"/>
      <c r="O310" s="16"/>
      <c r="P310" s="1"/>
    </row>
    <row r="311" spans="1:16">
      <c r="A311" s="6"/>
      <c r="B311" s="7"/>
      <c r="C311" s="6"/>
      <c r="D311" s="6"/>
      <c r="E311" s="6"/>
      <c r="F311" s="1"/>
      <c r="G311" s="9"/>
      <c r="H311" s="16"/>
      <c r="I311" s="16"/>
      <c r="J311" s="1"/>
      <c r="K311" s="1"/>
      <c r="L311" s="1"/>
      <c r="M311" s="1"/>
      <c r="N311" s="14"/>
      <c r="O311" s="16"/>
      <c r="P311" s="1"/>
    </row>
    <row r="312" spans="1:16">
      <c r="A312" s="6"/>
      <c r="B312" s="7"/>
      <c r="C312" s="6"/>
      <c r="D312" s="6"/>
      <c r="E312" s="6"/>
      <c r="F312" s="1"/>
      <c r="G312" s="9"/>
      <c r="H312" s="9"/>
      <c r="I312" s="16"/>
      <c r="J312" s="1"/>
      <c r="K312" s="1"/>
      <c r="L312" s="1"/>
      <c r="M312" s="1"/>
      <c r="N312" s="14"/>
      <c r="O312" s="16"/>
      <c r="P312" s="1"/>
    </row>
    <row r="313" spans="1:16">
      <c r="A313" s="6"/>
      <c r="B313" s="7"/>
      <c r="C313" s="6"/>
      <c r="D313" s="6"/>
      <c r="E313" s="6"/>
      <c r="F313" s="1"/>
      <c r="G313" s="9"/>
      <c r="H313" s="16"/>
      <c r="I313" s="16"/>
      <c r="J313" s="1"/>
      <c r="K313" s="1"/>
      <c r="L313" s="1"/>
      <c r="M313" s="1"/>
      <c r="N313" s="14"/>
      <c r="O313" s="16"/>
      <c r="P313" s="1"/>
    </row>
    <row r="314" spans="1:16">
      <c r="A314" s="6"/>
      <c r="B314" s="7"/>
      <c r="C314" s="6"/>
      <c r="D314" s="6"/>
      <c r="E314" s="6"/>
      <c r="F314" s="1"/>
      <c r="G314" s="9"/>
      <c r="H314" s="16"/>
      <c r="I314" s="16"/>
      <c r="J314" s="1"/>
      <c r="K314" s="1"/>
      <c r="L314" s="1"/>
      <c r="M314" s="1"/>
      <c r="N314" s="14"/>
      <c r="O314" s="16"/>
      <c r="P314" s="1"/>
    </row>
    <row r="315" spans="1:16">
      <c r="A315" s="6"/>
      <c r="B315" s="7"/>
      <c r="C315" s="6"/>
      <c r="D315" s="6"/>
      <c r="E315" s="6"/>
      <c r="F315" s="1"/>
      <c r="G315" s="9"/>
      <c r="H315" s="16"/>
      <c r="I315" s="16"/>
      <c r="J315" s="1"/>
      <c r="K315" s="1"/>
      <c r="L315" s="1"/>
      <c r="M315" s="1"/>
      <c r="N315" s="14"/>
      <c r="O315" s="16"/>
      <c r="P315" s="1"/>
    </row>
    <row r="316" spans="1:16">
      <c r="A316" s="6"/>
      <c r="B316" s="7"/>
      <c r="C316" s="6"/>
      <c r="D316" s="6"/>
      <c r="E316" s="6"/>
      <c r="F316" s="1"/>
      <c r="G316" s="9"/>
      <c r="H316" s="9"/>
      <c r="I316" s="16"/>
      <c r="J316" s="1"/>
      <c r="K316" s="1"/>
      <c r="L316" s="1"/>
      <c r="M316" s="1"/>
      <c r="N316" s="14"/>
      <c r="O316" s="16"/>
      <c r="P316" s="1"/>
    </row>
    <row r="317" spans="1:16">
      <c r="A317" s="6"/>
      <c r="B317" s="7"/>
      <c r="C317" s="6"/>
      <c r="D317" s="6"/>
      <c r="E317" s="6"/>
      <c r="F317" s="1"/>
      <c r="G317" s="9"/>
      <c r="H317" s="9"/>
      <c r="I317" s="16"/>
      <c r="J317" s="1"/>
      <c r="K317" s="1"/>
      <c r="L317" s="1"/>
      <c r="M317" s="1"/>
      <c r="N317" s="14"/>
      <c r="O317" s="16"/>
      <c r="P317" s="1"/>
    </row>
    <row r="318" spans="1:16">
      <c r="A318" s="6"/>
      <c r="B318" s="7"/>
      <c r="C318" s="6"/>
      <c r="D318" s="6"/>
      <c r="E318" s="6"/>
      <c r="F318" s="1"/>
      <c r="G318" s="9"/>
      <c r="H318" s="9"/>
      <c r="I318" s="16"/>
      <c r="J318" s="1"/>
      <c r="K318" s="1"/>
      <c r="L318" s="1"/>
      <c r="M318" s="1"/>
      <c r="N318" s="14"/>
      <c r="O318" s="16"/>
      <c r="P318" s="1"/>
    </row>
    <row r="319" spans="1:16">
      <c r="A319" s="6"/>
      <c r="B319" s="7"/>
      <c r="C319" s="6"/>
      <c r="D319" s="6"/>
      <c r="E319" s="6"/>
      <c r="F319" s="1"/>
      <c r="G319" s="9"/>
      <c r="H319" s="16"/>
      <c r="I319" s="16"/>
      <c r="J319" s="1"/>
      <c r="K319" s="1"/>
      <c r="L319" s="1"/>
      <c r="M319" s="1"/>
      <c r="N319" s="14"/>
      <c r="O319" s="16"/>
      <c r="P319" s="1"/>
    </row>
    <row r="320" spans="1:16">
      <c r="A320" s="6"/>
      <c r="B320" s="7"/>
      <c r="C320" s="6"/>
      <c r="D320" s="6"/>
      <c r="E320" s="6"/>
      <c r="F320" s="1"/>
      <c r="G320" s="9"/>
      <c r="H320" s="9"/>
      <c r="I320" s="16"/>
      <c r="J320" s="1"/>
      <c r="K320" s="1"/>
      <c r="L320" s="1"/>
      <c r="M320" s="9"/>
      <c r="N320" s="14"/>
      <c r="O320" s="16"/>
      <c r="P320" s="1"/>
    </row>
    <row r="321" spans="1:16">
      <c r="A321" s="6"/>
      <c r="B321" s="7"/>
      <c r="C321" s="6"/>
      <c r="D321" s="6"/>
      <c r="E321" s="6"/>
      <c r="F321" s="1"/>
      <c r="G321" s="9"/>
      <c r="H321" s="16"/>
      <c r="I321" s="16"/>
      <c r="J321" s="1"/>
      <c r="K321" s="1"/>
      <c r="L321" s="1"/>
      <c r="M321" s="1"/>
      <c r="N321" s="14"/>
      <c r="O321" s="16"/>
      <c r="P321" s="1"/>
    </row>
    <row r="322" spans="1:16">
      <c r="A322" s="6"/>
      <c r="B322" s="7"/>
      <c r="C322" s="6"/>
      <c r="D322" s="6"/>
      <c r="E322" s="6"/>
      <c r="F322" s="1"/>
      <c r="G322" s="9"/>
      <c r="H322" s="9"/>
      <c r="I322" s="16"/>
      <c r="J322" s="1"/>
      <c r="K322" s="1"/>
      <c r="L322" s="1"/>
      <c r="M322" s="9"/>
      <c r="N322" s="14"/>
      <c r="O322" s="16"/>
      <c r="P322" s="1"/>
    </row>
    <row r="323" spans="1:16">
      <c r="A323" s="6"/>
      <c r="B323" s="7"/>
      <c r="C323" s="6"/>
      <c r="D323" s="6"/>
      <c r="E323" s="6"/>
      <c r="F323" s="1"/>
      <c r="G323" s="9"/>
      <c r="H323" s="9"/>
      <c r="I323" s="16"/>
      <c r="J323" s="1"/>
      <c r="K323" s="1"/>
      <c r="L323" s="1"/>
      <c r="M323" s="9"/>
      <c r="N323" s="14"/>
      <c r="O323" s="16"/>
      <c r="P323" s="1"/>
    </row>
    <row r="324" spans="1:16">
      <c r="A324" s="6"/>
      <c r="B324" s="7"/>
      <c r="C324" s="6"/>
      <c r="D324" s="6"/>
      <c r="E324" s="6"/>
      <c r="F324" s="1"/>
      <c r="G324" s="9"/>
      <c r="H324" s="9"/>
      <c r="I324" s="16"/>
      <c r="J324" s="1"/>
      <c r="K324" s="1"/>
      <c r="L324" s="1"/>
      <c r="M324" s="1"/>
      <c r="N324" s="14"/>
      <c r="O324" s="16"/>
      <c r="P324" s="1"/>
    </row>
    <row r="325" spans="1:16">
      <c r="A325" s="6"/>
      <c r="B325" s="7"/>
      <c r="C325" s="6"/>
      <c r="D325" s="6"/>
      <c r="E325" s="6"/>
      <c r="F325" s="1"/>
      <c r="G325" s="9"/>
      <c r="H325" s="9"/>
      <c r="I325" s="16"/>
      <c r="J325" s="1"/>
      <c r="K325" s="1"/>
      <c r="L325" s="1"/>
      <c r="M325" s="1"/>
      <c r="N325" s="14"/>
      <c r="O325" s="16"/>
      <c r="P325" s="1"/>
    </row>
    <row r="326" spans="1:16">
      <c r="A326" s="6"/>
      <c r="B326" s="7"/>
      <c r="C326" s="6"/>
      <c r="D326" s="6"/>
      <c r="E326" s="6"/>
      <c r="F326" s="1"/>
      <c r="G326" s="9"/>
      <c r="H326" s="9"/>
      <c r="I326" s="16"/>
      <c r="J326" s="1"/>
      <c r="K326" s="1"/>
      <c r="L326" s="1"/>
      <c r="M326" s="1"/>
      <c r="N326" s="14"/>
      <c r="O326" s="16"/>
      <c r="P326" s="1"/>
    </row>
    <row r="327" spans="1:16">
      <c r="A327" s="6"/>
      <c r="B327" s="7"/>
      <c r="C327" s="6"/>
      <c r="D327" s="6"/>
      <c r="E327" s="6"/>
      <c r="F327" s="1"/>
      <c r="G327" s="9"/>
      <c r="H327" s="9"/>
      <c r="I327" s="16"/>
      <c r="J327" s="1"/>
      <c r="K327" s="1"/>
      <c r="L327" s="1"/>
      <c r="M327" s="1"/>
      <c r="N327" s="14"/>
      <c r="O327" s="16"/>
      <c r="P327" s="1"/>
    </row>
    <row r="328" spans="1:16">
      <c r="A328" s="6"/>
      <c r="B328" s="7"/>
      <c r="C328" s="6"/>
      <c r="D328" s="6"/>
      <c r="E328" s="6"/>
      <c r="F328" s="1"/>
      <c r="G328" s="9"/>
      <c r="H328" s="9"/>
      <c r="I328" s="16"/>
      <c r="J328" s="1"/>
      <c r="K328" s="1"/>
      <c r="L328" s="1"/>
      <c r="M328" s="9"/>
      <c r="N328" s="14"/>
      <c r="O328" s="16"/>
      <c r="P328" s="1"/>
    </row>
    <row r="329" spans="1:16">
      <c r="A329" s="6"/>
      <c r="B329" s="7"/>
      <c r="C329" s="6"/>
      <c r="D329" s="6"/>
      <c r="E329" s="6"/>
      <c r="F329" s="1"/>
      <c r="G329" s="9"/>
      <c r="H329" s="9"/>
      <c r="I329" s="16"/>
      <c r="J329" s="1"/>
      <c r="K329" s="1"/>
      <c r="L329" s="1"/>
      <c r="M329" s="1"/>
      <c r="N329" s="14"/>
      <c r="O329" s="16"/>
      <c r="P329" s="1"/>
    </row>
    <row r="330" spans="1:16">
      <c r="A330" s="6"/>
      <c r="B330" s="7"/>
      <c r="C330" s="6"/>
      <c r="D330" s="6"/>
      <c r="E330" s="6"/>
      <c r="F330" s="1"/>
      <c r="G330" s="9"/>
      <c r="H330" s="9"/>
      <c r="I330" s="16"/>
      <c r="J330" s="1"/>
      <c r="K330" s="1"/>
      <c r="L330" s="1"/>
      <c r="M330" s="1"/>
      <c r="N330" s="14"/>
      <c r="O330" s="16"/>
      <c r="P330" s="1"/>
    </row>
    <row r="331" spans="1:16">
      <c r="A331" s="6"/>
      <c r="B331" s="7"/>
      <c r="C331" s="6"/>
      <c r="D331" s="6"/>
      <c r="E331" s="6"/>
      <c r="F331" s="1"/>
      <c r="G331" s="9"/>
      <c r="H331" s="9"/>
      <c r="I331" s="16"/>
      <c r="J331" s="1"/>
      <c r="K331" s="1"/>
      <c r="L331" s="1"/>
      <c r="M331" s="1"/>
      <c r="N331" s="14"/>
      <c r="O331" s="16"/>
      <c r="P331" s="1"/>
    </row>
    <row r="332" spans="1:16">
      <c r="A332" s="6"/>
      <c r="B332" s="7"/>
      <c r="C332" s="6"/>
      <c r="D332" s="6"/>
      <c r="E332" s="6"/>
      <c r="F332" s="1"/>
      <c r="G332" s="9"/>
      <c r="H332" s="9"/>
      <c r="I332" s="16"/>
      <c r="J332" s="1"/>
      <c r="K332" s="1"/>
      <c r="L332" s="1"/>
      <c r="M332" s="9"/>
      <c r="N332" s="14"/>
      <c r="O332" s="16"/>
      <c r="P332" s="1"/>
    </row>
    <row r="333" spans="1:16">
      <c r="A333" s="6"/>
      <c r="B333" s="7"/>
      <c r="C333" s="6"/>
      <c r="D333" s="6"/>
      <c r="E333" s="6"/>
      <c r="F333" s="1"/>
      <c r="G333" s="9"/>
      <c r="H333" s="16"/>
      <c r="I333" s="16"/>
      <c r="J333" s="1"/>
      <c r="K333" s="1"/>
      <c r="L333" s="1"/>
      <c r="M333" s="1"/>
      <c r="N333" s="14"/>
      <c r="O333" s="16"/>
      <c r="P333" s="1"/>
    </row>
    <row r="334" spans="1:16">
      <c r="A334" s="6"/>
      <c r="B334" s="7"/>
      <c r="C334" s="6"/>
      <c r="D334" s="6"/>
      <c r="E334" s="6"/>
      <c r="F334" s="1"/>
      <c r="G334" s="9"/>
      <c r="H334" s="9"/>
      <c r="I334" s="16"/>
      <c r="J334" s="1"/>
      <c r="K334" s="1"/>
      <c r="L334" s="1"/>
      <c r="M334" s="1"/>
      <c r="N334" s="14"/>
      <c r="O334" s="16"/>
      <c r="P334" s="1"/>
    </row>
    <row r="335" spans="1:16">
      <c r="A335" s="6"/>
      <c r="B335" s="7"/>
      <c r="C335" s="6"/>
      <c r="D335" s="6"/>
      <c r="E335" s="6"/>
      <c r="F335" s="1"/>
      <c r="G335" s="9"/>
      <c r="H335" s="9"/>
      <c r="I335" s="16"/>
      <c r="J335" s="1"/>
      <c r="K335" s="1"/>
      <c r="L335" s="1"/>
      <c r="M335" s="1"/>
      <c r="N335" s="14"/>
      <c r="O335" s="16"/>
      <c r="P335" s="1"/>
    </row>
    <row r="336" spans="1:16">
      <c r="A336" s="6"/>
      <c r="B336" s="7"/>
      <c r="C336" s="6"/>
      <c r="D336" s="6"/>
      <c r="E336" s="6"/>
      <c r="F336" s="1"/>
      <c r="G336" s="9"/>
      <c r="H336" s="9"/>
      <c r="I336" s="16"/>
      <c r="J336" s="1"/>
      <c r="K336" s="1"/>
      <c r="L336" s="1"/>
      <c r="M336" s="1"/>
      <c r="N336" s="14"/>
      <c r="O336" s="16"/>
      <c r="P336" s="1"/>
    </row>
    <row r="337" spans="1:16">
      <c r="A337" s="6"/>
      <c r="B337" s="7"/>
      <c r="C337" s="6"/>
      <c r="D337" s="6"/>
      <c r="E337" s="6"/>
      <c r="F337" s="1"/>
      <c r="G337" s="9"/>
      <c r="H337" s="9"/>
      <c r="I337" s="16"/>
      <c r="J337" s="1"/>
      <c r="K337" s="1"/>
      <c r="L337" s="1"/>
      <c r="M337" s="9"/>
      <c r="N337" s="14"/>
      <c r="O337" s="16"/>
      <c r="P337" s="1"/>
    </row>
    <row r="338" spans="1:16">
      <c r="A338" s="6"/>
      <c r="B338" s="7"/>
      <c r="C338" s="6"/>
      <c r="D338" s="6"/>
      <c r="E338" s="6"/>
      <c r="F338" s="1"/>
      <c r="G338" s="9"/>
      <c r="H338" s="16"/>
      <c r="I338" s="16"/>
      <c r="J338" s="1"/>
      <c r="K338" s="1"/>
      <c r="L338" s="1"/>
      <c r="M338" s="1"/>
      <c r="N338" s="14"/>
      <c r="O338" s="16"/>
      <c r="P338" s="1"/>
    </row>
    <row r="339" spans="1:16">
      <c r="A339" s="6"/>
      <c r="B339" s="7"/>
      <c r="C339" s="6"/>
      <c r="D339" s="6"/>
      <c r="E339" s="6"/>
      <c r="F339" s="1"/>
      <c r="G339" s="9"/>
      <c r="H339" s="9"/>
      <c r="I339" s="16"/>
      <c r="J339" s="1"/>
      <c r="K339" s="1"/>
      <c r="L339" s="1"/>
      <c r="M339" s="1"/>
      <c r="N339" s="14"/>
      <c r="O339" s="16"/>
      <c r="P339" s="1"/>
    </row>
    <row r="340" spans="1:16">
      <c r="A340" s="6"/>
      <c r="B340" s="7"/>
      <c r="C340" s="6"/>
      <c r="D340" s="6"/>
      <c r="E340" s="6"/>
      <c r="F340" s="1"/>
      <c r="G340" s="9"/>
      <c r="H340" s="9"/>
      <c r="I340" s="16"/>
      <c r="J340" s="1"/>
      <c r="K340" s="1"/>
      <c r="L340" s="1"/>
      <c r="M340" s="1"/>
      <c r="N340" s="14"/>
      <c r="O340" s="16"/>
      <c r="P340" s="1"/>
    </row>
    <row r="341" spans="1:16">
      <c r="A341" s="6"/>
      <c r="B341" s="7"/>
      <c r="C341" s="6"/>
      <c r="D341" s="6"/>
      <c r="E341" s="6"/>
      <c r="F341" s="1"/>
      <c r="G341" s="9"/>
      <c r="H341" s="9"/>
      <c r="I341" s="16"/>
      <c r="J341" s="1"/>
      <c r="K341" s="1"/>
      <c r="L341" s="1"/>
      <c r="M341" s="1"/>
      <c r="N341" s="14"/>
      <c r="O341" s="16"/>
      <c r="P341" s="1"/>
    </row>
    <row r="342" spans="1:16">
      <c r="A342" s="6"/>
      <c r="B342" s="7"/>
      <c r="C342" s="6"/>
      <c r="D342" s="6"/>
      <c r="E342" s="6"/>
      <c r="F342" s="1"/>
      <c r="G342" s="9"/>
      <c r="H342" s="9"/>
      <c r="I342" s="16"/>
      <c r="J342" s="1"/>
      <c r="K342" s="1"/>
      <c r="L342" s="1"/>
      <c r="M342" s="1"/>
      <c r="N342" s="14"/>
      <c r="O342" s="16"/>
      <c r="P342" s="1"/>
    </row>
    <row r="343" spans="1:16">
      <c r="A343" s="6"/>
      <c r="B343" s="7"/>
      <c r="C343" s="6"/>
      <c r="D343" s="6"/>
      <c r="E343" s="6"/>
      <c r="F343" s="1"/>
      <c r="G343" s="9"/>
      <c r="H343" s="9"/>
      <c r="I343" s="16"/>
      <c r="J343" s="1"/>
      <c r="K343" s="1"/>
      <c r="L343" s="1"/>
      <c r="M343" s="1"/>
      <c r="N343" s="14"/>
      <c r="O343" s="16"/>
      <c r="P343" s="1"/>
    </row>
    <row r="344" spans="1:16">
      <c r="A344" s="6"/>
      <c r="B344" s="7"/>
      <c r="C344" s="6"/>
      <c r="D344" s="6"/>
      <c r="E344" s="6"/>
      <c r="F344" s="1"/>
      <c r="G344" s="9"/>
      <c r="H344" s="16"/>
      <c r="I344" s="16"/>
      <c r="J344" s="1"/>
      <c r="K344" s="1"/>
      <c r="L344" s="1"/>
      <c r="M344" s="1"/>
      <c r="N344" s="14"/>
      <c r="O344" s="16"/>
      <c r="P344" s="1"/>
    </row>
    <row r="345" spans="1:16">
      <c r="A345" s="6"/>
      <c r="B345" s="7"/>
      <c r="C345" s="6"/>
      <c r="D345" s="6"/>
      <c r="E345" s="6"/>
      <c r="F345" s="1"/>
      <c r="G345" s="9"/>
      <c r="H345" s="16"/>
      <c r="I345" s="16"/>
      <c r="J345" s="1"/>
      <c r="K345" s="1"/>
      <c r="L345" s="1"/>
      <c r="M345" s="1"/>
      <c r="N345" s="14"/>
      <c r="O345" s="16"/>
      <c r="P345" s="1"/>
    </row>
    <row r="346" spans="1:16">
      <c r="A346" s="6"/>
      <c r="B346" s="7"/>
      <c r="C346" s="6"/>
      <c r="D346" s="6"/>
      <c r="E346" s="6"/>
      <c r="F346" s="1"/>
      <c r="G346" s="9"/>
      <c r="H346" s="16"/>
      <c r="I346" s="16"/>
      <c r="J346" s="1"/>
      <c r="K346" s="1"/>
      <c r="L346" s="1"/>
      <c r="M346" s="1"/>
      <c r="N346" s="14"/>
      <c r="O346" s="16"/>
      <c r="P346" s="1"/>
    </row>
    <row r="347" spans="1:16">
      <c r="A347" s="6"/>
      <c r="B347" s="7"/>
      <c r="C347" s="6"/>
      <c r="D347" s="6"/>
      <c r="E347" s="6"/>
      <c r="F347" s="1"/>
      <c r="G347" s="9"/>
      <c r="H347" s="16"/>
      <c r="I347" s="16"/>
      <c r="J347" s="1"/>
      <c r="K347" s="1"/>
      <c r="L347" s="1"/>
      <c r="M347" s="1"/>
      <c r="N347" s="14"/>
      <c r="O347" s="16"/>
      <c r="P347" s="1"/>
    </row>
    <row r="348" spans="1:16">
      <c r="A348" s="6"/>
      <c r="B348" s="7"/>
      <c r="C348" s="6"/>
      <c r="D348" s="6"/>
      <c r="E348" s="6"/>
      <c r="F348" s="1"/>
      <c r="G348" s="9"/>
      <c r="H348" s="9"/>
      <c r="I348" s="16"/>
      <c r="J348" s="1"/>
      <c r="K348" s="1"/>
      <c r="L348" s="1"/>
      <c r="M348" s="1"/>
      <c r="N348" s="14"/>
      <c r="O348" s="16"/>
      <c r="P348" s="1"/>
    </row>
    <row r="349" spans="1:16">
      <c r="A349" s="6"/>
      <c r="B349" s="7"/>
      <c r="C349" s="6"/>
      <c r="D349" s="6"/>
      <c r="E349" s="6"/>
      <c r="F349" s="1"/>
      <c r="G349" s="9"/>
      <c r="H349" s="9"/>
      <c r="I349" s="16"/>
      <c r="J349" s="1"/>
      <c r="K349" s="1"/>
      <c r="L349" s="1"/>
      <c r="M349" s="1"/>
      <c r="N349" s="14"/>
      <c r="O349" s="16"/>
      <c r="P349" s="1"/>
    </row>
    <row r="350" spans="1:16">
      <c r="A350" s="6"/>
      <c r="B350" s="7"/>
      <c r="C350" s="6"/>
      <c r="D350" s="6"/>
      <c r="E350" s="6"/>
      <c r="F350" s="1"/>
      <c r="G350" s="9"/>
      <c r="H350" s="16"/>
      <c r="I350" s="16"/>
      <c r="J350" s="1"/>
      <c r="K350" s="1"/>
      <c r="L350" s="1"/>
      <c r="M350" s="1"/>
      <c r="N350" s="14"/>
      <c r="O350" s="16"/>
      <c r="P350" s="1"/>
    </row>
    <row r="351" spans="1:16">
      <c r="A351" s="6"/>
      <c r="B351" s="7"/>
      <c r="C351" s="6"/>
      <c r="D351" s="6"/>
      <c r="E351" s="6"/>
      <c r="F351" s="1"/>
      <c r="G351" s="9"/>
      <c r="H351" s="16"/>
      <c r="I351" s="16"/>
      <c r="J351" s="1"/>
      <c r="K351" s="1"/>
      <c r="L351" s="1"/>
      <c r="M351" s="1"/>
      <c r="N351" s="14"/>
      <c r="O351" s="16"/>
      <c r="P351" s="1"/>
    </row>
    <row r="352" spans="1:16">
      <c r="A352" s="6"/>
      <c r="B352" s="7"/>
      <c r="C352" s="6"/>
      <c r="D352" s="6"/>
      <c r="E352" s="6"/>
      <c r="F352" s="1"/>
      <c r="G352" s="9"/>
      <c r="H352" s="9"/>
      <c r="I352" s="16"/>
      <c r="J352" s="1"/>
      <c r="K352" s="1"/>
      <c r="L352" s="1"/>
      <c r="M352" s="1"/>
      <c r="N352" s="14"/>
      <c r="O352" s="16"/>
      <c r="P352" s="1"/>
    </row>
    <row r="353" spans="1:16">
      <c r="A353" s="6"/>
      <c r="B353" s="7"/>
      <c r="C353" s="6"/>
      <c r="D353" s="6"/>
      <c r="E353" s="6"/>
      <c r="F353" s="1"/>
      <c r="G353" s="9"/>
      <c r="H353" s="16"/>
      <c r="I353" s="16"/>
      <c r="J353" s="1"/>
      <c r="K353" s="1"/>
      <c r="L353" s="1"/>
      <c r="M353" s="1"/>
      <c r="N353" s="14"/>
      <c r="O353" s="16"/>
      <c r="P353" s="1"/>
    </row>
    <row r="354" spans="1:16">
      <c r="A354" s="6"/>
      <c r="B354" s="7"/>
      <c r="C354" s="6"/>
      <c r="D354" s="6"/>
      <c r="E354" s="6"/>
      <c r="F354" s="1"/>
      <c r="G354" s="9"/>
      <c r="H354" s="16"/>
      <c r="I354" s="16"/>
      <c r="J354" s="1"/>
      <c r="K354" s="1"/>
      <c r="L354" s="1"/>
      <c r="M354" s="1"/>
      <c r="N354" s="14"/>
      <c r="O354" s="16"/>
      <c r="P354" s="1"/>
    </row>
    <row r="355" spans="1:16">
      <c r="A355" s="6"/>
      <c r="B355" s="7"/>
      <c r="C355" s="6"/>
      <c r="D355" s="6"/>
      <c r="E355" s="6"/>
      <c r="F355" s="1"/>
      <c r="G355" s="9"/>
      <c r="H355" s="9"/>
      <c r="I355" s="16"/>
      <c r="J355" s="1"/>
      <c r="K355" s="1"/>
      <c r="L355" s="1"/>
      <c r="M355" s="9"/>
      <c r="N355" s="14"/>
      <c r="O355" s="16"/>
      <c r="P355" s="1"/>
    </row>
    <row r="356" spans="1:16">
      <c r="A356" s="6"/>
      <c r="B356" s="7"/>
      <c r="C356" s="6"/>
      <c r="D356" s="6"/>
      <c r="E356" s="6"/>
      <c r="F356" s="1"/>
      <c r="G356" s="9"/>
      <c r="H356" s="9"/>
      <c r="I356" s="16"/>
      <c r="J356" s="1"/>
      <c r="K356" s="1"/>
      <c r="L356" s="1"/>
      <c r="M356" s="1"/>
      <c r="N356" s="14"/>
      <c r="O356" s="16"/>
      <c r="P356" s="1"/>
    </row>
    <row r="357" spans="1:16">
      <c r="A357" s="6"/>
      <c r="B357" s="7"/>
      <c r="C357" s="6"/>
      <c r="D357" s="6"/>
      <c r="E357" s="6"/>
      <c r="F357" s="1"/>
      <c r="G357" s="9"/>
      <c r="H357" s="9"/>
      <c r="I357" s="16"/>
      <c r="J357" s="1"/>
      <c r="K357" s="1"/>
      <c r="L357" s="1"/>
      <c r="M357" s="1"/>
      <c r="N357" s="14"/>
      <c r="O357" s="16"/>
      <c r="P357" s="1"/>
    </row>
    <row r="358" spans="1:16">
      <c r="A358" s="6"/>
      <c r="B358" s="7"/>
      <c r="C358" s="6"/>
      <c r="D358" s="6"/>
      <c r="E358" s="6"/>
      <c r="F358" s="1"/>
      <c r="G358" s="9"/>
      <c r="H358" s="9"/>
      <c r="I358" s="16"/>
      <c r="J358" s="1"/>
      <c r="K358" s="1"/>
      <c r="L358" s="1"/>
      <c r="M358" s="1"/>
      <c r="N358" s="14"/>
      <c r="O358" s="16"/>
      <c r="P358" s="1"/>
    </row>
    <row r="359" spans="1:16">
      <c r="A359" s="6"/>
      <c r="B359" s="7"/>
      <c r="C359" s="6"/>
      <c r="D359" s="6"/>
      <c r="E359" s="6"/>
      <c r="F359" s="1"/>
      <c r="G359" s="9"/>
      <c r="H359" s="9"/>
      <c r="I359" s="16"/>
      <c r="J359" s="1"/>
      <c r="K359" s="1"/>
      <c r="L359" s="1"/>
      <c r="M359" s="1"/>
      <c r="N359" s="14"/>
      <c r="O359" s="16"/>
      <c r="P359" s="1"/>
    </row>
    <row r="360" spans="1:16">
      <c r="A360" s="6"/>
      <c r="B360" s="7"/>
      <c r="C360" s="6"/>
      <c r="D360" s="6"/>
      <c r="E360" s="6"/>
      <c r="F360" s="1"/>
      <c r="G360" s="9"/>
      <c r="H360" s="9"/>
      <c r="I360" s="16"/>
      <c r="J360" s="1"/>
      <c r="K360" s="1"/>
      <c r="L360" s="1"/>
      <c r="M360" s="1"/>
      <c r="N360" s="14"/>
      <c r="O360" s="16"/>
      <c r="P360" s="1"/>
    </row>
    <row r="361" spans="1:16">
      <c r="A361" s="6"/>
      <c r="B361" s="7"/>
      <c r="C361" s="6"/>
      <c r="D361" s="6"/>
      <c r="E361" s="6"/>
      <c r="F361" s="1"/>
      <c r="G361" s="9"/>
      <c r="H361" s="16"/>
      <c r="I361" s="16"/>
      <c r="J361" s="1"/>
      <c r="K361" s="1"/>
      <c r="L361" s="1"/>
      <c r="M361" s="1"/>
      <c r="N361" s="14"/>
      <c r="O361" s="16"/>
      <c r="P361" s="1"/>
    </row>
    <row r="362" spans="1:16">
      <c r="A362" s="6"/>
      <c r="B362" s="7"/>
      <c r="C362" s="6"/>
      <c r="D362" s="6"/>
      <c r="E362" s="6"/>
      <c r="F362" s="1"/>
      <c r="G362" s="9"/>
      <c r="H362" s="9"/>
      <c r="I362" s="16"/>
      <c r="J362" s="1"/>
      <c r="K362" s="1"/>
      <c r="L362" s="1"/>
      <c r="M362" s="1"/>
      <c r="N362" s="14"/>
      <c r="O362" s="16"/>
      <c r="P362" s="1"/>
    </row>
    <row r="363" spans="1:16">
      <c r="A363" s="6"/>
      <c r="B363" s="7"/>
      <c r="C363" s="6"/>
      <c r="D363" s="6"/>
      <c r="E363" s="6"/>
      <c r="F363" s="1"/>
      <c r="G363" s="9"/>
      <c r="H363" s="9"/>
      <c r="I363" s="16"/>
      <c r="J363" s="1"/>
      <c r="K363" s="1"/>
      <c r="L363" s="1"/>
      <c r="M363" s="1"/>
      <c r="N363" s="14"/>
      <c r="O363" s="16"/>
      <c r="P363" s="1"/>
    </row>
    <row r="364" spans="1:16">
      <c r="A364" s="6"/>
      <c r="B364" s="7"/>
      <c r="C364" s="6"/>
      <c r="D364" s="6"/>
      <c r="E364" s="6"/>
      <c r="F364" s="1"/>
      <c r="G364" s="9"/>
      <c r="H364" s="16"/>
      <c r="I364" s="16"/>
      <c r="J364" s="1"/>
      <c r="K364" s="1"/>
      <c r="L364" s="1"/>
      <c r="M364" s="1"/>
      <c r="N364" s="14"/>
      <c r="O364" s="16"/>
      <c r="P364" s="1"/>
    </row>
    <row r="365" spans="1:16">
      <c r="A365" s="6"/>
      <c r="B365" s="7"/>
      <c r="C365" s="6"/>
      <c r="D365" s="6"/>
      <c r="E365" s="6"/>
      <c r="F365" s="1"/>
      <c r="G365" s="9"/>
      <c r="H365" s="9"/>
      <c r="I365" s="16"/>
      <c r="J365" s="1"/>
      <c r="K365" s="1"/>
      <c r="L365" s="1"/>
      <c r="M365" s="1"/>
      <c r="N365" s="14"/>
      <c r="O365" s="16"/>
      <c r="P365" s="1"/>
    </row>
    <row r="366" spans="1:16">
      <c r="A366" s="6"/>
      <c r="B366" s="7"/>
      <c r="C366" s="6"/>
      <c r="D366" s="6"/>
      <c r="E366" s="6"/>
      <c r="F366" s="1"/>
      <c r="G366" s="9"/>
      <c r="H366" s="9"/>
      <c r="I366" s="16"/>
      <c r="J366" s="1"/>
      <c r="K366" s="1"/>
      <c r="L366" s="1"/>
      <c r="M366" s="1"/>
      <c r="N366" s="14"/>
      <c r="O366" s="16"/>
      <c r="P366" s="1"/>
    </row>
    <row r="367" spans="1:16">
      <c r="A367" s="6"/>
      <c r="B367" s="7"/>
      <c r="C367" s="6"/>
      <c r="D367" s="6"/>
      <c r="E367" s="6"/>
      <c r="F367" s="1"/>
      <c r="G367" s="9"/>
      <c r="H367" s="16"/>
      <c r="I367" s="16"/>
      <c r="J367" s="1"/>
      <c r="K367" s="1"/>
      <c r="L367" s="1"/>
      <c r="M367" s="1"/>
      <c r="N367" s="14"/>
      <c r="O367" s="16"/>
      <c r="P367" s="1"/>
    </row>
    <row r="368" spans="1:16">
      <c r="A368" s="6"/>
      <c r="B368" s="7"/>
      <c r="C368" s="6"/>
      <c r="D368" s="6"/>
      <c r="E368" s="6"/>
      <c r="F368" s="1"/>
      <c r="G368" s="9"/>
      <c r="H368" s="9"/>
      <c r="I368" s="16"/>
      <c r="J368" s="1"/>
      <c r="K368" s="1"/>
      <c r="L368" s="1"/>
      <c r="M368" s="1"/>
      <c r="N368" s="14"/>
      <c r="O368" s="16"/>
      <c r="P368" s="1"/>
    </row>
    <row r="369" spans="1:16">
      <c r="A369" s="6"/>
      <c r="B369" s="7"/>
      <c r="C369" s="6"/>
      <c r="D369" s="6"/>
      <c r="E369" s="6"/>
      <c r="F369" s="1"/>
      <c r="G369" s="9"/>
      <c r="H369" s="9"/>
      <c r="I369" s="16"/>
      <c r="J369" s="1"/>
      <c r="K369" s="1"/>
      <c r="L369" s="1"/>
      <c r="M369" s="1"/>
      <c r="N369" s="14"/>
      <c r="O369" s="16"/>
      <c r="P369" s="1"/>
    </row>
    <row r="370" spans="1:16">
      <c r="A370" s="6"/>
      <c r="B370" s="7"/>
      <c r="C370" s="6"/>
      <c r="D370" s="6"/>
      <c r="E370" s="6"/>
      <c r="F370" s="1"/>
      <c r="G370" s="9"/>
      <c r="H370" s="9"/>
      <c r="I370" s="16"/>
      <c r="J370" s="1"/>
      <c r="K370" s="1"/>
      <c r="L370" s="1"/>
      <c r="M370" s="1"/>
      <c r="N370" s="14"/>
      <c r="O370" s="16"/>
      <c r="P370" s="1"/>
    </row>
    <row r="371" spans="1:16">
      <c r="A371" s="6"/>
      <c r="B371" s="7"/>
      <c r="C371" s="6"/>
      <c r="D371" s="6"/>
      <c r="E371" s="6"/>
      <c r="F371" s="1"/>
      <c r="G371" s="9"/>
      <c r="H371" s="9"/>
      <c r="I371" s="16"/>
      <c r="J371" s="1"/>
      <c r="K371" s="1"/>
      <c r="L371" s="1"/>
      <c r="M371" s="1"/>
      <c r="N371" s="14"/>
      <c r="O371" s="16"/>
      <c r="P371" s="1"/>
    </row>
    <row r="372" spans="1:16">
      <c r="A372" s="6"/>
      <c r="B372" s="7"/>
      <c r="C372" s="6"/>
      <c r="D372" s="6"/>
      <c r="E372" s="6"/>
      <c r="F372" s="1"/>
      <c r="G372" s="9"/>
      <c r="H372" s="9"/>
      <c r="I372" s="16"/>
      <c r="J372" s="1"/>
      <c r="K372" s="1"/>
      <c r="L372" s="1"/>
      <c r="M372" s="1"/>
      <c r="N372" s="14"/>
      <c r="O372" s="16"/>
      <c r="P372" s="1"/>
    </row>
    <row r="373" spans="1:16">
      <c r="A373" s="6"/>
      <c r="B373" s="7"/>
      <c r="C373" s="6"/>
      <c r="D373" s="6"/>
      <c r="E373" s="6"/>
      <c r="F373" s="1"/>
      <c r="G373" s="9"/>
      <c r="H373" s="16"/>
      <c r="I373" s="16"/>
      <c r="J373" s="1"/>
      <c r="K373" s="1"/>
      <c r="L373" s="1"/>
      <c r="M373" s="1"/>
      <c r="N373" s="14"/>
      <c r="O373" s="16"/>
      <c r="P373" s="1"/>
    </row>
    <row r="374" spans="1:16">
      <c r="A374" s="6"/>
      <c r="B374" s="7"/>
      <c r="C374" s="6"/>
      <c r="D374" s="6"/>
      <c r="E374" s="6"/>
      <c r="F374" s="1"/>
      <c r="G374" s="9"/>
      <c r="H374" s="9"/>
      <c r="I374" s="16"/>
      <c r="J374" s="1"/>
      <c r="K374" s="1"/>
      <c r="L374" s="1"/>
      <c r="M374" s="1"/>
      <c r="N374" s="14"/>
      <c r="O374" s="16"/>
      <c r="P374" s="1"/>
    </row>
    <row r="375" spans="1:16">
      <c r="A375" s="6"/>
      <c r="B375" s="7"/>
      <c r="C375" s="6"/>
      <c r="D375" s="6"/>
      <c r="E375" s="6"/>
      <c r="F375" s="1"/>
      <c r="G375" s="9"/>
      <c r="H375" s="9"/>
      <c r="I375" s="16"/>
      <c r="J375" s="1"/>
      <c r="K375" s="1"/>
      <c r="L375" s="1"/>
      <c r="M375" s="1"/>
      <c r="N375" s="14"/>
      <c r="O375" s="16"/>
      <c r="P375" s="1"/>
    </row>
    <row r="376" spans="1:16">
      <c r="A376" s="6"/>
      <c r="B376" s="7"/>
      <c r="C376" s="6"/>
      <c r="D376" s="6"/>
      <c r="E376" s="6"/>
      <c r="F376" s="1"/>
      <c r="G376" s="9"/>
      <c r="H376" s="16"/>
      <c r="I376" s="16"/>
      <c r="J376" s="1"/>
      <c r="K376" s="1"/>
      <c r="L376" s="1"/>
      <c r="M376" s="1"/>
      <c r="N376" s="14"/>
      <c r="O376" s="16"/>
      <c r="P376" s="1"/>
    </row>
    <row r="377" spans="1:16">
      <c r="A377" s="6"/>
      <c r="B377" s="7"/>
      <c r="C377" s="6"/>
      <c r="D377" s="6"/>
      <c r="E377" s="6"/>
      <c r="F377" s="1"/>
      <c r="G377" s="9"/>
      <c r="H377" s="9"/>
      <c r="I377" s="16"/>
      <c r="J377" s="1"/>
      <c r="K377" s="1"/>
      <c r="L377" s="1"/>
      <c r="M377" s="1"/>
      <c r="N377" s="14"/>
      <c r="O377" s="16"/>
      <c r="P377" s="1"/>
    </row>
    <row r="378" spans="1:16">
      <c r="A378" s="6"/>
      <c r="B378" s="7"/>
      <c r="C378" s="6"/>
      <c r="D378" s="6"/>
      <c r="E378" s="6"/>
      <c r="F378" s="1"/>
      <c r="G378" s="9"/>
      <c r="H378" s="9"/>
      <c r="I378" s="16"/>
      <c r="J378" s="1"/>
      <c r="K378" s="1"/>
      <c r="L378" s="1"/>
      <c r="M378" s="1"/>
      <c r="N378" s="14"/>
      <c r="O378" s="16"/>
      <c r="P378" s="1"/>
    </row>
    <row r="379" spans="1:16">
      <c r="A379" s="6"/>
      <c r="B379" s="7"/>
      <c r="C379" s="6"/>
      <c r="D379" s="6"/>
      <c r="E379" s="6"/>
      <c r="F379" s="1"/>
      <c r="G379" s="9"/>
      <c r="H379" s="16"/>
      <c r="I379" s="16"/>
      <c r="J379" s="1"/>
      <c r="K379" s="1"/>
      <c r="L379" s="1"/>
      <c r="M379" s="1"/>
      <c r="N379" s="14"/>
      <c r="O379" s="16"/>
      <c r="P379" s="1"/>
    </row>
    <row r="380" spans="1:16">
      <c r="A380" s="6"/>
      <c r="B380" s="7"/>
      <c r="C380" s="6"/>
      <c r="D380" s="6"/>
      <c r="E380" s="6"/>
      <c r="F380" s="1"/>
      <c r="G380" s="9"/>
      <c r="H380" s="9"/>
      <c r="I380" s="16"/>
      <c r="J380" s="1"/>
      <c r="K380" s="1"/>
      <c r="L380" s="1"/>
      <c r="M380" s="1"/>
      <c r="N380" s="14"/>
      <c r="O380" s="16"/>
      <c r="P380" s="1"/>
    </row>
    <row r="381" spans="1:16">
      <c r="A381" s="6"/>
      <c r="B381" s="7"/>
      <c r="C381" s="6"/>
      <c r="D381" s="6"/>
      <c r="E381" s="6"/>
      <c r="F381" s="1"/>
      <c r="G381" s="9"/>
      <c r="H381" s="16"/>
      <c r="I381" s="16"/>
      <c r="J381" s="1"/>
      <c r="K381" s="1"/>
      <c r="L381" s="1"/>
      <c r="M381" s="1"/>
      <c r="N381" s="14"/>
      <c r="O381" s="16"/>
      <c r="P381" s="1"/>
    </row>
    <row r="382" spans="1:16">
      <c r="A382" s="6"/>
      <c r="B382" s="7"/>
      <c r="C382" s="6"/>
      <c r="D382" s="6"/>
      <c r="E382" s="6"/>
      <c r="F382" s="1"/>
      <c r="G382" s="9"/>
      <c r="H382" s="9"/>
      <c r="I382" s="16"/>
      <c r="J382" s="1"/>
      <c r="K382" s="1"/>
      <c r="L382" s="1"/>
      <c r="M382" s="1"/>
      <c r="N382" s="14"/>
      <c r="O382" s="16"/>
      <c r="P382" s="1"/>
    </row>
    <row r="383" spans="1:16">
      <c r="A383" s="6"/>
      <c r="B383" s="7"/>
      <c r="C383" s="6"/>
      <c r="D383" s="6"/>
      <c r="E383" s="6"/>
      <c r="F383" s="1"/>
      <c r="G383" s="9"/>
      <c r="H383" s="9"/>
      <c r="I383" s="16"/>
      <c r="J383" s="1"/>
      <c r="K383" s="1"/>
      <c r="L383" s="1"/>
      <c r="M383" s="1"/>
      <c r="N383" s="14"/>
      <c r="O383" s="16"/>
      <c r="P383" s="1"/>
    </row>
    <row r="384" spans="1:16">
      <c r="A384" s="6"/>
      <c r="B384" s="7"/>
      <c r="C384" s="6"/>
      <c r="D384" s="6"/>
      <c r="E384" s="6"/>
      <c r="F384" s="1"/>
      <c r="G384" s="9"/>
      <c r="H384" s="9"/>
      <c r="I384" s="16"/>
      <c r="J384" s="1"/>
      <c r="K384" s="1"/>
      <c r="L384" s="1"/>
      <c r="M384" s="1"/>
      <c r="N384" s="14"/>
      <c r="O384" s="16"/>
      <c r="P384" s="1"/>
    </row>
    <row r="385" spans="1:16">
      <c r="A385" s="6"/>
      <c r="B385" s="7"/>
      <c r="C385" s="6"/>
      <c r="D385" s="6"/>
      <c r="E385" s="6"/>
      <c r="F385" s="1"/>
      <c r="G385" s="9"/>
      <c r="H385" s="9"/>
      <c r="I385" s="16"/>
      <c r="J385" s="1"/>
      <c r="K385" s="1"/>
      <c r="L385" s="1"/>
      <c r="M385" s="1"/>
      <c r="N385" s="14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16"/>
      <c r="I386" s="16"/>
      <c r="J386" s="1"/>
      <c r="K386" s="1"/>
      <c r="L386" s="1"/>
      <c r="M386" s="1"/>
      <c r="N386" s="14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16"/>
      <c r="I387" s="16"/>
      <c r="J387" s="1"/>
      <c r="K387" s="1"/>
      <c r="L387" s="1"/>
      <c r="M387" s="1"/>
      <c r="N387" s="14"/>
      <c r="O387" s="16"/>
      <c r="P387" s="1"/>
    </row>
    <row r="388" spans="1:16">
      <c r="A388" s="6"/>
      <c r="B388" s="7"/>
      <c r="C388" s="6"/>
      <c r="D388" s="6"/>
      <c r="E388" s="6"/>
      <c r="F388" s="1"/>
      <c r="G388" s="9"/>
      <c r="H388" s="9"/>
      <c r="I388" s="16"/>
      <c r="J388" s="1"/>
      <c r="K388" s="1"/>
      <c r="L388" s="1"/>
      <c r="M388" s="1"/>
      <c r="N388" s="14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16"/>
      <c r="J389" s="1"/>
      <c r="K389" s="1"/>
      <c r="L389" s="1"/>
      <c r="M389" s="1"/>
      <c r="N389" s="14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16"/>
      <c r="I390" s="16"/>
      <c r="J390" s="1"/>
      <c r="K390" s="1"/>
      <c r="L390" s="1"/>
      <c r="M390" s="1"/>
      <c r="N390" s="14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16"/>
      <c r="I391" s="16"/>
      <c r="J391" s="1"/>
      <c r="K391" s="1"/>
      <c r="L391" s="1"/>
      <c r="M391" s="1"/>
      <c r="N391" s="14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16"/>
      <c r="I392" s="16"/>
      <c r="J392" s="1"/>
      <c r="K392" s="1"/>
      <c r="L392" s="1"/>
      <c r="M392" s="1"/>
      <c r="N392" s="14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16"/>
      <c r="I393" s="16"/>
      <c r="J393" s="1"/>
      <c r="K393" s="1"/>
      <c r="L393" s="1"/>
      <c r="M393" s="1"/>
      <c r="N393" s="14"/>
      <c r="O393" s="16"/>
      <c r="P393" s="1"/>
    </row>
    <row r="394" spans="1:16">
      <c r="A394" s="6"/>
      <c r="B394" s="7"/>
      <c r="C394" s="6"/>
      <c r="D394" s="6"/>
      <c r="E394" s="6"/>
      <c r="F394" s="1"/>
      <c r="G394" s="9"/>
      <c r="H394" s="16"/>
      <c r="I394" s="16"/>
      <c r="J394" s="1"/>
      <c r="K394" s="1"/>
      <c r="L394" s="1"/>
      <c r="M394" s="1"/>
      <c r="N394" s="14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16"/>
      <c r="J395" s="1"/>
      <c r="K395" s="1"/>
      <c r="L395" s="1"/>
      <c r="M395" s="9"/>
      <c r="N395" s="14"/>
      <c r="O395" s="16"/>
      <c r="P395" s="1"/>
    </row>
    <row r="396" spans="1:16">
      <c r="A396" s="6"/>
      <c r="B396" s="7"/>
      <c r="C396" s="6"/>
      <c r="D396" s="6"/>
      <c r="E396" s="6"/>
      <c r="F396" s="1"/>
      <c r="G396" s="9"/>
      <c r="H396" s="16"/>
      <c r="I396" s="16"/>
      <c r="J396" s="1"/>
      <c r="K396" s="1"/>
      <c r="L396" s="1"/>
      <c r="M396" s="1"/>
      <c r="N396" s="14"/>
      <c r="O396" s="16"/>
      <c r="P396" s="1"/>
    </row>
    <row r="397" spans="1:16">
      <c r="A397" s="6"/>
      <c r="B397" s="7"/>
      <c r="C397" s="6"/>
      <c r="D397" s="6"/>
      <c r="E397" s="6"/>
      <c r="F397" s="1"/>
      <c r="G397" s="9"/>
      <c r="H397" s="9"/>
      <c r="I397" s="16"/>
      <c r="J397" s="1"/>
      <c r="K397" s="1"/>
      <c r="L397" s="1"/>
      <c r="M397" s="1"/>
      <c r="N397" s="14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16"/>
      <c r="J398" s="1"/>
      <c r="K398" s="1"/>
      <c r="L398" s="1"/>
      <c r="M398" s="1"/>
      <c r="N398" s="14"/>
      <c r="O398" s="16"/>
      <c r="P398" s="1"/>
    </row>
    <row r="399" spans="1:16">
      <c r="A399" s="6"/>
      <c r="B399" s="7"/>
      <c r="C399" s="6"/>
      <c r="D399" s="6"/>
      <c r="E399" s="6"/>
      <c r="F399" s="1"/>
      <c r="G399" s="9"/>
      <c r="H399" s="16"/>
      <c r="I399" s="16"/>
      <c r="J399" s="1"/>
      <c r="K399" s="1"/>
      <c r="L399" s="1"/>
      <c r="M399" s="1"/>
      <c r="N399" s="14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16"/>
      <c r="I400" s="16"/>
      <c r="J400" s="1"/>
      <c r="K400" s="1"/>
      <c r="L400" s="1"/>
      <c r="M400" s="1"/>
      <c r="N400" s="14"/>
      <c r="O400" s="16"/>
      <c r="P400" s="1"/>
    </row>
    <row r="401" spans="1:16">
      <c r="A401" s="6"/>
      <c r="B401" s="7"/>
      <c r="C401" s="6"/>
      <c r="D401" s="6"/>
      <c r="E401" s="6"/>
      <c r="F401" s="1"/>
      <c r="G401" s="9"/>
      <c r="H401" s="9"/>
      <c r="I401" s="16"/>
      <c r="J401" s="1"/>
      <c r="K401" s="1"/>
      <c r="L401" s="1"/>
      <c r="M401" s="1"/>
      <c r="N401" s="14"/>
      <c r="O401" s="16"/>
      <c r="P401" s="1"/>
    </row>
    <row r="402" spans="1:16">
      <c r="A402" s="6"/>
      <c r="B402" s="7"/>
      <c r="C402" s="6"/>
      <c r="D402" s="6"/>
      <c r="E402" s="6"/>
      <c r="F402" s="1"/>
      <c r="G402" s="9"/>
      <c r="H402" s="9"/>
      <c r="I402" s="16"/>
      <c r="J402" s="1"/>
      <c r="K402" s="1"/>
      <c r="L402" s="1"/>
      <c r="M402" s="1"/>
      <c r="N402" s="14"/>
      <c r="O402" s="16"/>
      <c r="P402" s="1"/>
    </row>
    <row r="403" spans="1:16">
      <c r="A403" s="6"/>
      <c r="B403" s="7"/>
      <c r="C403" s="6"/>
      <c r="D403" s="6"/>
      <c r="E403" s="6"/>
      <c r="F403" s="1"/>
      <c r="G403" s="9"/>
      <c r="H403" s="16"/>
      <c r="I403" s="16"/>
      <c r="J403" s="1"/>
      <c r="K403" s="1"/>
      <c r="L403" s="1"/>
      <c r="M403" s="1"/>
      <c r="N403" s="14"/>
      <c r="O403" s="16"/>
      <c r="P403" s="1"/>
    </row>
    <row r="404" spans="1:16">
      <c r="A404" s="6"/>
      <c r="B404" s="7"/>
      <c r="C404" s="6"/>
      <c r="D404" s="6"/>
      <c r="E404" s="6"/>
      <c r="F404" s="1"/>
      <c r="G404" s="9"/>
      <c r="H404" s="9"/>
      <c r="I404" s="16"/>
      <c r="J404" s="1"/>
      <c r="K404" s="1"/>
      <c r="L404" s="1"/>
      <c r="M404" s="1"/>
      <c r="N404" s="14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9"/>
      <c r="I405" s="16"/>
      <c r="J405" s="1"/>
      <c r="K405" s="1"/>
      <c r="L405" s="1"/>
      <c r="M405" s="1"/>
      <c r="N405" s="14"/>
      <c r="O405" s="16"/>
      <c r="P405" s="1"/>
    </row>
    <row r="406" spans="1:16">
      <c r="A406" s="6"/>
      <c r="B406" s="7"/>
      <c r="C406" s="6"/>
      <c r="D406" s="6"/>
      <c r="E406" s="6"/>
      <c r="F406" s="1"/>
      <c r="G406" s="9"/>
      <c r="H406" s="9"/>
      <c r="I406" s="16"/>
      <c r="J406" s="1"/>
      <c r="K406" s="1"/>
      <c r="L406" s="1"/>
      <c r="M406" s="1"/>
      <c r="N406" s="14"/>
      <c r="O406" s="16"/>
      <c r="P406" s="1"/>
    </row>
    <row r="407" spans="1:16">
      <c r="A407" s="6"/>
      <c r="B407" s="7"/>
      <c r="C407" s="6"/>
      <c r="D407" s="6"/>
      <c r="E407" s="6"/>
      <c r="F407" s="1"/>
      <c r="G407" s="9"/>
      <c r="H407" s="9"/>
      <c r="I407" s="16"/>
      <c r="J407" s="1"/>
      <c r="K407" s="1"/>
      <c r="L407" s="1"/>
      <c r="M407" s="1"/>
      <c r="N407" s="14"/>
      <c r="O407" s="16"/>
      <c r="P407" s="1"/>
    </row>
    <row r="408" spans="1:16">
      <c r="A408" s="6"/>
      <c r="B408" s="7"/>
      <c r="C408" s="6"/>
      <c r="D408" s="6"/>
      <c r="E408" s="6"/>
      <c r="F408" s="1"/>
      <c r="G408" s="9"/>
      <c r="H408" s="9"/>
      <c r="I408" s="16"/>
      <c r="J408" s="1"/>
      <c r="K408" s="1"/>
      <c r="L408" s="1"/>
      <c r="M408" s="1"/>
      <c r="N408" s="14"/>
      <c r="O408" s="16"/>
      <c r="P408" s="1"/>
    </row>
    <row r="409" spans="1:16">
      <c r="A409" s="6"/>
      <c r="B409" s="7"/>
      <c r="C409" s="6"/>
      <c r="D409" s="6"/>
      <c r="E409" s="6"/>
      <c r="F409" s="1"/>
      <c r="G409" s="9"/>
      <c r="H409" s="9"/>
      <c r="I409" s="16"/>
      <c r="J409" s="1"/>
      <c r="K409" s="1"/>
      <c r="L409" s="1"/>
      <c r="M409" s="1"/>
      <c r="N409" s="14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16"/>
      <c r="J410" s="1"/>
      <c r="K410" s="1"/>
      <c r="L410" s="1"/>
      <c r="M410" s="1"/>
      <c r="N410" s="14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16"/>
      <c r="J411" s="1"/>
      <c r="K411" s="1"/>
      <c r="L411" s="1"/>
      <c r="M411" s="1"/>
      <c r="N411" s="14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9"/>
      <c r="I412" s="16"/>
      <c r="J412" s="1"/>
      <c r="K412" s="1"/>
      <c r="L412" s="1"/>
      <c r="M412" s="1"/>
      <c r="N412" s="14"/>
      <c r="O412" s="16"/>
      <c r="P412" s="1"/>
    </row>
    <row r="413" spans="1:16">
      <c r="A413" s="6"/>
      <c r="B413" s="7"/>
      <c r="C413" s="6"/>
      <c r="D413" s="6"/>
      <c r="E413" s="6"/>
      <c r="F413" s="1"/>
      <c r="G413" s="9"/>
      <c r="H413" s="9"/>
      <c r="I413" s="16"/>
      <c r="J413" s="1"/>
      <c r="K413" s="1"/>
      <c r="L413" s="1"/>
      <c r="M413" s="9"/>
      <c r="N413" s="14"/>
      <c r="O413" s="16"/>
      <c r="P413" s="1"/>
    </row>
    <row r="414" spans="1:16">
      <c r="A414" s="6"/>
      <c r="B414" s="7"/>
      <c r="C414" s="6"/>
      <c r="D414" s="6"/>
      <c r="E414" s="6"/>
      <c r="F414" s="1"/>
      <c r="G414" s="9"/>
      <c r="H414" s="9"/>
      <c r="I414" s="16"/>
      <c r="J414" s="1"/>
      <c r="K414" s="1"/>
      <c r="L414" s="1"/>
      <c r="M414" s="1"/>
      <c r="N414" s="14"/>
      <c r="O414" s="16"/>
      <c r="P414" s="1"/>
    </row>
    <row r="415" spans="1:16">
      <c r="A415" s="6"/>
      <c r="B415" s="7"/>
      <c r="C415" s="6"/>
      <c r="D415" s="6"/>
      <c r="E415" s="6"/>
      <c r="F415" s="1"/>
      <c r="G415" s="9"/>
      <c r="H415" s="9"/>
      <c r="I415" s="16"/>
      <c r="J415" s="1"/>
      <c r="K415" s="1"/>
      <c r="L415" s="1"/>
      <c r="M415" s="1"/>
      <c r="N415" s="14"/>
      <c r="O415" s="16"/>
      <c r="P415" s="1"/>
    </row>
    <row r="416" spans="1:16">
      <c r="A416" s="6"/>
      <c r="B416" s="7"/>
      <c r="C416" s="6"/>
      <c r="D416" s="6"/>
      <c r="E416" s="6"/>
      <c r="F416" s="1"/>
      <c r="G416" s="9"/>
      <c r="H416" s="9"/>
      <c r="I416" s="16"/>
      <c r="J416" s="1"/>
      <c r="K416" s="1"/>
      <c r="L416" s="1"/>
      <c r="M416" s="1"/>
      <c r="N416" s="14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9"/>
      <c r="I417" s="16"/>
      <c r="J417" s="1"/>
      <c r="K417" s="1"/>
      <c r="L417" s="1"/>
      <c r="M417" s="1"/>
      <c r="N417" s="14"/>
      <c r="O417" s="16"/>
      <c r="P417" s="1"/>
    </row>
    <row r="418" spans="1:16">
      <c r="A418" s="6"/>
      <c r="B418" s="7"/>
      <c r="C418" s="6"/>
      <c r="D418" s="6"/>
      <c r="E418" s="6"/>
      <c r="F418" s="1"/>
      <c r="G418" s="9"/>
      <c r="H418" s="9"/>
      <c r="I418" s="16"/>
      <c r="J418" s="1"/>
      <c r="K418" s="1"/>
      <c r="L418" s="1"/>
      <c r="M418" s="1"/>
      <c r="N418" s="14"/>
      <c r="O418" s="16"/>
      <c r="P418" s="1"/>
    </row>
    <row r="419" spans="1:16">
      <c r="A419" s="6"/>
      <c r="B419" s="7"/>
      <c r="C419" s="6"/>
      <c r="D419" s="6"/>
      <c r="E419" s="6"/>
      <c r="F419" s="1"/>
      <c r="G419" s="9"/>
      <c r="H419" s="9"/>
      <c r="I419" s="16"/>
      <c r="J419" s="1"/>
      <c r="K419" s="1"/>
      <c r="L419" s="1"/>
      <c r="M419" s="9"/>
      <c r="N419" s="14"/>
      <c r="O419" s="16"/>
      <c r="P419" s="1"/>
    </row>
    <row r="420" spans="1:16">
      <c r="A420" s="6"/>
      <c r="B420" s="7"/>
      <c r="C420" s="6"/>
      <c r="D420" s="6"/>
      <c r="E420" s="6"/>
      <c r="F420" s="1"/>
      <c r="G420" s="9"/>
      <c r="H420" s="9"/>
      <c r="I420" s="16"/>
      <c r="J420" s="1"/>
      <c r="K420" s="1"/>
      <c r="L420" s="1"/>
      <c r="M420" s="1"/>
      <c r="N420" s="14"/>
      <c r="O420" s="16"/>
      <c r="P420" s="1"/>
    </row>
    <row r="421" spans="1:16">
      <c r="A421" s="6"/>
      <c r="B421" s="7"/>
      <c r="C421" s="6"/>
      <c r="D421" s="6"/>
      <c r="E421" s="6"/>
      <c r="F421" s="1"/>
      <c r="G421" s="9"/>
      <c r="H421" s="9"/>
      <c r="I421" s="16"/>
      <c r="J421" s="1"/>
      <c r="K421" s="1"/>
      <c r="L421" s="1"/>
      <c r="M421" s="1"/>
      <c r="N421" s="14"/>
      <c r="O421" s="16"/>
      <c r="P421" s="1"/>
    </row>
    <row r="422" spans="1:16">
      <c r="A422" s="6"/>
      <c r="B422" s="7"/>
      <c r="C422" s="6"/>
      <c r="D422" s="6"/>
      <c r="E422" s="6"/>
      <c r="F422" s="1"/>
      <c r="G422" s="9"/>
      <c r="H422" s="16"/>
      <c r="I422" s="16"/>
      <c r="J422" s="1"/>
      <c r="K422" s="1"/>
      <c r="L422" s="1"/>
      <c r="M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9"/>
      <c r="H423" s="16"/>
      <c r="I423" s="16"/>
      <c r="J423" s="1"/>
      <c r="K423" s="1"/>
      <c r="L423" s="1"/>
      <c r="M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16"/>
      <c r="J424" s="1"/>
      <c r="K424" s="1"/>
      <c r="L424" s="1"/>
      <c r="M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9"/>
      <c r="H425" s="16"/>
      <c r="I425" s="16"/>
      <c r="J425" s="1"/>
      <c r="K425" s="1"/>
      <c r="L425" s="1"/>
      <c r="M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9"/>
      <c r="H426" s="9"/>
      <c r="I426" s="16"/>
      <c r="J426" s="1"/>
      <c r="K426" s="1"/>
      <c r="L426" s="1"/>
      <c r="M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9"/>
      <c r="H427" s="16"/>
      <c r="I427" s="16"/>
      <c r="J427" s="1"/>
      <c r="K427" s="1"/>
      <c r="L427" s="1"/>
      <c r="M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9"/>
      <c r="H428" s="16"/>
      <c r="I428" s="16"/>
      <c r="J428" s="1"/>
      <c r="K428" s="1"/>
      <c r="L428" s="1"/>
      <c r="M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16"/>
      <c r="I429" s="16"/>
      <c r="J429" s="1"/>
      <c r="K429" s="1"/>
      <c r="L429" s="1"/>
      <c r="M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9"/>
      <c r="H430" s="9"/>
      <c r="I430" s="16"/>
      <c r="J430" s="1"/>
      <c r="K430" s="1"/>
      <c r="L430" s="1"/>
      <c r="M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9"/>
      <c r="H431" s="16"/>
      <c r="I431" s="16"/>
      <c r="J431" s="1"/>
      <c r="K431" s="1"/>
      <c r="L431" s="1"/>
      <c r="M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9"/>
      <c r="I432" s="16"/>
      <c r="J432" s="1"/>
      <c r="K432" s="1"/>
      <c r="L432" s="1"/>
      <c r="M432" s="9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9"/>
      <c r="I433" s="16"/>
      <c r="J433" s="1"/>
      <c r="K433" s="1"/>
      <c r="L433" s="1"/>
      <c r="M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9"/>
      <c r="H434" s="9"/>
      <c r="I434" s="16"/>
      <c r="J434" s="1"/>
      <c r="K434" s="1"/>
      <c r="L434" s="1"/>
      <c r="M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9"/>
      <c r="H435" s="9"/>
      <c r="I435" s="16"/>
      <c r="J435" s="1"/>
      <c r="K435" s="1"/>
      <c r="L435" s="1"/>
      <c r="M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9"/>
      <c r="H436" s="9"/>
      <c r="I436" s="16"/>
      <c r="J436" s="1"/>
      <c r="K436" s="1"/>
      <c r="L436" s="1"/>
      <c r="M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9"/>
      <c r="H437" s="9"/>
      <c r="I437" s="16"/>
      <c r="J437" s="1"/>
      <c r="K437" s="1"/>
      <c r="L437" s="1"/>
      <c r="M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9"/>
      <c r="H438" s="9"/>
      <c r="I438" s="16"/>
      <c r="J438" s="1"/>
      <c r="K438" s="1"/>
      <c r="L438" s="1"/>
      <c r="M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9"/>
      <c r="H439" s="16"/>
      <c r="I439" s="16"/>
      <c r="J439" s="1"/>
      <c r="K439" s="1"/>
      <c r="L439" s="1"/>
      <c r="M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9"/>
      <c r="H440" s="16"/>
      <c r="I440" s="16"/>
      <c r="J440" s="1"/>
      <c r="K440" s="1"/>
      <c r="L440" s="1"/>
      <c r="M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9"/>
      <c r="H441" s="16"/>
      <c r="I441" s="16"/>
      <c r="J441" s="1"/>
      <c r="K441" s="1"/>
      <c r="L441" s="1"/>
      <c r="M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9"/>
      <c r="H442" s="9"/>
      <c r="I442" s="16"/>
      <c r="J442" s="1"/>
      <c r="K442" s="1"/>
      <c r="L442" s="1"/>
      <c r="M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9"/>
      <c r="H443" s="9"/>
      <c r="I443" s="16"/>
      <c r="J443" s="1"/>
      <c r="K443" s="1"/>
      <c r="L443" s="1"/>
      <c r="M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16"/>
      <c r="I444" s="16"/>
      <c r="J444" s="1"/>
      <c r="K444" s="1"/>
      <c r="L444" s="1"/>
      <c r="M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9"/>
      <c r="H445" s="9"/>
      <c r="I445" s="16"/>
      <c r="J445" s="1"/>
      <c r="K445" s="1"/>
      <c r="L445" s="1"/>
      <c r="M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16"/>
      <c r="J446" s="1"/>
      <c r="K446" s="1"/>
      <c r="L446" s="1"/>
      <c r="M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9"/>
      <c r="H447" s="9"/>
      <c r="I447" s="16"/>
      <c r="J447" s="1"/>
      <c r="K447" s="1"/>
      <c r="L447" s="1"/>
      <c r="M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9"/>
      <c r="H448" s="16"/>
      <c r="I448" s="16"/>
      <c r="J448" s="1"/>
      <c r="K448" s="1"/>
      <c r="L448" s="1"/>
      <c r="M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9"/>
      <c r="H449" s="9"/>
      <c r="I449" s="16"/>
      <c r="J449" s="1"/>
      <c r="K449" s="1"/>
      <c r="L449" s="1"/>
      <c r="M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9"/>
      <c r="H450" s="9"/>
      <c r="I450" s="16"/>
      <c r="J450" s="1"/>
      <c r="K450" s="1"/>
      <c r="L450" s="1"/>
      <c r="M450" s="9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16"/>
      <c r="J451" s="1"/>
      <c r="K451" s="1"/>
      <c r="L451" s="1"/>
      <c r="M451" s="9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9"/>
      <c r="H452" s="9"/>
      <c r="I452" s="16"/>
      <c r="J452" s="1"/>
      <c r="K452" s="1"/>
      <c r="L452" s="1"/>
      <c r="M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16"/>
      <c r="J453" s="1"/>
      <c r="K453" s="1"/>
      <c r="L453" s="1"/>
      <c r="M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9"/>
      <c r="H454" s="9"/>
      <c r="I454" s="16"/>
      <c r="J454" s="1"/>
      <c r="K454" s="1"/>
      <c r="L454" s="1"/>
      <c r="M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16"/>
      <c r="J455" s="1"/>
      <c r="K455" s="1"/>
      <c r="L455" s="1"/>
      <c r="M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9"/>
      <c r="I456" s="16"/>
      <c r="J456" s="1"/>
      <c r="K456" s="1"/>
      <c r="L456" s="1"/>
      <c r="M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16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9"/>
      <c r="H458" s="9"/>
      <c r="I458" s="16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16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16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16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9"/>
      <c r="H462" s="9"/>
      <c r="I462" s="16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16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16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16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9"/>
      <c r="H466" s="9"/>
      <c r="I466" s="16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16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9"/>
      <c r="H468" s="9"/>
      <c r="I468" s="16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9"/>
      <c r="I469" s="16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16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9"/>
      <c r="H471" s="9"/>
      <c r="I471" s="16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9"/>
      <c r="H472" s="9"/>
      <c r="I472" s="16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9"/>
      <c r="H473" s="9"/>
      <c r="I473" s="16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9"/>
      <c r="H474" s="9"/>
      <c r="I474" s="16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9"/>
      <c r="H475" s="9"/>
      <c r="I475" s="16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16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9"/>
      <c r="H477" s="9"/>
      <c r="I477" s="16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9"/>
      <c r="H478" s="9"/>
      <c r="I478" s="16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16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9"/>
      <c r="H480" s="9"/>
      <c r="I480" s="16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9"/>
      <c r="H481" s="9"/>
      <c r="I481" s="16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16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9"/>
      <c r="H483" s="9"/>
      <c r="I483" s="16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16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16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9"/>
      <c r="H486" s="9"/>
      <c r="I486" s="16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9"/>
      <c r="H487" s="9"/>
      <c r="I487" s="16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16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16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9"/>
      <c r="I490" s="16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16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9"/>
      <c r="I492" s="16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9"/>
      <c r="H493" s="9"/>
      <c r="I493" s="16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9"/>
      <c r="I494" s="16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9"/>
      <c r="I495" s="16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9"/>
      <c r="I496" s="16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9"/>
      <c r="H497" s="9"/>
      <c r="I497" s="16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9"/>
      <c r="I498" s="16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9"/>
      <c r="I499" s="16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9"/>
      <c r="H500" s="9"/>
      <c r="I500" s="16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16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9"/>
      <c r="H502" s="9"/>
      <c r="I502" s="16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16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16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16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16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16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9"/>
      <c r="H508" s="9"/>
      <c r="I508" s="16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16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16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16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16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9"/>
      <c r="I513" s="16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9"/>
      <c r="I514" s="16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16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9"/>
      <c r="I516" s="16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16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16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9"/>
      <c r="H519" s="9"/>
      <c r="I519" s="16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16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9"/>
      <c r="I521" s="16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9"/>
      <c r="I522" s="16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16"/>
      <c r="J523" s="1"/>
      <c r="K523" s="1"/>
      <c r="L523" s="1"/>
      <c r="M523" s="1"/>
      <c r="N523" s="16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16"/>
      <c r="J524" s="1"/>
      <c r="K524" s="1"/>
      <c r="L524" s="1"/>
      <c r="M524" s="1"/>
      <c r="N524" s="16"/>
      <c r="O524" s="16"/>
      <c r="P524" s="1"/>
    </row>
    <row r="525" spans="1:16">
      <c r="A525" s="6"/>
      <c r="B525" s="7"/>
      <c r="C525" s="6"/>
      <c r="D525" s="6"/>
      <c r="E525" s="6"/>
      <c r="F525" s="1"/>
      <c r="G525" s="9"/>
      <c r="H525" s="9"/>
      <c r="I525" s="16"/>
      <c r="J525" s="1"/>
      <c r="K525" s="1"/>
      <c r="L525" s="1"/>
      <c r="M525" s="1"/>
      <c r="N525" s="16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16"/>
      <c r="J526" s="1"/>
      <c r="K526" s="1"/>
      <c r="L526" s="1"/>
      <c r="M526" s="1"/>
      <c r="N526" s="16"/>
      <c r="O526" s="16"/>
      <c r="P526" s="1"/>
    </row>
    <row r="527" spans="1:16">
      <c r="A527" s="6"/>
      <c r="B527" s="7"/>
      <c r="C527" s="6"/>
      <c r="D527" s="6"/>
      <c r="E527" s="6"/>
      <c r="F527" s="1"/>
      <c r="G527" s="9"/>
      <c r="H527" s="9"/>
      <c r="I527" s="16"/>
      <c r="J527" s="1"/>
      <c r="K527" s="1"/>
      <c r="L527" s="1"/>
      <c r="M527" s="1"/>
      <c r="N527" s="16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16"/>
      <c r="J528" s="1"/>
      <c r="K528" s="1"/>
      <c r="L528" s="1"/>
      <c r="M528" s="1"/>
      <c r="N528" s="16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16"/>
      <c r="J529" s="1"/>
      <c r="K529" s="1"/>
      <c r="L529" s="1"/>
      <c r="M529" s="1"/>
      <c r="N529" s="16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16"/>
      <c r="J530" s="1"/>
      <c r="K530" s="1"/>
      <c r="L530" s="1"/>
      <c r="M530" s="1"/>
      <c r="N530" s="16"/>
      <c r="O530" s="16"/>
      <c r="P530" s="1"/>
    </row>
    <row r="531" spans="1:16">
      <c r="A531" s="6"/>
      <c r="B531" s="43"/>
      <c r="C531" s="44"/>
      <c r="D531" s="45"/>
      <c r="E531" s="45"/>
      <c r="F531" s="1"/>
      <c r="G531" s="9"/>
      <c r="H531" s="9"/>
      <c r="I531" s="16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46"/>
      <c r="D532" s="38"/>
      <c r="E532" s="38"/>
      <c r="F532" s="1"/>
      <c r="G532" s="47"/>
      <c r="H532" s="16"/>
      <c r="I532" s="16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44"/>
      <c r="D533" s="6"/>
      <c r="E533" s="6"/>
      <c r="F533" s="1"/>
      <c r="G533" s="9"/>
      <c r="H533" s="9"/>
      <c r="I533" s="16"/>
      <c r="J533" s="1"/>
      <c r="K533" s="1"/>
      <c r="L533" s="1"/>
      <c r="M533" s="1"/>
      <c r="N533" s="48"/>
      <c r="O533" s="16"/>
      <c r="P533" s="1"/>
    </row>
    <row r="534" spans="1:16">
      <c r="A534" s="49"/>
      <c r="B534" s="7"/>
      <c r="C534" s="6"/>
      <c r="D534" s="6"/>
      <c r="E534" s="6"/>
      <c r="F534" s="1"/>
      <c r="G534" s="9"/>
      <c r="H534" s="9"/>
      <c r="I534" s="16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9"/>
      <c r="I535" s="16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9"/>
      <c r="I536" s="16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16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9"/>
      <c r="H538" s="9"/>
      <c r="I538" s="16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9"/>
      <c r="H539" s="9"/>
      <c r="I539" s="16"/>
      <c r="J539" s="1"/>
      <c r="K539" s="1"/>
      <c r="L539" s="1"/>
      <c r="M539" s="1"/>
      <c r="N539" s="14"/>
      <c r="O539" s="16"/>
      <c r="P539" s="1"/>
    </row>
    <row r="540" spans="1:16">
      <c r="A540" s="6"/>
      <c r="B540" s="43"/>
      <c r="C540" s="6"/>
      <c r="D540" s="6"/>
      <c r="E540" s="6"/>
      <c r="F540" s="1"/>
      <c r="G540" s="9"/>
      <c r="H540" s="9"/>
      <c r="I540" s="16"/>
      <c r="J540" s="1"/>
      <c r="K540" s="1"/>
      <c r="L540" s="1"/>
      <c r="M540" s="1"/>
      <c r="N540" s="50"/>
      <c r="O540" s="16"/>
      <c r="P540" s="1"/>
    </row>
    <row r="541" spans="1:16">
      <c r="A541" s="6"/>
      <c r="B541" s="7"/>
      <c r="C541" s="6"/>
      <c r="D541" s="6"/>
      <c r="E541" s="6"/>
      <c r="F541" s="1"/>
      <c r="G541" s="9"/>
      <c r="H541" s="9"/>
      <c r="I541" s="16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16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9"/>
      <c r="H543" s="9"/>
      <c r="I543" s="16"/>
      <c r="J543" s="1"/>
      <c r="K543" s="1"/>
      <c r="L543" s="1"/>
      <c r="M543" s="1"/>
      <c r="N543" s="51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9"/>
      <c r="I544" s="16"/>
      <c r="J544" s="1"/>
      <c r="K544" s="1"/>
      <c r="L544" s="1"/>
      <c r="M544" s="1"/>
      <c r="N544" s="52"/>
      <c r="O544" s="16"/>
      <c r="P544" s="1"/>
    </row>
    <row r="545" spans="1:16">
      <c r="A545" s="6"/>
      <c r="B545" s="7"/>
      <c r="C545" s="6"/>
      <c r="D545" s="6"/>
      <c r="E545" s="6"/>
      <c r="F545" s="1"/>
      <c r="G545" s="9"/>
      <c r="H545" s="9"/>
      <c r="I545" s="16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9"/>
      <c r="H546" s="9"/>
      <c r="I546" s="16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9"/>
      <c r="H547" s="9"/>
      <c r="I547" s="16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9"/>
      <c r="H548" s="9"/>
      <c r="I548" s="16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9"/>
      <c r="H549" s="9"/>
      <c r="I549" s="16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9"/>
      <c r="H550" s="9"/>
      <c r="I550" s="16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9"/>
      <c r="H551" s="9"/>
      <c r="I551" s="16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9"/>
      <c r="H552" s="9"/>
      <c r="I552" s="16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16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9"/>
      <c r="H554" s="9"/>
      <c r="I554" s="16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9"/>
      <c r="H555" s="9"/>
      <c r="I555" s="16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16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9"/>
      <c r="H557" s="9"/>
      <c r="I557" s="16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16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16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16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16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16"/>
      <c r="J562" s="1"/>
      <c r="K562" s="1"/>
      <c r="L562" s="1"/>
      <c r="M562" s="1"/>
      <c r="N562" s="14"/>
      <c r="O562" s="16"/>
      <c r="P562" s="1"/>
    </row>
    <row r="563" spans="1:16">
      <c r="A563" s="6"/>
      <c r="B563" s="54"/>
      <c r="C563" s="6"/>
      <c r="D563" s="6"/>
      <c r="E563" s="6"/>
      <c r="F563" s="1"/>
      <c r="G563" s="9"/>
      <c r="H563" s="9"/>
      <c r="I563" s="16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16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16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16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16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16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16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9"/>
      <c r="H570" s="9"/>
      <c r="I570" s="16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16"/>
      <c r="I571" s="16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9"/>
      <c r="H572" s="9"/>
      <c r="I572" s="16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9"/>
      <c r="H573" s="9"/>
      <c r="I573" s="16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16"/>
      <c r="J574" s="1"/>
      <c r="K574" s="1"/>
      <c r="L574" s="1"/>
      <c r="M574" s="1"/>
      <c r="N574" s="14"/>
      <c r="O574" s="16"/>
      <c r="P574" s="1"/>
    </row>
    <row r="575" spans="1:16">
      <c r="A575" s="6"/>
      <c r="B575" s="43"/>
      <c r="C575" s="6"/>
      <c r="D575" s="6"/>
      <c r="E575" s="6"/>
      <c r="F575" s="1"/>
      <c r="G575" s="9"/>
      <c r="H575" s="9"/>
      <c r="I575" s="16"/>
      <c r="J575" s="1"/>
      <c r="K575" s="1"/>
      <c r="L575" s="1"/>
      <c r="M575" s="1"/>
      <c r="N575" s="14"/>
      <c r="O575" s="16"/>
      <c r="P575" s="1"/>
    </row>
    <row r="576" spans="1:16">
      <c r="A576" s="6"/>
      <c r="B576" s="55"/>
      <c r="C576" s="6"/>
      <c r="D576" s="6"/>
      <c r="E576" s="6"/>
      <c r="F576" s="1"/>
      <c r="G576" s="9"/>
      <c r="H576" s="9"/>
      <c r="I576" s="16"/>
      <c r="J576" s="1"/>
      <c r="K576" s="1"/>
      <c r="L576" s="1"/>
      <c r="M576" s="1"/>
      <c r="N576" s="14"/>
      <c r="O576" s="16"/>
      <c r="P576" s="1"/>
    </row>
    <row r="577" spans="1:16">
      <c r="A577" s="6"/>
      <c r="B577" s="55"/>
      <c r="C577" s="6"/>
      <c r="D577" s="6"/>
      <c r="E577" s="6"/>
      <c r="F577" s="1"/>
      <c r="G577" s="9"/>
      <c r="H577" s="9"/>
      <c r="I577" s="16"/>
      <c r="J577" s="1"/>
      <c r="K577" s="1"/>
      <c r="L577" s="1"/>
      <c r="M577" s="1"/>
      <c r="N577" s="14"/>
      <c r="O577" s="16"/>
      <c r="P577" s="1"/>
    </row>
    <row r="578" spans="1:16">
      <c r="A578" s="6"/>
      <c r="B578" s="55"/>
      <c r="C578" s="6"/>
      <c r="D578" s="6"/>
      <c r="E578" s="6"/>
      <c r="F578" s="1"/>
      <c r="G578" s="9"/>
      <c r="H578" s="9"/>
      <c r="I578" s="16"/>
      <c r="J578" s="1"/>
      <c r="K578" s="1"/>
      <c r="L578" s="1"/>
      <c r="M578" s="1"/>
      <c r="N578" s="14"/>
      <c r="O578" s="16"/>
      <c r="P578" s="1"/>
    </row>
    <row r="579" spans="1:16" s="103" customFormat="1">
      <c r="A579" s="3"/>
      <c r="B579" s="98"/>
      <c r="C579" s="122"/>
      <c r="D579" s="6"/>
      <c r="E579" s="120"/>
      <c r="F579" s="99"/>
      <c r="G579" s="100"/>
      <c r="H579" s="100"/>
      <c r="I579" s="101"/>
      <c r="J579" s="1"/>
      <c r="K579" s="1"/>
      <c r="L579" s="1"/>
      <c r="M579" s="100"/>
      <c r="N579" s="102"/>
      <c r="O579" s="101"/>
      <c r="P579" s="99"/>
    </row>
    <row r="580" spans="1:16" s="103" customFormat="1">
      <c r="A580" s="3"/>
      <c r="B580" s="2"/>
      <c r="C580" s="3"/>
      <c r="D580" s="6"/>
      <c r="E580" s="3"/>
      <c r="F580" s="99"/>
      <c r="G580" s="100"/>
      <c r="H580" s="101"/>
      <c r="I580" s="101"/>
      <c r="J580" s="99"/>
      <c r="K580" s="99"/>
      <c r="L580" s="1"/>
      <c r="M580" s="99"/>
      <c r="N580" s="102"/>
      <c r="O580" s="101"/>
      <c r="P580" s="99"/>
    </row>
    <row r="581" spans="1:16" s="103" customFormat="1">
      <c r="A581" s="3"/>
      <c r="B581" s="2"/>
      <c r="C581" s="3"/>
      <c r="D581" s="3"/>
      <c r="E581" s="3"/>
      <c r="F581" s="99"/>
      <c r="G581" s="100"/>
      <c r="H581" s="101"/>
      <c r="I581" s="101"/>
      <c r="J581" s="99"/>
      <c r="K581" s="99"/>
      <c r="L581" s="99"/>
      <c r="M581" s="99"/>
      <c r="N581" s="102"/>
      <c r="O581" s="101"/>
      <c r="P581" s="99"/>
    </row>
    <row r="582" spans="1:16" s="103" customFormat="1">
      <c r="A582" s="3"/>
      <c r="B582" s="2"/>
      <c r="C582" s="3"/>
      <c r="D582" s="3"/>
      <c r="E582" s="3"/>
      <c r="F582" s="99"/>
      <c r="G582" s="100"/>
      <c r="H582" s="101"/>
      <c r="I582" s="101"/>
      <c r="J582" s="99"/>
      <c r="K582" s="99"/>
      <c r="L582" s="99"/>
      <c r="M582" s="99"/>
      <c r="N582" s="102"/>
      <c r="O582" s="101"/>
      <c r="P582" s="99"/>
    </row>
    <row r="583" spans="1:16" s="103" customFormat="1">
      <c r="A583" s="3"/>
      <c r="B583" s="2"/>
      <c r="C583" s="3"/>
      <c r="D583" s="3"/>
      <c r="E583" s="3"/>
      <c r="F583" s="99"/>
      <c r="G583" s="100"/>
      <c r="H583" s="101"/>
      <c r="I583" s="101"/>
      <c r="J583" s="99"/>
      <c r="K583" s="99"/>
      <c r="L583" s="99"/>
      <c r="M583" s="99"/>
      <c r="N583" s="102"/>
      <c r="O583" s="101"/>
      <c r="P583" s="99"/>
    </row>
    <row r="584" spans="1:16" s="103" customFormat="1">
      <c r="A584" s="3"/>
      <c r="B584" s="2"/>
      <c r="C584" s="3"/>
      <c r="D584" s="3"/>
      <c r="E584" s="3"/>
      <c r="F584" s="99"/>
      <c r="G584" s="100"/>
      <c r="H584" s="101"/>
      <c r="I584" s="101"/>
      <c r="J584" s="99"/>
      <c r="K584" s="99"/>
      <c r="L584" s="99"/>
      <c r="M584" s="99"/>
      <c r="N584" s="102"/>
      <c r="O584" s="101"/>
      <c r="P584" s="99"/>
    </row>
    <row r="585" spans="1:16" s="103" customFormat="1">
      <c r="A585" s="3"/>
      <c r="B585" s="2"/>
      <c r="C585" s="3"/>
      <c r="D585" s="3"/>
      <c r="E585" s="3"/>
      <c r="F585" s="99"/>
      <c r="G585" s="100"/>
      <c r="H585" s="101"/>
      <c r="I585" s="101"/>
      <c r="J585" s="99"/>
      <c r="K585" s="99"/>
      <c r="L585" s="99"/>
      <c r="M585" s="99"/>
      <c r="N585" s="102"/>
      <c r="O585" s="101"/>
      <c r="P585" s="99"/>
    </row>
    <row r="586" spans="1:16" s="103" customFormat="1">
      <c r="A586" s="3"/>
      <c r="B586" s="2"/>
      <c r="C586" s="3"/>
      <c r="D586" s="3"/>
      <c r="E586" s="3"/>
      <c r="F586" s="99"/>
      <c r="G586" s="100"/>
      <c r="H586" s="101"/>
      <c r="I586" s="101"/>
      <c r="J586" s="99"/>
      <c r="K586" s="99"/>
      <c r="L586" s="99"/>
      <c r="M586" s="99"/>
      <c r="N586" s="102"/>
      <c r="O586" s="101"/>
      <c r="P586" s="99"/>
    </row>
    <row r="587" spans="1:16" s="103" customFormat="1">
      <c r="A587" s="3"/>
      <c r="B587" s="2"/>
      <c r="C587" s="3"/>
      <c r="D587" s="3"/>
      <c r="E587" s="3"/>
      <c r="F587" s="99"/>
      <c r="G587" s="100"/>
      <c r="H587" s="101"/>
      <c r="I587" s="101"/>
      <c r="J587" s="99"/>
      <c r="K587" s="99"/>
      <c r="L587" s="99"/>
      <c r="M587" s="99"/>
      <c r="N587" s="102"/>
      <c r="O587" s="101"/>
      <c r="P587" s="99"/>
    </row>
    <row r="588" spans="1:16">
      <c r="A588" s="1"/>
      <c r="B588" s="7"/>
      <c r="C588" s="6"/>
      <c r="D588" s="6"/>
      <c r="E588" s="6"/>
      <c r="F588" s="1"/>
      <c r="G588" s="9"/>
      <c r="H588" s="9"/>
      <c r="I588" s="16"/>
      <c r="J588" s="1"/>
      <c r="K588" s="1"/>
      <c r="L588" s="1"/>
      <c r="M588" s="9"/>
      <c r="N588" s="14"/>
      <c r="O588" s="16"/>
      <c r="P588" s="1"/>
    </row>
    <row r="589" spans="1:16">
      <c r="A589" s="1"/>
      <c r="B589" s="7"/>
      <c r="C589" s="6"/>
      <c r="D589" s="6"/>
      <c r="E589" s="6"/>
      <c r="F589" s="1"/>
      <c r="G589" s="9"/>
      <c r="H589" s="9"/>
      <c r="I589" s="16"/>
      <c r="J589" s="1"/>
      <c r="K589" s="1"/>
      <c r="L589" s="1"/>
      <c r="M589" s="1"/>
      <c r="N589" s="14"/>
      <c r="O589" s="16"/>
      <c r="P589" s="1"/>
    </row>
    <row r="590" spans="1:16">
      <c r="A590" s="1"/>
      <c r="B590" s="7"/>
      <c r="C590" s="6"/>
      <c r="D590" s="6"/>
      <c r="E590" s="6"/>
      <c r="F590" s="1"/>
      <c r="G590" s="9"/>
      <c r="H590" s="9"/>
      <c r="I590" s="16"/>
      <c r="J590" s="1"/>
      <c r="K590" s="1"/>
      <c r="L590" s="1"/>
      <c r="M590" s="9"/>
      <c r="N590" s="14"/>
      <c r="O590" s="16"/>
      <c r="P590" s="1"/>
    </row>
    <row r="591" spans="1:16">
      <c r="A591" s="1"/>
      <c r="B591" s="7"/>
      <c r="C591" s="6"/>
      <c r="D591" s="6"/>
      <c r="E591" s="6"/>
      <c r="F591" s="1"/>
      <c r="G591" s="9"/>
      <c r="H591" s="9"/>
      <c r="I591" s="16"/>
      <c r="J591" s="1"/>
      <c r="K591" s="1"/>
      <c r="L591" s="1"/>
      <c r="M591" s="9"/>
      <c r="N591" s="14"/>
      <c r="O591" s="16"/>
      <c r="P591" s="1"/>
    </row>
    <row r="592" spans="1:16">
      <c r="A592" s="1"/>
      <c r="B592" s="7"/>
      <c r="C592" s="6"/>
      <c r="D592" s="6"/>
      <c r="E592" s="6"/>
      <c r="F592" s="1"/>
      <c r="G592" s="9"/>
      <c r="H592" s="9"/>
      <c r="I592" s="16"/>
      <c r="J592" s="1"/>
      <c r="K592" s="1"/>
      <c r="L592" s="1"/>
      <c r="M592" s="9"/>
      <c r="N592" s="14"/>
      <c r="O592" s="16"/>
      <c r="P592" s="1"/>
    </row>
    <row r="593" spans="1:16">
      <c r="A593" s="1"/>
      <c r="B593" s="7"/>
      <c r="C593" s="6"/>
      <c r="D593" s="6"/>
      <c r="E593" s="6"/>
      <c r="F593" s="1"/>
      <c r="G593" s="9"/>
      <c r="H593" s="9"/>
      <c r="I593" s="16"/>
      <c r="J593" s="1"/>
      <c r="K593" s="1"/>
      <c r="L593" s="1"/>
      <c r="M593" s="1"/>
      <c r="N593" s="14"/>
      <c r="O593" s="16"/>
      <c r="P593" s="1"/>
    </row>
    <row r="594" spans="1:16">
      <c r="A594" s="1"/>
      <c r="B594" s="7"/>
      <c r="C594" s="6"/>
      <c r="D594" s="6"/>
      <c r="E594" s="6"/>
      <c r="F594" s="1"/>
      <c r="G594" s="9"/>
      <c r="H594" s="9"/>
      <c r="I594" s="16"/>
      <c r="J594" s="1"/>
      <c r="K594" s="1"/>
      <c r="L594" s="1"/>
      <c r="M594" s="9"/>
      <c r="N594" s="14"/>
      <c r="O594" s="16"/>
      <c r="P594" s="1"/>
    </row>
    <row r="595" spans="1:16">
      <c r="A595" s="1"/>
      <c r="B595" s="7"/>
      <c r="C595" s="6"/>
      <c r="D595" s="6"/>
      <c r="E595" s="6"/>
      <c r="F595" s="1"/>
      <c r="G595" s="9"/>
      <c r="H595" s="9"/>
      <c r="I595" s="16"/>
      <c r="J595" s="1"/>
      <c r="K595" s="1"/>
      <c r="L595" s="1"/>
      <c r="M595" s="9"/>
      <c r="N595" s="14"/>
      <c r="O595" s="16"/>
      <c r="P595" s="1"/>
    </row>
    <row r="596" spans="1:16">
      <c r="A596" s="1"/>
      <c r="B596" s="7"/>
      <c r="C596" s="6"/>
      <c r="D596" s="6"/>
      <c r="E596" s="6"/>
      <c r="F596" s="1"/>
      <c r="G596" s="9"/>
      <c r="H596" s="9"/>
      <c r="I596" s="16"/>
      <c r="J596" s="1"/>
      <c r="K596" s="1"/>
      <c r="L596" s="1"/>
      <c r="M596" s="9"/>
      <c r="N596" s="14"/>
      <c r="O596" s="16"/>
      <c r="P596" s="1"/>
    </row>
    <row r="597" spans="1:16">
      <c r="A597" s="1"/>
      <c r="B597" s="7"/>
      <c r="C597" s="6"/>
      <c r="D597" s="6"/>
      <c r="E597" s="6"/>
      <c r="F597" s="1"/>
      <c r="G597" s="9"/>
      <c r="H597" s="9"/>
      <c r="I597" s="16"/>
      <c r="J597" s="1"/>
      <c r="K597" s="1"/>
      <c r="L597" s="1"/>
      <c r="M597" s="1"/>
      <c r="N597" s="14"/>
      <c r="O597" s="16"/>
      <c r="P597" s="1"/>
    </row>
    <row r="598" spans="1:16">
      <c r="A598" s="1"/>
      <c r="B598" s="7"/>
      <c r="C598" s="6"/>
      <c r="D598" s="6"/>
      <c r="E598" s="6"/>
      <c r="F598" s="1"/>
      <c r="G598" s="9"/>
      <c r="H598" s="9"/>
      <c r="I598" s="16"/>
      <c r="J598" s="1"/>
      <c r="K598" s="1"/>
      <c r="L598" s="1"/>
      <c r="M598" s="1"/>
      <c r="N598" s="14"/>
      <c r="O598" s="16"/>
      <c r="P598" s="1"/>
    </row>
    <row r="599" spans="1:16">
      <c r="A599" s="6"/>
      <c r="B599" s="7"/>
      <c r="C599" s="6"/>
      <c r="D599" s="40"/>
      <c r="E599" s="40"/>
      <c r="F599" s="1"/>
      <c r="G599" s="9"/>
      <c r="H599" s="9"/>
      <c r="I599" s="16"/>
      <c r="J599" s="1"/>
      <c r="K599" s="1"/>
      <c r="L599" s="1"/>
      <c r="M599" s="1"/>
      <c r="N599" s="41"/>
      <c r="O599" s="16"/>
      <c r="P599" s="1"/>
    </row>
    <row r="600" spans="1:16">
      <c r="A600" s="6"/>
      <c r="B600" s="7"/>
      <c r="C600" s="6"/>
      <c r="D600" s="6"/>
      <c r="E600" s="6"/>
      <c r="F600" s="1"/>
      <c r="G600" s="9"/>
      <c r="H600" s="9"/>
      <c r="I600" s="16"/>
      <c r="J600" s="1"/>
      <c r="K600" s="1"/>
      <c r="L600" s="1"/>
      <c r="M600" s="1"/>
      <c r="N600" s="14"/>
      <c r="O600" s="16"/>
      <c r="P600" s="1"/>
    </row>
    <row r="601" spans="1:16">
      <c r="A601" s="6"/>
      <c r="B601" s="7"/>
      <c r="C601" s="6"/>
      <c r="D601" s="6"/>
      <c r="E601" s="6"/>
      <c r="F601" s="1"/>
      <c r="G601" s="9"/>
      <c r="H601" s="9"/>
      <c r="I601" s="16"/>
      <c r="J601" s="1"/>
      <c r="K601" s="1"/>
      <c r="L601" s="1"/>
      <c r="M601" s="1"/>
      <c r="N601" s="14"/>
      <c r="O601" s="16"/>
      <c r="P601" s="1"/>
    </row>
    <row r="602" spans="1:16">
      <c r="A602" s="6"/>
      <c r="B602" s="7"/>
      <c r="C602" s="6"/>
      <c r="D602" s="38"/>
      <c r="E602" s="38"/>
      <c r="F602" s="1"/>
      <c r="G602" s="9"/>
      <c r="H602" s="9"/>
      <c r="I602" s="16"/>
      <c r="J602" s="1"/>
      <c r="K602" s="1"/>
      <c r="L602" s="1"/>
      <c r="M602" s="1"/>
      <c r="N602" s="14"/>
      <c r="O602" s="16"/>
      <c r="P602" s="1"/>
    </row>
    <row r="603" spans="1:16">
      <c r="A603" s="6"/>
      <c r="B603" s="7"/>
      <c r="C603" s="6"/>
      <c r="D603" s="38"/>
      <c r="E603" s="6"/>
      <c r="F603" s="1"/>
      <c r="G603" s="9"/>
      <c r="H603" s="9"/>
      <c r="I603" s="16"/>
      <c r="J603" s="1"/>
      <c r="K603" s="1"/>
      <c r="L603" s="1"/>
      <c r="M603" s="1"/>
      <c r="N603" s="14"/>
      <c r="O603" s="16"/>
      <c r="P603" s="1"/>
    </row>
    <row r="604" spans="1:16">
      <c r="A604" s="6"/>
      <c r="B604" s="7"/>
      <c r="C604" s="6"/>
      <c r="D604" s="38"/>
      <c r="E604" s="6"/>
      <c r="F604" s="1"/>
      <c r="G604" s="9"/>
      <c r="H604" s="9"/>
      <c r="I604" s="16"/>
      <c r="J604" s="1"/>
      <c r="K604" s="1"/>
      <c r="L604" s="1"/>
      <c r="M604" s="1"/>
      <c r="N604" s="14"/>
      <c r="O604" s="16"/>
      <c r="P604" s="1"/>
    </row>
    <row r="605" spans="1:16">
      <c r="A605" s="6"/>
      <c r="B605" s="7"/>
      <c r="C605" s="6"/>
      <c r="D605" s="38"/>
      <c r="E605" s="38"/>
      <c r="F605" s="1"/>
      <c r="G605" s="9"/>
      <c r="H605" s="9"/>
      <c r="I605" s="16"/>
      <c r="J605" s="1"/>
      <c r="K605" s="1"/>
      <c r="L605" s="1"/>
      <c r="M605" s="1"/>
      <c r="N605" s="14"/>
      <c r="O605" s="16"/>
      <c r="P605" s="1"/>
    </row>
    <row r="606" spans="1:16">
      <c r="A606" s="6"/>
      <c r="B606" s="7"/>
      <c r="C606" s="6"/>
      <c r="D606" s="6"/>
      <c r="E606" s="6"/>
      <c r="F606" s="1"/>
      <c r="G606" s="9"/>
      <c r="H606" s="9"/>
      <c r="I606" s="16"/>
      <c r="J606" s="1"/>
      <c r="K606" s="1"/>
      <c r="L606" s="1"/>
      <c r="M606" s="1"/>
      <c r="N606" s="14"/>
      <c r="O606" s="16"/>
      <c r="P606" s="1"/>
    </row>
    <row r="607" spans="1:16">
      <c r="A607" s="6"/>
      <c r="B607" s="7"/>
      <c r="C607" s="6"/>
      <c r="D607" s="6"/>
      <c r="E607" s="6"/>
      <c r="F607" s="1"/>
      <c r="G607" s="7"/>
      <c r="H607" s="7"/>
      <c r="I607" s="16"/>
      <c r="J607" s="1"/>
      <c r="K607" s="1"/>
      <c r="L607" s="1"/>
      <c r="M607" s="1"/>
      <c r="N607" s="14"/>
      <c r="O607" s="16"/>
      <c r="P607" s="1"/>
    </row>
    <row r="608" spans="1:16">
      <c r="A608" s="6"/>
      <c r="B608" s="7"/>
      <c r="C608" s="6"/>
      <c r="D608" s="6"/>
      <c r="E608" s="6"/>
      <c r="F608" s="1"/>
      <c r="G608" s="7"/>
      <c r="H608" s="7"/>
      <c r="I608" s="16"/>
      <c r="J608" s="1"/>
      <c r="K608" s="1"/>
      <c r="L608" s="1"/>
      <c r="M608" s="1"/>
      <c r="N608" s="14"/>
      <c r="O608" s="16"/>
      <c r="P608" s="1"/>
    </row>
    <row r="609" spans="1:16">
      <c r="A609" s="6"/>
      <c r="B609" s="7"/>
      <c r="C609" s="6"/>
      <c r="D609" s="6"/>
      <c r="E609" s="6"/>
      <c r="F609" s="1"/>
      <c r="G609" s="9"/>
      <c r="H609" s="9"/>
      <c r="I609" s="16"/>
      <c r="J609" s="1"/>
      <c r="K609" s="1"/>
      <c r="L609" s="1"/>
      <c r="M609" s="1"/>
      <c r="N609" s="14"/>
      <c r="O609" s="16"/>
      <c r="P609" s="1"/>
    </row>
    <row r="610" spans="1:16">
      <c r="A610" s="6"/>
      <c r="B610" s="7"/>
      <c r="C610" s="6"/>
      <c r="D610" s="6"/>
      <c r="E610" s="6"/>
      <c r="F610" s="1"/>
      <c r="G610" s="9"/>
      <c r="H610" s="9"/>
      <c r="I610" s="16"/>
      <c r="J610" s="1"/>
      <c r="K610" s="1"/>
      <c r="L610" s="1"/>
      <c r="M610" s="1"/>
      <c r="N610" s="14"/>
      <c r="O610" s="16"/>
      <c r="P610" s="1"/>
    </row>
    <row r="611" spans="1:16">
      <c r="A611" s="6"/>
      <c r="B611" s="7"/>
      <c r="C611" s="6"/>
      <c r="D611" s="6"/>
      <c r="E611" s="40"/>
      <c r="F611" s="1"/>
      <c r="G611" s="9"/>
      <c r="H611" s="9"/>
      <c r="I611" s="16"/>
      <c r="J611" s="1"/>
      <c r="K611" s="1"/>
      <c r="L611" s="1"/>
      <c r="M611" s="1"/>
      <c r="N611" s="41"/>
      <c r="O611" s="16"/>
      <c r="P611" s="1"/>
    </row>
    <row r="612" spans="1:16">
      <c r="A612" s="1"/>
      <c r="B612" s="73"/>
      <c r="C612" s="70"/>
      <c r="D612" s="69"/>
      <c r="E612" s="69"/>
      <c r="F612" s="1"/>
      <c r="G612" s="9"/>
      <c r="H612" s="9"/>
      <c r="I612" s="16"/>
      <c r="J612" s="1"/>
      <c r="K612" s="1"/>
      <c r="L612" s="1"/>
      <c r="M612" s="1"/>
      <c r="N612" s="14"/>
      <c r="O612" s="16"/>
      <c r="P612" s="1"/>
    </row>
    <row r="613" spans="1:16">
      <c r="A613" s="1"/>
      <c r="B613" s="73"/>
      <c r="C613" s="6"/>
      <c r="D613" s="69"/>
      <c r="E613" s="69"/>
      <c r="F613" s="1"/>
      <c r="G613" s="9"/>
      <c r="H613" s="9"/>
      <c r="I613" s="16"/>
      <c r="J613" s="1"/>
      <c r="K613" s="1"/>
      <c r="L613" s="1"/>
      <c r="M613" s="1"/>
      <c r="N613" s="14"/>
      <c r="O613" s="16"/>
      <c r="P613" s="1"/>
    </row>
    <row r="614" spans="1:16">
      <c r="A614" s="1"/>
      <c r="B614" s="7"/>
      <c r="C614" s="69"/>
      <c r="D614" s="69"/>
      <c r="E614" s="69"/>
      <c r="F614" s="1"/>
      <c r="G614" s="9"/>
      <c r="H614" s="9"/>
      <c r="I614" s="16"/>
      <c r="J614" s="1"/>
      <c r="K614" s="1"/>
      <c r="L614" s="1"/>
      <c r="M614" s="1"/>
      <c r="N614" s="14"/>
      <c r="O614" s="16"/>
      <c r="P614" s="1"/>
    </row>
    <row r="615" spans="1:16">
      <c r="A615" s="69"/>
      <c r="B615" s="68"/>
      <c r="C615" s="69"/>
      <c r="D615" s="69"/>
      <c r="E615" s="69"/>
      <c r="F615" s="71"/>
      <c r="G615" s="72"/>
      <c r="H615" s="72"/>
      <c r="I615" s="81"/>
      <c r="J615" s="71"/>
      <c r="K615" s="71"/>
      <c r="L615" s="71"/>
      <c r="M615" s="71"/>
      <c r="N615" s="14"/>
      <c r="O615" s="16"/>
      <c r="P615" s="1"/>
    </row>
    <row r="616" spans="1:16">
      <c r="A616" s="88"/>
      <c r="B616" s="68"/>
      <c r="C616" s="67"/>
      <c r="D616" s="67"/>
      <c r="E616" s="67"/>
      <c r="F616" s="71"/>
      <c r="G616" s="72"/>
      <c r="H616" s="72"/>
      <c r="I616" s="81"/>
      <c r="J616" s="71"/>
      <c r="K616" s="71"/>
      <c r="L616" s="71"/>
      <c r="M616" s="71"/>
      <c r="N616" s="14"/>
      <c r="O616" s="16"/>
      <c r="P616" s="1"/>
    </row>
    <row r="617" spans="1:16">
      <c r="A617" s="1"/>
      <c r="B617" s="68"/>
      <c r="C617" s="6"/>
      <c r="D617" s="67"/>
      <c r="E617" s="67"/>
      <c r="F617" s="1"/>
      <c r="G617" s="9"/>
      <c r="H617" s="9"/>
      <c r="I617" s="16"/>
      <c r="J617" s="1"/>
      <c r="K617" s="71"/>
      <c r="L617" s="71"/>
      <c r="M617" s="71"/>
      <c r="N617" s="14"/>
      <c r="O617" s="16"/>
      <c r="P617" s="1"/>
    </row>
    <row r="618" spans="1:16">
      <c r="A618" s="71"/>
      <c r="B618" s="68"/>
      <c r="C618" s="67"/>
      <c r="D618" s="67"/>
      <c r="E618" s="67"/>
      <c r="F618" s="71"/>
      <c r="G618" s="72"/>
      <c r="H618" s="72"/>
      <c r="I618" s="81"/>
      <c r="J618" s="71"/>
      <c r="K618" s="71"/>
      <c r="L618" s="71"/>
      <c r="M618" s="71"/>
      <c r="N618" s="14"/>
      <c r="O618" s="16"/>
      <c r="P618" s="1"/>
    </row>
    <row r="619" spans="1:16">
      <c r="A619" s="71"/>
      <c r="B619" s="68"/>
      <c r="C619" s="67"/>
      <c r="D619" s="67"/>
      <c r="E619" s="67"/>
      <c r="F619" s="71"/>
      <c r="G619" s="72"/>
      <c r="H619" s="72"/>
      <c r="I619" s="81"/>
      <c r="J619" s="71"/>
      <c r="K619" s="71"/>
      <c r="L619" s="71"/>
      <c r="M619" s="71"/>
      <c r="N619" s="14"/>
      <c r="O619" s="16"/>
      <c r="P619" s="1"/>
    </row>
    <row r="620" spans="1:16">
      <c r="A620" s="71"/>
      <c r="B620" s="68"/>
      <c r="C620" s="67"/>
      <c r="D620" s="67"/>
      <c r="E620" s="67"/>
      <c r="F620" s="71"/>
      <c r="G620" s="72"/>
      <c r="H620" s="72"/>
      <c r="I620" s="81"/>
      <c r="J620" s="71"/>
      <c r="K620" s="71"/>
      <c r="L620" s="71"/>
      <c r="M620" s="71"/>
      <c r="N620" s="14"/>
      <c r="O620" s="16"/>
      <c r="P620" s="1"/>
    </row>
    <row r="621" spans="1:16">
      <c r="A621" s="71"/>
      <c r="B621" s="68"/>
      <c r="C621" s="67"/>
      <c r="D621" s="67"/>
      <c r="E621" s="67"/>
      <c r="F621" s="71"/>
      <c r="G621" s="72"/>
      <c r="H621" s="72"/>
      <c r="I621" s="81"/>
      <c r="J621" s="71"/>
      <c r="K621" s="71"/>
      <c r="L621" s="71"/>
      <c r="M621" s="71"/>
      <c r="N621" s="14"/>
      <c r="O621" s="16"/>
      <c r="P621" s="1"/>
    </row>
    <row r="622" spans="1:16">
      <c r="A622" s="1"/>
      <c r="B622" s="7"/>
      <c r="C622" s="59"/>
      <c r="D622" s="92"/>
      <c r="E622" s="92"/>
      <c r="F622" s="1"/>
      <c r="G622" s="9"/>
      <c r="H622" s="9"/>
      <c r="I622" s="16"/>
      <c r="J622" s="1"/>
      <c r="K622" s="1"/>
      <c r="L622" s="71"/>
      <c r="M622" s="71"/>
      <c r="N622" s="14"/>
      <c r="O622" s="16"/>
      <c r="P622" s="1"/>
    </row>
    <row r="623" spans="1:16">
      <c r="A623" s="1"/>
      <c r="B623" s="7"/>
      <c r="C623" s="95"/>
      <c r="D623" s="93"/>
      <c r="E623" s="93"/>
      <c r="F623" s="1"/>
      <c r="G623" s="9"/>
      <c r="H623" s="9"/>
      <c r="I623" s="16"/>
      <c r="J623" s="1"/>
      <c r="K623" s="1"/>
      <c r="L623" s="71"/>
      <c r="M623" s="71"/>
      <c r="N623" s="14"/>
      <c r="O623" s="16"/>
      <c r="P623" s="1"/>
    </row>
    <row r="624" spans="1:16">
      <c r="A624" s="1"/>
      <c r="B624" s="7"/>
      <c r="C624" s="59"/>
      <c r="D624" s="96"/>
      <c r="E624" s="96"/>
      <c r="F624" s="1"/>
      <c r="G624" s="9"/>
      <c r="H624" s="9"/>
      <c r="I624" s="16"/>
      <c r="J624" s="1"/>
      <c r="K624" s="1"/>
      <c r="L624" s="71"/>
      <c r="M624" s="71"/>
      <c r="N624" s="14"/>
      <c r="O624" s="16"/>
      <c r="P624" s="1"/>
    </row>
    <row r="625" spans="1:16">
      <c r="A625" s="1"/>
      <c r="B625" s="7"/>
      <c r="C625" s="59"/>
      <c r="D625" s="96"/>
      <c r="E625" s="96"/>
      <c r="F625" s="1"/>
      <c r="G625" s="9"/>
      <c r="H625" s="9"/>
      <c r="I625" s="16"/>
      <c r="J625" s="1"/>
      <c r="K625" s="1"/>
      <c r="L625" s="71"/>
      <c r="M625" s="71"/>
      <c r="N625" s="14"/>
      <c r="O625" s="16"/>
      <c r="P625" s="1"/>
    </row>
    <row r="626" spans="1:16">
      <c r="A626" s="1"/>
      <c r="B626" s="7"/>
      <c r="C626" s="59"/>
      <c r="D626" s="93"/>
      <c r="E626" s="93"/>
      <c r="F626" s="1"/>
      <c r="G626" s="9"/>
      <c r="H626" s="9"/>
      <c r="I626" s="16"/>
      <c r="J626" s="1"/>
      <c r="K626" s="1"/>
      <c r="L626" s="71"/>
      <c r="M626" s="71"/>
      <c r="N626" s="14"/>
      <c r="O626" s="16"/>
      <c r="P626" s="1"/>
    </row>
    <row r="627" spans="1:16">
      <c r="A627" s="1"/>
      <c r="B627" s="7"/>
      <c r="C627" s="59"/>
      <c r="D627" s="96"/>
      <c r="E627" s="96"/>
      <c r="F627" s="1"/>
      <c r="G627" s="9"/>
      <c r="H627" s="9"/>
      <c r="I627" s="16"/>
      <c r="J627" s="1"/>
      <c r="K627" s="1"/>
      <c r="L627" s="71"/>
      <c r="M627" s="71"/>
      <c r="N627" s="14"/>
      <c r="O627" s="16"/>
      <c r="P627" s="1"/>
    </row>
    <row r="628" spans="1:16">
      <c r="A628" s="1"/>
      <c r="B628" s="7"/>
      <c r="C628" s="59"/>
      <c r="D628" s="93"/>
      <c r="E628" s="93"/>
      <c r="F628" s="1"/>
      <c r="G628" s="9"/>
      <c r="H628" s="9"/>
      <c r="I628" s="16"/>
      <c r="J628" s="1"/>
      <c r="K628" s="1"/>
      <c r="L628" s="71"/>
      <c r="M628" s="71"/>
      <c r="N628" s="14"/>
      <c r="O628" s="16"/>
      <c r="P628" s="1"/>
    </row>
    <row r="629" spans="1:16">
      <c r="A629" s="1"/>
      <c r="B629" s="7"/>
      <c r="C629" s="59"/>
      <c r="D629" s="118"/>
      <c r="E629" s="95"/>
      <c r="F629" s="1"/>
      <c r="G629" s="9"/>
      <c r="H629" s="9"/>
      <c r="I629" s="16"/>
      <c r="J629" s="1"/>
      <c r="K629" s="1"/>
      <c r="L629" s="71"/>
      <c r="M629" s="71"/>
      <c r="N629" s="14"/>
      <c r="O629" s="16"/>
      <c r="P629" s="1"/>
    </row>
    <row r="630" spans="1:16">
      <c r="A630" s="1"/>
      <c r="B630" s="7"/>
      <c r="C630" s="59"/>
      <c r="D630" s="105"/>
      <c r="E630" s="105"/>
      <c r="F630" s="1"/>
      <c r="G630" s="9"/>
      <c r="H630" s="9"/>
      <c r="I630" s="16"/>
      <c r="J630" s="1"/>
      <c r="K630" s="1"/>
      <c r="L630" s="71"/>
      <c r="M630" s="71"/>
      <c r="N630" s="14"/>
      <c r="O630" s="16"/>
      <c r="P630" s="1"/>
    </row>
    <row r="631" spans="1:16">
      <c r="A631" s="1"/>
      <c r="B631" s="7"/>
      <c r="C631" s="59"/>
      <c r="D631" s="105"/>
      <c r="E631" s="105"/>
      <c r="F631" s="1"/>
      <c r="G631" s="9"/>
      <c r="H631" s="9"/>
      <c r="I631" s="16"/>
      <c r="J631" s="1"/>
      <c r="K631" s="1"/>
      <c r="L631" s="71"/>
      <c r="M631" s="71"/>
      <c r="N631" s="14"/>
      <c r="O631" s="16"/>
      <c r="P631" s="1"/>
    </row>
    <row r="632" spans="1:16">
      <c r="A632" s="1"/>
      <c r="B632" s="7"/>
      <c r="C632" s="59"/>
      <c r="D632" s="92"/>
      <c r="E632" s="92"/>
      <c r="F632" s="1"/>
      <c r="G632" s="9"/>
      <c r="H632" s="9"/>
      <c r="I632" s="16"/>
      <c r="J632" s="1"/>
      <c r="K632" s="1"/>
      <c r="L632" s="71"/>
      <c r="M632" s="71"/>
      <c r="N632" s="14"/>
      <c r="O632" s="16"/>
      <c r="P632" s="1"/>
    </row>
    <row r="633" spans="1:16">
      <c r="A633" s="1"/>
      <c r="B633" s="7"/>
      <c r="C633" s="59"/>
      <c r="D633" s="123"/>
      <c r="E633" s="123"/>
      <c r="F633" s="1"/>
      <c r="G633" s="9"/>
      <c r="H633" s="9"/>
      <c r="I633" s="16"/>
      <c r="J633" s="1"/>
      <c r="K633" s="1"/>
      <c r="L633" s="71"/>
      <c r="M633" s="71"/>
      <c r="N633" s="14"/>
      <c r="O633" s="16"/>
      <c r="P633" s="1"/>
    </row>
    <row r="634" spans="1:16">
      <c r="A634" s="1"/>
      <c r="B634" s="7"/>
      <c r="C634" s="59"/>
      <c r="D634" s="121"/>
      <c r="E634" s="121"/>
      <c r="F634" s="1"/>
      <c r="G634" s="9"/>
      <c r="H634" s="9"/>
      <c r="I634" s="16"/>
      <c r="J634" s="1"/>
      <c r="K634" s="1"/>
      <c r="L634" s="71"/>
      <c r="M634" s="72"/>
      <c r="N634" s="14"/>
      <c r="O634" s="16"/>
      <c r="P634" s="1"/>
    </row>
    <row r="635" spans="1:16">
      <c r="A635" s="1"/>
      <c r="B635" s="7"/>
      <c r="C635" s="59"/>
      <c r="D635" s="121"/>
      <c r="E635" s="121"/>
      <c r="F635" s="1"/>
      <c r="G635" s="9"/>
      <c r="H635" s="9"/>
      <c r="I635" s="16"/>
      <c r="J635" s="1"/>
      <c r="K635" s="1"/>
      <c r="L635" s="71"/>
      <c r="M635" s="71"/>
      <c r="N635" s="14"/>
      <c r="O635" s="16"/>
      <c r="P635" s="1"/>
    </row>
    <row r="636" spans="1:16">
      <c r="A636" s="1"/>
      <c r="B636" s="7"/>
      <c r="C636" s="59"/>
      <c r="D636" s="140"/>
      <c r="E636" s="140"/>
      <c r="F636" s="1"/>
      <c r="G636" s="9"/>
      <c r="H636" s="9"/>
      <c r="I636" s="16"/>
      <c r="J636" s="1"/>
      <c r="K636" s="1"/>
      <c r="L636" s="71"/>
      <c r="M636" s="72"/>
      <c r="N636" s="14"/>
      <c r="O636" s="16"/>
      <c r="P636" s="1"/>
    </row>
    <row r="637" spans="1:16">
      <c r="A637" s="1"/>
      <c r="B637" s="7"/>
      <c r="C637" s="59"/>
      <c r="D637" s="141"/>
      <c r="E637" s="142"/>
      <c r="F637" s="1"/>
      <c r="G637" s="9"/>
      <c r="H637" s="9"/>
      <c r="I637" s="16"/>
      <c r="J637" s="1"/>
      <c r="K637" s="1"/>
      <c r="L637" s="71"/>
      <c r="M637" s="72"/>
      <c r="N637" s="14"/>
      <c r="O637" s="16"/>
      <c r="P637" s="1"/>
    </row>
    <row r="638" spans="1:16">
      <c r="A638" s="1"/>
      <c r="B638" s="7"/>
      <c r="C638" s="59"/>
      <c r="D638" s="149"/>
      <c r="E638" s="149"/>
      <c r="F638" s="1"/>
      <c r="G638" s="9"/>
      <c r="H638" s="9"/>
      <c r="I638" s="16"/>
      <c r="J638" s="1"/>
      <c r="K638" s="1"/>
      <c r="L638" s="71"/>
      <c r="M638" s="72"/>
      <c r="N638" s="14"/>
      <c r="O638" s="16"/>
      <c r="P638" s="1"/>
    </row>
    <row r="639" spans="1:16">
      <c r="A639" s="1"/>
      <c r="B639" s="7"/>
      <c r="C639" s="59"/>
      <c r="D639" s="149"/>
      <c r="E639" s="149"/>
      <c r="F639" s="1"/>
      <c r="G639" s="9"/>
      <c r="H639" s="9"/>
      <c r="I639" s="16"/>
      <c r="J639" s="1"/>
      <c r="K639" s="1"/>
      <c r="L639" s="71"/>
      <c r="M639" s="72"/>
      <c r="N639" s="14"/>
      <c r="O639" s="16"/>
      <c r="P639" s="1"/>
    </row>
    <row r="640" spans="1:16">
      <c r="A640" s="1"/>
      <c r="B640" s="7"/>
      <c r="C640" s="148"/>
      <c r="D640" s="149"/>
      <c r="E640" s="149"/>
      <c r="F640" s="1"/>
      <c r="G640" s="9"/>
      <c r="H640" s="9"/>
      <c r="I640" s="16"/>
      <c r="J640" s="1"/>
      <c r="K640" s="1"/>
      <c r="L640" s="71"/>
      <c r="M640" s="72"/>
      <c r="N640" s="14"/>
      <c r="O640" s="16"/>
      <c r="P640" s="1"/>
    </row>
    <row r="641" spans="1:16">
      <c r="A641" s="1"/>
      <c r="B641" s="7"/>
      <c r="C641" s="59"/>
      <c r="D641" s="59"/>
      <c r="E641" s="59"/>
      <c r="F641" s="1"/>
      <c r="G641" s="9"/>
      <c r="H641" s="16"/>
      <c r="I641" s="16"/>
      <c r="J641" s="1"/>
      <c r="K641" s="1"/>
      <c r="L641" s="71"/>
      <c r="M641" s="71"/>
      <c r="N641" s="14"/>
      <c r="O641" s="16"/>
      <c r="P641" s="1"/>
    </row>
    <row r="642" spans="1:16">
      <c r="A642" s="1"/>
      <c r="B642" s="7"/>
      <c r="C642" s="59"/>
      <c r="D642" s="59"/>
      <c r="E642" s="59"/>
      <c r="F642" s="1"/>
      <c r="G642" s="9"/>
      <c r="H642" s="16"/>
      <c r="I642" s="16"/>
      <c r="J642" s="1"/>
      <c r="K642" s="1"/>
      <c r="L642" s="71"/>
      <c r="M642" s="71"/>
      <c r="N642" s="14"/>
      <c r="O642" s="16"/>
      <c r="P642" s="1"/>
    </row>
    <row r="643" spans="1:16">
      <c r="A643" s="1"/>
      <c r="B643" s="7"/>
      <c r="C643" s="59"/>
      <c r="D643" s="59"/>
      <c r="E643" s="59"/>
      <c r="F643" s="1"/>
      <c r="G643" s="9"/>
      <c r="H643" s="16"/>
      <c r="I643" s="16"/>
      <c r="J643" s="1"/>
      <c r="K643" s="1"/>
      <c r="L643" s="71"/>
      <c r="M643" s="71"/>
      <c r="N643" s="14"/>
      <c r="O643" s="16"/>
      <c r="P643" s="1"/>
    </row>
    <row r="644" spans="1:16">
      <c r="A644" s="1"/>
      <c r="B644" s="7"/>
      <c r="C644" s="59"/>
      <c r="D644" s="59"/>
      <c r="E644" s="59"/>
      <c r="F644" s="1"/>
      <c r="G644" s="9"/>
      <c r="H644" s="16"/>
      <c r="I644" s="16"/>
      <c r="J644" s="1"/>
      <c r="K644" s="1"/>
      <c r="L644" s="71"/>
      <c r="M644" s="71"/>
      <c r="N644" s="14"/>
      <c r="O644" s="16"/>
      <c r="P644" s="1"/>
    </row>
    <row r="645" spans="1:16">
      <c r="A645" s="1"/>
      <c r="B645" s="7"/>
      <c r="C645" s="59"/>
      <c r="D645" s="59"/>
      <c r="E645" s="59"/>
      <c r="F645" s="1"/>
      <c r="G645" s="9"/>
      <c r="H645" s="16"/>
      <c r="I645" s="16"/>
      <c r="J645" s="1"/>
      <c r="K645" s="1"/>
      <c r="L645" s="71"/>
      <c r="M645" s="71"/>
      <c r="N645" s="14"/>
      <c r="O645" s="16"/>
      <c r="P645" s="1"/>
    </row>
    <row r="646" spans="1:16">
      <c r="A646" s="1"/>
      <c r="B646" s="7"/>
      <c r="C646" s="59"/>
      <c r="D646" s="59"/>
      <c r="E646" s="59"/>
      <c r="F646" s="1"/>
      <c r="G646" s="9"/>
      <c r="H646" s="16"/>
      <c r="I646" s="16"/>
      <c r="J646" s="1"/>
      <c r="K646" s="1"/>
      <c r="L646" s="71"/>
      <c r="M646" s="71"/>
      <c r="N646" s="14"/>
      <c r="O646" s="16"/>
      <c r="P646" s="1"/>
    </row>
    <row r="647" spans="1:16">
      <c r="A647" s="1"/>
      <c r="B647" s="7"/>
      <c r="C647" s="59"/>
      <c r="D647" s="59"/>
      <c r="E647" s="59"/>
      <c r="F647" s="1"/>
      <c r="G647" s="9"/>
      <c r="H647" s="16"/>
      <c r="I647" s="16"/>
      <c r="J647" s="1"/>
      <c r="K647" s="1"/>
      <c r="L647" s="71"/>
      <c r="M647" s="71"/>
      <c r="N647" s="14"/>
      <c r="O647" s="16"/>
      <c r="P647" s="1"/>
    </row>
    <row r="648" spans="1:16">
      <c r="A648" s="1"/>
      <c r="B648" s="7"/>
      <c r="C648" s="59"/>
      <c r="D648" s="59"/>
      <c r="E648" s="59"/>
      <c r="F648" s="1"/>
      <c r="G648" s="9"/>
      <c r="H648" s="16"/>
      <c r="I648" s="16"/>
      <c r="J648" s="1"/>
      <c r="K648" s="1"/>
      <c r="L648" s="71"/>
      <c r="M648" s="71"/>
      <c r="N648" s="14"/>
      <c r="O648" s="16">
        <f t="shared" ref="O648:O654" si="0">IFERROR(IF(L648="PENDENTE",-N648,I648-N648),0)</f>
        <v>0</v>
      </c>
      <c r="P648" s="1"/>
    </row>
    <row r="649" spans="1:16">
      <c r="A649" s="1"/>
      <c r="B649" s="7"/>
      <c r="C649" s="59"/>
      <c r="D649" s="59"/>
      <c r="E649" s="59"/>
      <c r="F649" s="1"/>
      <c r="G649" s="9"/>
      <c r="H649" s="16"/>
      <c r="I649" s="16"/>
      <c r="J649" s="1"/>
      <c r="K649" s="1"/>
      <c r="L649" s="71"/>
      <c r="M649" s="71"/>
      <c r="N649" s="14"/>
      <c r="O649" s="16">
        <f t="shared" si="0"/>
        <v>0</v>
      </c>
      <c r="P649" s="1"/>
    </row>
    <row r="650" spans="1:16">
      <c r="A650" s="1"/>
      <c r="B650" s="7"/>
      <c r="C650" s="59"/>
      <c r="D650" s="59"/>
      <c r="E650" s="59"/>
      <c r="F650" s="1"/>
      <c r="G650" s="9"/>
      <c r="H650" s="16"/>
      <c r="I650" s="16"/>
      <c r="J650" s="1"/>
      <c r="K650" s="1"/>
      <c r="L650" s="71"/>
      <c r="M650" s="71"/>
      <c r="N650" s="14"/>
      <c r="O650" s="16">
        <f t="shared" si="0"/>
        <v>0</v>
      </c>
      <c r="P650" s="1"/>
    </row>
    <row r="651" spans="1:16">
      <c r="A651" s="1"/>
      <c r="B651" s="7"/>
      <c r="C651" s="59"/>
      <c r="D651" s="59"/>
      <c r="E651" s="59"/>
      <c r="F651" s="1"/>
      <c r="G651" s="9"/>
      <c r="H651" s="16"/>
      <c r="I651" s="16"/>
      <c r="J651" s="1"/>
      <c r="K651" s="1"/>
      <c r="L651" s="71"/>
      <c r="M651" s="71"/>
      <c r="N651" s="14"/>
      <c r="O651" s="16">
        <f t="shared" si="0"/>
        <v>0</v>
      </c>
      <c r="P651" s="1"/>
    </row>
    <row r="652" spans="1:16">
      <c r="A652" s="1"/>
      <c r="B652" s="7"/>
      <c r="C652" s="59"/>
      <c r="D652" s="59"/>
      <c r="E652" s="59"/>
      <c r="F652" s="1"/>
      <c r="G652" s="9"/>
      <c r="H652" s="16"/>
      <c r="I652" s="16"/>
      <c r="J652" s="1"/>
      <c r="K652" s="1"/>
      <c r="L652" s="71"/>
      <c r="M652" s="71"/>
      <c r="N652" s="14"/>
      <c r="O652" s="16">
        <f t="shared" si="0"/>
        <v>0</v>
      </c>
      <c r="P652" s="1"/>
    </row>
    <row r="653" spans="1:16">
      <c r="A653" s="1"/>
      <c r="B653" s="7"/>
      <c r="C653" s="59"/>
      <c r="D653" s="59"/>
      <c r="E653" s="59"/>
      <c r="F653" s="1"/>
      <c r="G653" s="9"/>
      <c r="H653" s="16"/>
      <c r="I653" s="16"/>
      <c r="J653" s="1"/>
      <c r="K653" s="1"/>
      <c r="L653" s="71"/>
      <c r="M653" s="71"/>
      <c r="N653" s="14"/>
      <c r="O653" s="16">
        <f t="shared" si="0"/>
        <v>0</v>
      </c>
      <c r="P653" s="1"/>
    </row>
    <row r="654" spans="1:16">
      <c r="A654" s="1"/>
      <c r="B654" s="7"/>
      <c r="C654" s="59"/>
      <c r="D654" s="59"/>
      <c r="E654" s="59"/>
      <c r="F654" s="1"/>
      <c r="G654" s="9"/>
      <c r="H654" s="16"/>
      <c r="I654" s="16"/>
      <c r="J654" s="1"/>
      <c r="K654" s="1"/>
      <c r="L654" s="71"/>
      <c r="M654" s="71"/>
      <c r="N654" s="14"/>
      <c r="O654" s="16">
        <f t="shared" si="0"/>
        <v>0</v>
      </c>
      <c r="P654" s="1"/>
    </row>
  </sheetData>
  <conditionalFormatting sqref="C579">
    <cfRule type="cellIs" dxfId="536" priority="20" operator="equal">
      <formula>"CANCELADO"</formula>
    </cfRule>
  </conditionalFormatting>
  <conditionalFormatting sqref="C623">
    <cfRule type="cellIs" dxfId="535" priority="22" operator="equal">
      <formula>"CANCELADO"</formula>
    </cfRule>
  </conditionalFormatting>
  <conditionalFormatting sqref="C640">
    <cfRule type="cellIs" dxfId="534" priority="19" operator="equal">
      <formula>"CANCELADO"</formula>
    </cfRule>
  </conditionalFormatting>
  <conditionalFormatting sqref="E629">
    <cfRule type="cellIs" dxfId="533" priority="21" operator="equal">
      <formula>"CANCELADO"</formula>
    </cfRule>
  </conditionalFormatting>
  <conditionalFormatting sqref="L531:L580">
    <cfRule type="cellIs" dxfId="532" priority="7" operator="equal">
      <formula>"LANÇADO"</formula>
    </cfRule>
    <cfRule type="cellIs" dxfId="531" priority="8" operator="equal">
      <formula>"PENDENTE"</formula>
    </cfRule>
  </conditionalFormatting>
  <conditionalFormatting sqref="L588">
    <cfRule type="cellIs" dxfId="530" priority="5" operator="equal">
      <formula>"LANÇADO"</formula>
    </cfRule>
    <cfRule type="cellIs" dxfId="529" priority="6" operator="equal">
      <formula>"PENDENTE"</formula>
    </cfRule>
  </conditionalFormatting>
  <conditionalFormatting sqref="L590:L592">
    <cfRule type="cellIs" dxfId="528" priority="3" operator="equal">
      <formula>"LANÇADO"</formula>
    </cfRule>
    <cfRule type="cellIs" dxfId="527" priority="4" operator="equal">
      <formula>"PENDENTE"</formula>
    </cfRule>
  </conditionalFormatting>
  <conditionalFormatting sqref="L594:L596">
    <cfRule type="cellIs" dxfId="526" priority="1" operator="equal">
      <formula>"LANÇADO"</formula>
    </cfRule>
    <cfRule type="cellIs" dxfId="525" priority="2" operator="equal">
      <formula>"PENDENTE"</formula>
    </cfRule>
  </conditionalFormatting>
  <conditionalFormatting sqref="L3:M51 L52 L53:M284 L286:M302 L303 L304:M530">
    <cfRule type="cellIs" dxfId="524" priority="32" operator="equal">
      <formula>"LANÇADO"</formula>
    </cfRule>
    <cfRule type="cellIs" dxfId="523" priority="33" operator="equal">
      <formula>"PENDENTE"</formula>
    </cfRule>
  </conditionalFormatting>
  <conditionalFormatting sqref="L597:M654">
    <cfRule type="cellIs" dxfId="522" priority="24" operator="equal">
      <formula>"LANÇADO"</formula>
    </cfRule>
    <cfRule type="cellIs" dxfId="521" priority="25" operator="equal">
      <formula>"PENDENTE"</formula>
    </cfRule>
  </conditionalFormatting>
  <conditionalFormatting sqref="O1:O587">
    <cfRule type="cellIs" dxfId="520" priority="31" operator="lessThan">
      <formula>0</formula>
    </cfRule>
  </conditionalFormatting>
  <conditionalFormatting sqref="O599:O611">
    <cfRule type="cellIs" dxfId="519" priority="23" operator="lessThan">
      <formula>0</formula>
    </cfRule>
  </conditionalFormatting>
  <dataValidations count="6">
    <dataValidation type="list" allowBlank="1" showInputMessage="1" showErrorMessage="1" sqref="K3" xr:uid="{D6BF65B4-3CA8-41C9-A125-D8060B74688C}">
      <formula1>"PENDENTE,ANEXADO,ISENTO"</formula1>
    </dataValidation>
    <dataValidation type="list" allowBlank="1" showInputMessage="1" showErrorMessage="1" sqref="J3" xr:uid="{A488D0F8-0E1F-4DDD-B3CD-79566DECE2AD}">
      <formula1>"PENDENTE,OK,ISENTO"</formula1>
    </dataValidation>
    <dataValidation allowBlank="1" showInputMessage="1" showErrorMessage="1" sqref="N533 N540 N543 M1:M302 M304:M1048576" xr:uid="{5794818F-5512-42FC-9EB1-078CAEA0AB0A}"/>
    <dataValidation type="list" allowBlank="1" showInputMessage="1" showErrorMessage="1" sqref="L3:L284 L286:L654" xr:uid="{E7001EA9-61D8-439D-A958-696F4406E92C}">
      <formula1>"LANÇADO,PENDENTE"</formula1>
    </dataValidation>
    <dataValidation type="list" allowBlank="1" showInputMessage="1" showErrorMessage="1" sqref="K4:K413" xr:uid="{17ECC33B-A323-46F5-82AE-C8E0DC4A4A6F}">
      <formula1>"PENDENTE,ANEXADO"</formula1>
    </dataValidation>
    <dataValidation type="list" allowBlank="1" showInputMessage="1" showErrorMessage="1" sqref="J4:J413" xr:uid="{F1DB0314-EC10-4B49-859F-214E7A18BA1E}">
      <formula1>"PENDENTE,OK"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34C9-DB50-470B-8C75-7D24079FC739}">
  <dimension ref="A1:P598"/>
  <sheetViews>
    <sheetView showGridLines="0" zoomScale="80" zoomScaleNormal="80" workbookViewId="0">
      <pane ySplit="2" topLeftCell="A499" activePane="bottomLeft" state="frozen"/>
      <selection pane="bottomLeft" activeCell="D549" sqref="D549"/>
    </sheetView>
  </sheetViews>
  <sheetFormatPr defaultRowHeight="15"/>
  <cols>
    <col min="1" max="1" width="16.42578125" style="1" customWidth="1"/>
    <col min="2" max="2" width="13.42578125" customWidth="1"/>
    <col min="3" max="3" width="36.28515625" customWidth="1"/>
    <col min="4" max="4" width="36" customWidth="1"/>
    <col min="5" max="5" width="22" customWidth="1"/>
    <col min="6" max="6" width="24.28515625" customWidth="1"/>
    <col min="7" max="7" width="13.5703125" style="10" customWidth="1"/>
    <col min="8" max="8" width="11.42578125" style="17" customWidth="1"/>
    <col min="9" max="9" width="12.85546875" style="17" customWidth="1"/>
    <col min="10" max="10" width="11" customWidth="1"/>
    <col min="11" max="11" width="13.28515625" customWidth="1"/>
    <col min="12" max="13" width="12.42578125" customWidth="1"/>
    <col min="14" max="14" width="14.5703125" style="14" customWidth="1"/>
    <col min="15" max="15" width="14.5703125" customWidth="1"/>
    <col min="16" max="16" width="22.42578125" customWidth="1"/>
  </cols>
  <sheetData>
    <row r="1" spans="1:16">
      <c r="N1" s="14">
        <f>SUBTOTAL(9,Tabela13456[Match_Planilha])</f>
        <v>0</v>
      </c>
      <c r="O1" s="15">
        <f>SUBTOTAL(9,O3:O584)</f>
        <v>0</v>
      </c>
    </row>
    <row r="2" spans="1:16" ht="21" customHeight="1">
      <c r="A2" s="12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1" t="s">
        <v>7</v>
      </c>
      <c r="I2" s="21" t="s">
        <v>8</v>
      </c>
      <c r="J2" s="19" t="s">
        <v>9</v>
      </c>
      <c r="K2" s="19" t="s">
        <v>10</v>
      </c>
      <c r="L2" s="22" t="s">
        <v>11</v>
      </c>
      <c r="M2" s="22" t="s">
        <v>317</v>
      </c>
      <c r="N2" s="23" t="s">
        <v>13</v>
      </c>
      <c r="O2" s="22" t="s">
        <v>14</v>
      </c>
      <c r="P2" s="22" t="s">
        <v>15</v>
      </c>
    </row>
    <row r="3" spans="1:16">
      <c r="A3" s="6"/>
      <c r="B3" s="7"/>
      <c r="C3" s="6"/>
      <c r="D3" s="6"/>
      <c r="E3" s="6"/>
      <c r="F3" s="1"/>
      <c r="G3" s="9"/>
      <c r="H3" s="16"/>
      <c r="I3" s="16"/>
      <c r="J3" s="1"/>
      <c r="K3" s="1"/>
      <c r="L3" s="1"/>
      <c r="M3" s="1"/>
      <c r="O3" s="16"/>
      <c r="P3" s="1"/>
    </row>
    <row r="4" spans="1:16">
      <c r="A4" s="6"/>
      <c r="B4" s="7"/>
      <c r="C4" s="6"/>
      <c r="D4" s="6"/>
      <c r="E4" s="6"/>
      <c r="F4" s="1"/>
      <c r="G4" s="9"/>
      <c r="H4" s="9"/>
      <c r="I4" s="16"/>
      <c r="J4" s="1"/>
      <c r="K4" s="1"/>
      <c r="L4" s="1"/>
      <c r="M4" s="1"/>
      <c r="O4" s="16"/>
      <c r="P4" s="1"/>
    </row>
    <row r="5" spans="1:16">
      <c r="A5" s="6"/>
      <c r="B5" s="7"/>
      <c r="C5" s="6"/>
      <c r="D5" s="6"/>
      <c r="E5" s="6"/>
      <c r="F5" s="1"/>
      <c r="G5" s="9"/>
      <c r="H5" s="16"/>
      <c r="I5" s="16"/>
      <c r="J5" s="1"/>
      <c r="K5" s="1"/>
      <c r="L5" s="1"/>
      <c r="M5" s="1"/>
      <c r="O5" s="16"/>
      <c r="P5" s="1"/>
    </row>
    <row r="6" spans="1:16">
      <c r="A6" s="6"/>
      <c r="B6" s="7"/>
      <c r="C6" s="6"/>
      <c r="D6" s="6"/>
      <c r="E6" s="6"/>
      <c r="F6" s="1"/>
      <c r="G6" s="9"/>
      <c r="H6" s="9"/>
      <c r="I6" s="16"/>
      <c r="J6" s="1"/>
      <c r="K6" s="1"/>
      <c r="L6" s="1"/>
      <c r="M6" s="1"/>
      <c r="O6" s="16"/>
      <c r="P6" s="1"/>
    </row>
    <row r="7" spans="1:16">
      <c r="A7" s="6"/>
      <c r="B7" s="7"/>
      <c r="C7" s="6"/>
      <c r="D7" s="6"/>
      <c r="E7" s="6"/>
      <c r="F7" s="1"/>
      <c r="G7" s="9"/>
      <c r="H7" s="16"/>
      <c r="I7" s="16"/>
      <c r="J7" s="1"/>
      <c r="K7" s="1"/>
      <c r="L7" s="1"/>
      <c r="M7" s="1"/>
      <c r="O7" s="16"/>
      <c r="P7" s="1"/>
    </row>
    <row r="8" spans="1:16">
      <c r="A8" s="6"/>
      <c r="B8" s="7"/>
      <c r="C8" s="6"/>
      <c r="D8" s="6"/>
      <c r="E8" s="6"/>
      <c r="F8" s="1"/>
      <c r="G8" s="9"/>
      <c r="H8" s="16"/>
      <c r="I8" s="16"/>
      <c r="J8" s="1"/>
      <c r="K8" s="1"/>
      <c r="L8" s="1"/>
      <c r="M8" s="1"/>
      <c r="O8" s="16"/>
      <c r="P8" s="1"/>
    </row>
    <row r="9" spans="1:16">
      <c r="A9" s="6"/>
      <c r="B9" s="7"/>
      <c r="C9" s="6"/>
      <c r="D9" s="6"/>
      <c r="E9" s="6"/>
      <c r="F9" s="1"/>
      <c r="G9" s="9"/>
      <c r="H9" s="16"/>
      <c r="I9" s="16"/>
      <c r="J9" s="1"/>
      <c r="K9" s="1"/>
      <c r="L9" s="1"/>
      <c r="M9" s="1"/>
      <c r="O9" s="16"/>
      <c r="P9" s="1"/>
    </row>
    <row r="10" spans="1:16">
      <c r="A10" s="6"/>
      <c r="B10" s="7"/>
      <c r="C10" s="6"/>
      <c r="D10" s="6"/>
      <c r="E10" s="6"/>
      <c r="F10" s="1"/>
      <c r="G10" s="9"/>
      <c r="H10" s="9"/>
      <c r="I10" s="16"/>
      <c r="J10" s="1"/>
      <c r="K10" s="1"/>
      <c r="L10" s="1"/>
      <c r="M10" s="1"/>
      <c r="O10" s="16"/>
      <c r="P10" s="1"/>
    </row>
    <row r="11" spans="1:16">
      <c r="A11" s="6"/>
      <c r="B11" s="7"/>
      <c r="C11" s="6"/>
      <c r="D11" s="6"/>
      <c r="E11" s="6"/>
      <c r="F11" s="1"/>
      <c r="G11" s="9"/>
      <c r="H11" s="9"/>
      <c r="I11" s="16"/>
      <c r="J11" s="1"/>
      <c r="K11" s="1"/>
      <c r="L11" s="1"/>
      <c r="M11" s="1"/>
      <c r="O11" s="16"/>
      <c r="P11" s="1"/>
    </row>
    <row r="12" spans="1:16">
      <c r="A12" s="6"/>
      <c r="B12" s="7"/>
      <c r="C12" s="6"/>
      <c r="D12" s="6"/>
      <c r="E12" s="6"/>
      <c r="F12" s="1"/>
      <c r="G12" s="9"/>
      <c r="H12" s="9"/>
      <c r="I12" s="16"/>
      <c r="J12" s="1"/>
      <c r="K12" s="1"/>
      <c r="L12" s="1"/>
      <c r="M12" s="1"/>
      <c r="O12" s="16"/>
      <c r="P12" s="1"/>
    </row>
    <row r="13" spans="1:16">
      <c r="A13" s="6"/>
      <c r="B13" s="7"/>
      <c r="C13" s="6"/>
      <c r="D13" s="6"/>
      <c r="E13" s="6"/>
      <c r="F13" s="1"/>
      <c r="G13" s="9"/>
      <c r="H13" s="9"/>
      <c r="I13" s="16"/>
      <c r="J13" s="1"/>
      <c r="K13" s="1"/>
      <c r="L13" s="1"/>
      <c r="M13" s="1"/>
      <c r="O13" s="16"/>
      <c r="P13" s="1"/>
    </row>
    <row r="14" spans="1:16">
      <c r="A14" s="6"/>
      <c r="B14" s="7"/>
      <c r="C14" s="6"/>
      <c r="D14" s="6"/>
      <c r="E14" s="6"/>
      <c r="F14" s="1"/>
      <c r="G14" s="9"/>
      <c r="H14" s="16"/>
      <c r="I14" s="14"/>
      <c r="J14" s="1"/>
      <c r="K14" s="1"/>
      <c r="L14" s="1"/>
      <c r="M14" s="1"/>
      <c r="O14" s="14"/>
      <c r="P14" s="1"/>
    </row>
    <row r="15" spans="1:16">
      <c r="A15" s="6"/>
      <c r="B15" s="7"/>
      <c r="C15" s="6"/>
      <c r="D15" s="6"/>
      <c r="E15" s="6"/>
      <c r="F15" s="1"/>
      <c r="G15" s="9"/>
      <c r="H15" s="9"/>
      <c r="I15" s="16"/>
      <c r="J15" s="1"/>
      <c r="K15" s="1"/>
      <c r="L15" s="1"/>
      <c r="M15" s="1"/>
      <c r="O15" s="16"/>
      <c r="P15" s="1"/>
    </row>
    <row r="16" spans="1:16">
      <c r="A16" s="6"/>
      <c r="B16" s="7"/>
      <c r="C16" s="6"/>
      <c r="D16" s="6"/>
      <c r="E16" s="6"/>
      <c r="F16" s="1"/>
      <c r="G16" s="9"/>
      <c r="H16" s="16"/>
      <c r="I16" s="16"/>
      <c r="J16" s="1"/>
      <c r="K16" s="1"/>
      <c r="L16" s="1"/>
      <c r="M16" s="1"/>
      <c r="O16" s="16"/>
      <c r="P16" s="1"/>
    </row>
    <row r="17" spans="1:16">
      <c r="A17" s="6"/>
      <c r="B17" s="7"/>
      <c r="C17" s="6"/>
      <c r="D17" s="6"/>
      <c r="E17" s="6"/>
      <c r="F17" s="1"/>
      <c r="G17" s="9"/>
      <c r="H17" s="16"/>
      <c r="I17" s="16"/>
      <c r="J17" s="1"/>
      <c r="K17" s="1"/>
      <c r="L17" s="1"/>
      <c r="M17" s="1"/>
      <c r="O17" s="16"/>
      <c r="P17" s="1"/>
    </row>
    <row r="18" spans="1:16">
      <c r="A18" s="6"/>
      <c r="B18" s="7"/>
      <c r="C18" s="6"/>
      <c r="D18" s="6"/>
      <c r="E18" s="6"/>
      <c r="F18" s="1"/>
      <c r="G18" s="9"/>
      <c r="H18" s="9"/>
      <c r="I18" s="16"/>
      <c r="J18" s="1"/>
      <c r="K18" s="1"/>
      <c r="L18" s="1"/>
      <c r="M18" s="9"/>
      <c r="O18" s="16"/>
      <c r="P18" s="1"/>
    </row>
    <row r="19" spans="1:16">
      <c r="A19" s="6"/>
      <c r="B19" s="7"/>
      <c r="C19" s="6"/>
      <c r="D19" s="6"/>
      <c r="E19" s="6"/>
      <c r="F19" s="1"/>
      <c r="G19" s="9"/>
      <c r="H19" s="16"/>
      <c r="I19" s="16"/>
      <c r="J19" s="1"/>
      <c r="K19" s="1"/>
      <c r="L19" s="1"/>
      <c r="M19" s="1"/>
      <c r="O19" s="16"/>
      <c r="P19" s="1"/>
    </row>
    <row r="20" spans="1:16">
      <c r="A20" s="6"/>
      <c r="B20" s="7"/>
      <c r="C20" s="6"/>
      <c r="D20" s="6"/>
      <c r="E20" s="6"/>
      <c r="F20" s="1"/>
      <c r="G20" s="9"/>
      <c r="H20" s="9"/>
      <c r="I20" s="16"/>
      <c r="J20" s="1"/>
      <c r="K20" s="1"/>
      <c r="L20" s="1"/>
      <c r="M20" s="1"/>
      <c r="O20" s="16"/>
      <c r="P20" s="1"/>
    </row>
    <row r="21" spans="1:16">
      <c r="A21" s="6"/>
      <c r="B21" s="7"/>
      <c r="C21" s="6"/>
      <c r="D21" s="6"/>
      <c r="E21" s="6"/>
      <c r="F21" s="1"/>
      <c r="G21" s="9"/>
      <c r="H21" s="9"/>
      <c r="I21" s="16"/>
      <c r="J21" s="1"/>
      <c r="K21" s="1"/>
      <c r="L21" s="1"/>
      <c r="M21" s="1"/>
      <c r="N21" s="42"/>
      <c r="O21" s="16"/>
      <c r="P21" s="1"/>
    </row>
    <row r="22" spans="1:16">
      <c r="A22" s="6"/>
      <c r="B22" s="7"/>
      <c r="C22" s="6"/>
      <c r="D22" s="6"/>
      <c r="E22" s="6"/>
      <c r="F22" s="1"/>
      <c r="G22" s="9"/>
      <c r="H22" s="16"/>
      <c r="I22" s="16"/>
      <c r="J22" s="1"/>
      <c r="K22" s="1"/>
      <c r="L22" s="1"/>
      <c r="M22" s="1"/>
      <c r="O22" s="16"/>
      <c r="P22" s="1"/>
    </row>
    <row r="23" spans="1:16">
      <c r="A23" s="6"/>
      <c r="B23" s="7"/>
      <c r="C23" s="6"/>
      <c r="D23" s="6"/>
      <c r="E23" s="6"/>
      <c r="F23" s="1"/>
      <c r="G23" s="9"/>
      <c r="H23" s="9"/>
      <c r="I23" s="16"/>
      <c r="J23" s="1"/>
      <c r="K23" s="1"/>
      <c r="L23" s="1"/>
      <c r="M23" s="1"/>
      <c r="O23" s="16"/>
      <c r="P23" s="1"/>
    </row>
    <row r="24" spans="1:16">
      <c r="A24" s="6"/>
      <c r="B24" s="7"/>
      <c r="C24" s="6"/>
      <c r="D24" s="6"/>
      <c r="E24" s="6"/>
      <c r="F24" s="1"/>
      <c r="G24" s="9"/>
      <c r="H24" s="16"/>
      <c r="I24" s="16"/>
      <c r="J24" s="1"/>
      <c r="K24" s="1"/>
      <c r="L24" s="1"/>
      <c r="M24" s="1"/>
      <c r="O24" s="16"/>
      <c r="P24" s="1"/>
    </row>
    <row r="25" spans="1:16">
      <c r="A25" s="6"/>
      <c r="B25" s="7"/>
      <c r="C25" s="6"/>
      <c r="D25" s="6"/>
      <c r="E25" s="6"/>
      <c r="F25" s="1"/>
      <c r="G25" s="9"/>
      <c r="H25" s="16"/>
      <c r="I25" s="16"/>
      <c r="J25" s="1"/>
      <c r="K25" s="1"/>
      <c r="L25" s="1"/>
      <c r="M25" s="1"/>
      <c r="O25" s="16"/>
      <c r="P25" s="1"/>
    </row>
    <row r="26" spans="1:16">
      <c r="A26" s="6"/>
      <c r="B26" s="7"/>
      <c r="C26" s="6"/>
      <c r="D26" s="6"/>
      <c r="E26" s="6"/>
      <c r="F26" s="1"/>
      <c r="G26" s="9"/>
      <c r="H26" s="16"/>
      <c r="I26" s="16"/>
      <c r="J26" s="1"/>
      <c r="K26" s="1"/>
      <c r="L26" s="1"/>
      <c r="M26" s="1"/>
      <c r="O26" s="16"/>
      <c r="P26" s="1"/>
    </row>
    <row r="27" spans="1:16">
      <c r="A27" s="6"/>
      <c r="B27" s="7"/>
      <c r="C27" s="6"/>
      <c r="D27" s="6"/>
      <c r="E27" s="6"/>
      <c r="F27" s="1"/>
      <c r="G27" s="9"/>
      <c r="H27" s="16"/>
      <c r="I27" s="16"/>
      <c r="J27" s="1"/>
      <c r="K27" s="1"/>
      <c r="L27" s="1"/>
      <c r="M27" s="1"/>
      <c r="O27" s="16"/>
      <c r="P27" s="1"/>
    </row>
    <row r="28" spans="1:16">
      <c r="A28" s="6"/>
      <c r="B28" s="7"/>
      <c r="C28" s="6"/>
      <c r="D28" s="6"/>
      <c r="E28" s="6"/>
      <c r="F28" s="1"/>
      <c r="G28" s="9"/>
      <c r="H28" s="9"/>
      <c r="I28" s="16"/>
      <c r="J28" s="1"/>
      <c r="K28" s="1"/>
      <c r="L28" s="1"/>
      <c r="M28" s="1"/>
      <c r="O28" s="16"/>
      <c r="P28" s="1"/>
    </row>
    <row r="29" spans="1:16">
      <c r="A29" s="6"/>
      <c r="B29" s="7"/>
      <c r="C29" s="6"/>
      <c r="D29" s="6"/>
      <c r="E29" s="6"/>
      <c r="F29" s="1"/>
      <c r="G29" s="9"/>
      <c r="H29" s="16"/>
      <c r="I29" s="16"/>
      <c r="J29" s="1"/>
      <c r="K29" s="1"/>
      <c r="L29" s="1"/>
      <c r="M29" s="1"/>
      <c r="O29" s="16"/>
      <c r="P29" s="1"/>
    </row>
    <row r="30" spans="1:16">
      <c r="A30" s="6"/>
      <c r="B30" s="7"/>
      <c r="C30" s="6"/>
      <c r="D30" s="6"/>
      <c r="E30" s="6"/>
      <c r="F30" s="1"/>
      <c r="G30" s="9"/>
      <c r="H30" s="16"/>
      <c r="I30" s="16"/>
      <c r="J30" s="1"/>
      <c r="K30" s="1"/>
      <c r="L30" s="1"/>
      <c r="M30" s="1"/>
      <c r="O30" s="16"/>
      <c r="P30" s="1"/>
    </row>
    <row r="31" spans="1:16">
      <c r="A31" s="6"/>
      <c r="B31" s="7"/>
      <c r="C31" s="6"/>
      <c r="D31" s="6"/>
      <c r="E31" s="6"/>
      <c r="F31" s="1"/>
      <c r="G31" s="9"/>
      <c r="H31" s="16"/>
      <c r="I31" s="16"/>
      <c r="J31" s="1"/>
      <c r="K31" s="1"/>
      <c r="L31" s="1"/>
      <c r="M31" s="1"/>
      <c r="O31" s="16"/>
      <c r="P31" s="1"/>
    </row>
    <row r="32" spans="1:16">
      <c r="A32" s="6"/>
      <c r="B32" s="7"/>
      <c r="C32" s="6"/>
      <c r="D32" s="6"/>
      <c r="E32" s="6"/>
      <c r="F32" s="1"/>
      <c r="G32" s="9"/>
      <c r="H32" s="16"/>
      <c r="I32" s="16"/>
      <c r="J32" s="1"/>
      <c r="K32" s="1"/>
      <c r="L32" s="1"/>
      <c r="M32" s="1"/>
      <c r="O32" s="16"/>
      <c r="P32" s="1"/>
    </row>
    <row r="33" spans="1:16">
      <c r="A33" s="6"/>
      <c r="B33" s="7"/>
      <c r="C33" s="6"/>
      <c r="D33" s="6"/>
      <c r="E33" s="6"/>
      <c r="F33" s="1"/>
      <c r="G33" s="9"/>
      <c r="H33" s="16"/>
      <c r="I33" s="16"/>
      <c r="J33" s="1"/>
      <c r="K33" s="1"/>
      <c r="L33" s="1"/>
      <c r="M33" s="1"/>
      <c r="O33" s="16"/>
      <c r="P33" s="1"/>
    </row>
    <row r="34" spans="1:16">
      <c r="A34" s="6"/>
      <c r="B34" s="7"/>
      <c r="C34" s="6"/>
      <c r="D34" s="6"/>
      <c r="E34" s="6"/>
      <c r="F34" s="1"/>
      <c r="G34" s="9"/>
      <c r="H34" s="16"/>
      <c r="I34" s="16"/>
      <c r="J34" s="1"/>
      <c r="K34" s="1"/>
      <c r="L34" s="1"/>
      <c r="M34" s="1"/>
      <c r="O34" s="16"/>
      <c r="P34" s="1"/>
    </row>
    <row r="35" spans="1:16">
      <c r="A35" s="6"/>
      <c r="B35" s="7"/>
      <c r="C35" s="6"/>
      <c r="D35" s="6"/>
      <c r="E35" s="6"/>
      <c r="F35" s="1"/>
      <c r="G35" s="9"/>
      <c r="H35" s="16"/>
      <c r="I35" s="16"/>
      <c r="J35" s="1"/>
      <c r="K35" s="1"/>
      <c r="L35" s="1"/>
      <c r="M35" s="1"/>
      <c r="O35" s="16"/>
      <c r="P35" s="1"/>
    </row>
    <row r="36" spans="1:16">
      <c r="A36" s="6"/>
      <c r="B36" s="7"/>
      <c r="C36" s="6"/>
      <c r="D36" s="6"/>
      <c r="E36" s="6"/>
      <c r="F36" s="1"/>
      <c r="G36" s="9"/>
      <c r="H36" s="16"/>
      <c r="I36" s="16"/>
      <c r="J36" s="1"/>
      <c r="K36" s="1"/>
      <c r="L36" s="1"/>
      <c r="M36" s="1"/>
      <c r="O36" s="16"/>
      <c r="P36" s="1"/>
    </row>
    <row r="37" spans="1:16">
      <c r="A37" s="6"/>
      <c r="B37" s="7"/>
      <c r="C37" s="6"/>
      <c r="D37" s="6"/>
      <c r="E37" s="6"/>
      <c r="F37" s="1"/>
      <c r="G37" s="9"/>
      <c r="H37" s="9"/>
      <c r="I37" s="16"/>
      <c r="J37" s="1"/>
      <c r="K37" s="1"/>
      <c r="L37" s="1"/>
      <c r="M37" s="1"/>
      <c r="O37" s="16"/>
      <c r="P37" s="1"/>
    </row>
    <row r="38" spans="1:16">
      <c r="A38" s="6"/>
      <c r="B38" s="7"/>
      <c r="C38" s="6"/>
      <c r="D38" s="6"/>
      <c r="E38" s="6"/>
      <c r="F38" s="1"/>
      <c r="G38" s="9"/>
      <c r="H38" s="9"/>
      <c r="I38" s="16"/>
      <c r="J38" s="1"/>
      <c r="K38" s="1"/>
      <c r="L38" s="1"/>
      <c r="M38" s="9"/>
      <c r="O38" s="16"/>
      <c r="P38" s="1"/>
    </row>
    <row r="39" spans="1:16">
      <c r="A39" s="6"/>
      <c r="B39" s="7"/>
      <c r="C39" s="6"/>
      <c r="D39" s="6"/>
      <c r="E39" s="6"/>
      <c r="F39" s="1"/>
      <c r="G39" s="9"/>
      <c r="H39" s="9"/>
      <c r="I39" s="16"/>
      <c r="J39" s="1"/>
      <c r="K39" s="1"/>
      <c r="L39" s="1"/>
      <c r="M39" s="1"/>
      <c r="O39" s="16"/>
      <c r="P39" s="1"/>
    </row>
    <row r="40" spans="1:16">
      <c r="A40" s="6"/>
      <c r="B40" s="7"/>
      <c r="C40" s="6"/>
      <c r="D40" s="6"/>
      <c r="E40" s="6"/>
      <c r="F40" s="1"/>
      <c r="G40" s="9"/>
      <c r="H40" s="9"/>
      <c r="I40" s="16"/>
      <c r="J40" s="1"/>
      <c r="K40" s="1"/>
      <c r="L40" s="1"/>
      <c r="M40" s="1"/>
      <c r="O40" s="16"/>
      <c r="P40" s="1"/>
    </row>
    <row r="41" spans="1:16">
      <c r="A41" s="6"/>
      <c r="B41" s="7"/>
      <c r="C41" s="6"/>
      <c r="D41" s="6"/>
      <c r="E41" s="6"/>
      <c r="F41" s="1"/>
      <c r="G41" s="9"/>
      <c r="H41" s="9"/>
      <c r="I41" s="16"/>
      <c r="J41" s="1"/>
      <c r="K41" s="1"/>
      <c r="L41" s="1"/>
      <c r="M41" s="1"/>
      <c r="O41" s="16"/>
      <c r="P41" s="1"/>
    </row>
    <row r="42" spans="1:16">
      <c r="A42" s="6"/>
      <c r="B42" s="7"/>
      <c r="C42" s="6"/>
      <c r="D42" s="6"/>
      <c r="E42" s="6"/>
      <c r="F42" s="1"/>
      <c r="G42" s="9"/>
      <c r="H42" s="16"/>
      <c r="I42" s="16"/>
      <c r="J42" s="1"/>
      <c r="K42" s="1"/>
      <c r="L42" s="1"/>
      <c r="M42" s="1"/>
      <c r="O42" s="16"/>
      <c r="P42" s="1"/>
    </row>
    <row r="43" spans="1:16">
      <c r="A43" s="6"/>
      <c r="B43" s="7"/>
      <c r="C43" s="6"/>
      <c r="D43" s="6"/>
      <c r="E43" s="6"/>
      <c r="F43" s="1"/>
      <c r="G43" s="9"/>
      <c r="H43" s="9"/>
      <c r="I43" s="16"/>
      <c r="J43" s="1"/>
      <c r="K43" s="1"/>
      <c r="L43" s="1"/>
      <c r="M43" s="1"/>
      <c r="O43" s="16"/>
      <c r="P43" s="1"/>
    </row>
    <row r="44" spans="1:16">
      <c r="A44" s="6"/>
      <c r="B44" s="7"/>
      <c r="C44" s="6"/>
      <c r="D44" s="6"/>
      <c r="E44" s="6"/>
      <c r="F44" s="1"/>
      <c r="G44" s="9"/>
      <c r="H44" s="16"/>
      <c r="I44" s="16"/>
      <c r="J44" s="1"/>
      <c r="K44" s="1"/>
      <c r="L44" s="1"/>
      <c r="M44" s="1"/>
      <c r="O44" s="16"/>
      <c r="P44" s="1"/>
    </row>
    <row r="45" spans="1:16">
      <c r="A45" s="6"/>
      <c r="B45" s="7"/>
      <c r="C45" s="6"/>
      <c r="D45" s="6"/>
      <c r="E45" s="6"/>
      <c r="F45" s="1"/>
      <c r="G45" s="9"/>
      <c r="H45" s="9"/>
      <c r="I45" s="16"/>
      <c r="J45" s="1"/>
      <c r="K45" s="1"/>
      <c r="L45" s="1"/>
      <c r="M45" s="1"/>
      <c r="O45" s="16"/>
      <c r="P45" s="1"/>
    </row>
    <row r="46" spans="1:16">
      <c r="A46" s="6"/>
      <c r="B46" s="7"/>
      <c r="C46" s="6"/>
      <c r="D46" s="6"/>
      <c r="E46" s="6"/>
      <c r="F46" s="1"/>
      <c r="G46" s="9"/>
      <c r="H46" s="9"/>
      <c r="I46" s="16"/>
      <c r="J46" s="1"/>
      <c r="K46" s="1"/>
      <c r="L46" s="1"/>
      <c r="M46" s="1"/>
      <c r="O46" s="16"/>
      <c r="P46" s="1"/>
    </row>
    <row r="47" spans="1:16">
      <c r="A47" s="6"/>
      <c r="B47" s="7"/>
      <c r="C47" s="6"/>
      <c r="D47" s="6"/>
      <c r="E47" s="6"/>
      <c r="F47" s="1"/>
      <c r="G47" s="9"/>
      <c r="H47" s="9"/>
      <c r="I47" s="16"/>
      <c r="J47" s="1"/>
      <c r="K47" s="1"/>
      <c r="L47" s="1"/>
      <c r="M47" s="1"/>
      <c r="N47" s="16"/>
      <c r="O47" s="16"/>
      <c r="P47" s="1"/>
    </row>
    <row r="48" spans="1:16">
      <c r="A48" s="6"/>
      <c r="B48" s="7"/>
      <c r="C48" s="6"/>
      <c r="D48" s="6"/>
      <c r="E48" s="6"/>
      <c r="F48" s="1"/>
      <c r="G48" s="9"/>
      <c r="H48" s="9"/>
      <c r="I48" s="16"/>
      <c r="J48" s="1"/>
      <c r="K48" s="1"/>
      <c r="L48" s="1"/>
      <c r="M48" s="1"/>
      <c r="O48" s="16"/>
      <c r="P48" s="1"/>
    </row>
    <row r="49" spans="1:16">
      <c r="A49" s="6"/>
      <c r="B49" s="7"/>
      <c r="C49" s="6"/>
      <c r="D49" s="6"/>
      <c r="E49" s="6"/>
      <c r="F49" s="1"/>
      <c r="G49" s="9"/>
      <c r="H49" s="9"/>
      <c r="I49" s="16"/>
      <c r="J49" s="1"/>
      <c r="K49" s="1"/>
      <c r="L49" s="1"/>
      <c r="M49" s="1"/>
      <c r="O49" s="16"/>
      <c r="P49" s="1"/>
    </row>
    <row r="50" spans="1:16">
      <c r="A50" s="6"/>
      <c r="B50" s="7"/>
      <c r="C50" s="6"/>
      <c r="D50" s="6"/>
      <c r="E50" s="6"/>
      <c r="F50" s="1"/>
      <c r="G50" s="9"/>
      <c r="H50" s="9"/>
      <c r="I50" s="16"/>
      <c r="J50" s="1"/>
      <c r="K50" s="1"/>
      <c r="L50" s="1"/>
      <c r="M50" s="9"/>
      <c r="O50" s="16"/>
      <c r="P50" s="1"/>
    </row>
    <row r="51" spans="1:16">
      <c r="A51" s="6"/>
      <c r="B51" s="7"/>
      <c r="C51" s="6"/>
      <c r="D51" s="6"/>
      <c r="E51" s="6"/>
      <c r="F51" s="1"/>
      <c r="G51" s="9"/>
      <c r="H51" s="9"/>
      <c r="I51" s="16"/>
      <c r="J51" s="1"/>
      <c r="K51" s="1"/>
      <c r="L51" s="1"/>
      <c r="M51" s="9"/>
      <c r="N51" s="16"/>
      <c r="O51" s="16"/>
      <c r="P51" s="1"/>
    </row>
    <row r="52" spans="1:16">
      <c r="A52" s="6"/>
      <c r="B52" s="7"/>
      <c r="C52" s="6"/>
      <c r="D52" s="6"/>
      <c r="E52" s="6"/>
      <c r="F52" s="1"/>
      <c r="G52" s="9"/>
      <c r="H52" s="9"/>
      <c r="I52" s="16"/>
      <c r="J52" s="1"/>
      <c r="K52" s="1"/>
      <c r="L52" s="1"/>
      <c r="M52" s="1"/>
      <c r="O52" s="16"/>
      <c r="P52" s="1"/>
    </row>
    <row r="53" spans="1:16">
      <c r="A53" s="6"/>
      <c r="B53" s="7"/>
      <c r="C53" s="6"/>
      <c r="D53" s="6"/>
      <c r="E53" s="6"/>
      <c r="F53" s="1"/>
      <c r="G53" s="9"/>
      <c r="H53" s="16"/>
      <c r="I53" s="16"/>
      <c r="J53" s="1"/>
      <c r="K53" s="1"/>
      <c r="L53" s="1"/>
      <c r="M53" s="1"/>
      <c r="O53" s="16"/>
      <c r="P53" s="1"/>
    </row>
    <row r="54" spans="1:16">
      <c r="A54" s="6"/>
      <c r="B54" s="7"/>
      <c r="C54" s="6"/>
      <c r="D54" s="6"/>
      <c r="E54" s="6"/>
      <c r="F54" s="1"/>
      <c r="G54" s="9"/>
      <c r="H54" s="16"/>
      <c r="I54" s="16"/>
      <c r="J54" s="1"/>
      <c r="K54" s="1"/>
      <c r="L54" s="1"/>
      <c r="M54" s="1"/>
      <c r="O54" s="16"/>
      <c r="P54" s="1"/>
    </row>
    <row r="55" spans="1:16">
      <c r="A55" s="6"/>
      <c r="B55" s="7"/>
      <c r="C55" s="6"/>
      <c r="D55" s="6"/>
      <c r="E55" s="6"/>
      <c r="F55" s="1"/>
      <c r="G55" s="9"/>
      <c r="H55" s="9"/>
      <c r="I55" s="16"/>
      <c r="J55" s="1"/>
      <c r="K55" s="1"/>
      <c r="L55" s="1"/>
      <c r="M55" s="1"/>
      <c r="N55" s="42"/>
      <c r="O55" s="16"/>
      <c r="P55" s="1"/>
    </row>
    <row r="56" spans="1:16">
      <c r="A56" s="6"/>
      <c r="B56" s="7"/>
      <c r="C56" s="6"/>
      <c r="D56" s="6"/>
      <c r="E56" s="6"/>
      <c r="F56" s="1"/>
      <c r="G56" s="9"/>
      <c r="H56" s="9"/>
      <c r="I56" s="16"/>
      <c r="J56" s="1"/>
      <c r="K56" s="1"/>
      <c r="L56" s="1"/>
      <c r="M56" s="1"/>
      <c r="N56" s="16"/>
      <c r="O56" s="16"/>
      <c r="P56" s="1"/>
    </row>
    <row r="57" spans="1:16">
      <c r="A57" s="6"/>
      <c r="B57" s="7"/>
      <c r="C57" s="6"/>
      <c r="D57" s="6"/>
      <c r="E57" s="6"/>
      <c r="F57" s="1"/>
      <c r="G57" s="9"/>
      <c r="H57" s="9"/>
      <c r="I57" s="16"/>
      <c r="J57" s="1"/>
      <c r="K57" s="1"/>
      <c r="L57" s="1"/>
      <c r="M57" s="1"/>
      <c r="N57" s="16"/>
      <c r="O57" s="16"/>
      <c r="P57" s="1"/>
    </row>
    <row r="58" spans="1:16">
      <c r="A58" s="6"/>
      <c r="B58" s="7"/>
      <c r="C58" s="6"/>
      <c r="D58" s="6"/>
      <c r="E58" s="6"/>
      <c r="F58" s="1"/>
      <c r="G58" s="9"/>
      <c r="H58" s="9"/>
      <c r="I58" s="16"/>
      <c r="J58" s="1"/>
      <c r="K58" s="1"/>
      <c r="L58" s="1"/>
      <c r="M58" s="1"/>
      <c r="N58" s="16"/>
      <c r="O58" s="16"/>
      <c r="P58" s="1"/>
    </row>
    <row r="59" spans="1:16">
      <c r="A59" s="6"/>
      <c r="B59" s="7"/>
      <c r="C59" s="6"/>
      <c r="D59" s="6"/>
      <c r="E59" s="6"/>
      <c r="F59" s="1"/>
      <c r="G59" s="9"/>
      <c r="H59" s="9"/>
      <c r="I59" s="16"/>
      <c r="J59" s="1"/>
      <c r="K59" s="1"/>
      <c r="L59" s="1"/>
      <c r="M59" s="1"/>
      <c r="N59" s="16"/>
      <c r="O59" s="16"/>
      <c r="P59" s="1"/>
    </row>
    <row r="60" spans="1:16">
      <c r="A60" s="6"/>
      <c r="B60" s="7"/>
      <c r="C60" s="6"/>
      <c r="D60" s="6"/>
      <c r="E60" s="6"/>
      <c r="F60" s="1"/>
      <c r="G60" s="9"/>
      <c r="H60" s="9"/>
      <c r="I60" s="16"/>
      <c r="J60" s="1"/>
      <c r="K60" s="1"/>
      <c r="L60" s="1"/>
      <c r="M60" s="1"/>
      <c r="O60" s="16"/>
      <c r="P60" s="1"/>
    </row>
    <row r="61" spans="1:16">
      <c r="A61" s="6"/>
      <c r="B61" s="7"/>
      <c r="C61" s="6"/>
      <c r="D61" s="6"/>
      <c r="E61" s="6"/>
      <c r="F61" s="1"/>
      <c r="G61" s="9"/>
      <c r="H61" s="16"/>
      <c r="I61" s="16"/>
      <c r="J61" s="1"/>
      <c r="K61" s="1"/>
      <c r="L61" s="1"/>
      <c r="M61" s="1"/>
      <c r="O61" s="16"/>
      <c r="P61" s="1"/>
    </row>
    <row r="62" spans="1:16">
      <c r="A62" s="6"/>
      <c r="B62" s="7"/>
      <c r="C62" s="6"/>
      <c r="D62" s="6"/>
      <c r="E62" s="6"/>
      <c r="F62" s="1"/>
      <c r="G62" s="9"/>
      <c r="H62" s="9"/>
      <c r="I62" s="16"/>
      <c r="J62" s="1"/>
      <c r="K62" s="1"/>
      <c r="L62" s="1"/>
      <c r="M62" s="1"/>
      <c r="N62" s="16"/>
      <c r="O62" s="16"/>
      <c r="P62" s="1"/>
    </row>
    <row r="63" spans="1:16">
      <c r="A63" s="6"/>
      <c r="B63" s="7"/>
      <c r="C63" s="6"/>
      <c r="D63" s="6"/>
      <c r="E63" s="6"/>
      <c r="F63" s="1"/>
      <c r="G63" s="9"/>
      <c r="H63" s="9"/>
      <c r="I63" s="16"/>
      <c r="J63" s="1"/>
      <c r="K63" s="1"/>
      <c r="L63" s="1"/>
      <c r="M63" s="1"/>
      <c r="N63" s="16"/>
      <c r="O63" s="16"/>
      <c r="P63" s="1"/>
    </row>
    <row r="64" spans="1:16">
      <c r="A64" s="6"/>
      <c r="B64" s="7"/>
      <c r="C64" s="6"/>
      <c r="D64" s="6"/>
      <c r="E64" s="6"/>
      <c r="F64" s="1"/>
      <c r="G64" s="9"/>
      <c r="H64" s="16"/>
      <c r="I64" s="16"/>
      <c r="J64" s="1"/>
      <c r="K64" s="1"/>
      <c r="L64" s="1"/>
      <c r="M64" s="1"/>
      <c r="O64" s="16"/>
      <c r="P64" s="1"/>
    </row>
    <row r="65" spans="1:16">
      <c r="A65" s="6"/>
      <c r="B65" s="7"/>
      <c r="C65" s="6"/>
      <c r="D65" s="6"/>
      <c r="E65" s="6"/>
      <c r="F65" s="1"/>
      <c r="G65" s="9"/>
      <c r="H65" s="16"/>
      <c r="I65" s="16"/>
      <c r="J65" s="1"/>
      <c r="K65" s="1"/>
      <c r="L65" s="1"/>
      <c r="M65" s="1"/>
      <c r="O65" s="16"/>
      <c r="P65" s="1"/>
    </row>
    <row r="66" spans="1:16">
      <c r="A66" s="8"/>
      <c r="B66" s="7"/>
      <c r="C66" s="6"/>
      <c r="D66" s="6"/>
      <c r="E66" s="6"/>
      <c r="F66" s="1"/>
      <c r="G66" s="9"/>
      <c r="H66" s="16"/>
      <c r="I66" s="16"/>
      <c r="J66" s="1"/>
      <c r="K66" s="1"/>
      <c r="L66" s="1"/>
      <c r="M66" s="1"/>
      <c r="O66" s="16"/>
      <c r="P66" s="1"/>
    </row>
    <row r="67" spans="1:16">
      <c r="A67" s="6"/>
      <c r="B67" s="7"/>
      <c r="C67" s="6"/>
      <c r="D67" s="6"/>
      <c r="E67" s="6"/>
      <c r="F67" s="1"/>
      <c r="G67" s="9"/>
      <c r="H67" s="9"/>
      <c r="I67" s="16"/>
      <c r="J67" s="1"/>
      <c r="K67" s="1"/>
      <c r="L67" s="1"/>
      <c r="M67" s="1"/>
      <c r="N67" s="16"/>
      <c r="O67" s="16"/>
      <c r="P67" s="1"/>
    </row>
    <row r="68" spans="1:16">
      <c r="A68" s="6"/>
      <c r="B68" s="7"/>
      <c r="C68" s="6"/>
      <c r="D68" s="6"/>
      <c r="E68" s="6"/>
      <c r="F68" s="1"/>
      <c r="G68" s="9"/>
      <c r="H68" s="9"/>
      <c r="I68" s="16"/>
      <c r="J68" s="1"/>
      <c r="K68" s="1"/>
      <c r="L68" s="1"/>
      <c r="M68" s="1"/>
      <c r="O68" s="16"/>
      <c r="P68" s="1"/>
    </row>
    <row r="69" spans="1:16">
      <c r="A69" s="6"/>
      <c r="B69" s="7"/>
      <c r="C69" s="6"/>
      <c r="D69" s="6"/>
      <c r="E69" s="6"/>
      <c r="F69" s="1"/>
      <c r="G69" s="9"/>
      <c r="H69" s="9"/>
      <c r="I69" s="16"/>
      <c r="J69" s="1"/>
      <c r="K69" s="1"/>
      <c r="L69" s="1"/>
      <c r="M69" s="1"/>
      <c r="N69" s="16"/>
      <c r="O69" s="16"/>
      <c r="P69" s="1"/>
    </row>
    <row r="70" spans="1:16">
      <c r="A70" s="6"/>
      <c r="B70" s="7"/>
      <c r="C70" s="6"/>
      <c r="D70" s="6"/>
      <c r="E70" s="6"/>
      <c r="F70" s="1"/>
      <c r="G70" s="9"/>
      <c r="H70" s="16"/>
      <c r="I70" s="16"/>
      <c r="J70" s="1"/>
      <c r="K70" s="1"/>
      <c r="L70" s="1"/>
      <c r="M70" s="1"/>
      <c r="O70" s="16"/>
      <c r="P70" s="1"/>
    </row>
    <row r="71" spans="1:16">
      <c r="A71" s="6"/>
      <c r="B71" s="7"/>
      <c r="C71" s="6"/>
      <c r="D71" s="6"/>
      <c r="E71" s="6"/>
      <c r="F71" s="1"/>
      <c r="G71" s="9"/>
      <c r="H71" s="9"/>
      <c r="I71" s="16"/>
      <c r="J71" s="1"/>
      <c r="K71" s="1"/>
      <c r="L71" s="1"/>
      <c r="M71" s="1"/>
      <c r="N71" s="16"/>
      <c r="O71" s="16"/>
      <c r="P71" s="1"/>
    </row>
    <row r="72" spans="1:16">
      <c r="A72" s="6"/>
      <c r="B72" s="7"/>
      <c r="C72" s="6"/>
      <c r="D72" s="6"/>
      <c r="E72" s="6"/>
      <c r="F72" s="1"/>
      <c r="G72" s="9"/>
      <c r="H72" s="9"/>
      <c r="I72" s="16"/>
      <c r="J72" s="1"/>
      <c r="K72" s="1"/>
      <c r="L72" s="1"/>
      <c r="M72" s="1"/>
      <c r="N72" s="16"/>
      <c r="O72" s="16"/>
      <c r="P72" s="1"/>
    </row>
    <row r="73" spans="1:16">
      <c r="A73" s="6"/>
      <c r="B73" s="7"/>
      <c r="C73" s="6"/>
      <c r="D73" s="6"/>
      <c r="E73" s="6"/>
      <c r="F73" s="1"/>
      <c r="G73" s="9"/>
      <c r="H73" s="16"/>
      <c r="I73" s="16"/>
      <c r="J73" s="1"/>
      <c r="K73" s="1"/>
      <c r="L73" s="1"/>
      <c r="M73" s="1"/>
      <c r="O73" s="16"/>
      <c r="P73" s="1"/>
    </row>
    <row r="74" spans="1:16">
      <c r="A74" s="6"/>
      <c r="B74" s="7"/>
      <c r="C74" s="6"/>
      <c r="D74" s="6"/>
      <c r="E74" s="6"/>
      <c r="F74" s="1"/>
      <c r="G74" s="9"/>
      <c r="H74" s="9"/>
      <c r="I74" s="16"/>
      <c r="J74" s="1"/>
      <c r="K74" s="1"/>
      <c r="L74" s="1"/>
      <c r="M74" s="1"/>
      <c r="N74" s="16"/>
      <c r="O74" s="16"/>
      <c r="P74" s="1"/>
    </row>
    <row r="75" spans="1:16">
      <c r="A75" s="6"/>
      <c r="B75" s="7"/>
      <c r="C75" s="6"/>
      <c r="D75" s="6"/>
      <c r="E75" s="6"/>
      <c r="F75" s="1"/>
      <c r="G75" s="9"/>
      <c r="H75" s="9"/>
      <c r="I75" s="16"/>
      <c r="J75" s="1"/>
      <c r="K75" s="1"/>
      <c r="L75" s="1"/>
      <c r="M75" s="1"/>
      <c r="O75" s="16"/>
      <c r="P75" s="1"/>
    </row>
    <row r="76" spans="1:16">
      <c r="A76" s="6"/>
      <c r="B76" s="7"/>
      <c r="C76" s="6"/>
      <c r="D76" s="6"/>
      <c r="E76" s="6"/>
      <c r="F76" s="1"/>
      <c r="G76" s="9"/>
      <c r="H76" s="9"/>
      <c r="I76" s="16"/>
      <c r="J76" s="1"/>
      <c r="K76" s="1"/>
      <c r="L76" s="1"/>
      <c r="M76" s="1"/>
      <c r="O76" s="16"/>
      <c r="P76" s="1"/>
    </row>
    <row r="77" spans="1:16">
      <c r="A77" s="6"/>
      <c r="B77" s="7"/>
      <c r="C77" s="6"/>
      <c r="D77" s="6"/>
      <c r="E77" s="6"/>
      <c r="F77" s="1"/>
      <c r="G77" s="9"/>
      <c r="H77" s="9"/>
      <c r="I77" s="16"/>
      <c r="J77" s="1"/>
      <c r="K77" s="1"/>
      <c r="L77" s="1"/>
      <c r="M77" s="1"/>
      <c r="N77" s="16"/>
      <c r="O77" s="16"/>
      <c r="P77" s="1"/>
    </row>
    <row r="78" spans="1:16">
      <c r="A78" s="6"/>
      <c r="B78" s="7"/>
      <c r="C78" s="6"/>
      <c r="D78" s="6"/>
      <c r="E78" s="6"/>
      <c r="F78" s="1"/>
      <c r="G78" s="9"/>
      <c r="H78" s="16"/>
      <c r="I78" s="16"/>
      <c r="J78" s="1"/>
      <c r="K78" s="1"/>
      <c r="L78" s="1"/>
      <c r="M78" s="1"/>
      <c r="O78" s="16"/>
      <c r="P78" s="1"/>
    </row>
    <row r="79" spans="1:16">
      <c r="A79" s="6"/>
      <c r="B79" s="7"/>
      <c r="C79" s="6"/>
      <c r="D79" s="6"/>
      <c r="E79" s="6"/>
      <c r="F79" s="1"/>
      <c r="G79" s="9"/>
      <c r="H79" s="9"/>
      <c r="I79" s="16"/>
      <c r="J79" s="1"/>
      <c r="K79" s="1"/>
      <c r="L79" s="1"/>
      <c r="M79" s="1"/>
      <c r="O79" s="16"/>
      <c r="P79" s="1"/>
    </row>
    <row r="80" spans="1:16">
      <c r="A80" s="6"/>
      <c r="B80" s="7"/>
      <c r="C80" s="1"/>
      <c r="D80" s="6"/>
      <c r="E80" s="6"/>
      <c r="F80" s="1"/>
      <c r="G80" s="9"/>
      <c r="H80" s="9"/>
      <c r="I80" s="16"/>
      <c r="J80" s="1"/>
      <c r="K80" s="1"/>
      <c r="L80" s="1"/>
      <c r="M80" s="1"/>
      <c r="N80" s="16"/>
      <c r="O80" s="16"/>
      <c r="P80" s="1"/>
    </row>
    <row r="81" spans="1:16">
      <c r="A81" s="6"/>
      <c r="B81" s="7"/>
      <c r="C81" s="56"/>
      <c r="D81" s="45"/>
      <c r="E81" s="6"/>
      <c r="F81" s="1"/>
      <c r="G81" s="9"/>
      <c r="H81" s="9"/>
      <c r="I81" s="16"/>
      <c r="J81" s="1"/>
      <c r="K81" s="1"/>
      <c r="L81" s="1"/>
      <c r="M81" s="1"/>
      <c r="N81" s="16"/>
      <c r="O81" s="16"/>
      <c r="P81" s="1"/>
    </row>
    <row r="82" spans="1:16">
      <c r="A82" s="6"/>
      <c r="B82" s="7"/>
      <c r="C82" s="1"/>
      <c r="D82" s="6"/>
      <c r="E82" s="6"/>
      <c r="F82" s="1"/>
      <c r="G82" s="9"/>
      <c r="H82" s="9"/>
      <c r="I82" s="16"/>
      <c r="J82" s="1"/>
      <c r="K82" s="1"/>
      <c r="L82" s="1"/>
      <c r="M82" s="1"/>
      <c r="O82" s="16"/>
      <c r="P82" s="1"/>
    </row>
    <row r="83" spans="1:16">
      <c r="A83" s="6"/>
      <c r="B83" s="57"/>
      <c r="C83" s="1"/>
      <c r="D83" s="45"/>
      <c r="E83" s="6"/>
      <c r="F83" s="1"/>
      <c r="G83" s="9"/>
      <c r="H83" s="16"/>
      <c r="I83" s="16"/>
      <c r="J83" s="1"/>
      <c r="K83" s="1"/>
      <c r="L83" s="1"/>
      <c r="M83" s="1"/>
      <c r="O83" s="16"/>
      <c r="P83" s="1"/>
    </row>
    <row r="84" spans="1:16">
      <c r="A84" s="6"/>
      <c r="B84" s="7"/>
      <c r="C84" s="1"/>
      <c r="D84" s="6"/>
      <c r="E84" s="6"/>
      <c r="F84" s="1"/>
      <c r="G84" s="9"/>
      <c r="H84" s="16"/>
      <c r="I84" s="16"/>
      <c r="J84" s="1"/>
      <c r="K84" s="1"/>
      <c r="L84" s="1"/>
      <c r="M84" s="1"/>
      <c r="O84" s="16"/>
      <c r="P84" s="1"/>
    </row>
    <row r="85" spans="1:16">
      <c r="A85" s="6"/>
      <c r="B85" s="7"/>
      <c r="C85" s="1"/>
      <c r="D85" s="6"/>
      <c r="E85" s="6"/>
      <c r="F85" s="1"/>
      <c r="G85" s="9"/>
      <c r="H85" s="9"/>
      <c r="I85" s="16"/>
      <c r="J85" s="1"/>
      <c r="K85" s="1"/>
      <c r="L85" s="1"/>
      <c r="M85" s="1"/>
      <c r="N85" s="16"/>
      <c r="O85" s="16"/>
      <c r="P85" s="1"/>
    </row>
    <row r="86" spans="1:16">
      <c r="A86" s="6"/>
      <c r="B86" s="43"/>
      <c r="C86" s="1"/>
      <c r="D86" s="6"/>
      <c r="E86" s="6"/>
      <c r="F86" s="1"/>
      <c r="G86" s="9"/>
      <c r="H86" s="16"/>
      <c r="I86" s="16"/>
      <c r="J86" s="1"/>
      <c r="K86" s="1"/>
      <c r="L86" s="1"/>
      <c r="M86" s="1"/>
      <c r="N86" s="16"/>
      <c r="O86" s="16"/>
      <c r="P86" s="1"/>
    </row>
    <row r="87" spans="1:16">
      <c r="A87" s="6"/>
      <c r="B87" s="7"/>
      <c r="C87" s="1"/>
      <c r="D87" s="6"/>
      <c r="E87" s="6"/>
      <c r="F87" s="1"/>
      <c r="G87" s="9"/>
      <c r="H87" s="9"/>
      <c r="I87" s="16"/>
      <c r="J87" s="1"/>
      <c r="K87" s="1"/>
      <c r="L87" s="1"/>
      <c r="M87" s="1"/>
      <c r="O87" s="16"/>
      <c r="P87" s="1"/>
    </row>
    <row r="88" spans="1:16">
      <c r="A88" s="6"/>
      <c r="B88" s="7"/>
      <c r="C88" s="1"/>
      <c r="D88" s="6"/>
      <c r="E88" s="6"/>
      <c r="F88" s="1"/>
      <c r="G88" s="9"/>
      <c r="H88" s="9"/>
      <c r="I88" s="16"/>
      <c r="J88" s="1"/>
      <c r="K88" s="1"/>
      <c r="L88" s="1"/>
      <c r="M88" s="1"/>
      <c r="O88" s="16"/>
      <c r="P88" s="1"/>
    </row>
    <row r="89" spans="1:16">
      <c r="A89" s="6"/>
      <c r="B89" s="7"/>
      <c r="C89" s="1"/>
      <c r="D89" s="6"/>
      <c r="E89" s="6"/>
      <c r="F89" s="1"/>
      <c r="G89" s="9"/>
      <c r="H89" s="9"/>
      <c r="I89" s="16"/>
      <c r="J89" s="1"/>
      <c r="K89" s="1"/>
      <c r="L89" s="1"/>
      <c r="M89" s="1"/>
      <c r="O89" s="16"/>
      <c r="P89" s="1"/>
    </row>
    <row r="90" spans="1:16">
      <c r="A90" s="6"/>
      <c r="B90" s="7"/>
      <c r="C90" s="1"/>
      <c r="D90" s="6"/>
      <c r="E90" s="6"/>
      <c r="F90" s="1"/>
      <c r="G90" s="9"/>
      <c r="H90" s="9"/>
      <c r="I90" s="16"/>
      <c r="J90" s="1"/>
      <c r="K90" s="1"/>
      <c r="L90" s="1"/>
      <c r="M90" s="1"/>
      <c r="O90" s="16"/>
      <c r="P90" s="1"/>
    </row>
    <row r="91" spans="1:16">
      <c r="A91" s="6"/>
      <c r="B91" s="7"/>
      <c r="C91" s="1"/>
      <c r="D91" s="6"/>
      <c r="E91" s="6"/>
      <c r="F91" s="1"/>
      <c r="G91" s="9"/>
      <c r="H91" s="9"/>
      <c r="I91" s="16"/>
      <c r="J91" s="1"/>
      <c r="K91" s="1"/>
      <c r="L91" s="1"/>
      <c r="M91" s="1"/>
      <c r="O91" s="16"/>
      <c r="P91" s="1"/>
    </row>
    <row r="92" spans="1:16">
      <c r="A92" s="6"/>
      <c r="B92" s="7"/>
      <c r="C92" s="1"/>
      <c r="D92" s="6"/>
      <c r="E92" s="6"/>
      <c r="F92" s="1"/>
      <c r="G92" s="9"/>
      <c r="H92" s="9"/>
      <c r="I92" s="16"/>
      <c r="J92" s="1"/>
      <c r="K92" s="1"/>
      <c r="L92" s="1"/>
      <c r="M92" s="1"/>
      <c r="O92" s="16"/>
      <c r="P92" s="1"/>
    </row>
    <row r="93" spans="1:16">
      <c r="A93" s="58"/>
      <c r="B93" s="7"/>
      <c r="C93" s="1"/>
      <c r="D93" s="6"/>
      <c r="E93" s="6"/>
      <c r="F93" s="1"/>
      <c r="G93" s="9"/>
      <c r="H93" s="9"/>
      <c r="I93" s="16"/>
      <c r="J93" s="1"/>
      <c r="K93" s="1"/>
      <c r="L93" s="1"/>
      <c r="M93" s="1"/>
      <c r="O93" s="16"/>
      <c r="P93" s="1"/>
    </row>
    <row r="94" spans="1:16">
      <c r="A94" s="6"/>
      <c r="B94" s="7"/>
      <c r="C94" s="1"/>
      <c r="D94" s="6"/>
      <c r="E94" s="6"/>
      <c r="F94" s="1"/>
      <c r="G94" s="9"/>
      <c r="H94" s="9"/>
      <c r="I94" s="16"/>
      <c r="J94" s="1"/>
      <c r="K94" s="1"/>
      <c r="L94" s="1"/>
      <c r="M94" s="1"/>
      <c r="O94" s="16"/>
      <c r="P94" s="1"/>
    </row>
    <row r="95" spans="1:16">
      <c r="A95" s="6"/>
      <c r="B95" s="7"/>
      <c r="C95" s="1"/>
      <c r="D95" s="6"/>
      <c r="E95" s="6"/>
      <c r="F95" s="1"/>
      <c r="G95" s="9"/>
      <c r="H95" s="9"/>
      <c r="I95" s="16"/>
      <c r="J95" s="1"/>
      <c r="K95" s="1"/>
      <c r="L95" s="1"/>
      <c r="M95" s="1"/>
      <c r="O95" s="16"/>
      <c r="P95" s="1"/>
    </row>
    <row r="96" spans="1:16">
      <c r="A96" s="6"/>
      <c r="B96" s="7"/>
      <c r="C96" s="1"/>
      <c r="D96" s="6"/>
      <c r="E96" s="6"/>
      <c r="F96" s="1"/>
      <c r="G96" s="9"/>
      <c r="H96" s="9"/>
      <c r="I96" s="16"/>
      <c r="J96" s="1"/>
      <c r="K96" s="1"/>
      <c r="L96" s="1"/>
      <c r="M96" s="1"/>
      <c r="O96" s="16"/>
      <c r="P96" s="1"/>
    </row>
    <row r="97" spans="1:16">
      <c r="A97" s="6"/>
      <c r="B97" s="7"/>
      <c r="C97" s="1"/>
      <c r="D97" s="6"/>
      <c r="E97" s="6"/>
      <c r="F97" s="1"/>
      <c r="G97" s="9"/>
      <c r="H97" s="9"/>
      <c r="I97" s="16"/>
      <c r="J97" s="1"/>
      <c r="K97" s="1"/>
      <c r="L97" s="1"/>
      <c r="M97" s="1"/>
      <c r="O97" s="16"/>
      <c r="P97" s="1"/>
    </row>
    <row r="98" spans="1:16">
      <c r="A98" s="6"/>
      <c r="B98" s="7"/>
      <c r="C98" s="1"/>
      <c r="D98" s="6"/>
      <c r="E98" s="6"/>
      <c r="F98" s="1"/>
      <c r="G98" s="9"/>
      <c r="H98" s="9"/>
      <c r="I98" s="16"/>
      <c r="J98" s="1"/>
      <c r="K98" s="1"/>
      <c r="L98" s="1"/>
      <c r="M98" s="1"/>
      <c r="N98" s="16"/>
      <c r="O98" s="16"/>
      <c r="P98" s="1"/>
    </row>
    <row r="99" spans="1:16">
      <c r="A99" s="6"/>
      <c r="B99" s="7"/>
      <c r="C99" s="1"/>
      <c r="D99" s="6"/>
      <c r="E99" s="6"/>
      <c r="F99" s="1"/>
      <c r="G99" s="9"/>
      <c r="H99" s="9"/>
      <c r="I99" s="16"/>
      <c r="J99" s="1"/>
      <c r="K99" s="1"/>
      <c r="L99" s="1"/>
      <c r="M99" s="1"/>
      <c r="N99" s="16"/>
      <c r="O99" s="16"/>
      <c r="P99" s="1"/>
    </row>
    <row r="100" spans="1:16">
      <c r="A100" s="6"/>
      <c r="B100" s="7"/>
      <c r="C100" s="1"/>
      <c r="D100" s="6"/>
      <c r="E100" s="45"/>
      <c r="F100" s="1"/>
      <c r="G100" s="9"/>
      <c r="H100" s="9"/>
      <c r="I100" s="16"/>
      <c r="J100" s="1"/>
      <c r="K100" s="1"/>
      <c r="L100" s="1"/>
      <c r="M100" s="1"/>
      <c r="N100" s="16"/>
      <c r="O100" s="16"/>
      <c r="P100" s="1"/>
    </row>
    <row r="101" spans="1:16">
      <c r="A101" s="6"/>
      <c r="B101" s="7"/>
      <c r="C101" s="1"/>
      <c r="D101" s="6"/>
      <c r="E101" s="6"/>
      <c r="F101" s="1"/>
      <c r="G101" s="9"/>
      <c r="H101" s="9"/>
      <c r="I101" s="16"/>
      <c r="J101" s="1"/>
      <c r="K101" s="1"/>
      <c r="L101" s="1"/>
      <c r="M101" s="1"/>
      <c r="O101" s="16"/>
      <c r="P101" s="1"/>
    </row>
    <row r="102" spans="1:16">
      <c r="A102" s="6"/>
      <c r="B102" s="7"/>
      <c r="C102" s="1"/>
      <c r="D102" s="6"/>
      <c r="E102" s="6"/>
      <c r="F102" s="1"/>
      <c r="G102" s="9"/>
      <c r="H102" s="9"/>
      <c r="I102" s="16"/>
      <c r="J102" s="1"/>
      <c r="K102" s="1"/>
      <c r="L102" s="1"/>
      <c r="M102" s="1"/>
      <c r="O102" s="16"/>
      <c r="P102" s="1"/>
    </row>
    <row r="103" spans="1:16">
      <c r="A103" s="6"/>
      <c r="B103" s="7"/>
      <c r="C103" s="1"/>
      <c r="D103" s="6"/>
      <c r="E103" s="6"/>
      <c r="F103" s="1"/>
      <c r="G103" s="9"/>
      <c r="H103" s="9"/>
      <c r="I103" s="16"/>
      <c r="J103" s="1"/>
      <c r="K103" s="1"/>
      <c r="L103" s="1"/>
      <c r="M103" s="1"/>
      <c r="O103" s="16"/>
      <c r="P103" s="1"/>
    </row>
    <row r="104" spans="1:16">
      <c r="A104" s="6"/>
      <c r="B104" s="7"/>
      <c r="C104" s="1"/>
      <c r="D104" s="6"/>
      <c r="E104" s="6"/>
      <c r="F104" s="1"/>
      <c r="G104" s="9"/>
      <c r="H104" s="9"/>
      <c r="I104" s="16"/>
      <c r="J104" s="1"/>
      <c r="K104" s="1"/>
      <c r="L104" s="1"/>
      <c r="M104" s="1"/>
      <c r="O104" s="16"/>
      <c r="P104" s="1"/>
    </row>
    <row r="105" spans="1:16">
      <c r="A105" s="6"/>
      <c r="B105" s="7"/>
      <c r="C105" s="1"/>
      <c r="D105" s="6"/>
      <c r="E105" s="6"/>
      <c r="F105" s="1"/>
      <c r="G105" s="9"/>
      <c r="H105" s="9"/>
      <c r="I105" s="16"/>
      <c r="J105" s="1"/>
      <c r="K105" s="1"/>
      <c r="L105" s="1"/>
      <c r="M105" s="1"/>
      <c r="O105" s="16"/>
      <c r="P105" s="1"/>
    </row>
    <row r="106" spans="1:16">
      <c r="A106" s="49"/>
      <c r="B106" s="7"/>
      <c r="C106" s="1"/>
      <c r="D106" s="6"/>
      <c r="E106" s="6"/>
      <c r="F106" s="1"/>
      <c r="G106" s="9"/>
      <c r="H106" s="9"/>
      <c r="I106" s="16"/>
      <c r="J106" s="1"/>
      <c r="K106" s="1"/>
      <c r="L106" s="1"/>
      <c r="M106" s="1"/>
      <c r="O106" s="16"/>
      <c r="P106" s="1"/>
    </row>
    <row r="107" spans="1:16">
      <c r="A107" s="6"/>
      <c r="B107" s="7"/>
      <c r="C107" s="1"/>
      <c r="D107" s="6"/>
      <c r="E107" s="6"/>
      <c r="F107" s="1"/>
      <c r="G107" s="9"/>
      <c r="H107" s="9"/>
      <c r="I107" s="16"/>
      <c r="J107" s="1"/>
      <c r="K107" s="1"/>
      <c r="L107" s="1"/>
      <c r="M107" s="1"/>
      <c r="O107" s="16"/>
      <c r="P107" s="1"/>
    </row>
    <row r="108" spans="1:16">
      <c r="A108" s="6"/>
      <c r="B108" s="7"/>
      <c r="C108" s="1"/>
      <c r="D108" s="6"/>
      <c r="E108" s="6"/>
      <c r="F108" s="1"/>
      <c r="G108" s="9"/>
      <c r="H108" s="9"/>
      <c r="I108" s="16"/>
      <c r="J108" s="1"/>
      <c r="K108" s="1"/>
      <c r="L108" s="1"/>
      <c r="M108" s="1"/>
      <c r="O108" s="16"/>
      <c r="P108" s="1"/>
    </row>
    <row r="109" spans="1:16">
      <c r="A109" s="6"/>
      <c r="B109" s="7"/>
      <c r="C109" s="1"/>
      <c r="D109" s="6"/>
      <c r="E109" s="6"/>
      <c r="F109" s="1"/>
      <c r="G109" s="9"/>
      <c r="H109" s="16"/>
      <c r="I109" s="16"/>
      <c r="J109" s="1"/>
      <c r="K109" s="1"/>
      <c r="L109" s="1"/>
      <c r="M109" s="1"/>
      <c r="O109" s="16"/>
      <c r="P109" s="1"/>
    </row>
    <row r="110" spans="1:16">
      <c r="A110" s="6"/>
      <c r="B110" s="7"/>
      <c r="C110" s="1"/>
      <c r="D110" s="6"/>
      <c r="E110" s="38"/>
      <c r="F110" s="1"/>
      <c r="G110" s="9"/>
      <c r="H110" s="16"/>
      <c r="I110" s="16"/>
      <c r="J110" s="1"/>
      <c r="K110" s="1"/>
      <c r="L110" s="1"/>
      <c r="M110" s="1"/>
      <c r="O110" s="16"/>
      <c r="P110" s="1"/>
    </row>
    <row r="111" spans="1:16">
      <c r="A111" s="6"/>
      <c r="B111" s="7"/>
      <c r="C111" s="1"/>
      <c r="D111" s="6"/>
      <c r="E111" s="6"/>
      <c r="F111" s="1"/>
      <c r="G111" s="9"/>
      <c r="H111" s="9"/>
      <c r="I111" s="16"/>
      <c r="J111" s="1"/>
      <c r="K111" s="1"/>
      <c r="L111" s="1"/>
      <c r="M111" s="1"/>
      <c r="O111" s="16"/>
      <c r="P111" s="1"/>
    </row>
    <row r="112" spans="1:16">
      <c r="A112" s="6"/>
      <c r="B112" s="7"/>
      <c r="C112" s="1"/>
      <c r="D112" s="6"/>
      <c r="E112" s="6"/>
      <c r="F112" s="1"/>
      <c r="G112" s="9"/>
      <c r="H112" s="9"/>
      <c r="I112" s="16"/>
      <c r="J112" s="1"/>
      <c r="K112" s="1"/>
      <c r="L112" s="1"/>
      <c r="M112" s="1"/>
      <c r="O112" s="16"/>
      <c r="P112" s="1"/>
    </row>
    <row r="113" spans="1:16">
      <c r="A113" s="6"/>
      <c r="B113" s="7"/>
      <c r="C113" s="1"/>
      <c r="D113" s="6"/>
      <c r="E113" s="6"/>
      <c r="F113" s="1"/>
      <c r="G113" s="9"/>
      <c r="H113" s="9"/>
      <c r="I113" s="16"/>
      <c r="J113" s="1"/>
      <c r="K113" s="1"/>
      <c r="L113" s="1"/>
      <c r="M113" s="1"/>
      <c r="N113" s="16"/>
      <c r="O113" s="16"/>
      <c r="P113" s="1"/>
    </row>
    <row r="114" spans="1:16">
      <c r="A114" s="6"/>
      <c r="B114" s="7"/>
      <c r="C114" s="1"/>
      <c r="D114" s="6"/>
      <c r="E114" s="6"/>
      <c r="F114" s="1"/>
      <c r="G114" s="9"/>
      <c r="H114" s="9"/>
      <c r="I114" s="16"/>
      <c r="J114" s="1"/>
      <c r="K114" s="1"/>
      <c r="L114" s="1"/>
      <c r="M114" s="1"/>
      <c r="O114" s="16"/>
      <c r="P114" s="1"/>
    </row>
    <row r="115" spans="1:16">
      <c r="A115" s="6"/>
      <c r="B115" s="7"/>
      <c r="C115" s="1"/>
      <c r="D115" s="6"/>
      <c r="E115" s="6"/>
      <c r="F115" s="1"/>
      <c r="G115" s="9"/>
      <c r="H115" s="9"/>
      <c r="I115" s="16"/>
      <c r="J115" s="1"/>
      <c r="K115" s="1"/>
      <c r="L115" s="1"/>
      <c r="M115" s="1"/>
      <c r="O115" s="16"/>
      <c r="P115" s="1"/>
    </row>
    <row r="116" spans="1:16">
      <c r="A116" s="6"/>
      <c r="B116" s="7"/>
      <c r="C116" s="1"/>
      <c r="D116" s="6"/>
      <c r="E116" s="6"/>
      <c r="F116" s="1"/>
      <c r="G116" s="9"/>
      <c r="H116" s="9"/>
      <c r="I116" s="16"/>
      <c r="J116" s="1"/>
      <c r="K116" s="1"/>
      <c r="L116" s="1"/>
      <c r="M116" s="1"/>
      <c r="O116" s="16"/>
      <c r="P116" s="1"/>
    </row>
    <row r="117" spans="1:16">
      <c r="A117" s="6"/>
      <c r="B117" s="7"/>
      <c r="C117" s="1"/>
      <c r="D117" s="6"/>
      <c r="E117" s="6"/>
      <c r="F117" s="1"/>
      <c r="G117" s="9"/>
      <c r="H117" s="9"/>
      <c r="I117" s="16"/>
      <c r="J117" s="1"/>
      <c r="K117" s="1"/>
      <c r="L117" s="1"/>
      <c r="M117" s="1"/>
      <c r="N117" s="16"/>
      <c r="O117" s="16"/>
      <c r="P117" s="1"/>
    </row>
    <row r="118" spans="1:16">
      <c r="A118" s="6"/>
      <c r="B118" s="7"/>
      <c r="C118" s="1"/>
      <c r="D118" s="6"/>
      <c r="E118" s="6"/>
      <c r="F118" s="1"/>
      <c r="G118" s="9"/>
      <c r="H118" s="9"/>
      <c r="I118" s="16"/>
      <c r="J118" s="1"/>
      <c r="K118" s="1"/>
      <c r="L118" s="1"/>
      <c r="M118" s="1"/>
      <c r="O118" s="16"/>
      <c r="P118" s="1"/>
    </row>
    <row r="119" spans="1:16">
      <c r="A119" s="6"/>
      <c r="B119" s="7"/>
      <c r="C119" s="1"/>
      <c r="D119" s="6"/>
      <c r="E119" s="6"/>
      <c r="F119" s="1"/>
      <c r="G119" s="9"/>
      <c r="H119" s="9"/>
      <c r="I119" s="16"/>
      <c r="J119" s="1"/>
      <c r="K119" s="1"/>
      <c r="L119" s="1"/>
      <c r="M119" s="1"/>
      <c r="N119" s="16"/>
      <c r="O119" s="16"/>
      <c r="P119" s="1"/>
    </row>
    <row r="120" spans="1:16">
      <c r="A120" s="6"/>
      <c r="B120" s="7"/>
      <c r="C120" s="1"/>
      <c r="D120" s="6"/>
      <c r="E120" s="6"/>
      <c r="F120" s="1"/>
      <c r="G120" s="9"/>
      <c r="H120" s="9"/>
      <c r="I120" s="16"/>
      <c r="J120" s="1"/>
      <c r="K120" s="1"/>
      <c r="L120" s="1"/>
      <c r="M120" s="1"/>
      <c r="O120" s="16"/>
      <c r="P120" s="1"/>
    </row>
    <row r="121" spans="1:16">
      <c r="A121" s="6"/>
      <c r="B121" s="7"/>
      <c r="C121" s="1"/>
      <c r="D121" s="6"/>
      <c r="E121" s="6"/>
      <c r="F121" s="1"/>
      <c r="G121" s="9"/>
      <c r="H121" s="16"/>
      <c r="I121" s="16"/>
      <c r="J121" s="1"/>
      <c r="K121" s="1"/>
      <c r="L121" s="1"/>
      <c r="M121" s="1"/>
      <c r="O121" s="16"/>
      <c r="P121" s="1"/>
    </row>
    <row r="122" spans="1:16">
      <c r="A122" s="6"/>
      <c r="B122" s="7"/>
      <c r="C122" s="1"/>
      <c r="D122" s="6"/>
      <c r="E122" s="6"/>
      <c r="F122" s="1"/>
      <c r="G122" s="9"/>
      <c r="H122" s="9"/>
      <c r="I122" s="16"/>
      <c r="J122" s="1"/>
      <c r="K122" s="1"/>
      <c r="L122" s="1"/>
      <c r="M122" s="1"/>
      <c r="O122" s="16"/>
      <c r="P122" s="1"/>
    </row>
    <row r="123" spans="1:16">
      <c r="A123" s="6"/>
      <c r="B123" s="7"/>
      <c r="C123" s="1"/>
      <c r="D123" s="6"/>
      <c r="E123" s="6"/>
      <c r="F123" s="1"/>
      <c r="G123" s="9"/>
      <c r="H123" s="9"/>
      <c r="I123" s="16"/>
      <c r="J123" s="1"/>
      <c r="K123" s="1"/>
      <c r="L123" s="1"/>
      <c r="M123" s="1"/>
      <c r="O123" s="16"/>
      <c r="P123" s="1"/>
    </row>
    <row r="124" spans="1:16">
      <c r="A124" s="6"/>
      <c r="B124" s="7"/>
      <c r="C124" s="1"/>
      <c r="D124" s="6"/>
      <c r="E124" s="59"/>
      <c r="F124" s="1"/>
      <c r="G124" s="9"/>
      <c r="H124" s="9"/>
      <c r="I124" s="16"/>
      <c r="J124" s="1"/>
      <c r="K124" s="1"/>
      <c r="L124" s="1"/>
      <c r="M124" s="1"/>
      <c r="O124" s="16"/>
      <c r="P124" s="1"/>
    </row>
    <row r="125" spans="1:16">
      <c r="A125" s="6"/>
      <c r="B125" s="7"/>
      <c r="C125" s="1"/>
      <c r="D125" s="59"/>
      <c r="E125" s="6"/>
      <c r="F125" s="1"/>
      <c r="G125" s="9"/>
      <c r="H125" s="9"/>
      <c r="I125" s="16"/>
      <c r="J125" s="1"/>
      <c r="K125" s="1"/>
      <c r="L125" s="1"/>
      <c r="M125" s="1"/>
      <c r="O125" s="16"/>
      <c r="P125" s="1"/>
    </row>
    <row r="126" spans="1:16">
      <c r="A126" s="6"/>
      <c r="B126" s="7"/>
      <c r="C126" s="1"/>
      <c r="D126" s="6"/>
      <c r="E126" s="6"/>
      <c r="F126" s="1"/>
      <c r="G126" s="9"/>
      <c r="H126" s="16"/>
      <c r="I126" s="16"/>
      <c r="J126" s="1"/>
      <c r="K126" s="1"/>
      <c r="L126" s="1"/>
      <c r="M126" s="1"/>
      <c r="O126" s="16"/>
      <c r="P126" s="1"/>
    </row>
    <row r="127" spans="1:16">
      <c r="A127" s="6"/>
      <c r="B127" s="7"/>
      <c r="C127" s="1"/>
      <c r="D127" s="6"/>
      <c r="E127" s="6"/>
      <c r="F127" s="1"/>
      <c r="G127" s="9"/>
      <c r="H127" s="9"/>
      <c r="I127" s="16"/>
      <c r="J127" s="1"/>
      <c r="K127" s="1"/>
      <c r="L127" s="1"/>
      <c r="M127" s="1"/>
      <c r="N127" s="16"/>
      <c r="O127" s="16"/>
      <c r="P127" s="1"/>
    </row>
    <row r="128" spans="1:16">
      <c r="A128" s="6"/>
      <c r="B128" s="7"/>
      <c r="C128" s="1"/>
      <c r="D128" s="6"/>
      <c r="E128" s="6"/>
      <c r="F128" s="1"/>
      <c r="G128" s="9"/>
      <c r="H128" s="9"/>
      <c r="I128" s="16"/>
      <c r="J128" s="1"/>
      <c r="K128" s="1"/>
      <c r="L128" s="1"/>
      <c r="M128" s="1"/>
      <c r="N128" s="16"/>
      <c r="O128" s="16"/>
      <c r="P128" s="1"/>
    </row>
    <row r="129" spans="1:16">
      <c r="A129" s="6"/>
      <c r="B129" s="7"/>
      <c r="C129" s="1"/>
      <c r="D129" s="6"/>
      <c r="E129" s="6"/>
      <c r="F129" s="1"/>
      <c r="G129" s="9"/>
      <c r="H129" s="9"/>
      <c r="I129" s="16"/>
      <c r="J129" s="1"/>
      <c r="K129" s="1"/>
      <c r="L129" s="1"/>
      <c r="M129" s="1"/>
      <c r="N129" s="16"/>
      <c r="O129" s="16"/>
      <c r="P129" s="1"/>
    </row>
    <row r="130" spans="1:16">
      <c r="B130" s="7"/>
      <c r="C130" s="1"/>
      <c r="D130" s="6"/>
      <c r="E130" s="6"/>
      <c r="F130" s="1"/>
      <c r="G130" s="9"/>
      <c r="H130" s="9"/>
      <c r="I130" s="16"/>
      <c r="J130" s="1"/>
      <c r="K130" s="1"/>
      <c r="L130" s="1"/>
      <c r="M130" s="1"/>
      <c r="O130" s="16"/>
      <c r="P130" s="1"/>
    </row>
    <row r="131" spans="1:16">
      <c r="A131" s="6"/>
      <c r="B131" s="7"/>
      <c r="C131" s="1"/>
      <c r="D131" s="6"/>
      <c r="E131" s="6"/>
      <c r="F131" s="1"/>
      <c r="G131" s="9"/>
      <c r="H131" s="16"/>
      <c r="I131" s="16"/>
      <c r="J131" s="1"/>
      <c r="K131" s="1"/>
      <c r="L131" s="1"/>
      <c r="M131" s="1"/>
      <c r="O131" s="16"/>
      <c r="P131" s="1"/>
    </row>
    <row r="132" spans="1:16">
      <c r="A132" s="6"/>
      <c r="B132" s="54"/>
      <c r="C132" s="1"/>
      <c r="D132" s="6"/>
      <c r="E132" s="6"/>
      <c r="F132" s="1"/>
      <c r="G132" s="9"/>
      <c r="H132" s="9"/>
      <c r="I132" s="16"/>
      <c r="J132" s="1"/>
      <c r="K132" s="1"/>
      <c r="L132" s="1"/>
      <c r="M132" s="1"/>
      <c r="O132" s="16"/>
      <c r="P132" s="1"/>
    </row>
    <row r="133" spans="1:16">
      <c r="A133" s="6"/>
      <c r="B133" s="7"/>
      <c r="C133" s="1"/>
      <c r="D133" s="45"/>
      <c r="E133" s="45"/>
      <c r="F133" s="1"/>
      <c r="G133" s="9"/>
      <c r="H133" s="9"/>
      <c r="I133" s="16"/>
      <c r="J133" s="1"/>
      <c r="K133" s="1"/>
      <c r="L133" s="1"/>
      <c r="M133" s="1"/>
      <c r="O133" s="16"/>
      <c r="P133" s="1"/>
    </row>
    <row r="134" spans="1:16">
      <c r="A134" s="58"/>
      <c r="B134" s="7"/>
      <c r="C134" s="1"/>
      <c r="D134" s="38"/>
      <c r="E134" s="38"/>
      <c r="F134" s="1"/>
      <c r="G134" s="9"/>
      <c r="H134" s="9"/>
      <c r="I134" s="16"/>
      <c r="J134" s="1"/>
      <c r="K134" s="1"/>
      <c r="L134" s="1"/>
      <c r="M134" s="1"/>
      <c r="N134" s="16"/>
      <c r="O134" s="16"/>
      <c r="P134" s="1"/>
    </row>
    <row r="135" spans="1:16">
      <c r="A135" s="6"/>
      <c r="B135" s="7"/>
      <c r="C135" s="1"/>
      <c r="D135" s="6"/>
      <c r="E135" s="6"/>
      <c r="F135" s="1"/>
      <c r="G135" s="9"/>
      <c r="H135" s="9"/>
      <c r="I135" s="16"/>
      <c r="J135" s="1"/>
      <c r="K135" s="1"/>
      <c r="L135" s="1"/>
      <c r="M135" s="1"/>
      <c r="O135" s="16"/>
      <c r="P135" s="1"/>
    </row>
    <row r="136" spans="1:16">
      <c r="A136" s="6"/>
      <c r="B136" s="7"/>
      <c r="C136" s="1"/>
      <c r="D136" s="6"/>
      <c r="E136" s="6"/>
      <c r="F136" s="1"/>
      <c r="G136" s="9"/>
      <c r="H136" s="9"/>
      <c r="I136" s="16"/>
      <c r="J136" s="1"/>
      <c r="K136" s="1"/>
      <c r="L136" s="1"/>
      <c r="M136" s="1"/>
      <c r="O136" s="16"/>
      <c r="P136" s="1"/>
    </row>
    <row r="137" spans="1:16">
      <c r="A137" s="6"/>
      <c r="B137" s="7"/>
      <c r="C137" s="1"/>
      <c r="D137" s="6"/>
      <c r="E137" s="6"/>
      <c r="F137" s="1"/>
      <c r="G137" s="9"/>
      <c r="H137" s="9"/>
      <c r="I137" s="16"/>
      <c r="J137" s="1"/>
      <c r="K137" s="1"/>
      <c r="L137" s="1"/>
      <c r="M137" s="1"/>
      <c r="N137" s="16"/>
      <c r="O137" s="16"/>
      <c r="P137" s="1"/>
    </row>
    <row r="138" spans="1:16">
      <c r="A138" s="6"/>
      <c r="B138" s="7"/>
      <c r="C138" s="1"/>
      <c r="D138" s="6"/>
      <c r="E138" s="6"/>
      <c r="F138" s="1"/>
      <c r="G138" s="9"/>
      <c r="H138" s="16"/>
      <c r="I138" s="16"/>
      <c r="J138" s="1"/>
      <c r="K138" s="1"/>
      <c r="L138" s="1"/>
      <c r="M138" s="1"/>
      <c r="O138" s="16"/>
      <c r="P138" s="1"/>
    </row>
    <row r="139" spans="1:16">
      <c r="A139" s="67"/>
      <c r="B139" s="68"/>
      <c r="C139" s="71"/>
      <c r="D139" s="67"/>
      <c r="E139" s="67"/>
      <c r="F139" s="71"/>
      <c r="G139" s="72"/>
      <c r="H139" s="9"/>
      <c r="I139" s="16"/>
      <c r="J139" s="1"/>
      <c r="K139" s="1"/>
      <c r="L139" s="1"/>
      <c r="M139" s="1"/>
      <c r="N139" s="16"/>
      <c r="O139" s="16"/>
      <c r="P139" s="1"/>
    </row>
    <row r="140" spans="1:16">
      <c r="A140" s="67"/>
      <c r="B140" s="68"/>
      <c r="C140" s="71"/>
      <c r="D140" s="67"/>
      <c r="E140" s="67"/>
      <c r="F140" s="71"/>
      <c r="G140" s="72"/>
      <c r="H140" s="16"/>
      <c r="I140" s="16"/>
      <c r="J140" s="1"/>
      <c r="K140" s="1"/>
      <c r="L140" s="1"/>
      <c r="M140" s="1"/>
      <c r="O140" s="16"/>
      <c r="P140" s="1"/>
    </row>
    <row r="141" spans="1:16">
      <c r="A141" s="44"/>
      <c r="B141" s="68"/>
      <c r="C141" s="71"/>
      <c r="D141" s="67"/>
      <c r="E141" s="67"/>
      <c r="F141" s="71"/>
      <c r="G141" s="72"/>
      <c r="H141" s="16"/>
      <c r="I141" s="16"/>
      <c r="J141" s="1"/>
      <c r="K141" s="1"/>
      <c r="L141" s="1"/>
      <c r="M141" s="1"/>
      <c r="O141" s="16"/>
      <c r="P141" s="1"/>
    </row>
    <row r="142" spans="1:16">
      <c r="A142" s="67"/>
      <c r="B142" s="73"/>
      <c r="C142" s="69"/>
      <c r="D142" s="69"/>
      <c r="E142" s="69"/>
      <c r="F142" s="71"/>
      <c r="G142" s="72"/>
      <c r="H142" s="9"/>
      <c r="I142" s="16"/>
      <c r="J142" s="1"/>
      <c r="K142" s="1"/>
      <c r="L142" s="1"/>
      <c r="M142" s="1"/>
      <c r="O142" s="16"/>
      <c r="P142" s="1"/>
    </row>
    <row r="143" spans="1:16">
      <c r="A143" s="67"/>
      <c r="B143" s="68"/>
      <c r="C143" s="69"/>
      <c r="D143" s="69"/>
      <c r="E143" s="69"/>
      <c r="F143" s="71"/>
      <c r="G143" s="72"/>
      <c r="H143" s="9"/>
      <c r="I143" s="16"/>
      <c r="J143" s="1"/>
      <c r="K143" s="1"/>
      <c r="L143" s="1"/>
      <c r="M143" s="1"/>
      <c r="N143" s="16"/>
      <c r="O143" s="16"/>
      <c r="P143" s="1"/>
    </row>
    <row r="144" spans="1:16">
      <c r="A144" s="67"/>
      <c r="B144" s="73"/>
      <c r="C144" s="69"/>
      <c r="D144" s="69"/>
      <c r="E144" s="69"/>
      <c r="F144" s="71"/>
      <c r="G144" s="72"/>
      <c r="H144" s="9"/>
      <c r="I144" s="16"/>
      <c r="J144" s="1"/>
      <c r="K144" s="1"/>
      <c r="L144" s="1"/>
      <c r="M144" s="1"/>
      <c r="N144" s="16"/>
      <c r="O144" s="16"/>
      <c r="P144" s="1"/>
    </row>
    <row r="145" spans="1:16">
      <c r="A145" s="67"/>
      <c r="B145" s="68"/>
      <c r="C145" s="69"/>
      <c r="D145" s="69"/>
      <c r="E145" s="69"/>
      <c r="F145" s="71"/>
      <c r="G145" s="72"/>
      <c r="H145" s="9"/>
      <c r="I145" s="16"/>
      <c r="J145" s="1"/>
      <c r="K145" s="1"/>
      <c r="L145" s="1"/>
      <c r="M145" s="1"/>
      <c r="N145" s="16"/>
      <c r="O145" s="16"/>
      <c r="P145" s="1"/>
    </row>
    <row r="146" spans="1:16">
      <c r="A146" s="67"/>
      <c r="B146" s="73"/>
      <c r="C146" s="69"/>
      <c r="D146" s="69"/>
      <c r="E146" s="69"/>
      <c r="F146" s="71"/>
      <c r="G146" s="72"/>
      <c r="H146" s="9"/>
      <c r="I146" s="16"/>
      <c r="J146" s="1"/>
      <c r="K146" s="1"/>
      <c r="L146" s="1"/>
      <c r="M146" s="1"/>
      <c r="N146" s="16"/>
      <c r="O146" s="16"/>
      <c r="P146" s="1"/>
    </row>
    <row r="147" spans="1:16">
      <c r="A147" s="67"/>
      <c r="B147" s="73"/>
      <c r="C147" s="67"/>
      <c r="D147" s="69"/>
      <c r="E147" s="69"/>
      <c r="F147" s="71"/>
      <c r="G147" s="72"/>
      <c r="H147" s="9"/>
      <c r="I147" s="16"/>
      <c r="J147" s="1"/>
      <c r="K147" s="1"/>
      <c r="L147" s="1"/>
      <c r="M147" s="1"/>
      <c r="N147" s="16"/>
      <c r="O147" s="16"/>
      <c r="P147" s="1"/>
    </row>
    <row r="148" spans="1:16">
      <c r="A148" s="67"/>
      <c r="B148" s="68"/>
      <c r="C148" s="69"/>
      <c r="D148" s="69"/>
      <c r="E148" s="69"/>
      <c r="F148" s="71"/>
      <c r="G148" s="72"/>
      <c r="H148" s="9"/>
      <c r="I148" s="16"/>
      <c r="J148" s="1"/>
      <c r="K148" s="1"/>
      <c r="L148" s="1"/>
      <c r="M148" s="1"/>
      <c r="N148" s="16"/>
      <c r="O148" s="16"/>
      <c r="P148" s="1"/>
    </row>
    <row r="149" spans="1:16">
      <c r="A149" s="67"/>
      <c r="B149" s="73"/>
      <c r="C149" s="69"/>
      <c r="D149" s="69"/>
      <c r="E149" s="69"/>
      <c r="F149" s="71"/>
      <c r="G149" s="72"/>
      <c r="H149" s="9"/>
      <c r="I149" s="16"/>
      <c r="J149" s="1"/>
      <c r="K149" s="1"/>
      <c r="L149" s="1"/>
      <c r="M149" s="1"/>
      <c r="N149" s="16"/>
      <c r="O149" s="16"/>
      <c r="P149" s="1"/>
    </row>
    <row r="150" spans="1:16">
      <c r="A150" s="67"/>
      <c r="B150" s="68"/>
      <c r="C150" s="86"/>
      <c r="D150" s="86"/>
      <c r="E150" s="86"/>
      <c r="F150" s="71"/>
      <c r="G150" s="72"/>
      <c r="H150" s="9"/>
      <c r="I150" s="16"/>
      <c r="J150" s="1"/>
      <c r="K150" s="1"/>
      <c r="L150" s="1"/>
      <c r="M150" s="1"/>
      <c r="N150" s="16"/>
      <c r="O150" s="16"/>
      <c r="P150" s="1"/>
    </row>
    <row r="151" spans="1:16">
      <c r="A151" s="67"/>
      <c r="B151" s="68"/>
      <c r="C151" s="67"/>
      <c r="D151" s="67"/>
      <c r="E151" s="67"/>
      <c r="F151" s="71"/>
      <c r="G151" s="72"/>
      <c r="H151" s="9"/>
      <c r="I151" s="16"/>
      <c r="J151" s="1"/>
      <c r="K151" s="1"/>
      <c r="L151" s="1"/>
      <c r="M151" s="1"/>
      <c r="N151" s="16"/>
      <c r="O151" s="16"/>
      <c r="P151" s="1"/>
    </row>
    <row r="152" spans="1:16">
      <c r="A152" s="67"/>
      <c r="B152" s="68"/>
      <c r="C152" s="69"/>
      <c r="D152" s="69"/>
      <c r="E152" s="69"/>
      <c r="F152" s="67"/>
      <c r="G152" s="72"/>
      <c r="H152" s="72"/>
      <c r="I152" s="74"/>
      <c r="J152" s="6"/>
      <c r="K152" s="6"/>
      <c r="L152" s="1"/>
      <c r="M152" s="1"/>
      <c r="N152" s="6"/>
      <c r="O152" s="16"/>
      <c r="P152" s="1"/>
    </row>
    <row r="153" spans="1:16">
      <c r="A153" s="67"/>
      <c r="B153" s="68"/>
      <c r="C153" s="69"/>
      <c r="D153" s="69"/>
      <c r="E153" s="69"/>
      <c r="F153" s="67"/>
      <c r="G153" s="68"/>
      <c r="H153" s="68"/>
      <c r="I153" s="6"/>
      <c r="J153" s="6"/>
      <c r="K153" s="6"/>
      <c r="L153" s="1"/>
      <c r="M153" s="1"/>
      <c r="N153" s="6"/>
      <c r="O153" s="16"/>
      <c r="P153" s="1"/>
    </row>
    <row r="154" spans="1:16">
      <c r="A154" s="67"/>
      <c r="B154" s="68"/>
      <c r="C154" s="69"/>
      <c r="D154" s="69"/>
      <c r="E154" s="69"/>
      <c r="F154" s="67"/>
      <c r="G154" s="68"/>
      <c r="H154" s="68"/>
      <c r="I154" s="75"/>
      <c r="J154" s="6"/>
      <c r="K154" s="6"/>
      <c r="L154" s="1"/>
      <c r="M154" s="1"/>
      <c r="N154" s="75"/>
      <c r="O154" s="16"/>
      <c r="P154" s="1"/>
    </row>
    <row r="155" spans="1:16">
      <c r="A155" s="6"/>
      <c r="B155" s="7"/>
      <c r="C155" s="69"/>
      <c r="D155" s="69"/>
      <c r="E155" s="69"/>
      <c r="F155" s="6"/>
      <c r="G155" s="68"/>
      <c r="H155" s="68"/>
      <c r="I155" s="75"/>
      <c r="J155" s="6"/>
      <c r="K155" s="6"/>
      <c r="L155" s="1"/>
      <c r="M155" s="1"/>
      <c r="N155" s="75"/>
      <c r="O155" s="16"/>
      <c r="P155" s="1"/>
    </row>
    <row r="156" spans="1:16">
      <c r="A156" s="6"/>
      <c r="B156" s="7"/>
      <c r="C156" s="69"/>
      <c r="D156" s="69"/>
      <c r="E156" s="69"/>
      <c r="F156" s="1"/>
      <c r="G156" s="68"/>
      <c r="H156" s="68"/>
      <c r="I156" s="16"/>
      <c r="J156" s="1"/>
      <c r="K156" s="1"/>
      <c r="L156" s="1"/>
      <c r="M156" s="1"/>
      <c r="N156" s="16"/>
      <c r="O156" s="16"/>
      <c r="P156" s="1"/>
    </row>
    <row r="157" spans="1:16">
      <c r="A157" s="6"/>
      <c r="B157" s="7"/>
      <c r="C157" s="46"/>
      <c r="D157" s="69"/>
      <c r="E157" s="69"/>
      <c r="F157" s="1"/>
      <c r="G157" s="68"/>
      <c r="H157" s="68"/>
      <c r="I157" s="16"/>
      <c r="J157" s="1"/>
      <c r="K157" s="1"/>
      <c r="L157" s="1"/>
      <c r="M157" s="1"/>
      <c r="N157" s="16"/>
      <c r="O157" s="16"/>
      <c r="P157" s="1"/>
    </row>
    <row r="158" spans="1:16">
      <c r="A158" s="6"/>
      <c r="B158" s="7"/>
      <c r="C158" s="46"/>
      <c r="D158" s="69"/>
      <c r="E158" s="69"/>
      <c r="F158" s="1"/>
      <c r="G158" s="68"/>
      <c r="H158" s="68"/>
      <c r="I158" s="16"/>
      <c r="J158" s="1"/>
      <c r="K158" s="1"/>
      <c r="L158" s="1"/>
      <c r="M158" s="1"/>
      <c r="N158" s="16"/>
      <c r="O158" s="16"/>
      <c r="P158" s="1"/>
    </row>
    <row r="159" spans="1:16">
      <c r="A159" s="6"/>
      <c r="B159" s="7"/>
      <c r="C159" s="69"/>
      <c r="D159" s="69"/>
      <c r="E159" s="69"/>
      <c r="F159" s="6"/>
      <c r="G159" s="68"/>
      <c r="H159" s="68"/>
      <c r="I159" s="75"/>
      <c r="J159" s="6"/>
      <c r="K159" s="6"/>
      <c r="L159" s="1"/>
      <c r="M159" s="1"/>
      <c r="N159" s="6"/>
      <c r="O159" s="16"/>
      <c r="P159" s="1"/>
    </row>
    <row r="160" spans="1:16">
      <c r="A160" s="6"/>
      <c r="B160" s="7"/>
      <c r="C160" s="69"/>
      <c r="D160" s="69"/>
      <c r="E160" s="69"/>
      <c r="F160" s="1"/>
      <c r="G160" s="68"/>
      <c r="H160" s="68"/>
      <c r="I160" s="16"/>
      <c r="J160" s="1"/>
      <c r="K160" s="1"/>
      <c r="L160" s="1"/>
      <c r="M160" s="1"/>
      <c r="O160" s="16"/>
      <c r="P160" s="1"/>
    </row>
    <row r="161" spans="1:16">
      <c r="A161" s="6"/>
      <c r="B161" s="7"/>
      <c r="C161" s="69"/>
      <c r="D161" s="69"/>
      <c r="E161" s="69"/>
      <c r="F161" s="1"/>
      <c r="G161" s="68"/>
      <c r="H161" s="68"/>
      <c r="I161" s="16"/>
      <c r="J161" s="1"/>
      <c r="K161" s="1"/>
      <c r="L161" s="1"/>
      <c r="M161" s="1"/>
      <c r="O161" s="16"/>
      <c r="P161" s="1"/>
    </row>
    <row r="162" spans="1:16">
      <c r="A162" s="67"/>
      <c r="B162" s="68"/>
      <c r="C162" s="69"/>
      <c r="D162" s="69"/>
      <c r="E162" s="69"/>
      <c r="F162" s="71"/>
      <c r="G162" s="68"/>
      <c r="H162" s="68"/>
      <c r="I162" s="81"/>
      <c r="J162" s="71"/>
      <c r="K162" s="71"/>
      <c r="L162" s="71"/>
      <c r="M162" s="71"/>
      <c r="N162" s="81"/>
      <c r="O162" s="16"/>
      <c r="P162" s="71"/>
    </row>
    <row r="163" spans="1:16">
      <c r="A163" s="67"/>
      <c r="B163" s="68"/>
      <c r="C163" s="69"/>
      <c r="D163" s="69"/>
      <c r="E163" s="69"/>
      <c r="F163" s="71"/>
      <c r="G163" s="68"/>
      <c r="H163" s="68"/>
      <c r="I163" s="81"/>
      <c r="J163" s="71"/>
      <c r="K163" s="71"/>
      <c r="L163" s="71"/>
      <c r="M163" s="71"/>
      <c r="N163" s="81"/>
      <c r="O163" s="16"/>
      <c r="P163" s="71"/>
    </row>
    <row r="164" spans="1:16">
      <c r="A164" s="67"/>
      <c r="B164" s="68"/>
      <c r="C164" s="69"/>
      <c r="D164" s="69"/>
      <c r="E164" s="69"/>
      <c r="F164" s="71"/>
      <c r="G164" s="68"/>
      <c r="H164" s="76"/>
      <c r="I164" s="79"/>
      <c r="J164" s="71"/>
      <c r="K164" s="71"/>
      <c r="L164" s="71"/>
      <c r="M164" s="71"/>
      <c r="N164" s="79"/>
      <c r="O164" s="16"/>
      <c r="P164" s="78"/>
    </row>
    <row r="165" spans="1:16">
      <c r="A165" s="67"/>
      <c r="B165" s="68"/>
      <c r="C165" s="69"/>
      <c r="D165" s="69"/>
      <c r="E165" s="69"/>
      <c r="F165" s="71"/>
      <c r="G165" s="72"/>
      <c r="H165" s="80"/>
      <c r="I165" s="79"/>
      <c r="J165" s="71"/>
      <c r="K165" s="71"/>
      <c r="L165" s="71"/>
      <c r="M165" s="71"/>
      <c r="N165" s="83"/>
      <c r="O165" s="16"/>
      <c r="P165" s="78"/>
    </row>
    <row r="166" spans="1:16">
      <c r="A166" s="67"/>
      <c r="B166" s="68"/>
      <c r="C166" s="69"/>
      <c r="D166" s="69"/>
      <c r="E166" s="69"/>
      <c r="F166" s="71"/>
      <c r="G166" s="72"/>
      <c r="H166" s="72"/>
      <c r="I166" s="79"/>
      <c r="J166" s="71"/>
      <c r="K166" s="71"/>
      <c r="L166" s="71"/>
      <c r="M166" s="71"/>
      <c r="N166" s="83"/>
      <c r="O166" s="79"/>
      <c r="P166" s="78"/>
    </row>
    <row r="167" spans="1:16">
      <c r="A167" s="67"/>
      <c r="B167" s="68"/>
      <c r="C167" s="69"/>
      <c r="D167" s="69"/>
      <c r="E167" s="69"/>
      <c r="F167" s="71"/>
      <c r="G167" s="72"/>
      <c r="H167" s="72"/>
      <c r="I167" s="81"/>
      <c r="J167" s="71"/>
      <c r="K167" s="71"/>
      <c r="L167" s="71"/>
      <c r="M167" s="71"/>
      <c r="N167" s="81"/>
      <c r="O167" s="79"/>
      <c r="P167" s="78"/>
    </row>
    <row r="168" spans="1:16">
      <c r="A168" s="67"/>
      <c r="B168" s="73"/>
      <c r="C168" s="69"/>
      <c r="D168" s="69"/>
      <c r="E168" s="69"/>
      <c r="F168" s="67"/>
      <c r="G168" s="72"/>
      <c r="H168" s="72"/>
      <c r="I168" s="82"/>
      <c r="J168" s="67"/>
      <c r="K168" s="67"/>
      <c r="L168" s="71"/>
      <c r="M168" s="71"/>
      <c r="N168" s="81"/>
      <c r="O168" s="79"/>
      <c r="P168" s="78"/>
    </row>
    <row r="169" spans="1:16">
      <c r="A169" s="67"/>
      <c r="B169" s="68"/>
      <c r="C169" s="69"/>
      <c r="D169" s="69"/>
      <c r="E169" s="69"/>
      <c r="F169" s="71"/>
      <c r="G169" s="72"/>
      <c r="H169" s="72"/>
      <c r="I169" s="81"/>
      <c r="J169" s="71"/>
      <c r="K169" s="71"/>
      <c r="L169" s="71"/>
      <c r="M169" s="71"/>
      <c r="N169" s="83"/>
      <c r="O169" s="79"/>
      <c r="P169" s="78"/>
    </row>
    <row r="170" spans="1:16">
      <c r="A170" s="67"/>
      <c r="B170" s="68"/>
      <c r="C170" s="69"/>
      <c r="D170" s="69"/>
      <c r="E170" s="69"/>
      <c r="F170" s="71"/>
      <c r="G170" s="72"/>
      <c r="H170" s="72"/>
      <c r="I170" s="81"/>
      <c r="J170" s="71"/>
      <c r="K170" s="71"/>
      <c r="L170" s="71"/>
      <c r="M170" s="71"/>
      <c r="N170" s="83"/>
      <c r="O170" s="79"/>
      <c r="P170" s="78"/>
    </row>
    <row r="171" spans="1:16">
      <c r="A171" s="67"/>
      <c r="B171" s="68"/>
      <c r="C171" s="69"/>
      <c r="D171" s="69"/>
      <c r="E171" s="69"/>
      <c r="F171" s="71"/>
      <c r="G171" s="72"/>
      <c r="H171" s="72"/>
      <c r="I171" s="81"/>
      <c r="J171" s="71"/>
      <c r="K171" s="71"/>
      <c r="L171" s="71"/>
      <c r="M171" s="71"/>
      <c r="N171" s="81"/>
      <c r="O171" s="79"/>
      <c r="P171" s="78"/>
    </row>
    <row r="172" spans="1:16">
      <c r="A172" s="67"/>
      <c r="B172" s="68"/>
      <c r="C172" s="69"/>
      <c r="D172" s="69"/>
      <c r="E172" s="69"/>
      <c r="F172" s="71"/>
      <c r="G172" s="72"/>
      <c r="H172" s="72"/>
      <c r="I172" s="81"/>
      <c r="J172" s="71"/>
      <c r="K172" s="71"/>
      <c r="L172" s="71"/>
      <c r="M172" s="71"/>
      <c r="N172" s="81"/>
      <c r="O172" s="79"/>
      <c r="P172" s="78"/>
    </row>
    <row r="173" spans="1:16">
      <c r="A173" s="67"/>
      <c r="B173" s="68"/>
      <c r="C173" s="69"/>
      <c r="D173" s="69"/>
      <c r="E173" s="69"/>
      <c r="F173" s="71"/>
      <c r="G173" s="72"/>
      <c r="H173" s="72"/>
      <c r="I173" s="81"/>
      <c r="J173" s="71"/>
      <c r="K173" s="71"/>
      <c r="L173" s="71"/>
      <c r="M173" s="71"/>
      <c r="N173" s="81"/>
      <c r="O173" s="79"/>
      <c r="P173" s="78"/>
    </row>
    <row r="174" spans="1:16">
      <c r="A174" s="67"/>
      <c r="B174" s="68"/>
      <c r="C174" s="69"/>
      <c r="D174" s="69"/>
      <c r="E174" s="69"/>
      <c r="F174" s="67"/>
      <c r="G174" s="68"/>
      <c r="H174" s="68"/>
      <c r="I174" s="82"/>
      <c r="J174" s="67"/>
      <c r="K174" s="67"/>
      <c r="L174" s="71"/>
      <c r="M174" s="71"/>
      <c r="N174" s="82"/>
      <c r="O174" s="79"/>
      <c r="P174" s="78"/>
    </row>
    <row r="175" spans="1:16">
      <c r="A175" s="67"/>
      <c r="B175" s="68"/>
      <c r="C175" s="67"/>
      <c r="D175" s="69"/>
      <c r="E175" s="69"/>
      <c r="F175" s="71"/>
      <c r="G175" s="72"/>
      <c r="H175" s="72"/>
      <c r="I175" s="81"/>
      <c r="J175" s="71"/>
      <c r="K175" s="71"/>
      <c r="L175" s="71"/>
      <c r="M175" s="71"/>
      <c r="N175" s="81"/>
      <c r="O175" s="79"/>
      <c r="P175" s="78"/>
    </row>
    <row r="176" spans="1:16">
      <c r="A176" s="67"/>
      <c r="B176" s="68"/>
      <c r="C176" s="69"/>
      <c r="D176" s="69"/>
      <c r="E176" s="69"/>
      <c r="F176" s="71"/>
      <c r="G176" s="72"/>
      <c r="H176" s="72"/>
      <c r="I176" s="81"/>
      <c r="J176" s="71"/>
      <c r="K176" s="71"/>
      <c r="L176" s="71"/>
      <c r="M176" s="71"/>
      <c r="N176" s="81"/>
      <c r="O176" s="79"/>
      <c r="P176" s="78"/>
    </row>
    <row r="177" spans="1:16">
      <c r="A177" s="67"/>
      <c r="B177" s="68"/>
      <c r="C177" s="67"/>
      <c r="D177" s="84"/>
      <c r="E177" s="67"/>
      <c r="F177" s="71"/>
      <c r="G177" s="72"/>
      <c r="H177" s="72"/>
      <c r="I177" s="81"/>
      <c r="J177" s="71"/>
      <c r="K177" s="71"/>
      <c r="L177" s="71"/>
      <c r="M177" s="71"/>
      <c r="N177" s="81"/>
      <c r="O177" s="81"/>
      <c r="P177" s="71"/>
    </row>
    <row r="178" spans="1:16">
      <c r="A178" s="67"/>
      <c r="B178" s="68"/>
      <c r="C178" s="67"/>
      <c r="D178" s="84"/>
      <c r="E178" s="67"/>
      <c r="F178" s="67"/>
      <c r="G178" s="68"/>
      <c r="H178" s="68"/>
      <c r="I178" s="82"/>
      <c r="J178" s="67"/>
      <c r="K178" s="67"/>
      <c r="L178" s="71"/>
      <c r="M178" s="71"/>
      <c r="N178" s="82"/>
      <c r="O178" s="67"/>
      <c r="P178" s="71"/>
    </row>
    <row r="179" spans="1:16">
      <c r="A179" s="67"/>
      <c r="B179" s="68"/>
      <c r="C179" s="67"/>
      <c r="D179" s="84"/>
      <c r="E179" s="67"/>
      <c r="F179" s="71"/>
      <c r="G179" s="72"/>
      <c r="H179" s="72"/>
      <c r="I179" s="81"/>
      <c r="J179" s="71"/>
      <c r="K179" s="71"/>
      <c r="L179" s="71"/>
      <c r="M179" s="71"/>
      <c r="N179" s="81"/>
      <c r="O179" s="81"/>
      <c r="P179" s="71"/>
    </row>
    <row r="180" spans="1:16">
      <c r="A180" s="67"/>
      <c r="B180" s="68"/>
      <c r="C180" s="67"/>
      <c r="D180" s="67"/>
      <c r="E180" s="67"/>
      <c r="F180" s="71"/>
      <c r="G180" s="72"/>
      <c r="H180" s="72"/>
      <c r="I180" s="81"/>
      <c r="J180" s="71"/>
      <c r="K180" s="71"/>
      <c r="L180" s="71"/>
      <c r="M180" s="71"/>
      <c r="N180" s="81"/>
      <c r="O180" s="81"/>
      <c r="P180" s="71"/>
    </row>
    <row r="181" spans="1:16">
      <c r="A181" s="67"/>
      <c r="B181" s="68"/>
      <c r="C181" s="67"/>
      <c r="D181" s="67"/>
      <c r="E181" s="67"/>
      <c r="F181" s="71"/>
      <c r="G181" s="72"/>
      <c r="H181" s="72"/>
      <c r="I181" s="81"/>
      <c r="J181" s="71"/>
      <c r="K181" s="71"/>
      <c r="L181" s="71"/>
      <c r="M181" s="71"/>
      <c r="N181" s="83"/>
      <c r="O181" s="79"/>
      <c r="P181" s="78"/>
    </row>
    <row r="182" spans="1:16">
      <c r="A182" s="67"/>
      <c r="B182" s="68"/>
      <c r="C182" s="67"/>
      <c r="D182" s="67"/>
      <c r="E182" s="67"/>
      <c r="F182" s="71"/>
      <c r="G182" s="72"/>
      <c r="H182" s="72"/>
      <c r="I182" s="81"/>
      <c r="J182" s="71"/>
      <c r="K182" s="71"/>
      <c r="L182" s="71"/>
      <c r="M182" s="71"/>
      <c r="N182" s="83"/>
      <c r="O182" s="79"/>
      <c r="P182" s="78"/>
    </row>
    <row r="183" spans="1:16">
      <c r="A183" s="67"/>
      <c r="B183" s="68"/>
      <c r="C183" s="67"/>
      <c r="D183" s="84"/>
      <c r="E183" s="67"/>
      <c r="F183" s="71"/>
      <c r="G183" s="72"/>
      <c r="H183" s="72"/>
      <c r="I183" s="81"/>
      <c r="J183" s="71"/>
      <c r="K183" s="71"/>
      <c r="L183" s="71"/>
      <c r="M183" s="71"/>
      <c r="N183" s="81"/>
      <c r="O183" s="79"/>
      <c r="P183" s="78"/>
    </row>
    <row r="184" spans="1:16">
      <c r="A184" s="67"/>
      <c r="B184" s="68"/>
      <c r="C184" s="67"/>
      <c r="D184" s="84"/>
      <c r="E184" s="67"/>
      <c r="F184" s="71"/>
      <c r="G184" s="72"/>
      <c r="H184" s="72"/>
      <c r="I184" s="81"/>
      <c r="J184" s="71"/>
      <c r="K184" s="71"/>
      <c r="L184" s="71"/>
      <c r="M184" s="71"/>
      <c r="N184" s="81"/>
      <c r="O184" s="79"/>
      <c r="P184" s="78"/>
    </row>
    <row r="185" spans="1:16">
      <c r="A185" s="67"/>
      <c r="B185" s="68"/>
      <c r="C185" s="67"/>
      <c r="D185" s="67"/>
      <c r="E185" s="67"/>
      <c r="F185" s="67"/>
      <c r="G185" s="68"/>
      <c r="H185" s="68"/>
      <c r="I185" s="81"/>
      <c r="J185" s="67"/>
      <c r="K185" s="67"/>
      <c r="L185" s="71"/>
      <c r="M185" s="71"/>
      <c r="N185" s="81"/>
      <c r="O185" s="77"/>
      <c r="P185" s="78"/>
    </row>
    <row r="186" spans="1:16">
      <c r="A186" s="67"/>
      <c r="B186" s="68"/>
      <c r="C186" s="67"/>
      <c r="D186" s="84"/>
      <c r="E186" s="67"/>
      <c r="F186" s="71"/>
      <c r="G186" s="72"/>
      <c r="H186" s="72"/>
      <c r="I186" s="81"/>
      <c r="J186" s="71"/>
      <c r="K186" s="71"/>
      <c r="L186" s="71"/>
      <c r="M186" s="71"/>
      <c r="N186" s="83"/>
      <c r="O186" s="79"/>
      <c r="P186" s="78"/>
    </row>
    <row r="187" spans="1:16">
      <c r="A187" s="67"/>
      <c r="B187" s="68"/>
      <c r="C187" s="67"/>
      <c r="D187" s="84"/>
      <c r="E187" s="67"/>
      <c r="F187" s="67"/>
      <c r="G187" s="68"/>
      <c r="H187" s="68"/>
      <c r="I187" s="81"/>
      <c r="J187" s="67"/>
      <c r="K187" s="67"/>
      <c r="L187" s="71"/>
      <c r="M187" s="71"/>
      <c r="N187" s="81"/>
      <c r="O187" s="77"/>
      <c r="P187" s="78"/>
    </row>
    <row r="188" spans="1:16">
      <c r="A188" s="67"/>
      <c r="B188" s="68"/>
      <c r="C188" s="67"/>
      <c r="D188" s="84"/>
      <c r="E188" s="67"/>
      <c r="F188" s="71"/>
      <c r="G188" s="72"/>
      <c r="H188" s="72"/>
      <c r="I188" s="81"/>
      <c r="J188" s="71"/>
      <c r="K188" s="71"/>
      <c r="L188" s="71"/>
      <c r="M188" s="71"/>
      <c r="N188" s="81"/>
      <c r="O188" s="79"/>
      <c r="P188" s="78"/>
    </row>
    <row r="189" spans="1:16">
      <c r="A189" s="67"/>
      <c r="B189" s="68"/>
      <c r="C189" s="67"/>
      <c r="D189" s="84"/>
      <c r="E189" s="67"/>
      <c r="F189" s="71"/>
      <c r="G189" s="72"/>
      <c r="H189" s="72"/>
      <c r="I189" s="81"/>
      <c r="J189" s="71"/>
      <c r="K189" s="71"/>
      <c r="L189" s="71"/>
      <c r="M189" s="71"/>
      <c r="N189" s="81"/>
      <c r="O189" s="79"/>
      <c r="P189" s="78"/>
    </row>
    <row r="190" spans="1:16">
      <c r="A190" s="67"/>
      <c r="B190" s="68"/>
      <c r="C190" s="67"/>
      <c r="D190" s="84"/>
      <c r="E190" s="67"/>
      <c r="F190" s="71"/>
      <c r="G190" s="72"/>
      <c r="H190" s="72"/>
      <c r="I190" s="81"/>
      <c r="J190" s="71"/>
      <c r="K190" s="71"/>
      <c r="L190" s="71"/>
      <c r="M190" s="71"/>
      <c r="N190" s="81"/>
      <c r="O190" s="79"/>
      <c r="P190" s="78"/>
    </row>
    <row r="191" spans="1:16">
      <c r="A191" s="67"/>
      <c r="B191" s="68"/>
      <c r="C191" s="67"/>
      <c r="D191" s="84"/>
      <c r="E191" s="67"/>
      <c r="F191" s="71"/>
      <c r="G191" s="72"/>
      <c r="H191" s="72"/>
      <c r="I191" s="81"/>
      <c r="J191" s="71"/>
      <c r="K191" s="71"/>
      <c r="L191" s="71"/>
      <c r="M191" s="71"/>
      <c r="N191" s="83"/>
      <c r="O191" s="79"/>
      <c r="P191" s="78"/>
    </row>
    <row r="192" spans="1:16">
      <c r="A192" s="67"/>
      <c r="B192" s="68"/>
      <c r="C192" s="67"/>
      <c r="D192" s="84"/>
      <c r="E192" s="67"/>
      <c r="F192" s="71"/>
      <c r="G192" s="72"/>
      <c r="H192" s="72"/>
      <c r="I192" s="81"/>
      <c r="J192" s="71"/>
      <c r="K192" s="71"/>
      <c r="L192" s="71"/>
      <c r="M192" s="71"/>
      <c r="N192" s="81"/>
      <c r="O192" s="79"/>
      <c r="P192" s="78"/>
    </row>
    <row r="193" spans="1:16">
      <c r="A193" s="67"/>
      <c r="B193" s="68"/>
      <c r="C193" s="67"/>
      <c r="D193" s="84"/>
      <c r="E193" s="67"/>
      <c r="F193" s="71"/>
      <c r="G193" s="72"/>
      <c r="H193" s="72"/>
      <c r="I193" s="81"/>
      <c r="J193" s="71"/>
      <c r="K193" s="71"/>
      <c r="L193" s="71"/>
      <c r="M193" s="71"/>
      <c r="N193" s="81"/>
      <c r="O193" s="79"/>
      <c r="P193" s="78"/>
    </row>
    <row r="194" spans="1:16">
      <c r="A194" s="67"/>
      <c r="B194" s="68"/>
      <c r="C194" s="67"/>
      <c r="D194" s="67"/>
      <c r="E194" s="67"/>
      <c r="F194" s="71"/>
      <c r="G194" s="72"/>
      <c r="H194" s="72"/>
      <c r="I194" s="81"/>
      <c r="J194" s="71"/>
      <c r="K194" s="71"/>
      <c r="L194" s="71"/>
      <c r="M194" s="71"/>
      <c r="N194" s="83"/>
      <c r="O194" s="79"/>
      <c r="P194" s="78"/>
    </row>
    <row r="195" spans="1:16">
      <c r="A195" s="67"/>
      <c r="B195" s="68"/>
      <c r="C195" s="67"/>
      <c r="D195" s="84"/>
      <c r="E195" s="67"/>
      <c r="F195" s="71"/>
      <c r="G195" s="72"/>
      <c r="H195" s="72"/>
      <c r="I195" s="81"/>
      <c r="J195" s="71"/>
      <c r="K195" s="71"/>
      <c r="L195" s="71"/>
      <c r="M195" s="71"/>
      <c r="N195" s="83"/>
      <c r="O195" s="79"/>
      <c r="P195" s="78"/>
    </row>
    <row r="196" spans="1:16">
      <c r="A196" s="67"/>
      <c r="B196" s="68"/>
      <c r="C196" s="67"/>
      <c r="D196" s="84"/>
      <c r="E196" s="67"/>
      <c r="F196" s="71"/>
      <c r="G196" s="72"/>
      <c r="H196" s="72"/>
      <c r="I196" s="81"/>
      <c r="J196" s="71"/>
      <c r="K196" s="71"/>
      <c r="L196" s="71"/>
      <c r="M196" s="71"/>
      <c r="N196" s="83"/>
      <c r="O196" s="79"/>
      <c r="P196" s="78"/>
    </row>
    <row r="197" spans="1:16">
      <c r="A197" s="67"/>
      <c r="B197" s="68"/>
      <c r="C197" s="67"/>
      <c r="D197" s="67"/>
      <c r="E197" s="67"/>
      <c r="F197" s="67"/>
      <c r="G197" s="72"/>
      <c r="H197" s="72"/>
      <c r="I197" s="81"/>
      <c r="J197" s="67"/>
      <c r="K197" s="67"/>
      <c r="L197" s="71"/>
      <c r="M197" s="71"/>
      <c r="N197" s="81"/>
      <c r="O197" s="77"/>
      <c r="P197" s="78"/>
    </row>
    <row r="198" spans="1:16">
      <c r="A198" s="67"/>
      <c r="B198" s="68"/>
      <c r="C198" s="67"/>
      <c r="D198" s="84"/>
      <c r="E198" s="67"/>
      <c r="F198" s="67"/>
      <c r="G198" s="68"/>
      <c r="H198" s="68"/>
      <c r="I198" s="81"/>
      <c r="J198" s="67"/>
      <c r="K198" s="67"/>
      <c r="L198" s="71"/>
      <c r="M198" s="71"/>
      <c r="N198" s="81"/>
      <c r="O198" s="77"/>
      <c r="P198" s="78"/>
    </row>
    <row r="199" spans="1:16">
      <c r="A199" s="67"/>
      <c r="B199" s="68"/>
      <c r="C199" s="77"/>
      <c r="D199" s="84"/>
      <c r="E199" s="67"/>
      <c r="F199" s="71"/>
      <c r="G199" s="72"/>
      <c r="H199" s="72"/>
      <c r="I199" s="81"/>
      <c r="J199" s="71"/>
      <c r="K199" s="71"/>
      <c r="L199" s="71"/>
      <c r="M199" s="71"/>
      <c r="N199" s="81"/>
      <c r="O199" s="16"/>
      <c r="P199" s="1"/>
    </row>
    <row r="200" spans="1:16">
      <c r="A200" s="67"/>
      <c r="B200" s="68"/>
      <c r="C200" s="67"/>
      <c r="D200" s="67"/>
      <c r="E200" s="67"/>
      <c r="F200" s="67"/>
      <c r="G200" s="68"/>
      <c r="H200" s="68"/>
      <c r="I200" s="67"/>
      <c r="J200" s="67"/>
      <c r="K200" s="67"/>
      <c r="L200" s="71"/>
      <c r="M200" s="71"/>
      <c r="N200" s="6"/>
      <c r="O200" s="6"/>
      <c r="P200" s="1"/>
    </row>
    <row r="201" spans="1:16">
      <c r="A201" s="67"/>
      <c r="B201" s="68"/>
      <c r="C201" s="77"/>
      <c r="D201" s="84"/>
      <c r="E201" s="67"/>
      <c r="F201" s="67"/>
      <c r="G201" s="68"/>
      <c r="H201" s="68"/>
      <c r="I201" s="81"/>
      <c r="J201" s="67"/>
      <c r="K201" s="67"/>
      <c r="L201" s="71"/>
      <c r="M201" s="71"/>
      <c r="N201" s="81"/>
      <c r="O201" s="6"/>
      <c r="P201" s="1"/>
    </row>
    <row r="202" spans="1:16">
      <c r="A202" s="67"/>
      <c r="B202" s="68"/>
      <c r="C202" s="77"/>
      <c r="D202" s="84"/>
      <c r="E202" s="67"/>
      <c r="F202" s="71"/>
      <c r="G202" s="72"/>
      <c r="H202" s="72"/>
      <c r="I202" s="81"/>
      <c r="J202" s="71"/>
      <c r="K202" s="71"/>
      <c r="L202" s="71"/>
      <c r="M202" s="71"/>
      <c r="N202" s="81"/>
      <c r="O202" s="16"/>
      <c r="P202" s="1"/>
    </row>
    <row r="203" spans="1:16">
      <c r="A203" s="67"/>
      <c r="B203" s="68"/>
      <c r="C203" s="77"/>
      <c r="D203" s="84"/>
      <c r="E203" s="67"/>
      <c r="F203" s="71"/>
      <c r="G203" s="72"/>
      <c r="H203" s="72"/>
      <c r="I203" s="81"/>
      <c r="J203" s="71"/>
      <c r="K203" s="71"/>
      <c r="L203" s="71"/>
      <c r="M203" s="71"/>
      <c r="N203" s="81"/>
      <c r="O203" s="16"/>
      <c r="P203" s="1"/>
    </row>
    <row r="204" spans="1:16">
      <c r="A204" s="6"/>
      <c r="B204" s="7"/>
      <c r="C204" s="77"/>
      <c r="D204" s="89"/>
      <c r="E204" s="56"/>
      <c r="F204" s="71"/>
      <c r="G204" s="9"/>
      <c r="H204" s="9"/>
      <c r="I204" s="81"/>
      <c r="J204" s="1"/>
      <c r="K204" s="1"/>
      <c r="L204" s="1"/>
      <c r="M204" s="1"/>
      <c r="N204" s="81"/>
      <c r="O204" s="16"/>
      <c r="P204" s="1"/>
    </row>
    <row r="205" spans="1:16">
      <c r="A205" s="6"/>
      <c r="B205" s="7"/>
      <c r="C205" s="77"/>
      <c r="D205" s="89"/>
      <c r="E205" s="56"/>
      <c r="F205" s="71"/>
      <c r="G205" s="9"/>
      <c r="H205" s="9"/>
      <c r="I205" s="81"/>
      <c r="J205" s="1"/>
      <c r="K205" s="1"/>
      <c r="L205" s="1"/>
      <c r="M205" s="1"/>
      <c r="N205" s="81"/>
      <c r="O205" s="16"/>
      <c r="P205" s="1"/>
    </row>
    <row r="206" spans="1:16">
      <c r="A206" s="6"/>
      <c r="B206" s="7"/>
      <c r="C206" s="77"/>
      <c r="D206" s="90"/>
      <c r="E206" s="56"/>
      <c r="F206" s="71"/>
      <c r="G206" s="9"/>
      <c r="H206" s="9"/>
      <c r="I206" s="75"/>
      <c r="J206" s="1"/>
      <c r="K206" s="1"/>
      <c r="L206" s="1"/>
      <c r="M206" s="1"/>
      <c r="O206" s="16"/>
      <c r="P206" s="1"/>
    </row>
    <row r="207" spans="1:16">
      <c r="A207" s="6"/>
      <c r="B207" s="7"/>
      <c r="C207" s="77"/>
      <c r="D207" s="56"/>
      <c r="E207" s="56"/>
      <c r="F207" s="71"/>
      <c r="G207" s="9"/>
      <c r="H207" s="9"/>
      <c r="I207" s="81"/>
      <c r="J207" s="1"/>
      <c r="K207" s="1"/>
      <c r="L207" s="1"/>
      <c r="M207" s="1"/>
      <c r="N207" s="81"/>
      <c r="O207" s="16"/>
      <c r="P207" s="1"/>
    </row>
    <row r="208" spans="1:16">
      <c r="A208" s="6"/>
      <c r="B208" s="7"/>
      <c r="C208" s="77"/>
      <c r="D208" s="89"/>
      <c r="E208" s="56"/>
      <c r="F208" s="71"/>
      <c r="G208" s="9"/>
      <c r="H208" s="9"/>
      <c r="I208" s="81"/>
      <c r="J208" s="1"/>
      <c r="K208" s="1"/>
      <c r="L208" s="1"/>
      <c r="M208" s="1"/>
      <c r="N208" s="81"/>
      <c r="O208" s="16"/>
      <c r="P208" s="1"/>
    </row>
    <row r="209" spans="1:16">
      <c r="A209" s="6"/>
      <c r="B209" s="7"/>
      <c r="C209" s="77"/>
      <c r="D209" s="89"/>
      <c r="E209" s="56"/>
      <c r="F209" s="71"/>
      <c r="G209" s="9"/>
      <c r="H209" s="9"/>
      <c r="I209" s="81"/>
      <c r="J209" s="1"/>
      <c r="K209" s="1"/>
      <c r="L209" s="1"/>
      <c r="M209" s="1"/>
      <c r="N209" s="81"/>
      <c r="O209" s="16"/>
      <c r="P209" s="1"/>
    </row>
    <row r="210" spans="1:16">
      <c r="A210" s="6"/>
      <c r="B210" s="7"/>
      <c r="C210" s="77"/>
      <c r="D210" s="89"/>
      <c r="E210" s="56"/>
      <c r="F210" s="71"/>
      <c r="G210" s="9"/>
      <c r="H210" s="9"/>
      <c r="I210" s="81"/>
      <c r="J210" s="1"/>
      <c r="K210" s="1"/>
      <c r="L210" s="1"/>
      <c r="M210" s="1"/>
      <c r="N210" s="81"/>
      <c r="O210" s="16"/>
      <c r="P210" s="1"/>
    </row>
    <row r="211" spans="1:16">
      <c r="A211" s="6"/>
      <c r="B211" s="7"/>
      <c r="C211" s="77"/>
      <c r="D211" s="89"/>
      <c r="E211" s="56"/>
      <c r="F211" s="71"/>
      <c r="G211" s="9"/>
      <c r="H211" s="9"/>
      <c r="I211" s="81"/>
      <c r="J211" s="1"/>
      <c r="K211" s="1"/>
      <c r="L211" s="1"/>
      <c r="M211" s="1"/>
      <c r="N211" s="81"/>
      <c r="O211" s="16"/>
      <c r="P211" s="1"/>
    </row>
    <row r="212" spans="1:16">
      <c r="A212" s="6"/>
      <c r="B212" s="7"/>
      <c r="C212" s="77"/>
      <c r="D212" s="89"/>
      <c r="E212" s="56"/>
      <c r="F212" s="71"/>
      <c r="G212" s="9"/>
      <c r="H212" s="9"/>
      <c r="I212" s="16"/>
      <c r="J212" s="1"/>
      <c r="K212" s="1"/>
      <c r="L212" s="1"/>
      <c r="M212" s="1"/>
      <c r="N212" s="16"/>
      <c r="O212" s="16"/>
      <c r="P212" s="1"/>
    </row>
    <row r="213" spans="1:16">
      <c r="A213" s="6"/>
      <c r="B213" s="7"/>
      <c r="C213" s="77"/>
      <c r="D213" s="90"/>
      <c r="E213" s="56"/>
      <c r="F213" s="71"/>
      <c r="G213" s="9"/>
      <c r="H213" s="9"/>
      <c r="I213" s="16"/>
      <c r="J213" s="1"/>
      <c r="K213" s="1"/>
      <c r="L213" s="1"/>
      <c r="M213" s="1"/>
      <c r="N213" s="16"/>
      <c r="O213" s="16"/>
      <c r="P213" s="1"/>
    </row>
    <row r="214" spans="1:16">
      <c r="A214" s="6"/>
      <c r="B214" s="7"/>
      <c r="C214" s="77"/>
      <c r="D214" s="56"/>
      <c r="E214" s="56"/>
      <c r="F214" s="71"/>
      <c r="G214" s="9"/>
      <c r="H214" s="9"/>
      <c r="I214" s="16"/>
      <c r="J214" s="1"/>
      <c r="K214" s="1"/>
      <c r="L214" s="1"/>
      <c r="M214" s="1"/>
      <c r="N214" s="16"/>
      <c r="O214" s="16"/>
      <c r="P214" s="1"/>
    </row>
    <row r="215" spans="1:16">
      <c r="A215" s="6"/>
      <c r="B215" s="7"/>
      <c r="C215" s="77"/>
      <c r="D215" s="56"/>
      <c r="E215" s="56"/>
      <c r="F215" s="71"/>
      <c r="G215" s="9"/>
      <c r="H215" s="9"/>
      <c r="I215" s="16"/>
      <c r="J215" s="1"/>
      <c r="K215" s="1"/>
      <c r="L215" s="1"/>
      <c r="M215" s="1"/>
      <c r="N215" s="16"/>
      <c r="O215" s="16"/>
      <c r="P215" s="1"/>
    </row>
    <row r="216" spans="1:16">
      <c r="A216" s="6"/>
      <c r="B216" s="7"/>
      <c r="C216" s="77"/>
      <c r="D216" s="56"/>
      <c r="E216" s="56"/>
      <c r="F216" s="71"/>
      <c r="G216" s="9"/>
      <c r="H216" s="9"/>
      <c r="I216" s="16"/>
      <c r="J216" s="1"/>
      <c r="K216" s="1"/>
      <c r="L216" s="1"/>
      <c r="M216" s="1"/>
      <c r="N216" s="16"/>
      <c r="O216" s="16"/>
      <c r="P216" s="1"/>
    </row>
    <row r="217" spans="1:16">
      <c r="A217" s="6"/>
      <c r="B217" s="7"/>
      <c r="C217" s="77"/>
      <c r="D217" s="56"/>
      <c r="E217" s="56"/>
      <c r="F217" s="71"/>
      <c r="G217" s="9"/>
      <c r="H217" s="9"/>
      <c r="I217" s="16"/>
      <c r="J217" s="1"/>
      <c r="K217" s="1"/>
      <c r="L217" s="1"/>
      <c r="M217" s="1"/>
      <c r="N217" s="16"/>
      <c r="O217" s="9"/>
      <c r="P217" s="1"/>
    </row>
    <row r="218" spans="1:16">
      <c r="A218" s="6"/>
      <c r="B218" s="7"/>
      <c r="C218" s="77"/>
      <c r="D218" s="89"/>
      <c r="E218" s="56"/>
      <c r="F218" s="71"/>
      <c r="G218" s="9"/>
      <c r="H218" s="9"/>
      <c r="I218" s="16"/>
      <c r="J218" s="1"/>
      <c r="K218" s="1"/>
      <c r="L218" s="1"/>
      <c r="M218" s="1"/>
      <c r="N218" s="16"/>
      <c r="O218" s="16"/>
      <c r="P218" s="1"/>
    </row>
    <row r="219" spans="1:16">
      <c r="A219" s="6"/>
      <c r="B219" s="7"/>
      <c r="C219" s="77"/>
      <c r="D219" s="56"/>
      <c r="E219" s="56"/>
      <c r="F219" s="71"/>
      <c r="G219" s="9"/>
      <c r="H219" s="9"/>
      <c r="I219" s="16"/>
      <c r="J219" s="1"/>
      <c r="K219" s="1"/>
      <c r="L219" s="1"/>
      <c r="M219" s="1"/>
      <c r="O219" s="16"/>
      <c r="P219" s="1"/>
    </row>
    <row r="220" spans="1:16">
      <c r="A220" s="6"/>
      <c r="B220" s="7"/>
      <c r="C220" s="77"/>
      <c r="D220" s="56"/>
      <c r="E220" s="56"/>
      <c r="F220" s="71"/>
      <c r="G220" s="9"/>
      <c r="H220" s="9"/>
      <c r="I220" s="16"/>
      <c r="J220" s="1"/>
      <c r="K220" s="1"/>
      <c r="L220" s="1"/>
      <c r="M220" s="1"/>
      <c r="N220" s="16"/>
      <c r="O220" s="16"/>
      <c r="P220" s="1"/>
    </row>
    <row r="221" spans="1:16">
      <c r="A221" s="6"/>
      <c r="B221" s="7"/>
      <c r="C221" s="77"/>
      <c r="D221" s="89"/>
      <c r="E221" s="56"/>
      <c r="F221" s="71"/>
      <c r="G221" s="9"/>
      <c r="H221" s="9"/>
      <c r="I221" s="16"/>
      <c r="J221" s="1"/>
      <c r="K221" s="1"/>
      <c r="L221" s="1"/>
      <c r="M221" s="1"/>
      <c r="N221" s="16"/>
      <c r="O221" s="16"/>
      <c r="P221" s="1"/>
    </row>
    <row r="222" spans="1:16">
      <c r="A222" s="6"/>
      <c r="B222" s="7"/>
      <c r="C222" s="67"/>
      <c r="D222" s="56"/>
      <c r="E222" s="56"/>
      <c r="F222" s="71"/>
      <c r="G222" s="9"/>
      <c r="H222" s="9"/>
      <c r="I222" s="16"/>
      <c r="J222" s="1"/>
      <c r="K222" s="1"/>
      <c r="L222" s="1"/>
      <c r="M222" s="1"/>
      <c r="N222" s="16"/>
      <c r="O222" s="16"/>
      <c r="P222" s="1"/>
    </row>
    <row r="223" spans="1:16">
      <c r="A223" s="6"/>
      <c r="B223" s="7"/>
      <c r="C223" s="67"/>
      <c r="D223" s="56"/>
      <c r="E223" s="56"/>
      <c r="F223" s="71"/>
      <c r="G223" s="9"/>
      <c r="H223" s="9"/>
      <c r="I223" s="16"/>
      <c r="J223" s="1"/>
      <c r="K223" s="1"/>
      <c r="L223" s="1"/>
      <c r="M223" s="1"/>
      <c r="N223" s="16"/>
      <c r="O223" s="16"/>
      <c r="P223" s="1"/>
    </row>
    <row r="224" spans="1:16">
      <c r="A224" s="6"/>
      <c r="B224" s="7"/>
      <c r="C224" s="67"/>
      <c r="D224" s="56"/>
      <c r="E224" s="56"/>
      <c r="F224" s="71"/>
      <c r="G224" s="9"/>
      <c r="H224" s="9"/>
      <c r="I224" s="16"/>
      <c r="J224" s="1"/>
      <c r="K224" s="1"/>
      <c r="L224" s="1"/>
      <c r="M224" s="1"/>
      <c r="O224" s="16"/>
      <c r="P224" s="1"/>
    </row>
    <row r="225" spans="1:16">
      <c r="A225" s="6"/>
      <c r="B225" s="7"/>
      <c r="C225" s="67"/>
      <c r="D225" s="56"/>
      <c r="E225" s="56"/>
      <c r="F225" s="71"/>
      <c r="G225" s="9"/>
      <c r="H225" s="9"/>
      <c r="I225" s="16"/>
      <c r="J225" s="1"/>
      <c r="K225" s="1"/>
      <c r="L225" s="1"/>
      <c r="M225" s="1"/>
      <c r="N225" s="16"/>
      <c r="O225" s="16"/>
      <c r="P225" s="1"/>
    </row>
    <row r="226" spans="1:16">
      <c r="A226" s="6"/>
      <c r="B226" s="7"/>
      <c r="C226" s="67"/>
      <c r="D226" s="56"/>
      <c r="E226" s="56"/>
      <c r="F226" s="71"/>
      <c r="G226" s="9"/>
      <c r="H226" s="9"/>
      <c r="I226" s="16"/>
      <c r="J226" s="1"/>
      <c r="K226" s="1"/>
      <c r="L226" s="1"/>
      <c r="M226" s="1"/>
      <c r="N226" s="16"/>
      <c r="O226" s="16"/>
      <c r="P226" s="1"/>
    </row>
    <row r="227" spans="1:16">
      <c r="A227" s="6"/>
      <c r="B227" s="7"/>
      <c r="C227" s="67"/>
      <c r="D227" s="56"/>
      <c r="E227" s="56"/>
      <c r="F227" s="71"/>
      <c r="G227" s="9"/>
      <c r="H227" s="9"/>
      <c r="I227" s="16"/>
      <c r="J227" s="1"/>
      <c r="K227" s="1"/>
      <c r="L227" s="1"/>
      <c r="M227" s="1"/>
      <c r="O227" s="16"/>
      <c r="P227" s="1"/>
    </row>
    <row r="228" spans="1:16">
      <c r="A228" s="6"/>
      <c r="B228" s="7"/>
      <c r="C228" s="67"/>
      <c r="D228" s="89"/>
      <c r="E228" s="56"/>
      <c r="F228" s="71"/>
      <c r="G228" s="9"/>
      <c r="H228" s="9"/>
      <c r="I228" s="16"/>
      <c r="J228" s="1"/>
      <c r="K228" s="1"/>
      <c r="L228" s="1"/>
      <c r="M228" s="1"/>
      <c r="O228" s="16"/>
      <c r="P228" s="1"/>
    </row>
    <row r="229" spans="1:16">
      <c r="A229" s="6"/>
      <c r="B229" s="7"/>
      <c r="C229" s="67"/>
      <c r="D229" s="89"/>
      <c r="E229" s="56"/>
      <c r="F229" s="71"/>
      <c r="G229" s="9"/>
      <c r="H229" s="9"/>
      <c r="I229" s="16"/>
      <c r="J229" s="1"/>
      <c r="K229" s="1"/>
      <c r="L229" s="1"/>
      <c r="M229" s="1"/>
      <c r="N229" s="16"/>
      <c r="O229" s="16"/>
      <c r="P229" s="1"/>
    </row>
    <row r="230" spans="1:16">
      <c r="A230" s="6"/>
      <c r="B230" s="7"/>
      <c r="C230" s="67"/>
      <c r="D230" s="56"/>
      <c r="E230" s="56"/>
      <c r="F230" s="71"/>
      <c r="G230" s="9"/>
      <c r="H230" s="9"/>
      <c r="I230" s="16"/>
      <c r="J230" s="1"/>
      <c r="K230" s="1"/>
      <c r="L230" s="1"/>
      <c r="M230" s="1"/>
      <c r="N230" s="16"/>
      <c r="O230" s="16"/>
      <c r="P230" s="1"/>
    </row>
    <row r="231" spans="1:16">
      <c r="A231" s="6"/>
      <c r="B231" s="7"/>
      <c r="C231" s="67"/>
      <c r="D231" s="89"/>
      <c r="E231" s="56"/>
      <c r="F231" s="71"/>
      <c r="G231" s="9"/>
      <c r="H231" s="9"/>
      <c r="I231" s="16"/>
      <c r="J231" s="1"/>
      <c r="K231" s="1"/>
      <c r="L231" s="1"/>
      <c r="M231" s="1"/>
      <c r="N231" s="16"/>
      <c r="O231" s="16"/>
      <c r="P231" s="1"/>
    </row>
    <row r="232" spans="1:16">
      <c r="A232" s="6"/>
      <c r="B232" s="7"/>
      <c r="C232" s="67"/>
      <c r="D232" s="89"/>
      <c r="E232" s="56"/>
      <c r="F232" s="71"/>
      <c r="G232" s="9"/>
      <c r="H232" s="9"/>
      <c r="I232" s="16"/>
      <c r="J232" s="1"/>
      <c r="K232" s="1"/>
      <c r="L232" s="1"/>
      <c r="M232" s="1"/>
      <c r="N232" s="16"/>
      <c r="O232" s="16"/>
      <c r="P232" s="1"/>
    </row>
    <row r="233" spans="1:16">
      <c r="A233" s="6"/>
      <c r="B233" s="7"/>
      <c r="C233" s="67"/>
      <c r="D233" s="89"/>
      <c r="E233" s="56"/>
      <c r="F233" s="71"/>
      <c r="G233" s="9"/>
      <c r="H233" s="9"/>
      <c r="I233" s="16"/>
      <c r="J233" s="1"/>
      <c r="K233" s="1"/>
      <c r="L233" s="1"/>
      <c r="M233" s="1"/>
      <c r="N233" s="16"/>
      <c r="O233" s="16"/>
      <c r="P233" s="1"/>
    </row>
    <row r="234" spans="1:16">
      <c r="A234" s="6"/>
      <c r="B234" s="7"/>
      <c r="C234" s="67"/>
      <c r="D234" s="89"/>
      <c r="E234" s="56"/>
      <c r="F234" s="71"/>
      <c r="G234" s="9"/>
      <c r="H234" s="9"/>
      <c r="I234" s="16"/>
      <c r="J234" s="1"/>
      <c r="K234" s="1"/>
      <c r="L234" s="1"/>
      <c r="M234" s="1"/>
      <c r="N234" s="16"/>
      <c r="O234" s="16"/>
      <c r="P234" s="1"/>
    </row>
    <row r="235" spans="1:16">
      <c r="A235" s="6"/>
      <c r="B235" s="7"/>
      <c r="C235" s="67"/>
      <c r="D235" s="89"/>
      <c r="E235" s="56"/>
      <c r="F235" s="71"/>
      <c r="G235" s="9"/>
      <c r="H235" s="9"/>
      <c r="I235" s="16"/>
      <c r="J235" s="1"/>
      <c r="K235" s="1"/>
      <c r="L235" s="1"/>
      <c r="M235" s="1"/>
      <c r="O235" s="16"/>
      <c r="P235" s="1"/>
    </row>
    <row r="236" spans="1:16">
      <c r="A236" s="6"/>
      <c r="B236" s="7"/>
      <c r="C236" s="67"/>
      <c r="D236" s="89"/>
      <c r="E236" s="56"/>
      <c r="F236" s="71"/>
      <c r="G236" s="9"/>
      <c r="H236" s="9"/>
      <c r="I236" s="16"/>
      <c r="J236" s="1"/>
      <c r="K236" s="1"/>
      <c r="L236" s="1"/>
      <c r="M236" s="1"/>
      <c r="O236" s="16"/>
      <c r="P236" s="1"/>
    </row>
    <row r="237" spans="1:16">
      <c r="A237" s="6"/>
      <c r="B237" s="7"/>
      <c r="C237" s="86"/>
      <c r="D237" s="89"/>
      <c r="E237" s="56"/>
      <c r="F237" s="71"/>
      <c r="G237" s="9"/>
      <c r="H237" s="9"/>
      <c r="I237" s="16"/>
      <c r="J237" s="1"/>
      <c r="K237" s="1"/>
      <c r="L237" s="1"/>
      <c r="M237" s="1"/>
      <c r="N237" s="16"/>
      <c r="O237" s="16"/>
      <c r="P237" s="1"/>
    </row>
    <row r="238" spans="1:16">
      <c r="A238" s="6"/>
      <c r="B238" s="7"/>
      <c r="C238" s="67"/>
      <c r="D238" s="89"/>
      <c r="E238" s="56"/>
      <c r="F238" s="71"/>
      <c r="G238" s="9"/>
      <c r="H238" s="9"/>
      <c r="I238" s="16"/>
      <c r="J238" s="1"/>
      <c r="K238" s="1"/>
      <c r="L238" s="1"/>
      <c r="M238" s="1"/>
      <c r="N238" s="16"/>
      <c r="O238" s="16"/>
      <c r="P238" s="1"/>
    </row>
    <row r="239" spans="1:16">
      <c r="A239" s="6"/>
      <c r="B239" s="7"/>
      <c r="C239" s="67"/>
      <c r="D239" s="56"/>
      <c r="E239" s="56"/>
      <c r="F239" s="71"/>
      <c r="G239" s="9"/>
      <c r="H239" s="9"/>
      <c r="I239" s="16"/>
      <c r="J239" s="1"/>
      <c r="K239" s="1"/>
      <c r="L239" s="1"/>
      <c r="M239" s="1"/>
      <c r="N239" s="16"/>
      <c r="O239" s="16"/>
      <c r="P239" s="1"/>
    </row>
    <row r="240" spans="1:16">
      <c r="A240" s="6"/>
      <c r="B240" s="7"/>
      <c r="C240" s="67"/>
      <c r="D240" s="89"/>
      <c r="E240" s="56"/>
      <c r="F240" s="71"/>
      <c r="G240" s="9"/>
      <c r="H240" s="9"/>
      <c r="I240" s="16"/>
      <c r="J240" s="1"/>
      <c r="K240" s="1"/>
      <c r="L240" s="1"/>
      <c r="M240" s="1"/>
      <c r="N240" s="16"/>
      <c r="O240" s="16"/>
      <c r="P240" s="1"/>
    </row>
    <row r="241" spans="1:16">
      <c r="A241" s="6"/>
      <c r="B241" s="7"/>
      <c r="C241" s="67"/>
      <c r="D241" s="89"/>
      <c r="E241" s="56"/>
      <c r="F241" s="71"/>
      <c r="G241" s="9"/>
      <c r="H241" s="9"/>
      <c r="I241" s="16"/>
      <c r="J241" s="1"/>
      <c r="K241" s="1"/>
      <c r="L241" s="1"/>
      <c r="M241" s="1"/>
      <c r="N241" s="16"/>
      <c r="O241" s="16"/>
      <c r="P241" s="1"/>
    </row>
    <row r="242" spans="1:16">
      <c r="A242" s="6"/>
      <c r="B242" s="7"/>
      <c r="C242" s="67"/>
      <c r="D242" s="89"/>
      <c r="E242" s="56"/>
      <c r="F242" s="71"/>
      <c r="G242" s="9"/>
      <c r="H242" s="9"/>
      <c r="I242" s="16"/>
      <c r="J242" s="1"/>
      <c r="K242" s="1"/>
      <c r="L242" s="1"/>
      <c r="M242" s="1"/>
      <c r="N242" s="16"/>
      <c r="O242" s="16"/>
      <c r="P242" s="1"/>
    </row>
    <row r="243" spans="1:16">
      <c r="A243" s="6"/>
      <c r="B243" s="7"/>
      <c r="C243" s="56"/>
      <c r="D243" s="89"/>
      <c r="E243" s="56"/>
      <c r="F243" s="71"/>
      <c r="G243" s="9"/>
      <c r="H243" s="9"/>
      <c r="I243" s="16"/>
      <c r="J243" s="1"/>
      <c r="K243" s="1"/>
      <c r="L243" s="1"/>
      <c r="M243" s="1"/>
      <c r="N243" s="16"/>
      <c r="O243" s="16"/>
      <c r="P243" s="1"/>
    </row>
    <row r="244" spans="1:16">
      <c r="A244" s="6"/>
      <c r="B244" s="7"/>
      <c r="C244" s="67"/>
      <c r="D244" s="89"/>
      <c r="E244" s="56"/>
      <c r="F244" s="71"/>
      <c r="G244" s="9"/>
      <c r="H244" s="9"/>
      <c r="I244" s="16"/>
      <c r="J244" s="1"/>
      <c r="K244" s="1"/>
      <c r="L244" s="1"/>
      <c r="M244" s="1"/>
      <c r="N244" s="16"/>
      <c r="O244" s="16"/>
      <c r="P244" s="1"/>
    </row>
    <row r="245" spans="1:16">
      <c r="A245" s="6"/>
      <c r="B245" s="7"/>
      <c r="C245" s="67"/>
      <c r="D245" s="85"/>
      <c r="E245" s="45"/>
      <c r="F245" s="71"/>
      <c r="G245" s="9"/>
      <c r="H245" s="9"/>
      <c r="I245" s="16"/>
      <c r="J245" s="1"/>
      <c r="K245" s="1"/>
      <c r="L245" s="1"/>
      <c r="M245" s="1"/>
      <c r="N245" s="16"/>
      <c r="O245" s="16"/>
      <c r="P245" s="1"/>
    </row>
    <row r="246" spans="1:16">
      <c r="A246" s="6"/>
      <c r="B246" s="7"/>
      <c r="C246" s="6"/>
      <c r="D246" s="85"/>
      <c r="E246" s="45"/>
      <c r="F246" s="1"/>
      <c r="G246" s="9"/>
      <c r="H246" s="9"/>
      <c r="I246" s="16"/>
      <c r="J246" s="1"/>
      <c r="K246" s="1"/>
      <c r="L246" s="1"/>
      <c r="M246" s="1"/>
      <c r="N246" s="16"/>
      <c r="O246" s="16"/>
      <c r="P246" s="1"/>
    </row>
    <row r="247" spans="1:16">
      <c r="A247" s="6"/>
      <c r="B247" s="7"/>
      <c r="C247" s="6"/>
      <c r="D247" s="45"/>
      <c r="E247" s="45"/>
      <c r="F247" s="1"/>
      <c r="G247" s="9"/>
      <c r="H247" s="9"/>
      <c r="I247" s="16"/>
      <c r="J247" s="1"/>
      <c r="K247" s="1"/>
      <c r="L247" s="1"/>
      <c r="M247" s="1"/>
      <c r="N247" s="16"/>
      <c r="O247" s="16"/>
      <c r="P247" s="1"/>
    </row>
    <row r="248" spans="1:16">
      <c r="A248" s="6"/>
      <c r="B248" s="7"/>
      <c r="C248" s="6"/>
      <c r="D248" s="85"/>
      <c r="E248" s="45"/>
      <c r="F248" s="1"/>
      <c r="G248" s="9"/>
      <c r="H248" s="9"/>
      <c r="I248" s="16"/>
      <c r="J248" s="1"/>
      <c r="K248" s="1"/>
      <c r="L248" s="1"/>
      <c r="M248" s="1"/>
      <c r="N248" s="16"/>
      <c r="O248" s="16"/>
      <c r="P248" s="1"/>
    </row>
    <row r="249" spans="1:16">
      <c r="A249" s="6"/>
      <c r="B249" s="7"/>
      <c r="C249" s="6"/>
      <c r="D249" s="56"/>
      <c r="E249" s="56"/>
      <c r="F249" s="1"/>
      <c r="G249" s="9"/>
      <c r="H249" s="9"/>
      <c r="I249" s="16"/>
      <c r="J249" s="1"/>
      <c r="K249" s="1"/>
      <c r="L249" s="1"/>
      <c r="M249" s="1"/>
      <c r="N249" s="16"/>
      <c r="O249" s="16"/>
      <c r="P249" s="1"/>
    </row>
    <row r="250" spans="1:16">
      <c r="A250" s="6"/>
      <c r="B250" s="7"/>
      <c r="C250" s="6"/>
      <c r="D250" s="45"/>
      <c r="E250" s="45"/>
      <c r="F250" s="1"/>
      <c r="G250" s="9"/>
      <c r="H250" s="9"/>
      <c r="I250" s="16"/>
      <c r="J250" s="1"/>
      <c r="K250" s="1"/>
      <c r="L250" s="1"/>
      <c r="M250" s="1"/>
      <c r="O250" s="16"/>
      <c r="P250" s="1"/>
    </row>
    <row r="251" spans="1:16">
      <c r="A251" s="6"/>
      <c r="B251" s="7"/>
      <c r="C251" s="6"/>
      <c r="D251" s="45"/>
      <c r="E251" s="45"/>
      <c r="F251" s="1"/>
      <c r="G251" s="9"/>
      <c r="H251" s="9"/>
      <c r="I251" s="16"/>
      <c r="J251" s="1"/>
      <c r="K251" s="1"/>
      <c r="L251" s="1"/>
      <c r="M251" s="1"/>
      <c r="N251" s="16"/>
      <c r="O251" s="16"/>
      <c r="P251" s="1"/>
    </row>
    <row r="252" spans="1:16">
      <c r="A252" s="6"/>
      <c r="B252" s="7"/>
      <c r="C252" s="45"/>
      <c r="D252" s="45"/>
      <c r="E252" s="45"/>
      <c r="F252" s="1"/>
      <c r="G252" s="9"/>
      <c r="H252" s="9"/>
      <c r="I252" s="16"/>
      <c r="J252" s="1"/>
      <c r="K252" s="1"/>
      <c r="L252" s="1"/>
      <c r="M252" s="1"/>
      <c r="O252" s="16"/>
      <c r="P252" s="1"/>
    </row>
    <row r="253" spans="1:16">
      <c r="A253" s="6"/>
      <c r="B253" s="7"/>
      <c r="C253" s="6"/>
      <c r="D253" s="45"/>
      <c r="E253" s="45"/>
      <c r="F253" s="1"/>
      <c r="G253" s="9"/>
      <c r="H253" s="9"/>
      <c r="I253" s="16"/>
      <c r="J253" s="1"/>
      <c r="K253" s="1"/>
      <c r="L253" s="1"/>
      <c r="M253" s="1"/>
      <c r="O253" s="16"/>
      <c r="P253" s="1"/>
    </row>
    <row r="254" spans="1:16">
      <c r="A254" s="6"/>
      <c r="B254" s="7"/>
      <c r="C254" s="6"/>
      <c r="D254" s="45"/>
      <c r="E254" s="45"/>
      <c r="F254" s="1"/>
      <c r="G254" s="9"/>
      <c r="H254" s="9"/>
      <c r="I254" s="16"/>
      <c r="J254" s="1"/>
      <c r="K254" s="1"/>
      <c r="L254" s="1"/>
      <c r="M254" s="1"/>
      <c r="N254" s="16"/>
      <c r="O254" s="16"/>
      <c r="P254" s="1"/>
    </row>
    <row r="255" spans="1:16">
      <c r="A255" s="6"/>
      <c r="B255" s="7"/>
      <c r="C255" s="6"/>
      <c r="D255" s="45"/>
      <c r="E255" s="45"/>
      <c r="F255" s="1"/>
      <c r="G255" s="9"/>
      <c r="H255" s="9"/>
      <c r="I255" s="16"/>
      <c r="J255" s="1"/>
      <c r="K255" s="1"/>
      <c r="L255" s="1"/>
      <c r="M255" s="1"/>
      <c r="N255" s="16"/>
      <c r="O255" s="16"/>
      <c r="P255" s="1"/>
    </row>
    <row r="256" spans="1:16">
      <c r="A256" s="6"/>
      <c r="B256" s="7"/>
      <c r="C256" s="6"/>
      <c r="D256" s="45"/>
      <c r="E256" s="45"/>
      <c r="F256" s="1"/>
      <c r="G256" s="9"/>
      <c r="H256" s="9"/>
      <c r="I256" s="16"/>
      <c r="J256" s="1"/>
      <c r="K256" s="1"/>
      <c r="L256" s="1"/>
      <c r="M256" s="1"/>
      <c r="N256" s="16"/>
      <c r="O256" s="16"/>
      <c r="P256" s="1"/>
    </row>
    <row r="257" spans="1:16">
      <c r="A257" s="6"/>
      <c r="B257" s="7"/>
      <c r="C257" s="6"/>
      <c r="D257" s="45"/>
      <c r="E257" s="45"/>
      <c r="F257" s="1"/>
      <c r="G257" s="9"/>
      <c r="H257" s="9"/>
      <c r="I257" s="16"/>
      <c r="J257" s="1"/>
      <c r="K257" s="1"/>
      <c r="L257" s="1"/>
      <c r="M257" s="1"/>
      <c r="N257" s="16"/>
      <c r="O257" s="16"/>
      <c r="P257" s="1"/>
    </row>
    <row r="258" spans="1:16">
      <c r="A258" s="6"/>
      <c r="B258" s="7"/>
      <c r="C258" s="6"/>
      <c r="D258" s="45"/>
      <c r="E258" s="45"/>
      <c r="F258" s="1"/>
      <c r="G258" s="9"/>
      <c r="H258" s="9"/>
      <c r="I258" s="16"/>
      <c r="J258" s="1"/>
      <c r="K258" s="1"/>
      <c r="L258" s="1"/>
      <c r="M258" s="1"/>
      <c r="N258" s="16"/>
      <c r="O258" s="16"/>
      <c r="P258" s="1"/>
    </row>
    <row r="259" spans="1:16">
      <c r="A259" s="6"/>
      <c r="B259" s="7"/>
      <c r="C259" s="6"/>
      <c r="D259" s="45"/>
      <c r="E259" s="45"/>
      <c r="F259" s="1"/>
      <c r="G259" s="9"/>
      <c r="H259" s="9"/>
      <c r="I259" s="16"/>
      <c r="J259" s="1"/>
      <c r="K259" s="1"/>
      <c r="L259" s="1"/>
      <c r="M259" s="1"/>
      <c r="N259" s="16"/>
      <c r="O259" s="16"/>
      <c r="P259" s="1"/>
    </row>
    <row r="260" spans="1:16">
      <c r="A260" s="6"/>
      <c r="B260" s="7"/>
      <c r="C260" s="6"/>
      <c r="D260" s="45"/>
      <c r="E260" s="45"/>
      <c r="F260" s="1"/>
      <c r="G260" s="9"/>
      <c r="H260" s="9"/>
      <c r="I260" s="16"/>
      <c r="J260" s="1"/>
      <c r="K260" s="1"/>
      <c r="L260" s="1"/>
      <c r="M260" s="1"/>
      <c r="N260" s="16"/>
      <c r="O260" s="16"/>
      <c r="P260" s="1"/>
    </row>
    <row r="261" spans="1:16">
      <c r="A261" s="6"/>
      <c r="B261" s="7"/>
      <c r="C261" s="6"/>
      <c r="D261" s="45"/>
      <c r="E261" s="45"/>
      <c r="F261" s="1"/>
      <c r="G261" s="9"/>
      <c r="H261" s="9"/>
      <c r="I261" s="16"/>
      <c r="J261" s="1"/>
      <c r="K261" s="1"/>
      <c r="L261" s="1"/>
      <c r="M261" s="1"/>
      <c r="N261" s="16"/>
      <c r="O261" s="16"/>
      <c r="P261" s="1"/>
    </row>
    <row r="262" spans="1:16">
      <c r="A262" s="6"/>
      <c r="B262" s="7"/>
      <c r="C262" s="6"/>
      <c r="D262" s="85"/>
      <c r="E262" s="45"/>
      <c r="F262" s="1"/>
      <c r="G262" s="9"/>
      <c r="H262" s="9"/>
      <c r="I262" s="16"/>
      <c r="J262" s="1"/>
      <c r="K262" s="1"/>
      <c r="L262" s="1"/>
      <c r="M262" s="1"/>
      <c r="N262" s="16"/>
      <c r="O262" s="16"/>
      <c r="P262" s="1"/>
    </row>
    <row r="263" spans="1:16">
      <c r="A263" s="6"/>
      <c r="B263" s="7"/>
      <c r="C263" s="6"/>
      <c r="D263" s="85"/>
      <c r="E263" s="45"/>
      <c r="F263" s="1"/>
      <c r="G263" s="9"/>
      <c r="H263" s="9"/>
      <c r="I263" s="16"/>
      <c r="J263" s="1"/>
      <c r="K263" s="1"/>
      <c r="L263" s="1"/>
      <c r="M263" s="1"/>
      <c r="O263" s="16"/>
      <c r="P263" s="1"/>
    </row>
    <row r="264" spans="1:16">
      <c r="A264" s="6"/>
      <c r="B264" s="7"/>
      <c r="C264" s="6"/>
      <c r="D264" s="85"/>
      <c r="E264" s="45"/>
      <c r="F264" s="1"/>
      <c r="G264" s="9"/>
      <c r="H264" s="9"/>
      <c r="I264" s="16"/>
      <c r="J264" s="1"/>
      <c r="K264" s="1"/>
      <c r="L264" s="1"/>
      <c r="M264" s="1"/>
      <c r="N264" s="16"/>
      <c r="O264" s="16"/>
      <c r="P264" s="1"/>
    </row>
    <row r="265" spans="1:16">
      <c r="A265" s="6"/>
      <c r="B265" s="7"/>
      <c r="C265" s="6"/>
      <c r="D265" s="85"/>
      <c r="E265" s="45"/>
      <c r="F265" s="1"/>
      <c r="G265" s="9"/>
      <c r="H265" s="9"/>
      <c r="I265" s="16"/>
      <c r="J265" s="1"/>
      <c r="K265" s="1"/>
      <c r="L265" s="1"/>
      <c r="M265" s="1"/>
      <c r="O265" s="16"/>
      <c r="P265" s="1"/>
    </row>
    <row r="266" spans="1:16">
      <c r="A266" s="6"/>
      <c r="B266" s="7"/>
      <c r="C266" s="6"/>
      <c r="D266" s="85"/>
      <c r="E266" s="45"/>
      <c r="F266" s="1"/>
      <c r="G266" s="9"/>
      <c r="H266" s="9"/>
      <c r="I266" s="16"/>
      <c r="J266" s="1"/>
      <c r="K266" s="1"/>
      <c r="L266" s="1"/>
      <c r="M266" s="1"/>
      <c r="O266" s="16"/>
      <c r="P266" s="1"/>
    </row>
    <row r="267" spans="1:16">
      <c r="A267" s="6"/>
      <c r="B267" s="7"/>
      <c r="C267" s="6"/>
      <c r="D267" s="85"/>
      <c r="E267" s="45"/>
      <c r="F267" s="1"/>
      <c r="G267" s="9"/>
      <c r="H267" s="9"/>
      <c r="I267" s="16"/>
      <c r="J267" s="1"/>
      <c r="K267" s="1"/>
      <c r="L267" s="1"/>
      <c r="M267" s="1"/>
      <c r="N267" s="16"/>
      <c r="O267" s="16"/>
      <c r="P267" s="1"/>
    </row>
    <row r="268" spans="1:16">
      <c r="A268" s="6"/>
      <c r="B268" s="7"/>
      <c r="C268" s="6"/>
      <c r="D268" s="85"/>
      <c r="E268" s="45"/>
      <c r="F268" s="1"/>
      <c r="G268" s="9"/>
      <c r="H268" s="9"/>
      <c r="I268" s="16"/>
      <c r="J268" s="1"/>
      <c r="K268" s="1"/>
      <c r="L268" s="1"/>
      <c r="M268" s="1"/>
      <c r="N268" s="16"/>
      <c r="O268" s="16"/>
      <c r="P268" s="1"/>
    </row>
    <row r="269" spans="1:16">
      <c r="A269" s="6"/>
      <c r="B269" s="7"/>
      <c r="C269" s="6"/>
      <c r="D269" s="85"/>
      <c r="E269" s="45"/>
      <c r="F269" s="1"/>
      <c r="G269" s="9"/>
      <c r="H269" s="9"/>
      <c r="I269" s="16"/>
      <c r="J269" s="1"/>
      <c r="K269" s="1"/>
      <c r="L269" s="1"/>
      <c r="M269" s="1"/>
      <c r="O269" s="16"/>
      <c r="P269" s="1"/>
    </row>
    <row r="270" spans="1:16">
      <c r="A270" s="6"/>
      <c r="B270" s="7"/>
      <c r="C270" s="6"/>
      <c r="D270" s="45"/>
      <c r="E270" s="45"/>
      <c r="F270" s="1"/>
      <c r="G270" s="9"/>
      <c r="H270" s="9"/>
      <c r="I270" s="16"/>
      <c r="J270" s="1"/>
      <c r="K270" s="1"/>
      <c r="L270" s="1"/>
      <c r="M270" s="1"/>
      <c r="N270" s="16"/>
      <c r="O270" s="16"/>
      <c r="P270" s="1"/>
    </row>
    <row r="271" spans="1:16">
      <c r="A271" s="6"/>
      <c r="B271" s="7"/>
      <c r="C271" s="6"/>
      <c r="D271" s="85"/>
      <c r="E271" s="45"/>
      <c r="F271" s="1"/>
      <c r="G271" s="9"/>
      <c r="H271" s="9"/>
      <c r="I271" s="16"/>
      <c r="J271" s="1"/>
      <c r="K271" s="1"/>
      <c r="L271" s="1"/>
      <c r="M271" s="1"/>
      <c r="N271" s="16"/>
      <c r="O271" s="16"/>
      <c r="P271" s="1"/>
    </row>
    <row r="272" spans="1:16">
      <c r="A272" s="6"/>
      <c r="B272" s="7"/>
      <c r="C272" s="6"/>
      <c r="D272" s="45"/>
      <c r="E272" s="45"/>
      <c r="F272" s="1"/>
      <c r="G272" s="9"/>
      <c r="H272" s="9"/>
      <c r="I272" s="16"/>
      <c r="J272" s="1"/>
      <c r="K272" s="1"/>
      <c r="L272" s="1"/>
      <c r="M272" s="1"/>
      <c r="N272" s="16"/>
      <c r="O272" s="16"/>
      <c r="P272" s="1"/>
    </row>
    <row r="273" spans="1:16">
      <c r="A273" s="6"/>
      <c r="B273" s="7"/>
      <c r="C273" s="6"/>
      <c r="D273" s="85"/>
      <c r="E273" s="45"/>
      <c r="F273" s="1"/>
      <c r="G273" s="9"/>
      <c r="H273" s="9"/>
      <c r="I273" s="16"/>
      <c r="J273" s="1"/>
      <c r="K273" s="1"/>
      <c r="L273" s="1"/>
      <c r="M273" s="1"/>
      <c r="N273" s="16"/>
      <c r="O273" s="16"/>
      <c r="P273" s="1"/>
    </row>
    <row r="274" spans="1:16">
      <c r="A274" s="6"/>
      <c r="B274" s="7"/>
      <c r="C274" s="6"/>
      <c r="D274" s="85"/>
      <c r="E274" s="45"/>
      <c r="F274" s="1"/>
      <c r="G274" s="9"/>
      <c r="H274" s="9"/>
      <c r="I274" s="16"/>
      <c r="J274" s="1"/>
      <c r="K274" s="1"/>
      <c r="L274" s="1"/>
      <c r="M274" s="1"/>
      <c r="N274" s="16"/>
      <c r="O274" s="16"/>
      <c r="P274" s="1"/>
    </row>
    <row r="275" spans="1:16">
      <c r="A275" s="6"/>
      <c r="B275" s="7"/>
      <c r="C275" s="6"/>
      <c r="D275" s="85"/>
      <c r="E275" s="45"/>
      <c r="F275" s="1"/>
      <c r="G275" s="9"/>
      <c r="H275" s="9"/>
      <c r="I275" s="16"/>
      <c r="J275" s="1"/>
      <c r="K275" s="1"/>
      <c r="L275" s="1"/>
      <c r="M275" s="1"/>
      <c r="N275" s="16"/>
      <c r="O275" s="16"/>
      <c r="P275" s="1"/>
    </row>
    <row r="276" spans="1:16">
      <c r="A276" s="6"/>
      <c r="B276" s="7"/>
      <c r="C276" s="6"/>
      <c r="D276" s="85"/>
      <c r="E276" s="45"/>
      <c r="F276" s="1"/>
      <c r="G276" s="9"/>
      <c r="H276" s="9"/>
      <c r="I276" s="16"/>
      <c r="J276" s="1"/>
      <c r="K276" s="1"/>
      <c r="L276" s="1"/>
      <c r="M276" s="1"/>
      <c r="N276" s="16"/>
      <c r="O276" s="16"/>
      <c r="P276" s="1"/>
    </row>
    <row r="277" spans="1:16">
      <c r="A277" s="6"/>
      <c r="B277" s="7"/>
      <c r="C277" s="6"/>
      <c r="D277" s="45"/>
      <c r="E277" s="45"/>
      <c r="F277" s="1"/>
      <c r="G277" s="9"/>
      <c r="H277" s="9"/>
      <c r="I277" s="16"/>
      <c r="J277" s="1"/>
      <c r="K277" s="1"/>
      <c r="L277" s="1"/>
      <c r="M277" s="1"/>
      <c r="N277" s="16"/>
      <c r="O277" s="16"/>
      <c r="P277" s="1"/>
    </row>
    <row r="278" spans="1:16">
      <c r="A278" s="6"/>
      <c r="B278" s="7"/>
      <c r="C278" s="6"/>
      <c r="D278" s="45"/>
      <c r="E278" s="45"/>
      <c r="F278" s="1"/>
      <c r="G278" s="9"/>
      <c r="H278" s="9"/>
      <c r="I278" s="16"/>
      <c r="J278" s="1"/>
      <c r="K278" s="1"/>
      <c r="L278" s="1"/>
      <c r="M278" s="1"/>
      <c r="O278" s="16"/>
      <c r="P278" s="1"/>
    </row>
    <row r="279" spans="1:16">
      <c r="A279" s="6"/>
      <c r="B279" s="7"/>
      <c r="C279" s="6"/>
      <c r="D279" s="45"/>
      <c r="E279" s="45"/>
      <c r="F279" s="1"/>
      <c r="G279" s="9"/>
      <c r="H279" s="9"/>
      <c r="I279" s="16"/>
      <c r="J279" s="1"/>
      <c r="K279" s="1"/>
      <c r="L279" s="1"/>
      <c r="M279" s="1"/>
      <c r="N279" s="16"/>
      <c r="O279" s="16"/>
      <c r="P279" s="1"/>
    </row>
    <row r="280" spans="1:16">
      <c r="A280" s="6"/>
      <c r="B280" s="7"/>
      <c r="C280" s="6"/>
      <c r="D280" s="91"/>
      <c r="E280" s="45"/>
      <c r="F280" s="1"/>
      <c r="G280" s="9"/>
      <c r="H280" s="9"/>
      <c r="I280" s="16"/>
      <c r="J280" s="1"/>
      <c r="K280" s="1"/>
      <c r="L280" s="1"/>
      <c r="M280" s="1"/>
      <c r="O280" s="16"/>
      <c r="P280" s="1"/>
    </row>
    <row r="281" spans="1:16">
      <c r="A281" s="6"/>
      <c r="B281" s="7"/>
      <c r="C281" s="6"/>
      <c r="D281" s="85"/>
      <c r="E281" s="45"/>
      <c r="F281" s="1"/>
      <c r="G281" s="9"/>
      <c r="H281" s="9"/>
      <c r="I281" s="16"/>
      <c r="J281" s="1"/>
      <c r="K281" s="1"/>
      <c r="L281" s="1"/>
      <c r="M281" s="1"/>
      <c r="N281" s="16"/>
      <c r="O281" s="16"/>
      <c r="P281" s="1"/>
    </row>
    <row r="282" spans="1:16">
      <c r="A282" s="6"/>
      <c r="B282" s="7"/>
      <c r="C282" s="6"/>
      <c r="D282" s="85"/>
      <c r="E282" s="45"/>
      <c r="F282" s="1"/>
      <c r="G282" s="9"/>
      <c r="H282" s="9"/>
      <c r="I282" s="16"/>
      <c r="J282" s="1"/>
      <c r="K282" s="1"/>
      <c r="L282" s="1"/>
      <c r="M282" s="1"/>
      <c r="N282" s="16"/>
      <c r="O282" s="16"/>
      <c r="P282" s="1"/>
    </row>
    <row r="283" spans="1:16">
      <c r="A283" s="6"/>
      <c r="B283" s="7"/>
      <c r="C283" s="6"/>
      <c r="D283" s="85"/>
      <c r="E283" s="45"/>
      <c r="F283" s="1"/>
      <c r="G283" s="9"/>
      <c r="H283" s="9"/>
      <c r="I283" s="16"/>
      <c r="J283" s="1"/>
      <c r="K283" s="1"/>
      <c r="L283" s="1"/>
      <c r="M283" s="1"/>
      <c r="N283" s="16"/>
      <c r="O283" s="16"/>
      <c r="P283" s="1"/>
    </row>
    <row r="284" spans="1:16">
      <c r="A284" s="6"/>
      <c r="B284" s="7"/>
      <c r="C284" s="6"/>
      <c r="D284" s="85"/>
      <c r="E284" s="45"/>
      <c r="F284" s="1"/>
      <c r="G284" s="9"/>
      <c r="H284" s="9"/>
      <c r="I284" s="16"/>
      <c r="J284" s="1"/>
      <c r="K284" s="1"/>
      <c r="L284" s="1"/>
      <c r="M284" s="1"/>
      <c r="N284" s="16"/>
      <c r="O284" s="16"/>
      <c r="P284" s="1"/>
    </row>
    <row r="285" spans="1:16">
      <c r="A285" s="6"/>
      <c r="B285" s="7"/>
      <c r="C285" s="45"/>
      <c r="D285" s="85"/>
      <c r="E285" s="45"/>
      <c r="F285" s="1"/>
      <c r="G285" s="9"/>
      <c r="H285" s="9"/>
      <c r="I285" s="16"/>
      <c r="J285" s="1"/>
      <c r="K285" s="1"/>
      <c r="L285" s="1"/>
      <c r="M285" s="1"/>
      <c r="O285" s="16"/>
      <c r="P285" s="1"/>
    </row>
    <row r="286" spans="1:16">
      <c r="A286" s="6"/>
      <c r="B286" s="7"/>
      <c r="C286" s="6"/>
      <c r="D286" s="45"/>
      <c r="E286" s="45"/>
      <c r="F286" s="1"/>
      <c r="G286" s="9"/>
      <c r="H286" s="9"/>
      <c r="I286" s="16"/>
      <c r="J286" s="1"/>
      <c r="K286" s="1"/>
      <c r="L286" s="1"/>
      <c r="M286" s="1"/>
      <c r="N286" s="16"/>
      <c r="O286" s="16"/>
      <c r="P286" s="1"/>
    </row>
    <row r="287" spans="1:16">
      <c r="A287" s="6"/>
      <c r="B287" s="7"/>
      <c r="C287" s="6"/>
      <c r="D287" s="45"/>
      <c r="E287" s="45"/>
      <c r="F287" s="1"/>
      <c r="G287" s="9"/>
      <c r="H287" s="9"/>
      <c r="I287" s="16"/>
      <c r="J287" s="1"/>
      <c r="K287" s="1"/>
      <c r="L287" s="1"/>
      <c r="M287" s="1"/>
      <c r="N287" s="16"/>
      <c r="O287" s="16"/>
      <c r="P287" s="1"/>
    </row>
    <row r="288" spans="1:16">
      <c r="A288" s="6"/>
      <c r="B288" s="7"/>
      <c r="C288" s="6"/>
      <c r="D288" s="85"/>
      <c r="E288" s="45"/>
      <c r="F288" s="1"/>
      <c r="G288" s="9"/>
      <c r="H288" s="9"/>
      <c r="I288" s="16"/>
      <c r="J288" s="1"/>
      <c r="K288" s="1"/>
      <c r="L288" s="1"/>
      <c r="M288" s="1"/>
      <c r="O288" s="16"/>
      <c r="P288" s="1"/>
    </row>
    <row r="289" spans="1:16">
      <c r="A289" s="6"/>
      <c r="B289" s="7"/>
      <c r="C289" s="6"/>
      <c r="D289" s="85"/>
      <c r="E289" s="45"/>
      <c r="F289" s="1"/>
      <c r="G289" s="9"/>
      <c r="H289" s="9"/>
      <c r="I289" s="16"/>
      <c r="J289" s="1"/>
      <c r="K289" s="1"/>
      <c r="L289" s="1"/>
      <c r="M289" s="1"/>
      <c r="O289" s="16"/>
      <c r="P289" s="1"/>
    </row>
    <row r="290" spans="1:16">
      <c r="A290" s="6"/>
      <c r="B290" s="7"/>
      <c r="C290" s="6"/>
      <c r="D290" s="45"/>
      <c r="E290" s="45"/>
      <c r="F290" s="1"/>
      <c r="G290" s="9"/>
      <c r="H290" s="9"/>
      <c r="I290" s="16"/>
      <c r="J290" s="1"/>
      <c r="K290" s="1"/>
      <c r="L290" s="1"/>
      <c r="M290" s="1"/>
      <c r="O290" s="16"/>
      <c r="P290" s="1"/>
    </row>
    <row r="291" spans="1:16">
      <c r="A291" s="6"/>
      <c r="B291" s="7"/>
      <c r="C291" s="6"/>
      <c r="D291" s="85"/>
      <c r="E291" s="45"/>
      <c r="F291" s="1"/>
      <c r="G291" s="9"/>
      <c r="H291" s="9"/>
      <c r="I291" s="16"/>
      <c r="J291" s="1"/>
      <c r="K291" s="1"/>
      <c r="L291" s="1"/>
      <c r="M291" s="1"/>
      <c r="O291" s="16"/>
      <c r="P291" s="1"/>
    </row>
    <row r="292" spans="1:16">
      <c r="A292" s="6"/>
      <c r="B292" s="7"/>
      <c r="C292" s="6"/>
      <c r="D292" s="85"/>
      <c r="E292" s="45"/>
      <c r="F292" s="1"/>
      <c r="G292" s="9"/>
      <c r="H292" s="9"/>
      <c r="I292" s="16"/>
      <c r="J292" s="1"/>
      <c r="K292" s="1"/>
      <c r="L292" s="1"/>
      <c r="M292" s="1"/>
      <c r="O292" s="16"/>
      <c r="P292" s="1"/>
    </row>
    <row r="293" spans="1:16">
      <c r="A293" s="6"/>
      <c r="B293" s="7"/>
      <c r="C293" s="6"/>
      <c r="D293" s="85"/>
      <c r="E293" s="45"/>
      <c r="F293" s="1"/>
      <c r="G293" s="9"/>
      <c r="H293" s="9"/>
      <c r="I293" s="16"/>
      <c r="J293" s="1"/>
      <c r="K293" s="1"/>
      <c r="L293" s="1"/>
      <c r="M293" s="1"/>
      <c r="N293" s="16"/>
      <c r="O293" s="16"/>
      <c r="P293" s="1"/>
    </row>
    <row r="294" spans="1:16">
      <c r="A294" s="6"/>
      <c r="B294" s="7"/>
      <c r="C294" s="6"/>
      <c r="D294" s="85"/>
      <c r="E294" s="45"/>
      <c r="F294" s="1"/>
      <c r="G294" s="9"/>
      <c r="H294" s="9"/>
      <c r="I294" s="16"/>
      <c r="J294" s="1"/>
      <c r="K294" s="1"/>
      <c r="L294" s="1"/>
      <c r="M294" s="1"/>
      <c r="N294" s="16"/>
      <c r="O294" s="16"/>
      <c r="P294" s="1"/>
    </row>
    <row r="295" spans="1:16">
      <c r="A295" s="6"/>
      <c r="B295" s="7"/>
      <c r="C295" s="6"/>
      <c r="D295" s="85"/>
      <c r="E295" s="45"/>
      <c r="F295" s="1"/>
      <c r="G295" s="9"/>
      <c r="H295" s="9"/>
      <c r="I295" s="16"/>
      <c r="J295" s="1"/>
      <c r="K295" s="1"/>
      <c r="L295" s="1"/>
      <c r="M295" s="1"/>
      <c r="N295" s="16"/>
      <c r="O295" s="16"/>
      <c r="P295" s="1"/>
    </row>
    <row r="296" spans="1:16">
      <c r="A296" s="6"/>
      <c r="B296" s="7"/>
      <c r="C296" s="6"/>
      <c r="D296" s="45"/>
      <c r="E296" s="45"/>
      <c r="F296" s="1"/>
      <c r="G296" s="9"/>
      <c r="H296" s="9"/>
      <c r="I296" s="16"/>
      <c r="J296" s="1"/>
      <c r="K296" s="1"/>
      <c r="L296" s="1"/>
      <c r="M296" s="1"/>
      <c r="N296" s="16"/>
      <c r="O296" s="16"/>
      <c r="P296" s="1"/>
    </row>
    <row r="297" spans="1:16">
      <c r="A297" s="6"/>
      <c r="B297" s="7"/>
      <c r="C297" s="6"/>
      <c r="D297" s="85"/>
      <c r="E297" s="45"/>
      <c r="F297" s="1"/>
      <c r="G297" s="9"/>
      <c r="H297" s="9"/>
      <c r="I297" s="16"/>
      <c r="J297" s="1"/>
      <c r="K297" s="1"/>
      <c r="L297" s="1"/>
      <c r="M297" s="1"/>
      <c r="N297" s="16"/>
      <c r="O297" s="16"/>
      <c r="P297" s="1"/>
    </row>
    <row r="298" spans="1:16">
      <c r="A298" s="6"/>
      <c r="B298" s="7"/>
      <c r="C298" s="6"/>
      <c r="D298" s="85"/>
      <c r="E298" s="45"/>
      <c r="F298" s="1"/>
      <c r="G298" s="9"/>
      <c r="H298" s="9"/>
      <c r="I298" s="16"/>
      <c r="J298" s="1"/>
      <c r="K298" s="1"/>
      <c r="L298" s="1"/>
      <c r="M298" s="1"/>
      <c r="N298" s="16"/>
      <c r="O298" s="16"/>
      <c r="P298" s="1"/>
    </row>
    <row r="299" spans="1:16">
      <c r="A299" s="6"/>
      <c r="B299" s="7"/>
      <c r="C299" s="6"/>
      <c r="D299" s="85"/>
      <c r="E299" s="45"/>
      <c r="F299" s="1"/>
      <c r="G299" s="9"/>
      <c r="H299" s="9"/>
      <c r="I299" s="16"/>
      <c r="J299" s="1"/>
      <c r="K299" s="1"/>
      <c r="L299" s="1"/>
      <c r="M299" s="1"/>
      <c r="N299" s="16"/>
      <c r="O299" s="16"/>
      <c r="P299" s="1"/>
    </row>
    <row r="300" spans="1:16">
      <c r="A300" s="6"/>
      <c r="B300" s="7"/>
      <c r="C300" s="6"/>
      <c r="D300" s="6"/>
      <c r="E300" s="6"/>
      <c r="F300" s="1"/>
      <c r="G300" s="9"/>
      <c r="H300" s="9"/>
      <c r="I300" s="16"/>
      <c r="J300" s="1"/>
      <c r="K300" s="1"/>
      <c r="L300" s="1"/>
      <c r="M300" s="1"/>
      <c r="N300" s="16"/>
      <c r="O300" s="16"/>
      <c r="P300" s="1"/>
    </row>
    <row r="301" spans="1:16">
      <c r="A301" s="6"/>
      <c r="B301" s="7"/>
      <c r="C301" s="6"/>
      <c r="D301" s="6"/>
      <c r="E301" s="6"/>
      <c r="F301" s="1"/>
      <c r="G301" s="9"/>
      <c r="H301" s="9"/>
      <c r="I301" s="16"/>
      <c r="J301" s="1"/>
      <c r="K301" s="1"/>
      <c r="L301" s="1"/>
      <c r="M301" s="1"/>
      <c r="N301" s="16"/>
      <c r="O301" s="16"/>
      <c r="P301" s="1"/>
    </row>
    <row r="302" spans="1:16">
      <c r="A302" s="6"/>
      <c r="B302" s="7"/>
      <c r="C302" s="6"/>
      <c r="D302" s="6"/>
      <c r="E302" s="6"/>
      <c r="F302" s="1"/>
      <c r="G302" s="9"/>
      <c r="H302" s="9"/>
      <c r="I302" s="16"/>
      <c r="J302" s="1"/>
      <c r="K302" s="1"/>
      <c r="L302" s="1"/>
      <c r="M302" s="1"/>
      <c r="N302" s="16"/>
      <c r="O302" s="16"/>
      <c r="P302" s="1"/>
    </row>
    <row r="303" spans="1:16">
      <c r="A303" s="6"/>
      <c r="B303" s="7"/>
      <c r="C303" s="6"/>
      <c r="D303" s="6"/>
      <c r="E303" s="6"/>
      <c r="F303" s="1"/>
      <c r="G303" s="9"/>
      <c r="H303" s="9"/>
      <c r="I303" s="16"/>
      <c r="J303" s="1"/>
      <c r="K303" s="1"/>
      <c r="L303" s="1"/>
      <c r="M303" s="1"/>
      <c r="O303" s="16"/>
      <c r="P303" s="1"/>
    </row>
    <row r="304" spans="1:16">
      <c r="A304" s="6"/>
      <c r="B304" s="7"/>
      <c r="C304" s="6"/>
      <c r="D304" s="6"/>
      <c r="E304" s="6"/>
      <c r="F304" s="1"/>
      <c r="G304" s="9"/>
      <c r="H304" s="9"/>
      <c r="I304" s="16"/>
      <c r="J304" s="1"/>
      <c r="K304" s="1"/>
      <c r="L304" s="1"/>
      <c r="M304" s="1"/>
      <c r="N304" s="16"/>
      <c r="O304" s="16"/>
      <c r="P304" s="1"/>
    </row>
    <row r="305" spans="1:16">
      <c r="A305" s="6"/>
      <c r="B305" s="7"/>
      <c r="C305" s="6"/>
      <c r="D305" s="6"/>
      <c r="E305" s="6"/>
      <c r="F305" s="1"/>
      <c r="G305" s="9"/>
      <c r="H305" s="9"/>
      <c r="I305" s="16"/>
      <c r="J305" s="1"/>
      <c r="K305" s="1"/>
      <c r="L305" s="1"/>
      <c r="M305" s="1"/>
      <c r="O305" s="16"/>
      <c r="P305" s="1"/>
    </row>
    <row r="306" spans="1:16">
      <c r="A306" s="6"/>
      <c r="B306" s="7"/>
      <c r="C306" s="6"/>
      <c r="D306" s="6"/>
      <c r="E306" s="6"/>
      <c r="F306" s="1"/>
      <c r="G306" s="9"/>
      <c r="H306" s="9"/>
      <c r="I306" s="16"/>
      <c r="J306" s="1"/>
      <c r="K306" s="1"/>
      <c r="L306" s="1"/>
      <c r="M306" s="1"/>
      <c r="O306" s="16"/>
      <c r="P306" s="1"/>
    </row>
    <row r="307" spans="1:16">
      <c r="A307" s="6"/>
      <c r="B307" s="7"/>
      <c r="C307" s="6"/>
      <c r="D307" s="6"/>
      <c r="E307" s="6"/>
      <c r="F307" s="1"/>
      <c r="G307" s="9"/>
      <c r="H307" s="9"/>
      <c r="I307" s="16"/>
      <c r="J307" s="1"/>
      <c r="K307" s="1"/>
      <c r="L307" s="1"/>
      <c r="M307" s="1"/>
      <c r="O307" s="16"/>
      <c r="P307" s="1"/>
    </row>
    <row r="308" spans="1:16">
      <c r="A308" s="6"/>
      <c r="B308" s="7"/>
      <c r="C308" s="6"/>
      <c r="D308" s="6"/>
      <c r="E308" s="6"/>
      <c r="F308" s="1"/>
      <c r="G308" s="9"/>
      <c r="H308" s="9"/>
      <c r="I308" s="16"/>
      <c r="J308" s="1"/>
      <c r="K308" s="1"/>
      <c r="L308" s="1"/>
      <c r="M308" s="1"/>
      <c r="O308" s="16"/>
      <c r="P308" s="1"/>
    </row>
    <row r="309" spans="1:16">
      <c r="A309" s="6"/>
      <c r="B309" s="7"/>
      <c r="C309" s="6"/>
      <c r="D309" s="6"/>
      <c r="E309" s="6"/>
      <c r="F309" s="1"/>
      <c r="G309" s="9"/>
      <c r="H309" s="9"/>
      <c r="I309" s="16"/>
      <c r="J309" s="1"/>
      <c r="K309" s="1"/>
      <c r="L309" s="1"/>
      <c r="M309" s="1"/>
      <c r="N309" s="16"/>
      <c r="O309" s="16"/>
      <c r="P309" s="1"/>
    </row>
    <row r="310" spans="1:16">
      <c r="A310" s="6"/>
      <c r="B310" s="7"/>
      <c r="C310" s="6"/>
      <c r="D310" s="6"/>
      <c r="E310" s="6"/>
      <c r="F310" s="1"/>
      <c r="G310" s="9"/>
      <c r="H310" s="9"/>
      <c r="I310" s="16"/>
      <c r="J310" s="1"/>
      <c r="K310" s="1"/>
      <c r="L310" s="1"/>
      <c r="M310" s="1"/>
      <c r="O310" s="16"/>
      <c r="P310" s="1"/>
    </row>
    <row r="311" spans="1:16">
      <c r="A311" s="6"/>
      <c r="B311" s="7"/>
      <c r="C311" s="6"/>
      <c r="D311" s="6"/>
      <c r="E311" s="6"/>
      <c r="F311" s="1"/>
      <c r="G311" s="9"/>
      <c r="H311" s="9"/>
      <c r="I311" s="16"/>
      <c r="J311" s="1"/>
      <c r="K311" s="1"/>
      <c r="L311" s="1"/>
      <c r="M311" s="1"/>
      <c r="N311" s="16"/>
      <c r="O311" s="16"/>
      <c r="P311" s="1"/>
    </row>
    <row r="312" spans="1:16">
      <c r="A312" s="6"/>
      <c r="B312" s="7"/>
      <c r="C312" s="6"/>
      <c r="D312" s="6"/>
      <c r="E312" s="6"/>
      <c r="F312" s="1"/>
      <c r="G312" s="9"/>
      <c r="H312" s="9"/>
      <c r="I312" s="16"/>
      <c r="J312" s="1"/>
      <c r="K312" s="1"/>
      <c r="L312" s="1"/>
      <c r="M312" s="1"/>
      <c r="O312" s="16"/>
      <c r="P312" s="1"/>
    </row>
    <row r="313" spans="1:16">
      <c r="A313" s="6"/>
      <c r="B313" s="7"/>
      <c r="C313" s="6"/>
      <c r="D313" s="6"/>
      <c r="E313" s="6"/>
      <c r="F313" s="1"/>
      <c r="G313" s="9"/>
      <c r="H313" s="9"/>
      <c r="I313" s="16"/>
      <c r="J313" s="1"/>
      <c r="K313" s="1"/>
      <c r="L313" s="1"/>
      <c r="M313" s="1"/>
      <c r="O313" s="16"/>
      <c r="P313" s="1"/>
    </row>
    <row r="314" spans="1:16">
      <c r="A314" s="6"/>
      <c r="B314" s="7"/>
      <c r="C314" s="6"/>
      <c r="D314" s="6"/>
      <c r="E314" s="6"/>
      <c r="F314" s="1"/>
      <c r="G314" s="9"/>
      <c r="H314" s="9"/>
      <c r="I314" s="16"/>
      <c r="J314" s="1"/>
      <c r="K314" s="1"/>
      <c r="L314" s="1"/>
      <c r="M314" s="1"/>
      <c r="N314" s="16"/>
      <c r="O314" s="16"/>
      <c r="P314" s="1"/>
    </row>
    <row r="315" spans="1:16">
      <c r="A315" s="6"/>
      <c r="B315" s="7"/>
      <c r="C315" s="6"/>
      <c r="D315" s="6"/>
      <c r="E315" s="6"/>
      <c r="F315" s="1"/>
      <c r="G315" s="9"/>
      <c r="H315" s="9"/>
      <c r="I315" s="16"/>
      <c r="J315" s="1"/>
      <c r="K315" s="1"/>
      <c r="L315" s="1"/>
      <c r="M315" s="1"/>
      <c r="O315" s="16"/>
      <c r="P315" s="1"/>
    </row>
    <row r="316" spans="1:16">
      <c r="A316" s="6"/>
      <c r="B316" s="7"/>
      <c r="C316" s="6"/>
      <c r="D316" s="6"/>
      <c r="E316" s="6"/>
      <c r="F316" s="1"/>
      <c r="G316" s="9"/>
      <c r="H316" s="9"/>
      <c r="I316" s="16"/>
      <c r="J316" s="1"/>
      <c r="K316" s="1"/>
      <c r="L316" s="1"/>
      <c r="M316" s="1"/>
      <c r="O316" s="16"/>
      <c r="P316" s="1"/>
    </row>
    <row r="317" spans="1:16">
      <c r="A317" s="6"/>
      <c r="B317" s="7"/>
      <c r="C317" s="6"/>
      <c r="D317" s="6"/>
      <c r="E317" s="6"/>
      <c r="F317" s="1"/>
      <c r="G317" s="9"/>
      <c r="H317" s="9"/>
      <c r="I317" s="16"/>
      <c r="J317" s="1"/>
      <c r="K317" s="1"/>
      <c r="L317" s="1"/>
      <c r="M317" s="1"/>
      <c r="O317" s="16"/>
      <c r="P317" s="1"/>
    </row>
    <row r="318" spans="1:16">
      <c r="A318" s="6"/>
      <c r="B318" s="7"/>
      <c r="C318" s="6"/>
      <c r="D318" s="6"/>
      <c r="E318" s="6"/>
      <c r="F318" s="1"/>
      <c r="G318" s="9"/>
      <c r="H318" s="9"/>
      <c r="I318" s="16"/>
      <c r="J318" s="1"/>
      <c r="K318" s="1"/>
      <c r="L318" s="1"/>
      <c r="M318" s="1"/>
      <c r="O318" s="16"/>
      <c r="P318" s="1"/>
    </row>
    <row r="319" spans="1:16">
      <c r="A319" s="6"/>
      <c r="B319" s="7"/>
      <c r="C319" s="6"/>
      <c r="D319" s="6"/>
      <c r="E319" s="6"/>
      <c r="F319" s="1"/>
      <c r="G319" s="9"/>
      <c r="H319" s="9"/>
      <c r="I319" s="16"/>
      <c r="J319" s="1"/>
      <c r="K319" s="1"/>
      <c r="L319" s="1"/>
      <c r="M319" s="1"/>
      <c r="O319" s="16"/>
      <c r="P319" s="1"/>
    </row>
    <row r="320" spans="1:16">
      <c r="A320" s="6"/>
      <c r="B320" s="7"/>
      <c r="C320" s="6"/>
      <c r="D320" s="6"/>
      <c r="E320" s="6"/>
      <c r="F320" s="1"/>
      <c r="G320" s="9"/>
      <c r="H320" s="9"/>
      <c r="I320" s="16"/>
      <c r="J320" s="1"/>
      <c r="K320" s="1"/>
      <c r="L320" s="1"/>
      <c r="M320" s="1"/>
      <c r="O320" s="16"/>
      <c r="P320" s="1"/>
    </row>
    <row r="321" spans="1:16">
      <c r="A321" s="6"/>
      <c r="B321" s="7"/>
      <c r="C321" s="6"/>
      <c r="D321" s="6"/>
      <c r="E321" s="6"/>
      <c r="F321" s="1"/>
      <c r="G321" s="9"/>
      <c r="H321" s="9"/>
      <c r="I321" s="16"/>
      <c r="J321" s="1"/>
      <c r="K321" s="1"/>
      <c r="L321" s="1"/>
      <c r="M321" s="1"/>
      <c r="N321" s="16"/>
      <c r="O321" s="16"/>
      <c r="P321" s="1"/>
    </row>
    <row r="322" spans="1:16">
      <c r="A322" s="6"/>
      <c r="B322" s="7"/>
      <c r="C322" s="6"/>
      <c r="D322" s="6"/>
      <c r="E322" s="6"/>
      <c r="F322" s="1"/>
      <c r="G322" s="9"/>
      <c r="H322" s="9"/>
      <c r="I322" s="16"/>
      <c r="J322" s="1"/>
      <c r="K322" s="1"/>
      <c r="L322" s="1"/>
      <c r="M322" s="1"/>
      <c r="O322" s="16"/>
      <c r="P322" s="1"/>
    </row>
    <row r="323" spans="1:16">
      <c r="A323" s="6"/>
      <c r="B323" s="7"/>
      <c r="C323" s="45"/>
      <c r="D323" s="6"/>
      <c r="E323" s="6"/>
      <c r="F323" s="1"/>
      <c r="G323" s="9"/>
      <c r="H323" s="9"/>
      <c r="I323" s="16"/>
      <c r="J323" s="1"/>
      <c r="K323" s="1"/>
      <c r="L323" s="1"/>
      <c r="M323" s="1"/>
      <c r="O323" s="16"/>
      <c r="P323" s="1"/>
    </row>
    <row r="324" spans="1:16">
      <c r="A324" s="6"/>
      <c r="B324" s="7"/>
      <c r="C324" s="6"/>
      <c r="D324" s="6"/>
      <c r="E324" s="6"/>
      <c r="F324" s="1"/>
      <c r="G324" s="9"/>
      <c r="H324" s="9"/>
      <c r="I324" s="16"/>
      <c r="J324" s="1"/>
      <c r="K324" s="1"/>
      <c r="L324" s="1"/>
      <c r="M324" s="1"/>
      <c r="N324" s="16"/>
      <c r="O324" s="16"/>
      <c r="P324" s="1"/>
    </row>
    <row r="325" spans="1:16">
      <c r="A325" s="6"/>
      <c r="B325" s="7"/>
      <c r="C325" s="6"/>
      <c r="D325" s="6"/>
      <c r="E325" s="6"/>
      <c r="F325" s="1"/>
      <c r="G325" s="9"/>
      <c r="H325" s="9"/>
      <c r="I325" s="16"/>
      <c r="J325" s="1"/>
      <c r="K325" s="1"/>
      <c r="L325" s="1"/>
      <c r="M325" s="1"/>
      <c r="O325" s="16"/>
      <c r="P325" s="1"/>
    </row>
    <row r="326" spans="1:16">
      <c r="A326" s="6"/>
      <c r="B326" s="7"/>
      <c r="C326" s="6"/>
      <c r="D326" s="6"/>
      <c r="E326" s="6"/>
      <c r="F326" s="1"/>
      <c r="G326" s="9"/>
      <c r="H326" s="9"/>
      <c r="I326" s="16"/>
      <c r="J326" s="1"/>
      <c r="K326" s="1"/>
      <c r="L326" s="1"/>
      <c r="M326" s="1"/>
      <c r="O326" s="16"/>
      <c r="P326" s="1"/>
    </row>
    <row r="327" spans="1:16">
      <c r="A327" s="6"/>
      <c r="B327" s="7"/>
      <c r="C327" s="6"/>
      <c r="D327" s="6"/>
      <c r="E327" s="6"/>
      <c r="F327" s="1"/>
      <c r="G327" s="9"/>
      <c r="H327" s="9"/>
      <c r="I327" s="16"/>
      <c r="J327" s="1"/>
      <c r="K327" s="1"/>
      <c r="L327" s="1"/>
      <c r="M327" s="1"/>
      <c r="O327" s="16"/>
      <c r="P327" s="1"/>
    </row>
    <row r="328" spans="1:16">
      <c r="A328" s="6"/>
      <c r="B328" s="7"/>
      <c r="C328" s="6"/>
      <c r="D328" s="6"/>
      <c r="E328" s="6"/>
      <c r="F328" s="1"/>
      <c r="G328" s="9"/>
      <c r="H328" s="9"/>
      <c r="I328" s="16"/>
      <c r="J328" s="1"/>
      <c r="K328" s="1"/>
      <c r="L328" s="1"/>
      <c r="M328" s="1"/>
      <c r="O328" s="16"/>
      <c r="P328" s="1"/>
    </row>
    <row r="329" spans="1:16">
      <c r="A329" s="6"/>
      <c r="B329" s="7"/>
      <c r="C329" s="6"/>
      <c r="D329" s="6"/>
      <c r="E329" s="6"/>
      <c r="F329" s="1"/>
      <c r="G329" s="9"/>
      <c r="H329" s="9"/>
      <c r="I329" s="16"/>
      <c r="J329" s="1"/>
      <c r="K329" s="1"/>
      <c r="L329" s="1"/>
      <c r="M329" s="1"/>
      <c r="O329" s="16"/>
      <c r="P329" s="1"/>
    </row>
    <row r="330" spans="1:16">
      <c r="A330" s="6"/>
      <c r="B330" s="7"/>
      <c r="C330" s="6"/>
      <c r="D330" s="6"/>
      <c r="E330" s="6"/>
      <c r="F330" s="1"/>
      <c r="G330" s="9"/>
      <c r="H330" s="9"/>
      <c r="I330" s="16"/>
      <c r="J330" s="1"/>
      <c r="K330" s="1"/>
      <c r="L330" s="1"/>
      <c r="M330" s="1"/>
      <c r="O330" s="16"/>
      <c r="P330" s="1"/>
    </row>
    <row r="331" spans="1:16">
      <c r="A331" s="6"/>
      <c r="B331" s="7"/>
      <c r="C331" s="6"/>
      <c r="D331" s="92"/>
      <c r="E331" s="93"/>
      <c r="F331" s="1"/>
      <c r="G331" s="9"/>
      <c r="H331" s="9"/>
      <c r="I331" s="16"/>
      <c r="J331" s="1"/>
      <c r="K331" s="1"/>
      <c r="L331" s="1"/>
      <c r="M331" s="1"/>
      <c r="O331" s="16"/>
      <c r="P331" s="1"/>
    </row>
    <row r="332" spans="1:16">
      <c r="A332" s="6"/>
      <c r="B332" s="7"/>
      <c r="C332" s="6"/>
      <c r="D332" s="93"/>
      <c r="E332" s="93"/>
      <c r="F332" s="1"/>
      <c r="G332" s="9"/>
      <c r="H332" s="9"/>
      <c r="I332" s="16"/>
      <c r="J332" s="1"/>
      <c r="K332" s="1"/>
      <c r="L332" s="1"/>
      <c r="M332" s="1"/>
      <c r="O332" s="16"/>
      <c r="P332" s="1"/>
    </row>
    <row r="333" spans="1:16">
      <c r="A333" s="6"/>
      <c r="B333" s="7"/>
      <c r="C333" s="6"/>
      <c r="D333" s="92"/>
      <c r="E333" s="93"/>
      <c r="F333" s="1"/>
      <c r="G333" s="9"/>
      <c r="H333" s="9"/>
      <c r="I333" s="16"/>
      <c r="J333" s="1"/>
      <c r="K333" s="1"/>
      <c r="L333" s="1"/>
      <c r="M333" s="1"/>
      <c r="O333" s="16"/>
      <c r="P333" s="1"/>
    </row>
    <row r="334" spans="1:16">
      <c r="A334" s="6"/>
      <c r="B334" s="7"/>
      <c r="C334" s="6"/>
      <c r="D334" s="94"/>
      <c r="E334" s="93"/>
      <c r="F334" s="1"/>
      <c r="G334" s="9"/>
      <c r="H334" s="9"/>
      <c r="I334" s="16"/>
      <c r="J334" s="1"/>
      <c r="K334" s="1"/>
      <c r="L334" s="1"/>
      <c r="M334" s="1"/>
      <c r="O334" s="16"/>
      <c r="P334" s="1"/>
    </row>
    <row r="335" spans="1:16">
      <c r="A335" s="6"/>
      <c r="B335" s="7"/>
      <c r="C335" s="6"/>
      <c r="D335" s="94"/>
      <c r="E335" s="93"/>
      <c r="F335" s="1"/>
      <c r="G335" s="9"/>
      <c r="H335" s="9"/>
      <c r="I335" s="16"/>
      <c r="J335" s="1"/>
      <c r="K335" s="1"/>
      <c r="L335" s="1"/>
      <c r="M335" s="1"/>
      <c r="O335" s="16"/>
      <c r="P335" s="1"/>
    </row>
    <row r="336" spans="1:16">
      <c r="A336" s="6"/>
      <c r="B336" s="7"/>
      <c r="C336" s="6"/>
      <c r="D336" s="96"/>
      <c r="E336" s="96"/>
      <c r="F336" s="1"/>
      <c r="G336" s="9"/>
      <c r="H336" s="9"/>
      <c r="I336" s="16"/>
      <c r="J336" s="1"/>
      <c r="K336" s="1"/>
      <c r="L336" s="1"/>
      <c r="M336" s="1"/>
      <c r="O336" s="16"/>
      <c r="P336" s="1"/>
    </row>
    <row r="337" spans="1:16">
      <c r="A337" s="6"/>
      <c r="B337" s="7"/>
      <c r="C337" s="6"/>
      <c r="D337" s="93"/>
      <c r="E337" s="93"/>
      <c r="F337" s="1"/>
      <c r="G337" s="9"/>
      <c r="H337" s="9"/>
      <c r="I337" s="16"/>
      <c r="J337" s="1"/>
      <c r="K337" s="1"/>
      <c r="L337" s="1"/>
      <c r="M337" s="1"/>
      <c r="O337" s="16"/>
      <c r="P337" s="1"/>
    </row>
    <row r="338" spans="1:16">
      <c r="A338" s="6"/>
      <c r="B338" s="7"/>
      <c r="C338" s="6"/>
      <c r="D338" s="93"/>
      <c r="E338" s="93"/>
      <c r="F338" s="93"/>
      <c r="G338" s="9"/>
      <c r="H338" s="9"/>
      <c r="I338" s="16"/>
      <c r="J338" s="1"/>
      <c r="K338" s="1"/>
      <c r="L338" s="1"/>
      <c r="M338" s="1"/>
      <c r="O338" s="16"/>
      <c r="P338" s="1"/>
    </row>
    <row r="339" spans="1:16">
      <c r="A339" s="6"/>
      <c r="B339" s="7"/>
      <c r="C339" s="6"/>
      <c r="D339" s="96"/>
      <c r="E339" s="96"/>
      <c r="F339" s="1"/>
      <c r="G339" s="9"/>
      <c r="H339" s="9"/>
      <c r="I339" s="16"/>
      <c r="J339" s="1"/>
      <c r="K339" s="1"/>
      <c r="L339" s="1"/>
      <c r="M339" s="1"/>
      <c r="O339" s="16"/>
      <c r="P339" s="1"/>
    </row>
    <row r="340" spans="1:16">
      <c r="A340" s="6"/>
      <c r="B340" s="7"/>
      <c r="C340" s="6"/>
      <c r="D340" s="96"/>
      <c r="E340" s="96"/>
      <c r="F340" s="1"/>
      <c r="G340" s="9"/>
      <c r="H340" s="9"/>
      <c r="I340" s="16"/>
      <c r="J340" s="1"/>
      <c r="K340" s="1"/>
      <c r="L340" s="1"/>
      <c r="M340" s="1"/>
      <c r="O340" s="16"/>
      <c r="P340" s="1"/>
    </row>
    <row r="341" spans="1:16">
      <c r="A341" s="6"/>
      <c r="B341" s="7"/>
      <c r="C341" s="95"/>
      <c r="D341" s="96"/>
      <c r="E341" s="96"/>
      <c r="F341" s="1"/>
      <c r="G341" s="9"/>
      <c r="H341" s="9"/>
      <c r="I341" s="16"/>
      <c r="J341" s="1"/>
      <c r="K341" s="1"/>
      <c r="L341" s="1"/>
      <c r="M341" s="1"/>
      <c r="O341" s="16"/>
      <c r="P341" s="1"/>
    </row>
    <row r="342" spans="1:16">
      <c r="A342" s="6"/>
      <c r="B342" s="7"/>
      <c r="C342" s="6"/>
      <c r="D342" s="96"/>
      <c r="E342" s="96"/>
      <c r="F342" s="1"/>
      <c r="G342" s="9"/>
      <c r="H342" s="9"/>
      <c r="I342" s="16"/>
      <c r="J342" s="1"/>
      <c r="K342" s="1"/>
      <c r="L342" s="1"/>
      <c r="M342" s="1"/>
      <c r="O342" s="16"/>
      <c r="P342" s="1"/>
    </row>
    <row r="343" spans="1:16">
      <c r="A343" s="6"/>
      <c r="B343" s="7"/>
      <c r="C343" s="95"/>
      <c r="D343" s="96"/>
      <c r="E343" s="96"/>
      <c r="F343" s="1"/>
      <c r="G343" s="9"/>
      <c r="H343" s="9"/>
      <c r="I343" s="16"/>
      <c r="J343" s="1"/>
      <c r="K343" s="1"/>
      <c r="L343" s="1"/>
      <c r="M343" s="1"/>
      <c r="O343" s="16"/>
      <c r="P343" s="1"/>
    </row>
    <row r="344" spans="1:16">
      <c r="A344" s="6"/>
      <c r="B344" s="7"/>
      <c r="C344" s="6"/>
      <c r="D344" s="96"/>
      <c r="E344" s="96"/>
      <c r="F344" s="1"/>
      <c r="G344" s="9"/>
      <c r="H344" s="9"/>
      <c r="I344" s="16"/>
      <c r="J344" s="1"/>
      <c r="K344" s="1"/>
      <c r="L344" s="1"/>
      <c r="M344" s="1"/>
      <c r="N344" s="16"/>
      <c r="O344" s="16"/>
      <c r="P344" s="1"/>
    </row>
    <row r="345" spans="1:16">
      <c r="A345" s="6"/>
      <c r="B345" s="7"/>
      <c r="C345" s="95"/>
      <c r="D345" s="96"/>
      <c r="E345" s="96"/>
      <c r="F345" s="1"/>
      <c r="G345" s="9"/>
      <c r="H345" s="9"/>
      <c r="I345" s="16"/>
      <c r="J345" s="1"/>
      <c r="K345" s="1"/>
      <c r="L345" s="1"/>
      <c r="M345" s="1"/>
      <c r="N345" s="16"/>
      <c r="O345" s="16"/>
      <c r="P345" s="1"/>
    </row>
    <row r="346" spans="1:16">
      <c r="A346" s="6"/>
      <c r="B346" s="7"/>
      <c r="C346" s="6"/>
      <c r="D346" s="96"/>
      <c r="E346" s="96"/>
      <c r="F346" s="1"/>
      <c r="G346" s="9"/>
      <c r="H346" s="9"/>
      <c r="I346" s="16"/>
      <c r="J346" s="1"/>
      <c r="K346" s="1"/>
      <c r="L346" s="1"/>
      <c r="M346" s="1"/>
      <c r="N346" s="16"/>
      <c r="O346" s="16"/>
      <c r="P346" s="1"/>
    </row>
    <row r="347" spans="1:16">
      <c r="A347" s="6"/>
      <c r="B347" s="7"/>
      <c r="C347" s="6"/>
      <c r="D347" s="93"/>
      <c r="E347" s="93"/>
      <c r="F347" s="1"/>
      <c r="G347" s="9"/>
      <c r="H347" s="9"/>
      <c r="I347" s="16"/>
      <c r="J347" s="1"/>
      <c r="K347" s="1"/>
      <c r="L347" s="1"/>
      <c r="M347" s="1"/>
      <c r="N347" s="16"/>
      <c r="O347" s="16"/>
      <c r="P347" s="1"/>
    </row>
    <row r="348" spans="1:16">
      <c r="A348" s="6"/>
      <c r="B348" s="7"/>
      <c r="C348" s="6"/>
      <c r="D348" s="96"/>
      <c r="E348" s="96"/>
      <c r="F348" s="1"/>
      <c r="G348" s="9"/>
      <c r="H348" s="9"/>
      <c r="I348" s="16"/>
      <c r="J348" s="1"/>
      <c r="K348" s="1"/>
      <c r="L348" s="1"/>
      <c r="M348" s="1"/>
      <c r="N348" s="16"/>
      <c r="O348" s="16"/>
      <c r="P348" s="1"/>
    </row>
    <row r="349" spans="1:16">
      <c r="A349" s="6"/>
      <c r="B349" s="7"/>
      <c r="C349" s="6"/>
      <c r="D349" s="93"/>
      <c r="E349" s="93"/>
      <c r="F349" s="1"/>
      <c r="G349" s="9"/>
      <c r="H349" s="9"/>
      <c r="I349" s="16"/>
      <c r="J349" s="1"/>
      <c r="K349" s="1"/>
      <c r="L349" s="1"/>
      <c r="M349" s="1"/>
      <c r="N349" s="16"/>
      <c r="O349" s="16"/>
      <c r="P349" s="1"/>
    </row>
    <row r="350" spans="1:16">
      <c r="A350" s="6"/>
      <c r="B350" s="7"/>
      <c r="C350" s="6"/>
      <c r="D350" s="93"/>
      <c r="E350" s="93"/>
      <c r="F350" s="1"/>
      <c r="G350" s="9"/>
      <c r="H350" s="9"/>
      <c r="I350" s="16"/>
      <c r="J350" s="1"/>
      <c r="K350" s="1"/>
      <c r="L350" s="1"/>
      <c r="M350" s="1"/>
      <c r="N350" s="16"/>
      <c r="O350" s="16"/>
      <c r="P350" s="1"/>
    </row>
    <row r="351" spans="1:16">
      <c r="A351" s="6"/>
      <c r="B351" s="7"/>
      <c r="C351" s="6"/>
      <c r="D351" s="96"/>
      <c r="E351" s="96"/>
      <c r="F351" s="1"/>
      <c r="G351" s="9"/>
      <c r="H351" s="9"/>
      <c r="I351" s="16"/>
      <c r="J351" s="1"/>
      <c r="K351" s="1"/>
      <c r="L351" s="1"/>
      <c r="M351" s="1"/>
      <c r="N351" s="16"/>
      <c r="O351" s="16"/>
      <c r="P351" s="1"/>
    </row>
    <row r="352" spans="1:16">
      <c r="A352" s="6"/>
      <c r="B352" s="7"/>
      <c r="C352" s="6"/>
      <c r="D352" s="93"/>
      <c r="E352" s="93"/>
      <c r="F352" s="1"/>
      <c r="G352" s="9"/>
      <c r="H352" s="9"/>
      <c r="I352" s="16"/>
      <c r="J352" s="1"/>
      <c r="K352" s="1"/>
      <c r="L352" s="1"/>
      <c r="M352" s="1"/>
      <c r="N352" s="16"/>
      <c r="O352" s="16"/>
      <c r="P352" s="1"/>
    </row>
    <row r="353" spans="1:16">
      <c r="A353" s="6"/>
      <c r="B353" s="7"/>
      <c r="C353" s="6"/>
      <c r="D353" s="96"/>
      <c r="E353" s="96"/>
      <c r="F353" s="1"/>
      <c r="G353" s="9"/>
      <c r="H353" s="9"/>
      <c r="I353" s="16"/>
      <c r="J353" s="1"/>
      <c r="K353" s="1"/>
      <c r="L353" s="1"/>
      <c r="M353" s="1"/>
      <c r="N353" s="16"/>
      <c r="O353" s="16"/>
      <c r="P353" s="1"/>
    </row>
    <row r="354" spans="1:16">
      <c r="A354" s="6"/>
      <c r="B354" s="7"/>
      <c r="C354" s="6"/>
      <c r="D354" s="96"/>
      <c r="E354" s="96"/>
      <c r="F354" s="1"/>
      <c r="G354" s="9"/>
      <c r="H354" s="9"/>
      <c r="I354" s="16"/>
      <c r="J354" s="1"/>
      <c r="K354" s="1"/>
      <c r="L354" s="1"/>
      <c r="M354" s="1"/>
      <c r="N354" s="16"/>
      <c r="O354" s="16"/>
      <c r="P354" s="1"/>
    </row>
    <row r="355" spans="1:16">
      <c r="A355" s="6"/>
      <c r="B355" s="7"/>
      <c r="C355" s="6"/>
      <c r="D355" s="96"/>
      <c r="E355" s="96"/>
      <c r="F355" s="1"/>
      <c r="G355" s="9"/>
      <c r="H355" s="9"/>
      <c r="I355" s="16"/>
      <c r="J355" s="1"/>
      <c r="K355" s="1"/>
      <c r="L355" s="1"/>
      <c r="M355" s="1"/>
      <c r="N355" s="16"/>
      <c r="O355" s="16"/>
      <c r="P355" s="1"/>
    </row>
    <row r="356" spans="1:16">
      <c r="A356" s="6"/>
      <c r="B356" s="7"/>
      <c r="C356" s="6"/>
      <c r="D356" s="95"/>
      <c r="E356" s="95"/>
      <c r="F356" s="1"/>
      <c r="G356" s="9"/>
      <c r="H356" s="9"/>
      <c r="I356" s="16"/>
      <c r="J356" s="1"/>
      <c r="K356" s="1"/>
      <c r="L356" s="1"/>
      <c r="M356" s="1"/>
      <c r="N356" s="16"/>
      <c r="O356" s="16"/>
      <c r="P356" s="1"/>
    </row>
    <row r="357" spans="1:16">
      <c r="A357" s="6"/>
      <c r="B357" s="7"/>
      <c r="C357" s="6"/>
      <c r="D357" s="96"/>
      <c r="E357" s="96"/>
      <c r="F357" s="1"/>
      <c r="G357" s="9"/>
      <c r="H357" s="9"/>
      <c r="I357" s="16"/>
      <c r="J357" s="1"/>
      <c r="K357" s="1"/>
      <c r="L357" s="1"/>
      <c r="M357" s="1"/>
      <c r="N357" s="16"/>
      <c r="O357" s="16"/>
      <c r="P357" s="1"/>
    </row>
    <row r="358" spans="1:16">
      <c r="A358" s="6"/>
      <c r="B358" s="7"/>
      <c r="C358" s="6"/>
      <c r="D358" s="93"/>
      <c r="E358" s="93"/>
      <c r="F358" s="1"/>
      <c r="G358" s="9"/>
      <c r="H358" s="9"/>
      <c r="I358" s="16"/>
      <c r="J358" s="1"/>
      <c r="K358" s="1"/>
      <c r="L358" s="1"/>
      <c r="M358" s="1"/>
      <c r="N358" s="16"/>
      <c r="O358" s="16"/>
      <c r="P358" s="1"/>
    </row>
    <row r="359" spans="1:16">
      <c r="A359" s="6"/>
      <c r="B359" s="7"/>
      <c r="C359" s="6"/>
      <c r="D359" s="96"/>
      <c r="E359" s="96"/>
      <c r="F359" s="1"/>
      <c r="G359" s="9"/>
      <c r="H359" s="9"/>
      <c r="I359" s="16"/>
      <c r="J359" s="1"/>
      <c r="K359" s="1"/>
      <c r="L359" s="1"/>
      <c r="M359" s="1"/>
      <c r="N359" s="16"/>
      <c r="O359" s="16"/>
      <c r="P359" s="1"/>
    </row>
    <row r="360" spans="1:16">
      <c r="A360" s="6"/>
      <c r="B360" s="7"/>
      <c r="C360" s="6"/>
      <c r="D360" s="93"/>
      <c r="E360" s="93"/>
      <c r="F360" s="1"/>
      <c r="G360" s="9"/>
      <c r="H360" s="9"/>
      <c r="I360" s="16"/>
      <c r="J360" s="1"/>
      <c r="K360" s="1"/>
      <c r="L360" s="1"/>
      <c r="M360" s="1"/>
      <c r="N360" s="16"/>
      <c r="O360" s="16"/>
      <c r="P360" s="1"/>
    </row>
    <row r="361" spans="1:16">
      <c r="A361" s="6"/>
      <c r="B361" s="7"/>
      <c r="C361" s="6"/>
      <c r="D361" s="93"/>
      <c r="E361" s="93"/>
      <c r="F361" s="1"/>
      <c r="G361" s="9"/>
      <c r="H361" s="9"/>
      <c r="I361" s="16"/>
      <c r="J361" s="1"/>
      <c r="K361" s="1"/>
      <c r="L361" s="1"/>
      <c r="M361" s="1"/>
      <c r="N361" s="16"/>
      <c r="O361" s="16"/>
      <c r="P361" s="1"/>
    </row>
    <row r="362" spans="1:16">
      <c r="A362" s="6"/>
      <c r="B362" s="7"/>
      <c r="C362" s="6"/>
      <c r="D362" s="104"/>
      <c r="E362" s="96"/>
      <c r="F362" s="1"/>
      <c r="G362" s="9"/>
      <c r="H362" s="9"/>
      <c r="I362" s="16"/>
      <c r="J362" s="1"/>
      <c r="K362" s="1"/>
      <c r="L362" s="1"/>
      <c r="M362" s="1"/>
      <c r="N362" s="16"/>
      <c r="O362" s="16"/>
      <c r="P362" s="1"/>
    </row>
    <row r="363" spans="1:16">
      <c r="A363" s="6"/>
      <c r="B363" s="7"/>
      <c r="C363" s="6"/>
      <c r="D363" s="93"/>
      <c r="E363" s="93"/>
      <c r="F363" s="1"/>
      <c r="G363" s="9"/>
      <c r="H363" s="9"/>
      <c r="I363" s="16"/>
      <c r="J363" s="1"/>
      <c r="K363" s="1"/>
      <c r="L363" s="1"/>
      <c r="M363" s="1"/>
      <c r="N363" s="16"/>
      <c r="O363" s="16"/>
      <c r="P363" s="1"/>
    </row>
    <row r="364" spans="1:16">
      <c r="A364" s="6"/>
      <c r="B364" s="7"/>
      <c r="C364" s="6"/>
      <c r="D364" s="6"/>
      <c r="E364" s="6"/>
      <c r="F364" s="1"/>
      <c r="G364" s="9"/>
      <c r="H364" s="9"/>
      <c r="I364" s="16"/>
      <c r="J364" s="1"/>
      <c r="K364" s="1"/>
      <c r="L364" s="1"/>
      <c r="M364" s="1"/>
      <c r="N364" s="16"/>
      <c r="O364" s="16"/>
      <c r="P364" s="1"/>
    </row>
    <row r="365" spans="1:16">
      <c r="A365" s="6"/>
      <c r="B365" s="7"/>
      <c r="C365" s="6"/>
      <c r="D365" s="94"/>
      <c r="E365" s="93"/>
      <c r="F365" s="1"/>
      <c r="G365" s="9"/>
      <c r="H365" s="9"/>
      <c r="I365" s="16"/>
      <c r="J365" s="1"/>
      <c r="K365" s="1"/>
      <c r="L365" s="1"/>
      <c r="M365" s="1"/>
      <c r="N365" s="16"/>
      <c r="O365" s="16"/>
      <c r="P365" s="1"/>
    </row>
    <row r="366" spans="1:16">
      <c r="A366" s="6"/>
      <c r="B366" s="7"/>
      <c r="C366" s="6"/>
      <c r="D366" s="96"/>
      <c r="E366" s="96"/>
      <c r="F366" s="1"/>
      <c r="G366" s="9"/>
      <c r="H366" s="9"/>
      <c r="I366" s="16"/>
      <c r="J366" s="1"/>
      <c r="K366" s="1"/>
      <c r="L366" s="1"/>
      <c r="M366" s="1"/>
      <c r="N366" s="16"/>
      <c r="O366" s="16"/>
      <c r="P366" s="1"/>
    </row>
    <row r="367" spans="1:16">
      <c r="A367" s="6"/>
      <c r="B367" s="7"/>
      <c r="C367" s="6"/>
      <c r="D367" s="104"/>
      <c r="E367" s="96"/>
      <c r="F367" s="1"/>
      <c r="G367" s="9"/>
      <c r="H367" s="9"/>
      <c r="I367" s="16"/>
      <c r="J367" s="1"/>
      <c r="K367" s="1"/>
      <c r="L367" s="1"/>
      <c r="M367" s="1"/>
      <c r="N367" s="16"/>
      <c r="O367" s="16"/>
      <c r="P367" s="1"/>
    </row>
    <row r="368" spans="1:16">
      <c r="A368" s="6"/>
      <c r="B368" s="7"/>
      <c r="C368" s="6"/>
      <c r="D368" s="6"/>
      <c r="E368" s="6"/>
      <c r="F368" s="1"/>
      <c r="G368" s="9"/>
      <c r="H368" s="9"/>
      <c r="I368" s="16"/>
      <c r="J368" s="1"/>
      <c r="K368" s="1"/>
      <c r="L368" s="1"/>
      <c r="M368" s="1"/>
      <c r="N368" s="16"/>
      <c r="O368" s="16"/>
      <c r="P368" s="1"/>
    </row>
    <row r="369" spans="1:16">
      <c r="A369" s="6"/>
      <c r="B369" s="7"/>
      <c r="C369" s="6"/>
      <c r="D369" s="104"/>
      <c r="E369" s="96"/>
      <c r="F369" s="1"/>
      <c r="G369" s="9"/>
      <c r="H369" s="9"/>
      <c r="I369" s="16"/>
      <c r="J369" s="1"/>
      <c r="K369" s="1"/>
      <c r="L369" s="1"/>
      <c r="M369" s="1"/>
      <c r="N369" s="16"/>
      <c r="O369" s="16"/>
      <c r="P369" s="1"/>
    </row>
    <row r="370" spans="1:16">
      <c r="A370" s="6"/>
      <c r="B370" s="7"/>
      <c r="C370" s="6"/>
      <c r="D370" s="96"/>
      <c r="E370" s="96"/>
      <c r="F370" s="1"/>
      <c r="G370" s="9"/>
      <c r="H370" s="9"/>
      <c r="I370" s="16"/>
      <c r="J370" s="1"/>
      <c r="K370" s="1"/>
      <c r="L370" s="1"/>
      <c r="M370" s="1"/>
      <c r="N370" s="16"/>
      <c r="O370" s="16"/>
      <c r="P370" s="1"/>
    </row>
    <row r="371" spans="1:16">
      <c r="A371" s="6"/>
      <c r="B371" s="7"/>
      <c r="C371" s="6"/>
      <c r="D371" s="96"/>
      <c r="E371" s="96"/>
      <c r="F371" s="1"/>
      <c r="G371" s="9"/>
      <c r="H371" s="9"/>
      <c r="I371" s="16"/>
      <c r="J371" s="1"/>
      <c r="K371" s="1"/>
      <c r="L371" s="1"/>
      <c r="M371" s="1"/>
      <c r="N371" s="16"/>
      <c r="O371" s="16"/>
      <c r="P371" s="1"/>
    </row>
    <row r="372" spans="1:16">
      <c r="A372" s="6"/>
      <c r="B372" s="7"/>
      <c r="C372" s="6"/>
      <c r="D372" s="96"/>
      <c r="E372" s="96"/>
      <c r="F372" s="1"/>
      <c r="G372" s="9"/>
      <c r="H372" s="9"/>
      <c r="I372" s="16"/>
      <c r="J372" s="1"/>
      <c r="K372" s="1"/>
      <c r="L372" s="1"/>
      <c r="M372" s="1"/>
      <c r="N372" s="16"/>
      <c r="O372" s="16"/>
      <c r="P372" s="1"/>
    </row>
    <row r="373" spans="1:16">
      <c r="A373" s="6"/>
      <c r="B373" s="7"/>
      <c r="C373" s="6"/>
      <c r="D373" s="96"/>
      <c r="E373" s="96"/>
      <c r="F373" s="1"/>
      <c r="G373" s="9"/>
      <c r="H373" s="9"/>
      <c r="I373" s="16"/>
      <c r="J373" s="1"/>
      <c r="K373" s="1"/>
      <c r="L373" s="1"/>
      <c r="M373" s="1"/>
      <c r="N373" s="16"/>
      <c r="O373" s="16"/>
      <c r="P373" s="1"/>
    </row>
    <row r="374" spans="1:16">
      <c r="A374" s="6"/>
      <c r="B374" s="7"/>
      <c r="C374" s="6"/>
      <c r="D374" s="104"/>
      <c r="E374" s="96"/>
      <c r="F374" s="1"/>
      <c r="G374" s="9"/>
      <c r="H374" s="9"/>
      <c r="I374" s="16"/>
      <c r="J374" s="1"/>
      <c r="K374" s="1"/>
      <c r="L374" s="1"/>
      <c r="M374" s="1"/>
      <c r="N374" s="16"/>
      <c r="O374" s="16"/>
      <c r="P374" s="1"/>
    </row>
    <row r="375" spans="1:16">
      <c r="A375" s="6"/>
      <c r="B375" s="7"/>
      <c r="C375" s="6"/>
      <c r="D375" s="104"/>
      <c r="E375" s="96"/>
      <c r="F375" s="1"/>
      <c r="G375" s="9"/>
      <c r="H375" s="9"/>
      <c r="I375" s="16"/>
      <c r="J375" s="1"/>
      <c r="K375" s="1"/>
      <c r="L375" s="1"/>
      <c r="M375" s="1"/>
      <c r="N375" s="16"/>
      <c r="O375" s="16"/>
      <c r="P375" s="1"/>
    </row>
    <row r="376" spans="1:16">
      <c r="A376" s="6"/>
      <c r="B376" s="7"/>
      <c r="C376" s="6"/>
      <c r="D376" s="93"/>
      <c r="E376" s="93"/>
      <c r="F376" s="1"/>
      <c r="G376" s="9"/>
      <c r="H376" s="9"/>
      <c r="I376" s="16"/>
      <c r="J376" s="1"/>
      <c r="K376" s="1"/>
      <c r="L376" s="1"/>
      <c r="M376" s="1"/>
      <c r="N376" s="16"/>
      <c r="O376" s="16"/>
      <c r="P376" s="1"/>
    </row>
    <row r="377" spans="1:16">
      <c r="A377" s="6"/>
      <c r="B377" s="7"/>
      <c r="C377" s="6"/>
      <c r="D377" s="94"/>
      <c r="E377" s="93"/>
      <c r="F377" s="1"/>
      <c r="G377" s="9"/>
      <c r="H377" s="9"/>
      <c r="I377" s="16"/>
      <c r="J377" s="1"/>
      <c r="K377" s="1"/>
      <c r="L377" s="1"/>
      <c r="M377" s="1"/>
      <c r="N377" s="16"/>
      <c r="O377" s="16"/>
      <c r="P377" s="1"/>
    </row>
    <row r="378" spans="1:16">
      <c r="B378" s="7"/>
      <c r="C378" s="59"/>
      <c r="D378" s="96"/>
      <c r="E378" s="96"/>
      <c r="F378" s="1"/>
      <c r="G378" s="9"/>
      <c r="H378" s="9"/>
      <c r="I378" s="16"/>
      <c r="J378" s="1"/>
      <c r="K378" s="1"/>
      <c r="L378" s="71"/>
      <c r="M378" s="71"/>
      <c r="N378" s="16"/>
      <c r="O378" s="16"/>
      <c r="P378" s="1"/>
    </row>
    <row r="379" spans="1:16">
      <c r="A379" s="6"/>
      <c r="B379" s="7"/>
      <c r="C379" s="6"/>
      <c r="D379" s="96"/>
      <c r="E379" s="96"/>
      <c r="F379" s="1"/>
      <c r="G379" s="9"/>
      <c r="H379" s="9"/>
      <c r="I379" s="16"/>
      <c r="J379" s="1"/>
      <c r="K379" s="1"/>
      <c r="L379" s="1"/>
      <c r="M379" s="1"/>
      <c r="N379" s="16"/>
      <c r="O379" s="16"/>
      <c r="P379" s="1"/>
    </row>
    <row r="380" spans="1:16">
      <c r="A380" s="6"/>
      <c r="B380" s="7"/>
      <c r="C380" s="6"/>
      <c r="D380" s="93"/>
      <c r="E380" s="93"/>
      <c r="F380" s="1"/>
      <c r="G380" s="9"/>
      <c r="H380" s="9"/>
      <c r="I380" s="16"/>
      <c r="J380" s="1"/>
      <c r="K380" s="1"/>
      <c r="L380" s="1"/>
      <c r="M380" s="1"/>
      <c r="N380" s="16"/>
      <c r="O380" s="16"/>
      <c r="P380" s="1"/>
    </row>
    <row r="381" spans="1:16">
      <c r="A381" s="6"/>
      <c r="B381" s="7"/>
      <c r="C381" s="6"/>
      <c r="D381" s="93"/>
      <c r="E381" s="93"/>
      <c r="F381" s="1"/>
      <c r="G381" s="9"/>
      <c r="H381" s="9"/>
      <c r="I381" s="16"/>
      <c r="J381" s="1"/>
      <c r="K381" s="1"/>
      <c r="L381" s="1"/>
      <c r="M381" s="1"/>
      <c r="N381" s="16"/>
      <c r="O381" s="16"/>
      <c r="P381" s="1"/>
    </row>
    <row r="382" spans="1:16">
      <c r="A382" s="6"/>
      <c r="B382" s="7"/>
      <c r="C382" s="6"/>
      <c r="D382" s="104"/>
      <c r="E382" s="96"/>
      <c r="F382" s="1"/>
      <c r="G382" s="9"/>
      <c r="H382" s="9"/>
      <c r="I382" s="16"/>
      <c r="J382" s="1"/>
      <c r="K382" s="1"/>
      <c r="L382" s="1"/>
      <c r="M382" s="1"/>
      <c r="N382" s="16"/>
      <c r="O382" s="16"/>
      <c r="P382" s="1"/>
    </row>
    <row r="383" spans="1:16">
      <c r="A383" s="6"/>
      <c r="B383" s="7"/>
      <c r="C383" s="6"/>
      <c r="D383" s="94"/>
      <c r="E383" s="93"/>
      <c r="F383" s="1"/>
      <c r="G383" s="9"/>
      <c r="H383" s="9"/>
      <c r="I383" s="16"/>
      <c r="J383" s="1"/>
      <c r="K383" s="1"/>
      <c r="L383" s="1"/>
      <c r="M383" s="1"/>
      <c r="N383" s="16"/>
      <c r="O383" s="16"/>
      <c r="P383" s="1"/>
    </row>
    <row r="384" spans="1:16">
      <c r="A384" s="6"/>
      <c r="B384" s="7"/>
      <c r="C384" s="6"/>
      <c r="D384" s="93"/>
      <c r="E384" s="93"/>
      <c r="F384" s="1"/>
      <c r="G384" s="9"/>
      <c r="H384" s="9"/>
      <c r="I384" s="16"/>
      <c r="J384" s="1"/>
      <c r="K384" s="1"/>
      <c r="L384" s="1"/>
      <c r="M384" s="1"/>
      <c r="N384" s="16"/>
      <c r="O384" s="16"/>
      <c r="P384" s="1"/>
    </row>
    <row r="385" spans="1:16">
      <c r="A385" s="6"/>
      <c r="B385" s="7"/>
      <c r="C385" s="6"/>
      <c r="D385" s="93"/>
      <c r="E385" s="93"/>
      <c r="F385" s="1"/>
      <c r="G385" s="9"/>
      <c r="H385" s="9"/>
      <c r="I385" s="16"/>
      <c r="J385" s="1"/>
      <c r="K385" s="1"/>
      <c r="L385" s="1"/>
      <c r="M385" s="1"/>
      <c r="N385" s="16"/>
      <c r="O385" s="16"/>
      <c r="P385" s="1"/>
    </row>
    <row r="386" spans="1:16">
      <c r="A386" s="6"/>
      <c r="B386" s="7"/>
      <c r="C386" s="6"/>
      <c r="D386" s="93"/>
      <c r="E386" s="93"/>
      <c r="F386" s="1"/>
      <c r="G386" s="9"/>
      <c r="H386" s="9"/>
      <c r="I386" s="16"/>
      <c r="J386" s="1"/>
      <c r="K386" s="1"/>
      <c r="L386" s="1"/>
      <c r="M386" s="1"/>
      <c r="N386" s="16"/>
      <c r="O386" s="16"/>
      <c r="P386" s="1"/>
    </row>
    <row r="387" spans="1:16">
      <c r="A387" s="6"/>
      <c r="B387" s="7"/>
      <c r="C387" s="6"/>
      <c r="D387" s="93"/>
      <c r="E387" s="93"/>
      <c r="F387" s="1"/>
      <c r="G387" s="9"/>
      <c r="H387" s="9"/>
      <c r="I387" s="16"/>
      <c r="J387" s="1"/>
      <c r="K387" s="1"/>
      <c r="L387" s="1"/>
      <c r="M387" s="1"/>
      <c r="N387" s="16"/>
      <c r="O387" s="16"/>
      <c r="P387" s="1"/>
    </row>
    <row r="388" spans="1:16">
      <c r="A388" s="6"/>
      <c r="B388" s="7"/>
      <c r="C388" s="6"/>
      <c r="D388" s="93"/>
      <c r="E388" s="93"/>
      <c r="F388" s="1"/>
      <c r="G388" s="9"/>
      <c r="H388" s="9"/>
      <c r="I388" s="16"/>
      <c r="J388" s="1"/>
      <c r="K388" s="1"/>
      <c r="L388" s="1"/>
      <c r="M388" s="1"/>
      <c r="N388" s="16"/>
      <c r="O388" s="16"/>
      <c r="P388" s="1"/>
    </row>
    <row r="389" spans="1:16">
      <c r="A389" s="6"/>
      <c r="B389" s="7"/>
      <c r="C389" s="6"/>
      <c r="D389" s="96"/>
      <c r="E389" s="96"/>
      <c r="F389" s="1"/>
      <c r="G389" s="9"/>
      <c r="H389" s="9"/>
      <c r="I389" s="16"/>
      <c r="J389" s="1"/>
      <c r="K389" s="1"/>
      <c r="L389" s="1"/>
      <c r="M389" s="1"/>
      <c r="N389" s="16"/>
      <c r="O389" s="16"/>
      <c r="P389" s="1"/>
    </row>
    <row r="390" spans="1:16">
      <c r="A390" s="6"/>
      <c r="B390" s="7"/>
      <c r="C390" s="6"/>
      <c r="D390" s="94"/>
      <c r="E390" s="93"/>
      <c r="F390" s="1"/>
      <c r="G390" s="9"/>
      <c r="H390" s="9"/>
      <c r="I390" s="16"/>
      <c r="J390" s="1"/>
      <c r="K390" s="1"/>
      <c r="L390" s="1"/>
      <c r="M390" s="1"/>
      <c r="N390" s="16"/>
      <c r="O390" s="16"/>
      <c r="P390" s="1"/>
    </row>
    <row r="391" spans="1:16">
      <c r="A391" s="6"/>
      <c r="B391" s="7"/>
      <c r="C391" s="6"/>
      <c r="D391" s="96"/>
      <c r="E391" s="96"/>
      <c r="F391" s="1"/>
      <c r="G391" s="9"/>
      <c r="H391" s="9"/>
      <c r="I391" s="16"/>
      <c r="J391" s="1"/>
      <c r="K391" s="1"/>
      <c r="L391" s="1"/>
      <c r="M391" s="1"/>
      <c r="N391" s="16"/>
      <c r="O391" s="16"/>
      <c r="P391" s="1"/>
    </row>
    <row r="392" spans="1:16">
      <c r="A392" s="6"/>
      <c r="B392" s="7"/>
      <c r="C392" s="6"/>
      <c r="D392" s="93"/>
      <c r="E392" s="93"/>
      <c r="F392" s="1"/>
      <c r="G392" s="9"/>
      <c r="H392" s="9"/>
      <c r="I392" s="16"/>
      <c r="J392" s="1"/>
      <c r="K392" s="1"/>
      <c r="L392" s="1"/>
      <c r="M392" s="1"/>
      <c r="N392" s="16"/>
      <c r="O392" s="16"/>
      <c r="P392" s="1"/>
    </row>
    <row r="393" spans="1:16">
      <c r="A393" s="6"/>
      <c r="B393" s="7"/>
      <c r="C393" s="6"/>
      <c r="D393" s="96"/>
      <c r="E393" s="96"/>
      <c r="F393" s="1"/>
      <c r="G393" s="9"/>
      <c r="H393" s="9"/>
      <c r="I393" s="16"/>
      <c r="J393" s="1"/>
      <c r="K393" s="1"/>
      <c r="L393" s="1"/>
      <c r="M393" s="1"/>
      <c r="N393" s="16"/>
      <c r="O393" s="16"/>
      <c r="P393" s="1"/>
    </row>
    <row r="394" spans="1:16">
      <c r="A394" s="6"/>
      <c r="B394" s="7"/>
      <c r="C394" s="6"/>
      <c r="D394" s="104"/>
      <c r="E394" s="96"/>
      <c r="F394" s="1"/>
      <c r="G394" s="9"/>
      <c r="H394" s="9"/>
      <c r="I394" s="16"/>
      <c r="J394" s="1"/>
      <c r="K394" s="1"/>
      <c r="L394" s="1"/>
      <c r="M394" s="1"/>
      <c r="N394" s="16"/>
      <c r="O394" s="16"/>
      <c r="P394" s="1"/>
    </row>
    <row r="395" spans="1:16">
      <c r="A395" s="6"/>
      <c r="B395" s="7"/>
      <c r="C395" s="6"/>
      <c r="D395" s="93"/>
      <c r="E395" s="93"/>
      <c r="F395" s="1"/>
      <c r="G395" s="9"/>
      <c r="H395" s="9"/>
      <c r="I395" s="16"/>
      <c r="J395" s="1"/>
      <c r="K395" s="1"/>
      <c r="L395" s="1"/>
      <c r="M395" s="1"/>
      <c r="N395" s="16"/>
      <c r="O395" s="16"/>
      <c r="P395" s="1"/>
    </row>
    <row r="396" spans="1:16">
      <c r="A396" s="6"/>
      <c r="B396" s="7"/>
      <c r="C396" s="6"/>
      <c r="D396" s="96"/>
      <c r="E396" s="96"/>
      <c r="F396" s="1"/>
      <c r="G396" s="9"/>
      <c r="H396" s="9"/>
      <c r="I396" s="16"/>
      <c r="J396" s="1"/>
      <c r="K396" s="1"/>
      <c r="L396" s="1"/>
      <c r="M396" s="1"/>
      <c r="N396" s="16"/>
      <c r="O396" s="16"/>
      <c r="P396" s="1"/>
    </row>
    <row r="397" spans="1:16">
      <c r="A397" s="6"/>
      <c r="B397" s="7"/>
      <c r="C397" s="6"/>
      <c r="D397" s="93"/>
      <c r="E397" s="93"/>
      <c r="F397" s="1"/>
      <c r="G397" s="9"/>
      <c r="H397" s="9"/>
      <c r="I397" s="16"/>
      <c r="J397" s="1"/>
      <c r="K397" s="1"/>
      <c r="L397" s="1"/>
      <c r="M397" s="1"/>
      <c r="N397" s="16"/>
      <c r="O397" s="16"/>
      <c r="P397" s="1"/>
    </row>
    <row r="398" spans="1:16">
      <c r="A398" s="6"/>
      <c r="B398" s="7"/>
      <c r="C398" s="6"/>
      <c r="D398" s="96"/>
      <c r="E398" s="96"/>
      <c r="F398" s="1"/>
      <c r="G398" s="9"/>
      <c r="H398" s="9"/>
      <c r="I398" s="16"/>
      <c r="J398" s="1"/>
      <c r="K398" s="1"/>
      <c r="L398" s="1"/>
      <c r="M398" s="1"/>
      <c r="N398" s="16"/>
      <c r="O398" s="16"/>
      <c r="P398" s="1"/>
    </row>
    <row r="399" spans="1:16">
      <c r="A399" s="6"/>
      <c r="B399" s="7"/>
      <c r="C399" s="6"/>
      <c r="D399" s="93"/>
      <c r="E399" s="93"/>
      <c r="F399" s="1"/>
      <c r="G399" s="9"/>
      <c r="H399" s="9"/>
      <c r="I399" s="16"/>
      <c r="J399" s="1"/>
      <c r="K399" s="1"/>
      <c r="L399" s="1"/>
      <c r="M399" s="1"/>
      <c r="N399" s="16"/>
      <c r="O399" s="16"/>
      <c r="P399" s="1"/>
    </row>
    <row r="400" spans="1:16">
      <c r="A400" s="6"/>
      <c r="B400" s="7"/>
      <c r="C400" s="6"/>
      <c r="D400" s="96"/>
      <c r="E400" s="96"/>
      <c r="F400" s="1"/>
      <c r="G400" s="9"/>
      <c r="H400" s="9"/>
      <c r="I400" s="16"/>
      <c r="J400" s="1"/>
      <c r="K400" s="1"/>
      <c r="L400" s="1"/>
      <c r="M400" s="1"/>
      <c r="N400" s="16"/>
      <c r="O400" s="16"/>
      <c r="P400" s="1"/>
    </row>
    <row r="401" spans="1:16">
      <c r="A401" s="6"/>
      <c r="B401" s="7"/>
      <c r="C401" s="6"/>
      <c r="D401" s="96"/>
      <c r="E401" s="96"/>
      <c r="F401" s="1"/>
      <c r="G401" s="9"/>
      <c r="H401" s="9"/>
      <c r="I401" s="16"/>
      <c r="J401" s="1"/>
      <c r="K401" s="1"/>
      <c r="L401" s="1"/>
      <c r="M401" s="1"/>
      <c r="N401" s="16"/>
      <c r="O401" s="16"/>
      <c r="P401" s="1"/>
    </row>
    <row r="402" spans="1:16">
      <c r="A402" s="6"/>
      <c r="B402" s="7"/>
      <c r="C402" s="6"/>
      <c r="D402" s="104"/>
      <c r="E402" s="96"/>
      <c r="F402" s="1"/>
      <c r="G402" s="9"/>
      <c r="H402" s="9"/>
      <c r="I402" s="16"/>
      <c r="J402" s="1"/>
      <c r="K402" s="1"/>
      <c r="L402" s="1"/>
      <c r="M402" s="1"/>
      <c r="N402" s="16"/>
      <c r="O402" s="16"/>
      <c r="P402" s="1"/>
    </row>
    <row r="403" spans="1:16">
      <c r="A403" s="6"/>
      <c r="B403" s="7"/>
      <c r="C403" s="6"/>
      <c r="D403" s="104"/>
      <c r="E403" s="96"/>
      <c r="F403" s="1"/>
      <c r="G403" s="9"/>
      <c r="H403" s="9"/>
      <c r="I403" s="16"/>
      <c r="J403" s="1"/>
      <c r="K403" s="1"/>
      <c r="L403" s="1"/>
      <c r="M403" s="1"/>
      <c r="N403" s="16"/>
      <c r="O403" s="16"/>
      <c r="P403" s="1"/>
    </row>
    <row r="404" spans="1:16">
      <c r="A404" s="6"/>
      <c r="B404" s="7"/>
      <c r="C404" s="6"/>
      <c r="D404" s="94"/>
      <c r="E404" s="93"/>
      <c r="F404" s="1"/>
      <c r="G404" s="9"/>
      <c r="H404" s="9"/>
      <c r="I404" s="16"/>
      <c r="J404" s="1"/>
      <c r="K404" s="1"/>
      <c r="L404" s="1"/>
      <c r="M404" s="1"/>
      <c r="N404" s="16"/>
      <c r="O404" s="16"/>
      <c r="P404" s="1"/>
    </row>
    <row r="405" spans="1:16">
      <c r="A405" s="6"/>
      <c r="B405" s="7"/>
      <c r="C405" s="6"/>
      <c r="D405" s="96"/>
      <c r="E405" s="96"/>
      <c r="F405" s="1"/>
      <c r="G405" s="9"/>
      <c r="H405" s="9"/>
      <c r="I405" s="16"/>
      <c r="J405" s="1"/>
      <c r="K405" s="1"/>
      <c r="L405" s="1"/>
      <c r="M405" s="1"/>
      <c r="N405" s="16"/>
      <c r="O405" s="16"/>
      <c r="P405" s="1"/>
    </row>
    <row r="406" spans="1:16">
      <c r="A406" s="6"/>
      <c r="B406" s="7"/>
      <c r="C406" s="6"/>
      <c r="D406" s="105"/>
      <c r="E406" s="96"/>
      <c r="F406" s="1"/>
      <c r="G406" s="9"/>
      <c r="H406" s="9"/>
      <c r="I406" s="16"/>
      <c r="J406" s="1"/>
      <c r="K406" s="1"/>
      <c r="L406" s="1"/>
      <c r="M406" s="1"/>
      <c r="N406" s="16"/>
      <c r="O406" s="16"/>
      <c r="P406" s="1"/>
    </row>
    <row r="407" spans="1:16">
      <c r="A407" s="6"/>
      <c r="B407" s="7"/>
      <c r="C407" s="6"/>
      <c r="D407" s="96"/>
      <c r="E407" s="96"/>
      <c r="F407" s="1"/>
      <c r="G407" s="9"/>
      <c r="H407" s="9"/>
      <c r="I407" s="16"/>
      <c r="J407" s="1"/>
      <c r="K407" s="1"/>
      <c r="L407" s="1"/>
      <c r="M407" s="1"/>
      <c r="N407" s="16"/>
      <c r="O407" s="16"/>
      <c r="P407" s="1"/>
    </row>
    <row r="408" spans="1:16">
      <c r="A408" s="6"/>
      <c r="B408" s="7"/>
      <c r="C408" s="6"/>
      <c r="D408" s="96"/>
      <c r="E408" s="96"/>
      <c r="F408" s="1"/>
      <c r="G408" s="9"/>
      <c r="H408" s="9"/>
      <c r="I408" s="16"/>
      <c r="J408" s="1"/>
      <c r="K408" s="1"/>
      <c r="L408" s="1"/>
      <c r="M408" s="1"/>
      <c r="N408" s="16"/>
      <c r="O408" s="16"/>
      <c r="P408" s="1"/>
    </row>
    <row r="409" spans="1:16">
      <c r="A409" s="6"/>
      <c r="B409" s="7"/>
      <c r="C409" s="6"/>
      <c r="D409" s="96"/>
      <c r="E409" s="93"/>
      <c r="F409" s="1"/>
      <c r="G409" s="9"/>
      <c r="H409" s="9"/>
      <c r="I409" s="16"/>
      <c r="J409" s="1"/>
      <c r="K409" s="1"/>
      <c r="L409" s="1"/>
      <c r="M409" s="1"/>
      <c r="N409" s="16"/>
      <c r="O409" s="16"/>
      <c r="P409" s="1"/>
    </row>
    <row r="410" spans="1:16">
      <c r="A410" s="6"/>
      <c r="B410" s="7"/>
      <c r="C410" s="6"/>
      <c r="D410" s="96"/>
      <c r="E410" s="96"/>
      <c r="F410" s="1"/>
      <c r="G410" s="9"/>
      <c r="H410" s="9"/>
      <c r="I410" s="16"/>
      <c r="J410" s="1"/>
      <c r="K410" s="1"/>
      <c r="L410" s="1"/>
      <c r="M410" s="1"/>
      <c r="N410" s="16"/>
      <c r="O410" s="16"/>
      <c r="P410" s="1"/>
    </row>
    <row r="411" spans="1:16">
      <c r="A411" s="6"/>
      <c r="B411" s="7"/>
      <c r="C411" s="6"/>
      <c r="D411" s="96"/>
      <c r="E411" s="96"/>
      <c r="F411" s="1"/>
      <c r="G411" s="9"/>
      <c r="H411" s="9"/>
      <c r="I411" s="16"/>
      <c r="J411" s="1"/>
      <c r="K411" s="1"/>
      <c r="L411" s="1"/>
      <c r="M411" s="1"/>
      <c r="N411" s="16"/>
      <c r="O411" s="16"/>
      <c r="P411" s="1"/>
    </row>
    <row r="412" spans="1:16">
      <c r="A412" s="6"/>
      <c r="B412" s="7"/>
      <c r="C412" s="6"/>
      <c r="D412" s="93"/>
      <c r="E412" s="93"/>
      <c r="F412" s="1"/>
      <c r="G412" s="9"/>
      <c r="H412" s="9"/>
      <c r="I412" s="16"/>
      <c r="J412" s="1"/>
      <c r="K412" s="1"/>
      <c r="L412" s="1"/>
      <c r="M412" s="1"/>
      <c r="N412" s="16"/>
      <c r="O412" s="16"/>
      <c r="P412" s="1"/>
    </row>
    <row r="413" spans="1:16">
      <c r="A413" s="6"/>
      <c r="B413" s="7"/>
      <c r="C413" s="6"/>
      <c r="D413" s="96"/>
      <c r="E413" s="96"/>
      <c r="F413" s="1"/>
      <c r="G413" s="9"/>
      <c r="H413" s="9"/>
      <c r="I413" s="16"/>
      <c r="J413" s="1"/>
      <c r="K413" s="1"/>
      <c r="L413" s="1"/>
      <c r="M413" s="1"/>
      <c r="N413" s="16"/>
      <c r="O413" s="16"/>
      <c r="P413" s="1"/>
    </row>
    <row r="414" spans="1:16">
      <c r="A414" s="6"/>
      <c r="B414" s="7"/>
      <c r="C414" s="6"/>
      <c r="D414" s="93"/>
      <c r="E414" s="93"/>
      <c r="F414" s="1"/>
      <c r="G414" s="9"/>
      <c r="H414" s="9"/>
      <c r="I414" s="16"/>
      <c r="J414" s="1"/>
      <c r="K414" s="1"/>
      <c r="L414" s="1"/>
      <c r="M414" s="1"/>
      <c r="N414" s="16"/>
      <c r="O414" s="16"/>
      <c r="P414" s="1"/>
    </row>
    <row r="415" spans="1:16">
      <c r="A415" s="6"/>
      <c r="B415" s="7"/>
      <c r="C415" s="95"/>
      <c r="D415" s="93"/>
      <c r="E415" s="93"/>
      <c r="F415" s="1"/>
      <c r="G415" s="9"/>
      <c r="H415" s="9"/>
      <c r="I415" s="16"/>
      <c r="J415" s="1"/>
      <c r="K415" s="1"/>
      <c r="L415" s="1"/>
      <c r="M415" s="1"/>
      <c r="N415" s="16"/>
      <c r="O415" s="16"/>
      <c r="P415" s="1"/>
    </row>
    <row r="416" spans="1:16">
      <c r="A416" s="6"/>
      <c r="B416" s="7"/>
      <c r="C416" s="6"/>
      <c r="D416" s="93"/>
      <c r="E416" s="93"/>
      <c r="F416" s="1"/>
      <c r="G416" s="9"/>
      <c r="H416" s="9"/>
      <c r="I416" s="16"/>
      <c r="J416" s="1"/>
      <c r="K416" s="1"/>
      <c r="L416" s="1"/>
      <c r="M416" s="1"/>
      <c r="N416" s="16"/>
      <c r="O416" s="16"/>
      <c r="P416" s="1"/>
    </row>
    <row r="417" spans="1:16">
      <c r="A417" s="6"/>
      <c r="B417" s="7"/>
      <c r="C417" s="6"/>
      <c r="D417" s="93"/>
      <c r="E417" s="93"/>
      <c r="F417" s="1"/>
      <c r="G417" s="9"/>
      <c r="H417" s="9"/>
      <c r="I417" s="16"/>
      <c r="J417" s="1"/>
      <c r="K417" s="1"/>
      <c r="L417" s="1"/>
      <c r="M417" s="1"/>
      <c r="N417" s="16"/>
      <c r="O417" s="16"/>
      <c r="P417" s="1"/>
    </row>
    <row r="418" spans="1:16">
      <c r="A418" s="6"/>
      <c r="B418" s="7"/>
      <c r="C418" s="6"/>
      <c r="D418" s="96"/>
      <c r="E418" s="96"/>
      <c r="F418" s="1"/>
      <c r="G418" s="9"/>
      <c r="H418" s="9"/>
      <c r="I418" s="16"/>
      <c r="J418" s="1"/>
      <c r="K418" s="1"/>
      <c r="L418" s="1"/>
      <c r="M418" s="1"/>
      <c r="N418" s="16"/>
      <c r="O418" s="16"/>
      <c r="P418" s="1"/>
    </row>
    <row r="419" spans="1:16">
      <c r="A419" s="6"/>
      <c r="B419" s="7"/>
      <c r="C419" s="6"/>
      <c r="D419" s="93"/>
      <c r="E419" s="93"/>
      <c r="F419" s="1"/>
      <c r="G419" s="9"/>
      <c r="H419" s="9"/>
      <c r="I419" s="16"/>
      <c r="J419" s="1"/>
      <c r="K419" s="1"/>
      <c r="L419" s="1"/>
      <c r="M419" s="1"/>
      <c r="N419" s="16"/>
      <c r="O419" s="16"/>
      <c r="P419" s="1"/>
    </row>
    <row r="420" spans="1:16">
      <c r="A420" s="6"/>
      <c r="B420" s="7"/>
      <c r="C420" s="6"/>
      <c r="D420" s="96"/>
      <c r="E420" s="96"/>
      <c r="F420" s="1"/>
      <c r="G420" s="9"/>
      <c r="H420" s="9"/>
      <c r="I420" s="16"/>
      <c r="J420" s="1"/>
      <c r="K420" s="1"/>
      <c r="L420" s="1"/>
      <c r="M420" s="1"/>
      <c r="N420" s="16"/>
      <c r="O420" s="16"/>
      <c r="P420" s="1"/>
    </row>
    <row r="421" spans="1:16">
      <c r="A421" s="6"/>
      <c r="B421" s="7"/>
      <c r="C421" s="6"/>
      <c r="D421" s="96"/>
      <c r="E421" s="96"/>
      <c r="F421" s="1"/>
      <c r="G421" s="9"/>
      <c r="H421" s="9"/>
      <c r="I421" s="16"/>
      <c r="J421" s="1"/>
      <c r="K421" s="1"/>
      <c r="L421" s="1"/>
      <c r="M421" s="1"/>
      <c r="N421" s="16"/>
      <c r="O421" s="16"/>
      <c r="P421" s="1"/>
    </row>
    <row r="422" spans="1:16">
      <c r="A422" s="6"/>
      <c r="B422" s="7"/>
      <c r="C422" s="6"/>
      <c r="D422" s="93"/>
      <c r="E422" s="93"/>
      <c r="F422" s="1"/>
      <c r="G422" s="9"/>
      <c r="H422" s="9"/>
      <c r="I422" s="16"/>
      <c r="J422" s="1"/>
      <c r="K422" s="1"/>
      <c r="L422" s="1"/>
      <c r="M422" s="1"/>
      <c r="N422" s="16"/>
      <c r="O422" s="16"/>
      <c r="P422" s="1"/>
    </row>
    <row r="423" spans="1:16">
      <c r="A423" s="6"/>
      <c r="B423" s="7"/>
      <c r="C423" s="6"/>
      <c r="D423" s="93"/>
      <c r="E423" s="93"/>
      <c r="F423" s="1"/>
      <c r="G423" s="9"/>
      <c r="H423" s="9"/>
      <c r="I423" s="16"/>
      <c r="J423" s="1"/>
      <c r="K423" s="1"/>
      <c r="L423" s="1"/>
      <c r="M423" s="1"/>
      <c r="N423" s="16"/>
      <c r="O423" s="16"/>
      <c r="P423" s="1"/>
    </row>
    <row r="424" spans="1:16">
      <c r="A424" s="6"/>
      <c r="B424" s="7"/>
      <c r="C424" s="6"/>
      <c r="D424" s="94"/>
      <c r="E424" s="93"/>
      <c r="F424" s="1"/>
      <c r="G424" s="9"/>
      <c r="H424" s="9"/>
      <c r="I424" s="16"/>
      <c r="J424" s="1"/>
      <c r="K424" s="1"/>
      <c r="L424" s="1"/>
      <c r="M424" s="1"/>
      <c r="N424" s="16"/>
      <c r="O424" s="16"/>
      <c r="P424" s="1"/>
    </row>
    <row r="425" spans="1:16">
      <c r="A425" s="6"/>
      <c r="B425" s="7"/>
      <c r="C425" s="6"/>
      <c r="D425" s="96"/>
      <c r="E425" s="96"/>
      <c r="F425" s="1"/>
      <c r="G425" s="9"/>
      <c r="H425" s="9"/>
      <c r="I425" s="16"/>
      <c r="J425" s="1"/>
      <c r="K425" s="1"/>
      <c r="L425" s="1"/>
      <c r="M425" s="1"/>
      <c r="N425" s="16"/>
      <c r="O425" s="16"/>
      <c r="P425" s="1"/>
    </row>
    <row r="426" spans="1:16">
      <c r="A426" s="6"/>
      <c r="B426" s="7"/>
      <c r="C426" s="6"/>
      <c r="D426" s="93"/>
      <c r="E426" s="93"/>
      <c r="F426" s="1"/>
      <c r="G426" s="9"/>
      <c r="H426" s="9"/>
      <c r="I426" s="16"/>
      <c r="J426" s="1"/>
      <c r="K426" s="1"/>
      <c r="L426" s="1"/>
      <c r="M426" s="1"/>
      <c r="N426" s="16"/>
      <c r="O426" s="16"/>
      <c r="P426" s="1"/>
    </row>
    <row r="427" spans="1:16">
      <c r="A427" s="6"/>
      <c r="B427" s="7"/>
      <c r="C427" s="6"/>
      <c r="D427" s="96"/>
      <c r="E427" s="96"/>
      <c r="F427" s="1"/>
      <c r="G427" s="9"/>
      <c r="H427" s="9"/>
      <c r="I427" s="16"/>
      <c r="J427" s="1"/>
      <c r="K427" s="1"/>
      <c r="L427" s="1"/>
      <c r="M427" s="1"/>
      <c r="N427" s="16"/>
      <c r="O427" s="16"/>
      <c r="P427" s="1"/>
    </row>
    <row r="428" spans="1:16">
      <c r="A428" s="6"/>
      <c r="B428" s="7"/>
      <c r="C428" s="6"/>
      <c r="D428" s="93"/>
      <c r="E428" s="93"/>
      <c r="F428" s="1"/>
      <c r="G428" s="9"/>
      <c r="H428" s="9"/>
      <c r="I428" s="16"/>
      <c r="J428" s="1"/>
      <c r="K428" s="1"/>
      <c r="L428" s="1"/>
      <c r="M428" s="1"/>
      <c r="N428" s="16"/>
      <c r="O428" s="16"/>
      <c r="P428" s="1"/>
    </row>
    <row r="429" spans="1:16">
      <c r="A429" s="6"/>
      <c r="B429" s="7"/>
      <c r="C429" s="6"/>
      <c r="D429" s="93"/>
      <c r="E429" s="93"/>
      <c r="F429" s="1"/>
      <c r="G429" s="9"/>
      <c r="H429" s="9"/>
      <c r="I429" s="16"/>
      <c r="J429" s="1"/>
      <c r="K429" s="1"/>
      <c r="L429" s="1"/>
      <c r="M429" s="1"/>
      <c r="N429" s="16"/>
      <c r="O429" s="16"/>
      <c r="P429" s="1"/>
    </row>
    <row r="430" spans="1:16">
      <c r="A430" s="6"/>
      <c r="B430" s="7"/>
      <c r="C430" s="6"/>
      <c r="D430" s="93"/>
      <c r="E430" s="93"/>
      <c r="F430" s="1"/>
      <c r="G430" s="9"/>
      <c r="H430" s="9"/>
      <c r="I430" s="16"/>
      <c r="J430" s="1"/>
      <c r="K430" s="1"/>
      <c r="L430" s="1"/>
      <c r="M430" s="1"/>
      <c r="N430" s="16"/>
      <c r="O430" s="16"/>
      <c r="P430" s="1"/>
    </row>
    <row r="431" spans="1:16">
      <c r="A431" s="6"/>
      <c r="B431" s="7"/>
      <c r="C431" s="6"/>
      <c r="D431" s="92"/>
      <c r="E431" s="93"/>
      <c r="F431" s="1"/>
      <c r="G431" s="9"/>
      <c r="H431" s="9"/>
      <c r="I431" s="16"/>
      <c r="J431" s="1"/>
      <c r="K431" s="1"/>
      <c r="L431" s="1"/>
      <c r="M431" s="1"/>
      <c r="N431" s="16"/>
      <c r="O431" s="16"/>
      <c r="P431" s="1"/>
    </row>
    <row r="432" spans="1:16">
      <c r="A432" s="6"/>
      <c r="B432" s="7"/>
      <c r="C432" s="6"/>
      <c r="D432" s="93"/>
      <c r="E432" s="93"/>
      <c r="F432" s="1"/>
      <c r="G432" s="9"/>
      <c r="H432" s="9"/>
      <c r="I432" s="16"/>
      <c r="J432" s="1"/>
      <c r="K432" s="1"/>
      <c r="L432" s="1"/>
      <c r="M432" s="1"/>
      <c r="N432" s="16"/>
      <c r="O432" s="16"/>
      <c r="P432" s="1"/>
    </row>
    <row r="433" spans="1:16">
      <c r="A433" s="6"/>
      <c r="B433" s="7"/>
      <c r="C433" s="6"/>
      <c r="D433" s="95"/>
      <c r="E433" s="95"/>
      <c r="F433" s="1"/>
      <c r="G433" s="9"/>
      <c r="H433" s="9"/>
      <c r="I433" s="16"/>
      <c r="J433" s="1"/>
      <c r="K433" s="1"/>
      <c r="L433" s="1"/>
      <c r="M433" s="1"/>
      <c r="N433" s="16"/>
      <c r="O433" s="16"/>
      <c r="P433" s="1"/>
    </row>
    <row r="434" spans="1:16">
      <c r="A434" s="6"/>
      <c r="B434" s="7"/>
      <c r="C434" s="6"/>
      <c r="D434" s="94"/>
      <c r="E434" s="93"/>
      <c r="F434" s="1"/>
      <c r="G434" s="9"/>
      <c r="H434" s="9"/>
      <c r="I434" s="16"/>
      <c r="J434" s="1"/>
      <c r="K434" s="1"/>
      <c r="L434" s="1"/>
      <c r="M434" s="1"/>
      <c r="N434" s="16"/>
      <c r="O434" s="16"/>
      <c r="P434" s="1"/>
    </row>
    <row r="435" spans="1:16">
      <c r="A435" s="6"/>
      <c r="B435" s="7"/>
      <c r="C435" s="6"/>
      <c r="D435" s="93"/>
      <c r="E435" s="93"/>
      <c r="F435" s="1"/>
      <c r="G435" s="9"/>
      <c r="H435" s="9"/>
      <c r="I435" s="16"/>
      <c r="J435" s="1"/>
      <c r="K435" s="1"/>
      <c r="L435" s="1"/>
      <c r="M435" s="1"/>
      <c r="N435" s="16"/>
      <c r="O435" s="16"/>
      <c r="P435" s="1"/>
    </row>
    <row r="436" spans="1:16">
      <c r="A436" s="6"/>
      <c r="B436" s="7"/>
      <c r="C436" s="6"/>
      <c r="D436" s="94"/>
      <c r="E436" s="93"/>
      <c r="F436" s="1"/>
      <c r="G436" s="9"/>
      <c r="H436" s="9"/>
      <c r="I436" s="16"/>
      <c r="J436" s="1"/>
      <c r="K436" s="1"/>
      <c r="L436" s="1"/>
      <c r="M436" s="1"/>
      <c r="N436" s="16"/>
      <c r="O436" s="16"/>
      <c r="P436" s="1"/>
    </row>
    <row r="437" spans="1:16">
      <c r="A437" s="6"/>
      <c r="B437" s="7"/>
      <c r="C437" s="6"/>
      <c r="D437" s="96"/>
      <c r="E437" s="93"/>
      <c r="F437" s="1"/>
      <c r="G437" s="9"/>
      <c r="H437" s="9"/>
      <c r="I437" s="16"/>
      <c r="J437" s="1"/>
      <c r="K437" s="1"/>
      <c r="L437" s="1"/>
      <c r="M437" s="1"/>
      <c r="N437" s="16"/>
      <c r="O437" s="16"/>
      <c r="P437" s="1"/>
    </row>
    <row r="438" spans="1:16">
      <c r="A438" s="6"/>
      <c r="B438" s="7"/>
      <c r="C438" s="6"/>
      <c r="D438" s="93"/>
      <c r="E438" s="93"/>
      <c r="F438" s="1"/>
      <c r="G438" s="9"/>
      <c r="H438" s="9"/>
      <c r="I438" s="16"/>
      <c r="J438" s="1"/>
      <c r="K438" s="1"/>
      <c r="L438" s="1"/>
      <c r="M438" s="1"/>
      <c r="N438" s="16"/>
      <c r="O438" s="16"/>
      <c r="P438" s="1"/>
    </row>
    <row r="439" spans="1:16">
      <c r="A439" s="6"/>
      <c r="B439" s="7"/>
      <c r="C439" s="6"/>
      <c r="D439" s="93"/>
      <c r="E439" s="93"/>
      <c r="F439" s="1"/>
      <c r="G439" s="9"/>
      <c r="H439" s="9"/>
      <c r="I439" s="16"/>
      <c r="J439" s="1"/>
      <c r="K439" s="1"/>
      <c r="L439" s="1"/>
      <c r="M439" s="1"/>
      <c r="N439" s="16"/>
      <c r="O439" s="16"/>
      <c r="P439" s="1"/>
    </row>
    <row r="440" spans="1:16">
      <c r="A440" s="6"/>
      <c r="B440" s="7"/>
      <c r="C440" s="6"/>
      <c r="D440" s="96"/>
      <c r="E440" s="93"/>
      <c r="F440" s="1"/>
      <c r="G440" s="9"/>
      <c r="H440" s="9"/>
      <c r="I440" s="16"/>
      <c r="J440" s="1"/>
      <c r="K440" s="1"/>
      <c r="L440" s="1"/>
      <c r="M440" s="1"/>
      <c r="N440" s="16"/>
      <c r="O440" s="16"/>
      <c r="P440" s="1"/>
    </row>
    <row r="441" spans="1:16">
      <c r="A441" s="6"/>
      <c r="B441" s="7"/>
      <c r="C441" s="6"/>
      <c r="D441" s="93"/>
      <c r="E441" s="93"/>
      <c r="F441" s="1"/>
      <c r="G441" s="9"/>
      <c r="H441" s="9"/>
      <c r="I441" s="16"/>
      <c r="J441" s="1"/>
      <c r="K441" s="1"/>
      <c r="L441" s="1"/>
      <c r="M441" s="1"/>
      <c r="N441" s="16"/>
      <c r="O441" s="16"/>
      <c r="P441" s="1"/>
    </row>
    <row r="442" spans="1:16">
      <c r="A442" s="6"/>
      <c r="B442" s="7"/>
      <c r="C442" s="6"/>
      <c r="D442" s="104"/>
      <c r="E442" s="96"/>
      <c r="F442" s="1"/>
      <c r="G442" s="9"/>
      <c r="H442" s="9"/>
      <c r="I442" s="16"/>
      <c r="J442" s="1"/>
      <c r="K442" s="1"/>
      <c r="L442" s="1"/>
      <c r="M442" s="1"/>
      <c r="N442" s="16"/>
      <c r="O442" s="16"/>
      <c r="P442" s="1"/>
    </row>
    <row r="443" spans="1:16">
      <c r="A443" s="6"/>
      <c r="B443" s="7"/>
      <c r="C443" s="6"/>
      <c r="D443" s="93"/>
      <c r="E443" s="93"/>
      <c r="F443" s="1"/>
      <c r="G443" s="9"/>
      <c r="H443" s="9"/>
      <c r="I443" s="16"/>
      <c r="J443" s="1"/>
      <c r="K443" s="1"/>
      <c r="L443" s="1"/>
      <c r="M443" s="1"/>
      <c r="N443" s="16"/>
      <c r="O443" s="16"/>
      <c r="P443" s="1"/>
    </row>
    <row r="444" spans="1:16">
      <c r="A444" s="6"/>
      <c r="B444" s="7"/>
      <c r="C444" s="6"/>
      <c r="D444" s="96"/>
      <c r="E444" s="96"/>
      <c r="F444" s="1"/>
      <c r="G444" s="9"/>
      <c r="H444" s="9"/>
      <c r="I444" s="16"/>
      <c r="J444" s="1"/>
      <c r="K444" s="1"/>
      <c r="L444" s="1"/>
      <c r="M444" s="1"/>
      <c r="N444" s="16"/>
      <c r="O444" s="16"/>
      <c r="P444" s="1"/>
    </row>
    <row r="445" spans="1:16">
      <c r="A445" s="6"/>
      <c r="B445" s="7"/>
      <c r="C445" s="6"/>
      <c r="D445" s="93"/>
      <c r="E445" s="93"/>
      <c r="F445" s="1"/>
      <c r="G445" s="9"/>
      <c r="H445" s="9"/>
      <c r="I445" s="16"/>
      <c r="J445" s="1"/>
      <c r="K445" s="1"/>
      <c r="L445" s="1"/>
      <c r="M445" s="1"/>
      <c r="N445" s="16"/>
      <c r="O445" s="16"/>
      <c r="P445" s="1"/>
    </row>
    <row r="446" spans="1:16">
      <c r="A446" s="6"/>
      <c r="B446" s="7"/>
      <c r="C446" s="6"/>
      <c r="D446" s="93"/>
      <c r="E446" s="93"/>
      <c r="F446" s="1"/>
      <c r="G446" s="9"/>
      <c r="H446" s="9"/>
      <c r="I446" s="16"/>
      <c r="J446" s="1"/>
      <c r="K446" s="1"/>
      <c r="L446" s="1"/>
      <c r="M446" s="1"/>
      <c r="N446" s="16"/>
      <c r="O446" s="16"/>
      <c r="P446" s="1"/>
    </row>
    <row r="447" spans="1:16">
      <c r="A447" s="6"/>
      <c r="B447" s="7"/>
      <c r="C447" s="6"/>
      <c r="D447" s="105"/>
      <c r="E447" s="96"/>
      <c r="F447" s="1"/>
      <c r="G447" s="9"/>
      <c r="H447" s="9"/>
      <c r="I447" s="16"/>
      <c r="J447" s="1"/>
      <c r="K447" s="1"/>
      <c r="L447" s="1"/>
      <c r="M447" s="1"/>
      <c r="N447" s="16"/>
      <c r="O447" s="16"/>
      <c r="P447" s="1"/>
    </row>
    <row r="448" spans="1:16">
      <c r="A448" s="6"/>
      <c r="B448" s="7"/>
      <c r="C448" s="6"/>
      <c r="D448" s="96"/>
      <c r="E448" s="96"/>
      <c r="F448" s="1"/>
      <c r="G448" s="9"/>
      <c r="H448" s="9"/>
      <c r="I448" s="16"/>
      <c r="J448" s="1"/>
      <c r="K448" s="1"/>
      <c r="L448" s="1"/>
      <c r="M448" s="1"/>
      <c r="N448" s="16"/>
      <c r="O448" s="16"/>
      <c r="P448" s="1"/>
    </row>
    <row r="449" spans="1:16">
      <c r="A449" s="6"/>
      <c r="B449" s="7"/>
      <c r="C449" s="6"/>
      <c r="D449" s="104"/>
      <c r="E449" s="96"/>
      <c r="F449" s="1"/>
      <c r="G449" s="9"/>
      <c r="H449" s="9"/>
      <c r="I449" s="16"/>
      <c r="J449" s="1"/>
      <c r="K449" s="1"/>
      <c r="L449" s="1"/>
      <c r="M449" s="1"/>
      <c r="N449" s="16"/>
      <c r="O449" s="16"/>
      <c r="P449" s="1"/>
    </row>
    <row r="450" spans="1:16">
      <c r="A450" s="6"/>
      <c r="B450" s="7"/>
      <c r="C450" s="6"/>
      <c r="D450" s="96"/>
      <c r="E450" s="93"/>
      <c r="F450" s="1"/>
      <c r="G450" s="9"/>
      <c r="H450" s="9"/>
      <c r="I450" s="16"/>
      <c r="J450" s="1"/>
      <c r="K450" s="1"/>
      <c r="L450" s="1"/>
      <c r="M450" s="1"/>
      <c r="N450" s="16"/>
      <c r="O450" s="16"/>
      <c r="P450" s="1"/>
    </row>
    <row r="451" spans="1:16">
      <c r="A451" s="6"/>
      <c r="B451" s="7"/>
      <c r="C451" s="6"/>
      <c r="D451" s="93"/>
      <c r="E451" s="93"/>
      <c r="F451" s="1"/>
      <c r="G451" s="9"/>
      <c r="H451" s="9"/>
      <c r="I451" s="16"/>
      <c r="J451" s="1"/>
      <c r="K451" s="1"/>
      <c r="L451" s="1"/>
      <c r="M451" s="1"/>
      <c r="N451" s="16"/>
      <c r="O451" s="16"/>
      <c r="P451" s="1"/>
    </row>
    <row r="452" spans="1:16">
      <c r="A452" s="6"/>
      <c r="B452" s="7"/>
      <c r="C452" s="6"/>
      <c r="D452" s="93"/>
      <c r="E452" s="93"/>
      <c r="F452" s="1"/>
      <c r="G452" s="9"/>
      <c r="H452" s="9"/>
      <c r="I452" s="16"/>
      <c r="J452" s="1"/>
      <c r="K452" s="1"/>
      <c r="L452" s="1"/>
      <c r="M452" s="1"/>
      <c r="N452" s="16"/>
      <c r="O452" s="16"/>
      <c r="P452" s="1"/>
    </row>
    <row r="453" spans="1:16">
      <c r="A453" s="6"/>
      <c r="B453" s="7"/>
      <c r="C453" s="6"/>
      <c r="D453" s="96"/>
      <c r="E453" s="93"/>
      <c r="F453" s="1"/>
      <c r="G453" s="9"/>
      <c r="H453" s="9"/>
      <c r="I453" s="16"/>
      <c r="J453" s="1"/>
      <c r="K453" s="1"/>
      <c r="L453" s="1"/>
      <c r="M453" s="1"/>
      <c r="N453" s="16"/>
      <c r="O453" s="16"/>
      <c r="P453" s="1"/>
    </row>
    <row r="454" spans="1:16">
      <c r="A454" s="6"/>
      <c r="B454" s="7"/>
      <c r="C454" s="6"/>
      <c r="D454" s="96"/>
      <c r="E454" s="96"/>
      <c r="F454" s="1"/>
      <c r="G454" s="9"/>
      <c r="H454" s="9"/>
      <c r="I454" s="16"/>
      <c r="J454" s="1"/>
      <c r="K454" s="1"/>
      <c r="L454" s="1"/>
      <c r="M454" s="1"/>
      <c r="N454" s="16"/>
      <c r="O454" s="16"/>
      <c r="P454" s="1"/>
    </row>
    <row r="455" spans="1:16">
      <c r="A455" s="6"/>
      <c r="B455" s="7"/>
      <c r="C455" s="6"/>
      <c r="D455" s="96"/>
      <c r="E455" s="96"/>
      <c r="F455" s="1"/>
      <c r="G455" s="9"/>
      <c r="H455" s="9"/>
      <c r="I455" s="16"/>
      <c r="J455" s="1"/>
      <c r="K455" s="1"/>
      <c r="L455" s="1"/>
      <c r="M455" s="1"/>
      <c r="N455" s="16"/>
      <c r="O455" s="16"/>
      <c r="P455" s="1"/>
    </row>
    <row r="456" spans="1:16">
      <c r="A456" s="6"/>
      <c r="B456" s="7"/>
      <c r="C456" s="6"/>
      <c r="D456" s="93"/>
      <c r="E456" s="93"/>
      <c r="F456" s="1"/>
      <c r="G456" s="9"/>
      <c r="H456" s="9"/>
      <c r="I456" s="16"/>
      <c r="J456" s="1"/>
      <c r="K456" s="1"/>
      <c r="L456" s="1"/>
      <c r="M456" s="1"/>
      <c r="N456" s="16"/>
      <c r="O456" s="16"/>
      <c r="P456" s="1"/>
    </row>
    <row r="457" spans="1:16">
      <c r="A457" s="6"/>
      <c r="B457" s="7"/>
      <c r="C457" s="6"/>
      <c r="D457" s="96"/>
      <c r="E457" s="96"/>
      <c r="F457" s="1"/>
      <c r="G457" s="9"/>
      <c r="H457" s="9"/>
      <c r="I457" s="16"/>
      <c r="J457" s="1"/>
      <c r="K457" s="1"/>
      <c r="L457" s="1"/>
      <c r="M457" s="1"/>
      <c r="N457" s="16"/>
      <c r="O457" s="16"/>
      <c r="P457" s="1"/>
    </row>
    <row r="458" spans="1:16">
      <c r="A458" s="6"/>
      <c r="B458" s="7"/>
      <c r="C458" s="95"/>
      <c r="D458" s="93"/>
      <c r="E458" s="93"/>
      <c r="F458" s="1"/>
      <c r="G458" s="9"/>
      <c r="H458" s="9"/>
      <c r="I458" s="16"/>
      <c r="J458" s="1"/>
      <c r="K458" s="1"/>
      <c r="L458" s="1"/>
      <c r="M458" s="1"/>
      <c r="N458" s="16"/>
      <c r="O458" s="16"/>
      <c r="P458" s="1"/>
    </row>
    <row r="459" spans="1:16">
      <c r="A459" s="6"/>
      <c r="B459" s="7"/>
      <c r="C459" s="6"/>
      <c r="D459" s="96"/>
      <c r="E459" s="96"/>
      <c r="F459" s="1"/>
      <c r="G459" s="9"/>
      <c r="H459" s="9"/>
      <c r="I459" s="16"/>
      <c r="J459" s="1"/>
      <c r="K459" s="1"/>
      <c r="L459" s="1"/>
      <c r="M459" s="1"/>
      <c r="N459" s="16"/>
      <c r="O459" s="16"/>
      <c r="P459" s="1"/>
    </row>
    <row r="460" spans="1:16">
      <c r="A460" s="6"/>
      <c r="B460" s="7"/>
      <c r="C460" s="6"/>
      <c r="D460" s="94"/>
      <c r="E460" s="93"/>
      <c r="F460" s="1"/>
      <c r="G460" s="9"/>
      <c r="H460" s="9"/>
      <c r="I460" s="16"/>
      <c r="J460" s="1"/>
      <c r="K460" s="1"/>
      <c r="L460" s="1"/>
      <c r="M460" s="1"/>
      <c r="N460" s="16"/>
      <c r="O460" s="16"/>
      <c r="P460" s="1"/>
    </row>
    <row r="461" spans="1:16">
      <c r="A461" s="6"/>
      <c r="B461" s="7"/>
      <c r="C461" s="6"/>
      <c r="D461" s="96"/>
      <c r="E461" s="96"/>
      <c r="F461" s="1"/>
      <c r="G461" s="9"/>
      <c r="H461" s="9"/>
      <c r="I461" s="16"/>
      <c r="J461" s="1"/>
      <c r="K461" s="1"/>
      <c r="L461" s="1"/>
      <c r="M461" s="1"/>
      <c r="N461" s="16"/>
      <c r="O461" s="16"/>
      <c r="P461" s="1"/>
    </row>
    <row r="462" spans="1:16">
      <c r="A462" s="6"/>
      <c r="B462" s="7"/>
      <c r="C462" s="6"/>
      <c r="D462" s="93"/>
      <c r="E462" s="93"/>
      <c r="F462" s="1"/>
      <c r="G462" s="9"/>
      <c r="H462" s="9"/>
      <c r="I462" s="16"/>
      <c r="J462" s="1"/>
      <c r="K462" s="1"/>
      <c r="L462" s="1"/>
      <c r="M462" s="1"/>
      <c r="N462" s="16"/>
      <c r="O462" s="16"/>
      <c r="P462" s="1"/>
    </row>
    <row r="463" spans="1:16">
      <c r="A463" s="6"/>
      <c r="B463" s="7"/>
      <c r="C463" s="6"/>
      <c r="D463" s="96"/>
      <c r="E463" s="96"/>
      <c r="F463" s="1"/>
      <c r="G463" s="9"/>
      <c r="H463" s="9"/>
      <c r="I463" s="16"/>
      <c r="J463" s="1"/>
      <c r="K463" s="1"/>
      <c r="L463" s="1"/>
      <c r="M463" s="1"/>
      <c r="N463" s="16"/>
      <c r="O463" s="16"/>
      <c r="P463" s="1"/>
    </row>
    <row r="464" spans="1:16">
      <c r="A464" s="6"/>
      <c r="B464" s="7"/>
      <c r="C464" s="6"/>
      <c r="D464" s="93"/>
      <c r="E464" s="93"/>
      <c r="F464" s="1"/>
      <c r="G464" s="9"/>
      <c r="H464" s="9"/>
      <c r="I464" s="16"/>
      <c r="J464" s="1"/>
      <c r="K464" s="1"/>
      <c r="L464" s="1"/>
      <c r="M464" s="1"/>
      <c r="N464" s="16"/>
      <c r="O464" s="16"/>
      <c r="P464" s="1"/>
    </row>
    <row r="465" spans="1:16">
      <c r="A465" s="6"/>
      <c r="B465" s="7"/>
      <c r="C465" s="6"/>
      <c r="D465" s="96"/>
      <c r="E465" s="96"/>
      <c r="F465" s="1"/>
      <c r="G465" s="9"/>
      <c r="H465" s="9"/>
      <c r="I465" s="16"/>
      <c r="J465" s="1"/>
      <c r="K465" s="1"/>
      <c r="L465" s="1"/>
      <c r="M465" s="1"/>
      <c r="N465" s="16"/>
      <c r="O465" s="16"/>
      <c r="P465" s="1"/>
    </row>
    <row r="466" spans="1:16">
      <c r="A466" s="6"/>
      <c r="B466" s="7"/>
      <c r="C466" s="6"/>
      <c r="D466" s="93"/>
      <c r="E466" s="93"/>
      <c r="F466" s="1"/>
      <c r="G466" s="9"/>
      <c r="H466" s="9"/>
      <c r="I466" s="16"/>
      <c r="J466" s="1"/>
      <c r="K466" s="1"/>
      <c r="L466" s="1"/>
      <c r="M466" s="1"/>
      <c r="N466" s="16"/>
      <c r="O466" s="16"/>
      <c r="P466" s="1"/>
    </row>
    <row r="467" spans="1:16">
      <c r="A467" s="6"/>
      <c r="B467" s="7"/>
      <c r="C467" s="6"/>
      <c r="D467" s="93"/>
      <c r="E467" s="93"/>
      <c r="F467" s="1"/>
      <c r="G467" s="9"/>
      <c r="H467" s="9"/>
      <c r="I467" s="16"/>
      <c r="J467" s="1"/>
      <c r="K467" s="1"/>
      <c r="L467" s="1"/>
      <c r="M467" s="1"/>
      <c r="N467" s="16"/>
      <c r="O467" s="16"/>
      <c r="P467" s="1"/>
    </row>
    <row r="468" spans="1:16">
      <c r="A468" s="6"/>
      <c r="B468" s="7"/>
      <c r="C468" s="6"/>
      <c r="D468" s="96"/>
      <c r="E468" s="96"/>
      <c r="F468" s="1"/>
      <c r="G468" s="9"/>
      <c r="H468" s="9"/>
      <c r="I468" s="16"/>
      <c r="J468" s="1"/>
      <c r="K468" s="1"/>
      <c r="L468" s="1"/>
      <c r="M468" s="1"/>
      <c r="N468" s="16"/>
      <c r="O468" s="16"/>
      <c r="P468" s="1"/>
    </row>
    <row r="469" spans="1:16">
      <c r="A469" s="6"/>
      <c r="B469" s="7"/>
      <c r="C469" s="6"/>
      <c r="D469" s="96"/>
      <c r="E469" s="96"/>
      <c r="F469" s="1"/>
      <c r="G469" s="9"/>
      <c r="H469" s="9"/>
      <c r="I469" s="16"/>
      <c r="J469" s="1"/>
      <c r="K469" s="1"/>
      <c r="L469" s="1"/>
      <c r="M469" s="1"/>
      <c r="N469" s="16"/>
      <c r="O469" s="16"/>
      <c r="P469" s="1"/>
    </row>
    <row r="470" spans="1:16">
      <c r="A470" s="6"/>
      <c r="B470" s="7"/>
      <c r="C470" s="6"/>
      <c r="D470" s="93"/>
      <c r="E470" s="93"/>
      <c r="F470" s="1"/>
      <c r="G470" s="9"/>
      <c r="H470" s="9"/>
      <c r="I470" s="16"/>
      <c r="J470" s="1"/>
      <c r="K470" s="1"/>
      <c r="L470" s="1"/>
      <c r="M470" s="1"/>
      <c r="N470" s="16"/>
      <c r="O470" s="16"/>
      <c r="P470" s="1"/>
    </row>
    <row r="471" spans="1:16">
      <c r="A471" s="6"/>
      <c r="B471" s="7"/>
      <c r="C471" s="6"/>
      <c r="D471" s="96"/>
      <c r="E471" s="96"/>
      <c r="F471" s="1"/>
      <c r="G471" s="9"/>
      <c r="H471" s="9"/>
      <c r="I471" s="16"/>
      <c r="J471" s="1"/>
      <c r="K471" s="1"/>
      <c r="L471" s="1"/>
      <c r="M471" s="1"/>
      <c r="N471" s="16"/>
      <c r="O471" s="16"/>
      <c r="P471" s="1"/>
    </row>
    <row r="472" spans="1:16">
      <c r="A472" s="6"/>
      <c r="B472" s="7"/>
      <c r="C472" s="6"/>
      <c r="D472" s="93"/>
      <c r="E472" s="93"/>
      <c r="F472" s="1"/>
      <c r="G472" s="9"/>
      <c r="H472" s="9"/>
      <c r="I472" s="16"/>
      <c r="J472" s="1"/>
      <c r="K472" s="1"/>
      <c r="L472" s="1"/>
      <c r="M472" s="1"/>
      <c r="N472" s="16"/>
      <c r="O472" s="16"/>
      <c r="P472" s="1"/>
    </row>
    <row r="473" spans="1:16">
      <c r="A473" s="6"/>
      <c r="B473" s="7"/>
      <c r="C473" s="6"/>
      <c r="D473" s="93"/>
      <c r="E473" s="93"/>
      <c r="F473" s="1"/>
      <c r="G473" s="9"/>
      <c r="H473" s="9"/>
      <c r="I473" s="16"/>
      <c r="J473" s="1"/>
      <c r="K473" s="1"/>
      <c r="L473" s="1"/>
      <c r="M473" s="1"/>
      <c r="N473" s="16"/>
      <c r="O473" s="16"/>
      <c r="P473" s="1"/>
    </row>
    <row r="474" spans="1:16">
      <c r="A474" s="6"/>
      <c r="B474" s="7"/>
      <c r="C474" s="6"/>
      <c r="D474" s="93"/>
      <c r="E474" s="93"/>
      <c r="F474" s="1"/>
      <c r="G474" s="9"/>
      <c r="H474" s="9"/>
      <c r="I474" s="16"/>
      <c r="J474" s="1"/>
      <c r="K474" s="1"/>
      <c r="L474" s="1"/>
      <c r="M474" s="1"/>
      <c r="N474" s="16"/>
      <c r="O474" s="16"/>
      <c r="P474" s="1"/>
    </row>
    <row r="475" spans="1:16">
      <c r="A475" s="6"/>
      <c r="B475" s="7"/>
      <c r="C475" s="6"/>
      <c r="D475" s="96"/>
      <c r="E475" s="96"/>
      <c r="F475" s="1"/>
      <c r="G475" s="9"/>
      <c r="H475" s="9"/>
      <c r="I475" s="16"/>
      <c r="J475" s="1"/>
      <c r="K475" s="1"/>
      <c r="L475" s="1"/>
      <c r="M475" s="1"/>
      <c r="N475" s="16"/>
      <c r="O475" s="16"/>
      <c r="P475" s="1"/>
    </row>
    <row r="476" spans="1:16">
      <c r="A476" s="6"/>
      <c r="B476" s="7"/>
      <c r="C476" s="6"/>
      <c r="D476" s="96"/>
      <c r="E476" s="93"/>
      <c r="F476" s="1"/>
      <c r="G476" s="9"/>
      <c r="H476" s="9"/>
      <c r="I476" s="16"/>
      <c r="J476" s="1"/>
      <c r="K476" s="1"/>
      <c r="L476" s="1"/>
      <c r="M476" s="1"/>
      <c r="N476" s="16"/>
      <c r="O476" s="16"/>
      <c r="P476" s="1"/>
    </row>
    <row r="477" spans="1:16">
      <c r="A477" s="6"/>
      <c r="B477" s="7"/>
      <c r="C477" s="6"/>
      <c r="D477" s="96"/>
      <c r="E477" s="96"/>
      <c r="F477" s="1"/>
      <c r="G477" s="9"/>
      <c r="H477" s="9"/>
      <c r="I477" s="16"/>
      <c r="J477" s="1"/>
      <c r="K477" s="1"/>
      <c r="L477" s="1"/>
      <c r="M477" s="1"/>
      <c r="N477" s="16"/>
      <c r="O477" s="16"/>
      <c r="P477" s="1"/>
    </row>
    <row r="478" spans="1:16">
      <c r="A478" s="6"/>
      <c r="B478" s="7"/>
      <c r="C478" s="6"/>
      <c r="D478" s="93"/>
      <c r="E478" s="93"/>
      <c r="F478" s="1"/>
      <c r="G478" s="9"/>
      <c r="H478" s="9"/>
      <c r="I478" s="16"/>
      <c r="J478" s="1"/>
      <c r="K478" s="1"/>
      <c r="L478" s="1"/>
      <c r="M478" s="1"/>
      <c r="N478" s="16"/>
      <c r="O478" s="16"/>
      <c r="P478" s="1"/>
    </row>
    <row r="479" spans="1:16">
      <c r="A479" s="6"/>
      <c r="B479" s="7"/>
      <c r="C479" s="6"/>
      <c r="D479" s="96"/>
      <c r="E479" s="96"/>
      <c r="F479" s="1"/>
      <c r="G479" s="9"/>
      <c r="H479" s="9"/>
      <c r="I479" s="16"/>
      <c r="J479" s="1"/>
      <c r="K479" s="1"/>
      <c r="L479" s="1"/>
      <c r="M479" s="1"/>
      <c r="N479" s="16"/>
      <c r="O479" s="16"/>
      <c r="P479" s="1"/>
    </row>
    <row r="480" spans="1:16">
      <c r="A480" s="6"/>
      <c r="B480" s="7"/>
      <c r="C480" s="6"/>
      <c r="D480" s="93"/>
      <c r="E480" s="93"/>
      <c r="F480" s="1"/>
      <c r="G480" s="9"/>
      <c r="H480" s="9"/>
      <c r="I480" s="16"/>
      <c r="J480" s="1"/>
      <c r="K480" s="1"/>
      <c r="L480" s="1"/>
      <c r="M480" s="1"/>
      <c r="N480" s="16"/>
      <c r="O480" s="16"/>
      <c r="P480" s="1"/>
    </row>
    <row r="481" spans="1:16">
      <c r="A481" s="6"/>
      <c r="B481" s="7"/>
      <c r="C481" s="6"/>
      <c r="D481" s="96"/>
      <c r="E481" s="96"/>
      <c r="F481" s="1"/>
      <c r="G481" s="9"/>
      <c r="H481" s="9"/>
      <c r="I481" s="39"/>
      <c r="J481" s="1"/>
      <c r="K481" s="1"/>
      <c r="L481" s="1"/>
      <c r="M481" s="1"/>
      <c r="N481" s="39"/>
      <c r="O481" s="16"/>
      <c r="P481" s="1"/>
    </row>
    <row r="482" spans="1:16">
      <c r="A482" s="6"/>
      <c r="B482" s="7"/>
      <c r="C482" s="6"/>
      <c r="D482" s="93"/>
      <c r="E482" s="93"/>
      <c r="F482" s="1"/>
      <c r="G482" s="9"/>
      <c r="H482" s="9"/>
      <c r="I482" s="39"/>
      <c r="J482" s="1"/>
      <c r="K482" s="1"/>
      <c r="L482" s="1"/>
      <c r="M482" s="1"/>
      <c r="N482" s="39"/>
      <c r="O482" s="16"/>
      <c r="P482" s="1"/>
    </row>
    <row r="483" spans="1:16">
      <c r="A483" s="6"/>
      <c r="B483" s="7"/>
      <c r="C483" s="6"/>
      <c r="D483" s="93"/>
      <c r="E483" s="93"/>
      <c r="F483" s="1"/>
      <c r="G483" s="9"/>
      <c r="H483" s="9"/>
      <c r="I483" s="16"/>
      <c r="J483" s="1"/>
      <c r="K483" s="1"/>
      <c r="L483" s="1"/>
      <c r="M483" s="1"/>
      <c r="N483" s="16"/>
      <c r="O483" s="16"/>
      <c r="P483" s="1"/>
    </row>
    <row r="484" spans="1:16">
      <c r="A484" s="6"/>
      <c r="B484" s="7"/>
      <c r="C484" s="6"/>
      <c r="D484" s="96"/>
      <c r="E484" s="96"/>
      <c r="F484" s="1"/>
      <c r="G484" s="9"/>
      <c r="H484" s="9"/>
      <c r="I484" s="16"/>
      <c r="J484" s="1"/>
      <c r="K484" s="1"/>
      <c r="L484" s="1"/>
      <c r="M484" s="1"/>
      <c r="N484" s="16"/>
      <c r="O484" s="16"/>
      <c r="P484" s="1"/>
    </row>
    <row r="485" spans="1:16">
      <c r="A485" s="6"/>
      <c r="B485" s="7"/>
      <c r="C485" s="95"/>
      <c r="D485" s="96"/>
      <c r="E485" s="93"/>
      <c r="F485" s="1"/>
      <c r="G485" s="7"/>
      <c r="H485" s="7"/>
      <c r="I485" s="16"/>
      <c r="J485" s="1"/>
      <c r="K485" s="1"/>
      <c r="L485" s="1"/>
      <c r="M485" s="1"/>
      <c r="N485" s="16"/>
      <c r="O485" s="16"/>
      <c r="P485" s="1"/>
    </row>
    <row r="486" spans="1:16">
      <c r="A486" s="67"/>
      <c r="B486" s="7"/>
      <c r="C486" s="6"/>
      <c r="D486" s="93"/>
      <c r="E486" s="93"/>
      <c r="F486" s="1"/>
      <c r="G486" s="7"/>
      <c r="H486" s="7"/>
      <c r="I486" s="39"/>
      <c r="J486" s="1"/>
      <c r="K486" s="1"/>
      <c r="L486" s="1"/>
      <c r="M486" s="1"/>
      <c r="N486" s="39"/>
      <c r="O486" s="16"/>
      <c r="P486" s="1"/>
    </row>
    <row r="487" spans="1:16">
      <c r="A487" s="6"/>
      <c r="B487" s="7"/>
      <c r="C487" s="6"/>
      <c r="D487" s="96"/>
      <c r="E487" s="96"/>
      <c r="F487" s="1"/>
      <c r="G487" s="7"/>
      <c r="H487" s="7"/>
      <c r="I487" s="16"/>
      <c r="J487" s="1"/>
      <c r="K487" s="1"/>
      <c r="L487" s="1"/>
      <c r="M487" s="1"/>
      <c r="N487" s="16"/>
      <c r="O487" s="16"/>
      <c r="P487" s="1"/>
    </row>
    <row r="488" spans="1:16">
      <c r="A488" s="6"/>
      <c r="B488" s="7"/>
      <c r="C488" s="6"/>
      <c r="D488" s="104"/>
      <c r="E488" s="96"/>
      <c r="F488" s="1"/>
      <c r="G488" s="7"/>
      <c r="H488" s="7"/>
      <c r="I488" s="16"/>
      <c r="J488" s="1"/>
      <c r="K488" s="1"/>
      <c r="L488" s="1"/>
      <c r="M488" s="1"/>
      <c r="N488" s="16"/>
      <c r="O488" s="16"/>
      <c r="P488" s="1"/>
    </row>
    <row r="489" spans="1:16">
      <c r="A489" s="6"/>
      <c r="B489" s="7"/>
      <c r="C489" s="6"/>
      <c r="D489" s="93"/>
      <c r="E489" s="93"/>
      <c r="F489" s="1"/>
      <c r="G489" s="9"/>
      <c r="H489" s="9"/>
      <c r="I489" s="16"/>
      <c r="J489" s="1"/>
      <c r="K489" s="1"/>
      <c r="L489" s="1"/>
      <c r="M489" s="1"/>
      <c r="N489" s="16"/>
      <c r="O489" s="16"/>
      <c r="P489" s="1"/>
    </row>
    <row r="490" spans="1:16">
      <c r="A490" s="6"/>
      <c r="B490" s="7"/>
      <c r="C490" s="6"/>
      <c r="D490" s="104"/>
      <c r="E490" s="96"/>
      <c r="F490" s="1"/>
      <c r="G490" s="9"/>
      <c r="H490" s="9"/>
      <c r="I490" s="16"/>
      <c r="J490" s="1"/>
      <c r="K490" s="1"/>
      <c r="L490" s="1"/>
      <c r="M490" s="1"/>
      <c r="N490" s="16"/>
      <c r="O490" s="16"/>
      <c r="P490" s="1"/>
    </row>
    <row r="491" spans="1:16">
      <c r="A491" s="6"/>
      <c r="B491" s="7"/>
      <c r="C491" s="6"/>
      <c r="D491" s="96"/>
      <c r="E491" s="93"/>
      <c r="F491" s="1"/>
      <c r="G491" s="9"/>
      <c r="H491" s="9"/>
      <c r="I491" s="16"/>
      <c r="J491" s="1"/>
      <c r="K491" s="1"/>
      <c r="L491" s="1"/>
      <c r="M491" s="1"/>
      <c r="N491" s="16"/>
      <c r="O491" s="16"/>
      <c r="P491" s="1"/>
    </row>
    <row r="492" spans="1:16">
      <c r="A492" s="6"/>
      <c r="B492" s="7"/>
      <c r="C492" s="6"/>
      <c r="D492" s="93"/>
      <c r="E492" s="93"/>
      <c r="F492" s="1"/>
      <c r="G492" s="9"/>
      <c r="H492" s="9"/>
      <c r="I492" s="16"/>
      <c r="J492" s="1"/>
      <c r="K492" s="1"/>
      <c r="L492" s="1"/>
      <c r="M492" s="1"/>
      <c r="N492" s="16"/>
      <c r="O492" s="16"/>
      <c r="P492" s="1"/>
    </row>
    <row r="493" spans="1:16">
      <c r="A493" s="6"/>
      <c r="B493" s="7"/>
      <c r="C493" s="6"/>
      <c r="D493" s="93"/>
      <c r="E493" s="115"/>
      <c r="F493" s="1"/>
      <c r="G493" s="9"/>
      <c r="H493" s="9"/>
      <c r="I493" s="16"/>
      <c r="J493" s="1"/>
      <c r="K493" s="1"/>
      <c r="L493" s="1"/>
      <c r="M493" s="1"/>
      <c r="N493" s="16"/>
      <c r="O493" s="16"/>
      <c r="P493" s="1"/>
    </row>
    <row r="494" spans="1:16">
      <c r="A494" s="6"/>
      <c r="B494" s="7"/>
      <c r="C494" s="6"/>
      <c r="D494" s="104"/>
      <c r="E494" s="96"/>
      <c r="F494" s="1"/>
      <c r="G494" s="9"/>
      <c r="H494" s="9"/>
      <c r="I494" s="16"/>
      <c r="J494" s="1"/>
      <c r="K494" s="1"/>
      <c r="L494" s="1"/>
      <c r="M494" s="1"/>
      <c r="N494" s="16"/>
      <c r="O494" s="16"/>
      <c r="P494" s="1"/>
    </row>
    <row r="495" spans="1:16">
      <c r="A495" s="6"/>
      <c r="B495" s="7"/>
      <c r="C495" s="6"/>
      <c r="D495" s="96"/>
      <c r="E495" s="96"/>
      <c r="F495" s="1"/>
      <c r="G495" s="9"/>
      <c r="H495" s="9"/>
      <c r="I495" s="16"/>
      <c r="J495" s="1"/>
      <c r="K495" s="1"/>
      <c r="L495" s="1"/>
      <c r="M495" s="1"/>
      <c r="N495" s="16"/>
      <c r="O495" s="16"/>
      <c r="P495" s="1"/>
    </row>
    <row r="496" spans="1:16">
      <c r="A496" s="6"/>
      <c r="B496" s="7"/>
      <c r="C496" s="6"/>
      <c r="D496" s="104"/>
      <c r="E496" s="96"/>
      <c r="F496" s="1"/>
      <c r="G496" s="9"/>
      <c r="H496" s="9"/>
      <c r="I496" s="16"/>
      <c r="J496" s="1"/>
      <c r="K496" s="1"/>
      <c r="L496" s="1"/>
      <c r="M496" s="1"/>
      <c r="N496" s="16"/>
      <c r="O496" s="16"/>
      <c r="P496" s="1"/>
    </row>
    <row r="497" spans="1:16">
      <c r="A497" s="6"/>
      <c r="B497" s="7"/>
      <c r="C497" s="6"/>
      <c r="D497" s="93"/>
      <c r="E497" s="93"/>
      <c r="F497" s="1"/>
      <c r="G497" s="9"/>
      <c r="H497" s="9"/>
      <c r="I497" s="16"/>
      <c r="J497" s="1"/>
      <c r="K497" s="1"/>
      <c r="L497" s="1"/>
      <c r="M497" s="1"/>
      <c r="N497" s="16"/>
      <c r="O497" s="16"/>
      <c r="P497" s="1"/>
    </row>
    <row r="498" spans="1:16">
      <c r="A498" s="116"/>
      <c r="B498" s="7"/>
      <c r="C498" s="6"/>
      <c r="D498" s="96"/>
      <c r="E498" s="96"/>
      <c r="F498" s="1"/>
      <c r="G498" s="9"/>
      <c r="H498" s="9"/>
      <c r="I498" s="16"/>
      <c r="J498" s="1"/>
      <c r="K498" s="1"/>
      <c r="L498" s="1"/>
      <c r="M498" s="1"/>
      <c r="N498" s="16"/>
      <c r="O498" s="16"/>
      <c r="P498" s="1"/>
    </row>
    <row r="499" spans="1:16">
      <c r="A499" s="6"/>
      <c r="B499" s="7"/>
      <c r="C499" s="6"/>
      <c r="D499" s="93"/>
      <c r="E499" s="93"/>
      <c r="F499" s="1"/>
      <c r="G499" s="9"/>
      <c r="H499" s="9"/>
      <c r="I499" s="16"/>
      <c r="J499" s="1"/>
      <c r="K499" s="1"/>
      <c r="L499" s="1"/>
      <c r="M499" s="1"/>
      <c r="N499" s="16"/>
      <c r="O499" s="16"/>
      <c r="P499" s="1"/>
    </row>
    <row r="500" spans="1:16">
      <c r="A500" s="6"/>
      <c r="B500" s="7"/>
      <c r="C500" s="95"/>
      <c r="D500" s="104"/>
      <c r="E500" s="96"/>
      <c r="F500" s="1"/>
      <c r="G500" s="9"/>
      <c r="H500" s="9"/>
      <c r="I500" s="5"/>
      <c r="J500" s="1"/>
      <c r="K500" s="1"/>
      <c r="L500" s="1"/>
      <c r="M500" s="1"/>
      <c r="N500" s="16"/>
      <c r="O500" s="16"/>
      <c r="P500" s="1"/>
    </row>
    <row r="501" spans="1:16">
      <c r="A501" s="6"/>
      <c r="B501" s="7"/>
      <c r="C501" s="6"/>
      <c r="D501" s="104"/>
      <c r="E501" s="96"/>
      <c r="F501" s="1"/>
      <c r="G501" s="9"/>
      <c r="H501" s="9"/>
      <c r="I501" s="16"/>
      <c r="J501" s="1"/>
      <c r="K501" s="1"/>
      <c r="L501" s="1"/>
      <c r="M501" s="1"/>
      <c r="N501" s="16"/>
      <c r="O501" s="16"/>
      <c r="P501" s="1"/>
    </row>
    <row r="502" spans="1:16">
      <c r="B502" s="7"/>
      <c r="C502" s="6"/>
      <c r="D502" s="96"/>
      <c r="E502" s="96"/>
      <c r="F502" s="1"/>
      <c r="G502" s="9"/>
      <c r="H502" s="9"/>
      <c r="I502" s="16"/>
      <c r="J502" s="1"/>
      <c r="K502" s="1"/>
      <c r="L502" s="1"/>
      <c r="M502" s="1"/>
      <c r="N502" s="16"/>
      <c r="O502" s="16"/>
      <c r="P502" s="1"/>
    </row>
    <row r="503" spans="1:16">
      <c r="B503" s="7"/>
      <c r="C503" s="6"/>
      <c r="D503" s="93"/>
      <c r="E503" s="93"/>
      <c r="F503" s="1"/>
      <c r="G503" s="9"/>
      <c r="H503" s="9"/>
      <c r="I503" s="16"/>
      <c r="J503" s="1"/>
      <c r="K503" s="1"/>
      <c r="L503" s="1"/>
      <c r="M503" s="1"/>
      <c r="N503" s="16"/>
      <c r="O503" s="16"/>
      <c r="P503" s="1"/>
    </row>
    <row r="504" spans="1:16">
      <c r="B504" s="7"/>
      <c r="C504" s="6"/>
      <c r="D504" s="96"/>
      <c r="E504" s="96"/>
      <c r="F504" s="1"/>
      <c r="G504" s="9"/>
      <c r="H504" s="9"/>
      <c r="I504" s="16"/>
      <c r="J504" s="1"/>
      <c r="K504" s="1"/>
      <c r="L504" s="1"/>
      <c r="M504" s="1"/>
      <c r="N504" s="16"/>
      <c r="O504" s="16"/>
      <c r="P504" s="1"/>
    </row>
    <row r="505" spans="1:16">
      <c r="B505" s="7"/>
      <c r="C505" s="6"/>
      <c r="D505" s="104"/>
      <c r="E505" s="96"/>
      <c r="F505" s="1"/>
      <c r="G505" s="9"/>
      <c r="H505" s="9"/>
      <c r="I505" s="16"/>
      <c r="J505" s="1"/>
      <c r="K505" s="1"/>
      <c r="L505" s="1"/>
      <c r="M505" s="1"/>
      <c r="N505" s="16"/>
      <c r="O505" s="16"/>
      <c r="P505" s="1"/>
    </row>
    <row r="506" spans="1:16">
      <c r="B506" s="7"/>
      <c r="C506" s="6"/>
      <c r="D506" s="93"/>
      <c r="E506" s="93"/>
      <c r="F506" s="1"/>
      <c r="G506" s="9"/>
      <c r="H506" s="9"/>
      <c r="I506" s="16"/>
      <c r="J506" s="1"/>
      <c r="K506" s="1"/>
      <c r="L506" s="1"/>
      <c r="M506" s="1"/>
      <c r="N506" s="16"/>
      <c r="O506" s="16"/>
      <c r="P506" s="1"/>
    </row>
    <row r="507" spans="1:16">
      <c r="B507" s="7"/>
      <c r="C507" s="6"/>
      <c r="D507" s="93"/>
      <c r="E507" s="93"/>
      <c r="F507" s="1"/>
      <c r="G507" s="9"/>
      <c r="H507" s="9"/>
      <c r="I507" s="16"/>
      <c r="J507" s="1"/>
      <c r="K507" s="1"/>
      <c r="L507" s="1"/>
      <c r="M507" s="1"/>
      <c r="N507" s="16"/>
      <c r="O507" s="16"/>
      <c r="P507" s="1"/>
    </row>
    <row r="508" spans="1:16">
      <c r="B508" s="7"/>
      <c r="C508" s="6"/>
      <c r="D508" s="104"/>
      <c r="E508" s="6"/>
      <c r="F508" s="1"/>
      <c r="G508" s="9"/>
      <c r="H508" s="9"/>
      <c r="I508" s="16"/>
      <c r="J508" s="1"/>
      <c r="K508" s="1"/>
      <c r="L508" s="1"/>
      <c r="M508" s="1"/>
      <c r="N508" s="16"/>
      <c r="O508" s="16"/>
      <c r="P508" s="1"/>
    </row>
    <row r="509" spans="1:16">
      <c r="B509" s="7"/>
      <c r="C509" s="6"/>
      <c r="D509" s="104"/>
      <c r="E509" s="96"/>
      <c r="F509" s="1"/>
      <c r="G509" s="9"/>
      <c r="H509" s="9"/>
      <c r="I509" s="16"/>
      <c r="J509" s="1"/>
      <c r="K509" s="1"/>
      <c r="L509" s="1"/>
      <c r="M509" s="1"/>
      <c r="N509" s="16"/>
      <c r="O509" s="16"/>
      <c r="P509" s="1"/>
    </row>
    <row r="510" spans="1:16">
      <c r="B510" s="7"/>
      <c r="C510" s="6"/>
      <c r="D510" s="104"/>
      <c r="E510" s="96"/>
      <c r="F510" s="1"/>
      <c r="G510" s="9"/>
      <c r="H510" s="9"/>
      <c r="I510" s="16"/>
      <c r="J510" s="1"/>
      <c r="K510" s="1"/>
      <c r="L510" s="1"/>
      <c r="M510" s="1"/>
      <c r="N510" s="16"/>
      <c r="O510" s="16"/>
      <c r="P510" s="1"/>
    </row>
    <row r="511" spans="1:16">
      <c r="B511" s="7"/>
      <c r="C511" s="6"/>
      <c r="D511" s="104"/>
      <c r="E511" s="96"/>
      <c r="F511" s="1"/>
      <c r="G511" s="9"/>
      <c r="H511" s="9"/>
      <c r="I511" s="16"/>
      <c r="J511" s="1"/>
      <c r="K511" s="1"/>
      <c r="L511" s="1"/>
      <c r="M511" s="1"/>
      <c r="N511" s="16"/>
      <c r="O511" s="16"/>
      <c r="P511" s="1"/>
    </row>
    <row r="512" spans="1:16">
      <c r="B512" s="7"/>
      <c r="C512" s="6"/>
      <c r="D512" s="96"/>
      <c r="E512" s="96"/>
      <c r="F512" s="1"/>
      <c r="G512" s="9"/>
      <c r="H512" s="9"/>
      <c r="I512" s="16"/>
      <c r="J512" s="1"/>
      <c r="K512" s="1"/>
      <c r="L512" s="1"/>
      <c r="M512" s="1"/>
      <c r="N512" s="16"/>
      <c r="O512" s="16"/>
      <c r="P512" s="1"/>
    </row>
    <row r="513" spans="1:16">
      <c r="B513" s="7"/>
      <c r="C513" s="6"/>
      <c r="D513" s="96"/>
      <c r="E513" s="96"/>
      <c r="F513" s="1"/>
      <c r="G513" s="9"/>
      <c r="H513" s="9"/>
      <c r="I513" s="16"/>
      <c r="J513" s="1"/>
      <c r="K513" s="1"/>
      <c r="L513" s="1"/>
      <c r="M513" s="1"/>
      <c r="N513" s="16"/>
      <c r="O513" s="16"/>
      <c r="P513" s="1"/>
    </row>
    <row r="514" spans="1:16">
      <c r="B514" s="7"/>
      <c r="C514" s="6"/>
      <c r="D514" s="96"/>
      <c r="E514" s="96"/>
      <c r="F514" s="1"/>
      <c r="G514" s="9"/>
      <c r="H514" s="9"/>
      <c r="I514" s="16"/>
      <c r="J514" s="1"/>
      <c r="K514" s="1"/>
      <c r="L514" s="1"/>
      <c r="M514" s="1"/>
      <c r="N514" s="16"/>
      <c r="O514" s="16"/>
      <c r="P514" s="1"/>
    </row>
    <row r="515" spans="1:16">
      <c r="B515" s="7"/>
      <c r="C515" s="6"/>
      <c r="D515" s="96"/>
      <c r="E515" s="93"/>
      <c r="F515" s="1"/>
      <c r="G515" s="9"/>
      <c r="H515" s="9"/>
      <c r="I515" s="16"/>
      <c r="J515" s="1"/>
      <c r="K515" s="1"/>
      <c r="L515" s="1"/>
      <c r="M515" s="1"/>
      <c r="N515" s="16"/>
      <c r="O515" s="16"/>
      <c r="P515" s="1"/>
    </row>
    <row r="516" spans="1:16">
      <c r="B516" s="7"/>
      <c r="C516" s="6"/>
      <c r="D516" s="96"/>
      <c r="E516" s="96"/>
      <c r="F516" s="1"/>
      <c r="G516" s="9"/>
      <c r="H516" s="9"/>
      <c r="I516" s="16"/>
      <c r="J516" s="1"/>
      <c r="K516" s="1"/>
      <c r="L516" s="1"/>
      <c r="M516" s="1"/>
      <c r="N516" s="16"/>
      <c r="O516" s="16"/>
      <c r="P516" s="1"/>
    </row>
    <row r="517" spans="1:16">
      <c r="B517" s="7"/>
      <c r="C517" s="6"/>
      <c r="D517" s="96"/>
      <c r="E517" s="96"/>
      <c r="F517" s="1"/>
      <c r="G517" s="9"/>
      <c r="H517" s="9"/>
      <c r="I517" s="16"/>
      <c r="J517" s="1"/>
      <c r="K517" s="1"/>
      <c r="L517" s="1"/>
      <c r="M517" s="1"/>
      <c r="N517" s="16"/>
      <c r="O517" s="16"/>
      <c r="P517" s="1"/>
    </row>
    <row r="518" spans="1:16">
      <c r="A518" s="6"/>
      <c r="B518" s="7"/>
      <c r="C518" s="6"/>
      <c r="D518" s="96"/>
      <c r="E518" s="96"/>
      <c r="F518" s="1"/>
      <c r="G518" s="9"/>
      <c r="H518" s="9"/>
      <c r="I518" s="16"/>
      <c r="J518" s="1"/>
      <c r="K518" s="1"/>
      <c r="L518" s="1"/>
      <c r="M518" s="1"/>
      <c r="N518" s="16"/>
      <c r="O518" s="16"/>
      <c r="P518" s="1"/>
    </row>
    <row r="519" spans="1:16">
      <c r="A519" s="6"/>
      <c r="B519" s="7"/>
      <c r="C519" s="6"/>
      <c r="D519" s="96"/>
      <c r="E519" s="96"/>
      <c r="F519" s="1"/>
      <c r="G519" s="9"/>
      <c r="H519" s="9"/>
      <c r="I519" s="16"/>
      <c r="J519" s="1"/>
      <c r="K519" s="1"/>
      <c r="L519" s="1"/>
      <c r="M519" s="1"/>
      <c r="N519" s="16"/>
      <c r="O519" s="16"/>
      <c r="P519" s="1"/>
    </row>
    <row r="520" spans="1:16">
      <c r="B520" s="7"/>
      <c r="C520" s="6"/>
      <c r="D520" s="96"/>
      <c r="E520" s="96"/>
      <c r="F520" s="1"/>
      <c r="G520" s="9"/>
      <c r="H520" s="9"/>
      <c r="I520" s="16"/>
      <c r="J520" s="1"/>
      <c r="K520" s="1"/>
      <c r="L520" s="1"/>
      <c r="M520" s="1"/>
      <c r="N520" s="16"/>
      <c r="O520" s="16"/>
      <c r="P520" s="1"/>
    </row>
    <row r="521" spans="1:16">
      <c r="B521" s="7"/>
      <c r="C521" s="6"/>
      <c r="D521" s="96"/>
      <c r="E521" s="96"/>
      <c r="F521" s="1"/>
      <c r="G521" s="9"/>
      <c r="H521" s="9"/>
      <c r="I521" s="16"/>
      <c r="J521" s="1"/>
      <c r="K521" s="1"/>
      <c r="L521" s="1"/>
      <c r="M521" s="1"/>
      <c r="N521" s="16"/>
      <c r="O521" s="16"/>
      <c r="P521" s="1"/>
    </row>
    <row r="522" spans="1:16">
      <c r="A522" s="6"/>
      <c r="B522" s="7"/>
      <c r="C522" s="6"/>
      <c r="D522" s="96"/>
      <c r="E522" s="96"/>
      <c r="F522" s="1"/>
      <c r="G522" s="9"/>
      <c r="H522" s="9"/>
      <c r="I522" s="16"/>
      <c r="J522" s="1"/>
      <c r="K522" s="1"/>
      <c r="L522" s="1"/>
      <c r="M522" s="1"/>
      <c r="N522" s="16"/>
      <c r="O522" s="16"/>
      <c r="P522" s="1"/>
    </row>
    <row r="523" spans="1:16">
      <c r="B523" s="7"/>
      <c r="C523" s="6"/>
      <c r="D523" s="96"/>
      <c r="E523" s="96"/>
      <c r="F523" s="1"/>
      <c r="G523" s="9"/>
      <c r="H523" s="9"/>
      <c r="I523" s="16"/>
      <c r="J523" s="1"/>
      <c r="K523" s="1"/>
      <c r="L523" s="1"/>
      <c r="M523" s="1"/>
      <c r="N523" s="16"/>
      <c r="O523" s="16"/>
      <c r="P523" s="1"/>
    </row>
    <row r="524" spans="1:16">
      <c r="B524" s="7"/>
      <c r="C524" s="6"/>
      <c r="D524" s="96"/>
      <c r="E524" s="96"/>
      <c r="F524" s="1"/>
      <c r="G524" s="9"/>
      <c r="H524" s="9"/>
      <c r="I524" s="16"/>
      <c r="J524" s="1"/>
      <c r="K524" s="1"/>
      <c r="L524" s="1"/>
      <c r="M524" s="1"/>
      <c r="N524" s="16"/>
      <c r="O524" s="16"/>
      <c r="P524" s="1"/>
    </row>
    <row r="525" spans="1:16">
      <c r="B525" s="7"/>
      <c r="C525" s="6"/>
      <c r="D525" s="96"/>
      <c r="E525" s="96"/>
      <c r="F525" s="1"/>
      <c r="G525" s="9"/>
      <c r="H525" s="9"/>
      <c r="I525" s="16"/>
      <c r="J525" s="1"/>
      <c r="K525" s="1"/>
      <c r="L525" s="1"/>
      <c r="M525" s="1"/>
      <c r="N525" s="16"/>
      <c r="O525" s="16"/>
      <c r="P525" s="1"/>
    </row>
    <row r="526" spans="1:16">
      <c r="B526" s="7"/>
      <c r="C526" s="6"/>
      <c r="D526" s="96"/>
      <c r="E526" s="96"/>
      <c r="F526" s="1"/>
      <c r="G526" s="9"/>
      <c r="H526" s="9"/>
      <c r="I526" s="16"/>
      <c r="J526" s="1"/>
      <c r="K526" s="1"/>
      <c r="L526" s="1"/>
      <c r="M526" s="1"/>
      <c r="N526" s="16"/>
      <c r="O526" s="16"/>
      <c r="P526" s="1"/>
    </row>
    <row r="527" spans="1:16">
      <c r="B527" s="7"/>
      <c r="C527" s="6"/>
      <c r="D527" s="96"/>
      <c r="E527" s="96"/>
      <c r="F527" s="1"/>
      <c r="G527" s="9"/>
      <c r="H527" s="9"/>
      <c r="I527" s="16"/>
      <c r="J527" s="1"/>
      <c r="K527" s="1"/>
      <c r="L527" s="1"/>
      <c r="M527" s="1"/>
      <c r="N527" s="16"/>
      <c r="O527" s="16"/>
      <c r="P527" s="1"/>
    </row>
    <row r="528" spans="1:16">
      <c r="B528" s="7"/>
      <c r="C528" s="6"/>
      <c r="D528" s="96"/>
      <c r="E528" s="96"/>
      <c r="F528" s="1"/>
      <c r="G528" s="9"/>
      <c r="H528" s="9"/>
      <c r="I528" s="16"/>
      <c r="J528" s="1"/>
      <c r="K528" s="1"/>
      <c r="L528" s="1"/>
      <c r="M528" s="1"/>
      <c r="N528" s="16"/>
      <c r="O528" s="16"/>
      <c r="P528" s="1"/>
    </row>
    <row r="529" spans="2:16">
      <c r="B529" s="7"/>
      <c r="C529" s="6"/>
      <c r="D529" s="96"/>
      <c r="E529" s="96"/>
      <c r="F529" s="1"/>
      <c r="G529" s="9"/>
      <c r="H529" s="9"/>
      <c r="I529" s="16"/>
      <c r="J529" s="1"/>
      <c r="K529" s="1"/>
      <c r="L529" s="1"/>
      <c r="M529" s="1"/>
      <c r="N529" s="16"/>
      <c r="O529" s="16"/>
      <c r="P529" s="1"/>
    </row>
    <row r="530" spans="2:16">
      <c r="B530" s="7"/>
      <c r="C530" s="6"/>
      <c r="D530" s="96"/>
      <c r="E530" s="96"/>
      <c r="F530" s="1"/>
      <c r="G530" s="9"/>
      <c r="H530" s="9"/>
      <c r="I530" s="16"/>
      <c r="J530" s="1"/>
      <c r="K530" s="1"/>
      <c r="L530" s="1"/>
      <c r="M530" s="1"/>
      <c r="N530" s="16"/>
      <c r="O530" s="16"/>
      <c r="P530" s="1"/>
    </row>
    <row r="531" spans="2:16">
      <c r="B531" s="7"/>
      <c r="C531" s="6"/>
      <c r="D531" s="96"/>
      <c r="E531" s="96"/>
      <c r="F531" s="1"/>
      <c r="G531" s="9"/>
      <c r="H531" s="9"/>
      <c r="I531" s="16"/>
      <c r="J531" s="1"/>
      <c r="K531" s="1"/>
      <c r="L531" s="1"/>
      <c r="M531" s="1"/>
      <c r="N531" s="16"/>
      <c r="O531" s="16"/>
      <c r="P531" s="1"/>
    </row>
    <row r="532" spans="2:16">
      <c r="B532" s="7"/>
      <c r="C532" s="6"/>
      <c r="D532" s="96"/>
      <c r="E532" s="96"/>
      <c r="F532" s="1"/>
      <c r="G532" s="9"/>
      <c r="H532" s="9"/>
      <c r="I532" s="16"/>
      <c r="J532" s="1"/>
      <c r="K532" s="1"/>
      <c r="L532" s="1"/>
      <c r="M532" s="1"/>
      <c r="N532" s="16"/>
      <c r="O532" s="16"/>
      <c r="P532" s="1"/>
    </row>
    <row r="533" spans="2:16">
      <c r="B533" s="7"/>
      <c r="C533" s="6"/>
      <c r="D533" s="96"/>
      <c r="E533" s="96"/>
      <c r="F533" s="1"/>
      <c r="G533" s="9"/>
      <c r="H533" s="9"/>
      <c r="I533" s="16"/>
      <c r="J533" s="1"/>
      <c r="K533" s="1"/>
      <c r="L533" s="1"/>
      <c r="M533" s="1"/>
      <c r="N533" s="16"/>
      <c r="O533" s="16"/>
      <c r="P533" s="1"/>
    </row>
    <row r="534" spans="2:16">
      <c r="B534" s="7"/>
      <c r="C534" s="6"/>
      <c r="D534" s="96"/>
      <c r="E534" s="96"/>
      <c r="F534" s="1"/>
      <c r="G534" s="9"/>
      <c r="H534" s="9"/>
      <c r="I534" s="16"/>
      <c r="J534" s="1"/>
      <c r="K534" s="1"/>
      <c r="L534" s="1"/>
      <c r="M534" s="9"/>
      <c r="N534" s="16"/>
      <c r="O534" s="16"/>
      <c r="P534" s="1"/>
    </row>
    <row r="535" spans="2:16">
      <c r="B535" s="7"/>
      <c r="C535" s="6"/>
      <c r="D535" s="96"/>
      <c r="E535" s="96"/>
      <c r="F535" s="1"/>
      <c r="G535" s="9"/>
      <c r="H535" s="9"/>
      <c r="I535" s="16"/>
      <c r="J535" s="1"/>
      <c r="K535" s="1"/>
      <c r="L535" s="1"/>
      <c r="M535" s="1"/>
      <c r="N535" s="16"/>
      <c r="O535" s="16"/>
      <c r="P535" s="1"/>
    </row>
    <row r="536" spans="2:16">
      <c r="B536" s="7"/>
      <c r="C536" s="6"/>
      <c r="D536" s="96"/>
      <c r="E536" s="96"/>
      <c r="F536" s="1"/>
      <c r="G536" s="9"/>
      <c r="H536" s="9"/>
      <c r="I536" s="16"/>
      <c r="J536" s="1"/>
      <c r="K536" s="1"/>
      <c r="L536" s="1"/>
      <c r="M536" s="1"/>
      <c r="N536" s="16"/>
      <c r="O536" s="16"/>
      <c r="P536" s="1"/>
    </row>
    <row r="537" spans="2:16">
      <c r="B537" s="7"/>
      <c r="C537" s="6"/>
      <c r="D537" s="96"/>
      <c r="E537" s="96"/>
      <c r="F537" s="1"/>
      <c r="G537" s="9"/>
      <c r="H537" s="9"/>
      <c r="I537" s="16"/>
      <c r="J537" s="1"/>
      <c r="K537" s="1"/>
      <c r="L537" s="1"/>
      <c r="M537" s="9"/>
      <c r="N537" s="16"/>
      <c r="O537" s="16"/>
      <c r="P537" s="1"/>
    </row>
    <row r="538" spans="2:16">
      <c r="B538" s="7"/>
      <c r="C538" s="6"/>
      <c r="D538" s="96"/>
      <c r="E538" s="96"/>
      <c r="F538" s="1"/>
      <c r="G538" s="9"/>
      <c r="H538" s="9"/>
      <c r="I538" s="16"/>
      <c r="J538" s="1"/>
      <c r="K538" s="1"/>
      <c r="L538" s="1"/>
      <c r="M538" s="1"/>
      <c r="N538" s="16"/>
      <c r="O538" s="16"/>
      <c r="P538" s="1"/>
    </row>
    <row r="539" spans="2:16">
      <c r="B539" s="7"/>
      <c r="C539" s="6"/>
      <c r="D539" s="96"/>
      <c r="E539" s="96"/>
      <c r="F539" s="1"/>
      <c r="G539" s="9"/>
      <c r="H539" s="9"/>
      <c r="I539" s="16"/>
      <c r="J539" s="1"/>
      <c r="K539" s="1"/>
      <c r="L539" s="1"/>
      <c r="M539" s="9"/>
      <c r="N539" s="16"/>
      <c r="O539" s="16"/>
      <c r="P539" s="1"/>
    </row>
    <row r="540" spans="2:16">
      <c r="B540" s="7"/>
      <c r="C540" s="6"/>
      <c r="D540" s="96"/>
      <c r="E540" s="96"/>
      <c r="F540" s="1"/>
      <c r="G540" s="9"/>
      <c r="H540" s="9"/>
      <c r="I540" s="16"/>
      <c r="J540" s="1"/>
      <c r="K540" s="1"/>
      <c r="L540" s="1"/>
      <c r="M540" s="9"/>
      <c r="N540" s="16"/>
      <c r="O540" s="16"/>
      <c r="P540" s="1"/>
    </row>
    <row r="541" spans="2:16">
      <c r="B541" s="7"/>
      <c r="C541" s="6"/>
      <c r="D541" s="96"/>
      <c r="E541" s="96"/>
      <c r="F541" s="1"/>
      <c r="G541" s="9"/>
      <c r="H541" s="9"/>
      <c r="I541" s="16"/>
      <c r="J541" s="1"/>
      <c r="K541" s="1"/>
      <c r="L541" s="1"/>
      <c r="M541" s="9"/>
      <c r="N541" s="16"/>
      <c r="O541" s="16"/>
      <c r="P541" s="1"/>
    </row>
    <row r="542" spans="2:16">
      <c r="B542" s="7"/>
      <c r="C542" s="6"/>
      <c r="D542" s="96"/>
      <c r="E542" s="96"/>
      <c r="F542" s="1"/>
      <c r="G542" s="9"/>
      <c r="H542" s="9"/>
      <c r="I542" s="16"/>
      <c r="J542" s="1"/>
      <c r="K542" s="1"/>
      <c r="L542" s="1"/>
      <c r="M542" s="9"/>
      <c r="N542" s="16"/>
      <c r="O542" s="16"/>
      <c r="P542" s="1"/>
    </row>
    <row r="543" spans="2:16">
      <c r="B543" s="7"/>
      <c r="C543" s="6"/>
      <c r="D543" s="96"/>
      <c r="E543" s="96"/>
      <c r="F543" s="1"/>
      <c r="G543" s="9"/>
      <c r="H543" s="9"/>
      <c r="I543" s="16"/>
      <c r="J543" s="1"/>
      <c r="K543" s="1"/>
      <c r="L543" s="1"/>
      <c r="M543" s="9"/>
      <c r="N543" s="16"/>
      <c r="O543" s="16"/>
      <c r="P543" s="1"/>
    </row>
    <row r="544" spans="2:16">
      <c r="B544" s="7"/>
      <c r="C544" s="6"/>
      <c r="D544" s="96"/>
      <c r="E544" s="96"/>
      <c r="F544" s="1"/>
      <c r="G544" s="9"/>
      <c r="H544" s="9"/>
      <c r="I544" s="16"/>
      <c r="J544" s="1"/>
      <c r="K544" s="1"/>
      <c r="L544" s="1"/>
      <c r="M544" s="9"/>
      <c r="N544" s="16"/>
      <c r="O544" s="16"/>
      <c r="P544" s="1"/>
    </row>
    <row r="545" spans="2:16">
      <c r="B545" s="7"/>
      <c r="C545" s="6"/>
      <c r="D545" s="96"/>
      <c r="E545" s="96"/>
      <c r="F545" s="1"/>
      <c r="G545" s="9"/>
      <c r="H545" s="9"/>
      <c r="I545" s="16"/>
      <c r="J545" s="1"/>
      <c r="K545" s="1"/>
      <c r="L545" s="1"/>
      <c r="M545" s="9"/>
      <c r="N545" s="16"/>
      <c r="O545" s="16"/>
      <c r="P545" s="1"/>
    </row>
    <row r="546" spans="2:16">
      <c r="B546" s="7"/>
      <c r="C546" s="122"/>
      <c r="D546" s="96"/>
      <c r="E546" s="96"/>
      <c r="F546" s="1"/>
      <c r="G546" s="9"/>
      <c r="H546" s="9"/>
      <c r="I546" s="16"/>
      <c r="J546" s="1"/>
      <c r="K546" s="1"/>
      <c r="L546" s="1"/>
      <c r="M546" s="1"/>
      <c r="N546" s="16"/>
      <c r="O546" s="16"/>
      <c r="P546" s="1"/>
    </row>
    <row r="547" spans="2:16">
      <c r="B547" s="7"/>
      <c r="C547" s="6"/>
      <c r="D547" s="6"/>
      <c r="E547" s="6"/>
      <c r="F547" s="1"/>
      <c r="G547" s="9"/>
      <c r="H547" s="9"/>
      <c r="I547" s="16"/>
      <c r="J547" s="1"/>
      <c r="K547" s="1"/>
      <c r="L547" s="1"/>
      <c r="M547" s="1"/>
      <c r="O547" s="16"/>
      <c r="P547" s="1"/>
    </row>
    <row r="548" spans="2:16">
      <c r="B548" s="7"/>
      <c r="C548" s="6"/>
      <c r="D548" s="6"/>
      <c r="E548" s="6"/>
      <c r="F548" s="1"/>
      <c r="G548" s="9"/>
      <c r="H548" s="9"/>
      <c r="I548" s="16"/>
      <c r="J548" s="1"/>
      <c r="K548" s="1"/>
      <c r="L548" s="1"/>
      <c r="M548" s="1"/>
      <c r="O548" s="16"/>
      <c r="P548" s="1"/>
    </row>
    <row r="549" spans="2:16">
      <c r="B549" s="7"/>
      <c r="C549" s="6"/>
      <c r="D549" s="6"/>
      <c r="E549" s="6"/>
      <c r="F549" s="1"/>
      <c r="G549" s="9"/>
      <c r="H549" s="9"/>
      <c r="I549" s="16"/>
      <c r="J549" s="1"/>
      <c r="K549" s="1"/>
      <c r="L549" s="1"/>
      <c r="M549" s="1"/>
      <c r="O549" s="16"/>
      <c r="P549" s="1"/>
    </row>
    <row r="550" spans="2:16">
      <c r="B550" s="7"/>
      <c r="C550" s="152"/>
      <c r="D550" s="6"/>
      <c r="E550" s="6"/>
      <c r="F550" s="1"/>
      <c r="G550" s="9"/>
      <c r="H550" s="9"/>
      <c r="I550" s="16"/>
      <c r="J550" s="1"/>
      <c r="K550" s="1"/>
      <c r="L550" s="1"/>
      <c r="M550" s="1"/>
      <c r="N550" s="16"/>
      <c r="O550" s="16"/>
      <c r="P550" s="1"/>
    </row>
    <row r="551" spans="2:16">
      <c r="B551" s="7"/>
      <c r="C551" s="6"/>
      <c r="D551" s="6"/>
      <c r="E551" s="6"/>
      <c r="F551" s="1"/>
      <c r="G551" s="9"/>
      <c r="H551" s="9"/>
      <c r="I551" s="16"/>
      <c r="J551" s="1"/>
      <c r="K551" s="1"/>
      <c r="L551" s="1"/>
      <c r="M551" s="1"/>
      <c r="O551" s="16"/>
      <c r="P551" s="1"/>
    </row>
    <row r="552" spans="2:16">
      <c r="B552" s="7"/>
      <c r="C552" s="6"/>
      <c r="D552" s="141"/>
      <c r="E552" s="142"/>
      <c r="F552" s="1"/>
      <c r="G552" s="9"/>
      <c r="H552" s="9"/>
      <c r="I552" s="16"/>
      <c r="J552" s="1"/>
      <c r="K552" s="1"/>
      <c r="L552" s="1"/>
      <c r="M552" s="1"/>
      <c r="O552" s="16"/>
      <c r="P552" s="1"/>
    </row>
    <row r="553" spans="2:16">
      <c r="B553" s="7"/>
      <c r="C553" s="6"/>
      <c r="D553" s="149"/>
      <c r="E553" s="149"/>
      <c r="F553" s="1"/>
      <c r="G553" s="9"/>
      <c r="H553" s="9"/>
      <c r="I553" s="16"/>
      <c r="J553" s="1"/>
      <c r="K553" s="1"/>
      <c r="L553" s="1"/>
      <c r="M553" s="1"/>
      <c r="O553" s="16"/>
      <c r="P553" s="1"/>
    </row>
    <row r="554" spans="2:16">
      <c r="B554" s="7"/>
      <c r="C554" s="6"/>
      <c r="D554" s="149"/>
      <c r="E554" s="149"/>
      <c r="F554" s="1"/>
      <c r="G554" s="9"/>
      <c r="H554" s="9"/>
      <c r="I554" s="16"/>
      <c r="J554" s="1"/>
      <c r="K554" s="1"/>
      <c r="L554" s="1"/>
      <c r="M554" s="1"/>
      <c r="O554" s="16"/>
      <c r="P554" s="1"/>
    </row>
    <row r="555" spans="2:16">
      <c r="B555" s="7"/>
      <c r="C555" s="6"/>
      <c r="D555" s="151"/>
      <c r="E555" s="149"/>
      <c r="F555" s="1"/>
      <c r="G555" s="9"/>
      <c r="H555" s="9"/>
      <c r="I555" s="16"/>
      <c r="J555" s="1"/>
      <c r="K555" s="1"/>
      <c r="L555" s="1"/>
      <c r="M555" s="1"/>
      <c r="O555" s="16"/>
      <c r="P555" s="1"/>
    </row>
    <row r="556" spans="2:16">
      <c r="B556" s="7"/>
      <c r="C556" s="6"/>
      <c r="D556" s="155"/>
      <c r="E556" s="150"/>
      <c r="F556" s="6"/>
      <c r="G556" s="9"/>
      <c r="H556" s="9"/>
      <c r="I556" s="16"/>
      <c r="J556" s="1"/>
      <c r="K556" s="1"/>
      <c r="L556" s="1"/>
      <c r="M556" s="1"/>
      <c r="O556" s="16"/>
      <c r="P556" s="1"/>
    </row>
    <row r="557" spans="2:16">
      <c r="B557" s="7"/>
      <c r="C557" s="6"/>
      <c r="D557" s="148"/>
      <c r="E557" s="148"/>
      <c r="F557" s="1"/>
      <c r="G557" s="9"/>
      <c r="H557" s="9"/>
      <c r="I557" s="16"/>
      <c r="J557" s="1"/>
      <c r="K557" s="1"/>
      <c r="L557" s="1"/>
      <c r="M557" s="1"/>
      <c r="O557" s="16"/>
      <c r="P557" s="1"/>
    </row>
    <row r="558" spans="2:16">
      <c r="B558" s="7"/>
      <c r="C558" s="6"/>
      <c r="D558" s="6"/>
      <c r="E558" s="6"/>
      <c r="F558" s="1"/>
      <c r="G558" s="9"/>
      <c r="H558" s="9"/>
      <c r="I558" s="16"/>
      <c r="J558" s="1"/>
      <c r="K558" s="1"/>
      <c r="L558" s="1"/>
      <c r="M558" s="1"/>
      <c r="N558" s="16"/>
      <c r="O558" s="16"/>
      <c r="P558" s="1"/>
    </row>
    <row r="559" spans="2:16">
      <c r="B559" s="7"/>
      <c r="C559" s="153"/>
      <c r="D559" s="140"/>
      <c r="E559" s="154"/>
      <c r="F559" s="1"/>
      <c r="G559" s="9"/>
      <c r="H559" s="9"/>
      <c r="I559" s="16"/>
      <c r="J559" s="1"/>
      <c r="K559" s="1"/>
      <c r="L559" s="1"/>
      <c r="M559" s="1"/>
      <c r="O559" s="16"/>
      <c r="P559" s="1"/>
    </row>
    <row r="560" spans="2:16">
      <c r="B560" s="7"/>
      <c r="C560" s="6"/>
      <c r="D560" s="149"/>
      <c r="E560" s="149"/>
      <c r="F560" s="1"/>
      <c r="G560" s="9"/>
      <c r="H560" s="9"/>
      <c r="I560" s="16"/>
      <c r="J560" s="1"/>
      <c r="K560" s="1"/>
      <c r="L560" s="1"/>
      <c r="M560" s="1"/>
      <c r="N560" s="16"/>
      <c r="O560" s="16"/>
      <c r="P560" s="1"/>
    </row>
    <row r="561" spans="2:16">
      <c r="B561" s="7"/>
      <c r="C561" s="6"/>
      <c r="D561" s="149"/>
      <c r="E561" s="149"/>
      <c r="F561" s="1"/>
      <c r="G561" s="9"/>
      <c r="H561" s="9"/>
      <c r="I561" s="16"/>
      <c r="J561" s="1"/>
      <c r="K561" s="1"/>
      <c r="L561" s="1"/>
      <c r="M561" s="1"/>
      <c r="N561" s="16"/>
      <c r="O561" s="16"/>
      <c r="P561" s="1"/>
    </row>
    <row r="562" spans="2:16">
      <c r="B562" s="7"/>
      <c r="C562" s="6"/>
      <c r="D562" s="150"/>
      <c r="E562" s="150"/>
      <c r="F562" s="1"/>
      <c r="G562" s="9"/>
      <c r="H562" s="9"/>
      <c r="I562" s="16"/>
      <c r="J562" s="1"/>
      <c r="K562" s="1"/>
      <c r="L562" s="1"/>
      <c r="M562" s="1"/>
      <c r="N562" s="16"/>
      <c r="O562" s="16"/>
      <c r="P562" s="1"/>
    </row>
    <row r="563" spans="2:16">
      <c r="B563" s="7"/>
      <c r="C563" s="6"/>
      <c r="D563" s="149"/>
      <c r="E563" s="149"/>
      <c r="F563" s="1"/>
      <c r="G563" s="9"/>
      <c r="H563" s="9"/>
      <c r="I563" s="16"/>
      <c r="J563" s="1"/>
      <c r="K563" s="1"/>
      <c r="L563" s="1"/>
      <c r="M563" s="1"/>
      <c r="N563" s="16"/>
      <c r="O563" s="16"/>
      <c r="P563" s="1"/>
    </row>
    <row r="564" spans="2:16">
      <c r="B564" s="7"/>
      <c r="C564" s="6"/>
      <c r="D564" s="150"/>
      <c r="E564" s="150"/>
      <c r="F564" s="1"/>
      <c r="G564" s="9"/>
      <c r="H564" s="9"/>
      <c r="I564" s="16"/>
      <c r="J564" s="1"/>
      <c r="K564" s="1"/>
      <c r="L564" s="1"/>
      <c r="M564" s="9"/>
      <c r="O564" s="16"/>
      <c r="P564" s="1"/>
    </row>
    <row r="565" spans="2:16">
      <c r="B565" s="7"/>
      <c r="C565" s="6"/>
      <c r="D565" s="151"/>
      <c r="E565" s="149"/>
      <c r="F565" s="1"/>
      <c r="G565" s="9"/>
      <c r="H565" s="9"/>
      <c r="I565" s="16"/>
      <c r="J565" s="1"/>
      <c r="K565" s="1"/>
      <c r="L565" s="1"/>
      <c r="M565" s="9"/>
      <c r="O565" s="16"/>
      <c r="P565" s="1"/>
    </row>
    <row r="566" spans="2:16">
      <c r="B566" s="7"/>
      <c r="C566" s="6"/>
      <c r="D566" s="150"/>
      <c r="E566" s="149"/>
      <c r="F566" s="1"/>
      <c r="G566" s="9"/>
      <c r="H566" s="9"/>
      <c r="I566" s="16"/>
      <c r="J566" s="1"/>
      <c r="K566" s="1"/>
      <c r="L566" s="1"/>
      <c r="M566" s="9"/>
      <c r="O566" s="16"/>
      <c r="P566" s="1"/>
    </row>
    <row r="567" spans="2:16">
      <c r="B567" s="7"/>
      <c r="C567" s="148"/>
      <c r="D567" s="151"/>
      <c r="E567" s="149"/>
      <c r="F567" s="1"/>
      <c r="G567" s="9"/>
      <c r="H567" s="9"/>
      <c r="I567" s="16"/>
      <c r="J567" s="1"/>
      <c r="K567" s="1"/>
      <c r="L567" s="1"/>
      <c r="M567" s="9"/>
      <c r="O567" s="16"/>
      <c r="P567" s="1"/>
    </row>
    <row r="568" spans="2:16">
      <c r="B568" s="7"/>
      <c r="C568" s="6"/>
      <c r="D568" s="140"/>
      <c r="E568" s="154"/>
      <c r="F568" s="1"/>
      <c r="G568" s="9"/>
      <c r="H568" s="9"/>
      <c r="I568" s="16"/>
      <c r="J568" s="1"/>
      <c r="K568" s="1"/>
      <c r="L568" s="1"/>
      <c r="M568" s="9"/>
      <c r="O568" s="16"/>
      <c r="P568" s="1"/>
    </row>
    <row r="569" spans="2:16">
      <c r="B569" s="7"/>
      <c r="C569" s="6"/>
      <c r="D569" s="149"/>
      <c r="E569" s="149"/>
      <c r="F569" s="1"/>
      <c r="G569" s="9"/>
      <c r="H569" s="9"/>
      <c r="I569" s="16"/>
      <c r="J569" s="1"/>
      <c r="K569" s="1"/>
      <c r="L569" s="1"/>
      <c r="M569" s="9"/>
      <c r="O569" s="16"/>
      <c r="P569" s="1"/>
    </row>
    <row r="570" spans="2:16">
      <c r="B570" s="7"/>
      <c r="C570" s="6"/>
      <c r="D570" s="149"/>
      <c r="E570" s="149"/>
      <c r="F570" s="1"/>
      <c r="G570" s="9"/>
      <c r="H570" s="9"/>
      <c r="I570" s="16"/>
      <c r="J570" s="1"/>
      <c r="K570" s="1"/>
      <c r="L570" s="1"/>
      <c r="M570" s="9"/>
      <c r="O570" s="16"/>
      <c r="P570" s="1"/>
    </row>
    <row r="571" spans="2:16">
      <c r="B571" s="7"/>
      <c r="C571" s="6"/>
      <c r="D571" s="141"/>
      <c r="E571" s="142"/>
      <c r="F571" s="1"/>
      <c r="G571" s="9"/>
      <c r="H571" s="9"/>
      <c r="I571" s="16"/>
      <c r="J571" s="1"/>
      <c r="K571" s="1"/>
      <c r="L571" s="1"/>
      <c r="M571" s="9"/>
      <c r="O571" s="16"/>
      <c r="P571" s="1"/>
    </row>
    <row r="572" spans="2:16">
      <c r="B572" s="7"/>
      <c r="C572" s="6"/>
      <c r="D572" s="150"/>
      <c r="E572" s="150"/>
      <c r="F572" s="1"/>
      <c r="G572" s="9"/>
      <c r="H572" s="9"/>
      <c r="I572" s="16"/>
      <c r="J572" s="1"/>
      <c r="K572" s="1"/>
      <c r="L572" s="1"/>
      <c r="M572" s="9"/>
      <c r="O572" s="16"/>
      <c r="P572" s="1"/>
    </row>
    <row r="573" spans="2:16">
      <c r="B573" s="7"/>
      <c r="C573" s="6"/>
      <c r="D573" s="158"/>
      <c r="E573" s="157"/>
      <c r="F573" s="1"/>
      <c r="G573" s="9"/>
      <c r="H573" s="9"/>
      <c r="I573" s="16"/>
      <c r="J573" s="1"/>
      <c r="K573" s="1"/>
      <c r="L573" s="1"/>
      <c r="M573" s="9"/>
      <c r="O573" s="16"/>
      <c r="P573" s="1"/>
    </row>
    <row r="574" spans="2:16">
      <c r="B574" s="7"/>
      <c r="C574" s="6"/>
      <c r="D574" s="158"/>
      <c r="E574" s="157"/>
      <c r="F574" s="1"/>
      <c r="G574" s="9"/>
      <c r="H574" s="9"/>
      <c r="I574" s="16"/>
      <c r="J574" s="1"/>
      <c r="K574" s="1"/>
      <c r="L574" s="1"/>
      <c r="M574" s="9"/>
      <c r="O574" s="16"/>
      <c r="P574" s="1"/>
    </row>
    <row r="575" spans="2:16">
      <c r="B575" s="7"/>
      <c r="C575" s="6"/>
      <c r="D575" s="158"/>
      <c r="E575" s="157"/>
      <c r="F575" s="1"/>
      <c r="G575" s="9"/>
      <c r="H575" s="9"/>
      <c r="I575" s="16"/>
      <c r="J575" s="1"/>
      <c r="K575" s="1"/>
      <c r="L575" s="1"/>
      <c r="M575" s="9"/>
      <c r="O575" s="16"/>
      <c r="P575" s="1"/>
    </row>
    <row r="576" spans="2:16">
      <c r="B576" s="7"/>
      <c r="C576" s="6"/>
      <c r="D576" s="140"/>
      <c r="E576" s="157"/>
      <c r="F576" s="1"/>
      <c r="G576" s="9"/>
      <c r="H576" s="9"/>
      <c r="I576" s="16"/>
      <c r="J576" s="1"/>
      <c r="K576" s="1"/>
      <c r="L576" s="1"/>
      <c r="M576" s="9"/>
      <c r="O576" s="16"/>
      <c r="P576" s="1"/>
    </row>
    <row r="577" spans="1:16">
      <c r="B577" s="7"/>
      <c r="C577" s="6"/>
      <c r="D577" s="6"/>
      <c r="E577" s="6"/>
      <c r="F577" s="1"/>
      <c r="G577" s="9"/>
      <c r="H577" s="16"/>
      <c r="I577" s="16"/>
      <c r="J577" s="1"/>
      <c r="K577" s="1"/>
      <c r="L577" s="1"/>
      <c r="M577" s="1"/>
      <c r="O577" s="16">
        <f t="shared" ref="O577:O584" si="0">IFERROR(I577-N577,0)</f>
        <v>0</v>
      </c>
      <c r="P577" s="1"/>
    </row>
    <row r="578" spans="1:16">
      <c r="B578" s="7"/>
      <c r="C578" s="6"/>
      <c r="D578" s="6"/>
      <c r="E578" s="6"/>
      <c r="F578" s="1"/>
      <c r="G578" s="9"/>
      <c r="H578" s="16"/>
      <c r="I578" s="16"/>
      <c r="J578" s="1"/>
      <c r="K578" s="1"/>
      <c r="L578" s="1"/>
      <c r="M578" s="1"/>
      <c r="O578" s="16">
        <f t="shared" si="0"/>
        <v>0</v>
      </c>
      <c r="P578" s="1"/>
    </row>
    <row r="579" spans="1:16">
      <c r="B579" s="7"/>
      <c r="C579" s="6"/>
      <c r="D579" s="6"/>
      <c r="E579" s="6"/>
      <c r="F579" s="1"/>
      <c r="G579" s="9"/>
      <c r="H579" s="16"/>
      <c r="I579" s="16"/>
      <c r="J579" s="1"/>
      <c r="K579" s="1"/>
      <c r="L579" s="1"/>
      <c r="M579" s="1"/>
      <c r="O579" s="16">
        <f t="shared" si="0"/>
        <v>0</v>
      </c>
      <c r="P579" s="1"/>
    </row>
    <row r="580" spans="1:16">
      <c r="B580" s="7"/>
      <c r="C580" s="6"/>
      <c r="D580" s="6"/>
      <c r="E580" s="6"/>
      <c r="F580" s="1"/>
      <c r="G580" s="9"/>
      <c r="H580" s="16"/>
      <c r="I580" s="16"/>
      <c r="J580" s="1"/>
      <c r="K580" s="1"/>
      <c r="L580" s="1"/>
      <c r="M580" s="1"/>
      <c r="O580" s="16">
        <f t="shared" si="0"/>
        <v>0</v>
      </c>
      <c r="P580" s="1"/>
    </row>
    <row r="581" spans="1:16">
      <c r="B581" s="7"/>
      <c r="C581" s="6"/>
      <c r="D581" s="6"/>
      <c r="E581" s="6"/>
      <c r="F581" s="1"/>
      <c r="G581" s="9"/>
      <c r="H581" s="16"/>
      <c r="I581" s="16"/>
      <c r="J581" s="1"/>
      <c r="K581" s="1"/>
      <c r="L581" s="1"/>
      <c r="M581" s="1"/>
      <c r="O581" s="16">
        <f t="shared" si="0"/>
        <v>0</v>
      </c>
      <c r="P581" s="1"/>
    </row>
    <row r="582" spans="1:16">
      <c r="B582" s="7"/>
      <c r="C582" s="6"/>
      <c r="D582" s="6"/>
      <c r="E582" s="6"/>
      <c r="F582" s="1"/>
      <c r="G582" s="9"/>
      <c r="H582" s="16"/>
      <c r="I582" s="16"/>
      <c r="J582" s="1"/>
      <c r="K582" s="1"/>
      <c r="L582" s="1"/>
      <c r="M582" s="1"/>
      <c r="O582" s="16">
        <f t="shared" si="0"/>
        <v>0</v>
      </c>
      <c r="P582" s="1"/>
    </row>
    <row r="583" spans="1:16">
      <c r="B583" s="7"/>
      <c r="C583" s="6"/>
      <c r="D583" s="6"/>
      <c r="E583" s="6"/>
      <c r="F583" s="1"/>
      <c r="G583" s="9"/>
      <c r="H583" s="16"/>
      <c r="I583" s="16"/>
      <c r="J583" s="1"/>
      <c r="K583" s="1"/>
      <c r="L583" s="1"/>
      <c r="M583" s="1"/>
      <c r="O583" s="16">
        <f t="shared" si="0"/>
        <v>0</v>
      </c>
      <c r="P583" s="1"/>
    </row>
    <row r="584" spans="1:16">
      <c r="B584" s="7"/>
      <c r="C584" s="6"/>
      <c r="D584" s="6"/>
      <c r="E584" s="6"/>
      <c r="F584" s="1"/>
      <c r="G584" s="9"/>
      <c r="H584" s="16"/>
      <c r="I584" s="16"/>
      <c r="J584" s="1"/>
      <c r="K584" s="1"/>
      <c r="L584" s="1"/>
      <c r="M584" s="1"/>
      <c r="O584" s="16">
        <f t="shared" si="0"/>
        <v>0</v>
      </c>
      <c r="P584" s="1"/>
    </row>
    <row r="585" spans="1:16">
      <c r="A585" s="156"/>
      <c r="B585" s="7"/>
      <c r="C585" s="6"/>
      <c r="D585" s="6"/>
      <c r="E585" s="6"/>
      <c r="F585" s="1"/>
      <c r="G585" s="9"/>
      <c r="H585" s="16"/>
      <c r="I585" s="16"/>
      <c r="J585" s="1"/>
      <c r="K585" s="1"/>
      <c r="L585" s="1"/>
      <c r="M585" s="1"/>
      <c r="N585" s="16"/>
      <c r="O585" s="16"/>
      <c r="P585" s="1"/>
    </row>
    <row r="586" spans="1:16">
      <c r="A586" s="156" t="str">
        <f>IF(N586="","",N586)</f>
        <v/>
      </c>
      <c r="B586" s="7"/>
      <c r="C586" s="6"/>
      <c r="D586" s="6"/>
      <c r="E586" s="6"/>
      <c r="F586" s="1"/>
      <c r="G586" s="9"/>
      <c r="H586" s="9"/>
      <c r="I586" s="16"/>
      <c r="J586" s="1"/>
      <c r="K586" s="1"/>
      <c r="L586" s="1"/>
      <c r="M586" s="1"/>
      <c r="O586" s="16"/>
    </row>
    <row r="587" spans="1:16">
      <c r="B587" s="7"/>
      <c r="C587" s="6"/>
      <c r="D587" s="6"/>
      <c r="E587" s="6"/>
      <c r="F587" s="1"/>
      <c r="G587" s="9"/>
      <c r="H587" s="9"/>
      <c r="I587" s="16"/>
      <c r="J587" s="1"/>
      <c r="K587" s="1"/>
      <c r="L587" s="1"/>
      <c r="M587" s="1"/>
      <c r="O587" s="16"/>
    </row>
    <row r="588" spans="1:16">
      <c r="B588" s="7"/>
      <c r="C588" s="6"/>
      <c r="D588" s="6"/>
      <c r="E588" s="6"/>
      <c r="F588" s="1"/>
      <c r="G588" s="9"/>
      <c r="H588" s="9"/>
      <c r="I588" s="16"/>
      <c r="J588" s="1"/>
      <c r="K588" s="1"/>
      <c r="L588" s="1"/>
      <c r="M588" s="1"/>
      <c r="O588" s="16"/>
    </row>
    <row r="589" spans="1:16">
      <c r="B589" s="7"/>
      <c r="C589" s="6"/>
      <c r="D589" s="6"/>
      <c r="E589" s="6"/>
      <c r="F589" s="1"/>
      <c r="G589" s="9"/>
      <c r="H589" s="9"/>
      <c r="I589" s="16"/>
      <c r="J589" s="1"/>
      <c r="K589" s="1"/>
      <c r="L589" s="1"/>
      <c r="M589" s="1"/>
      <c r="O589" s="16"/>
    </row>
    <row r="590" spans="1:16">
      <c r="B590" s="7"/>
      <c r="C590" s="6"/>
      <c r="D590" s="6"/>
      <c r="E590" s="6"/>
      <c r="F590" s="1"/>
      <c r="G590" s="9"/>
      <c r="H590" s="9"/>
      <c r="I590" s="16"/>
      <c r="J590" s="1"/>
      <c r="K590" s="1"/>
      <c r="L590" s="1"/>
      <c r="M590" s="1"/>
      <c r="O590" s="16"/>
    </row>
    <row r="591" spans="1:16">
      <c r="B591" s="7"/>
      <c r="C591" s="6"/>
      <c r="D591" s="6"/>
      <c r="E591" s="6"/>
      <c r="F591" s="1"/>
      <c r="G591" s="9"/>
      <c r="H591" s="9"/>
      <c r="I591" s="16"/>
      <c r="J591" s="1"/>
      <c r="K591" s="1"/>
      <c r="L591" s="1"/>
      <c r="M591" s="1"/>
      <c r="O591" s="16"/>
    </row>
    <row r="592" spans="1:16">
      <c r="B592" s="7"/>
      <c r="C592" s="6"/>
      <c r="D592" s="6"/>
      <c r="E592" s="6"/>
      <c r="F592" s="1"/>
      <c r="G592" s="9"/>
      <c r="H592" s="9"/>
      <c r="I592" s="16"/>
      <c r="J592" s="1"/>
      <c r="K592" s="1"/>
      <c r="L592" s="1"/>
      <c r="M592" s="1"/>
      <c r="O592" s="16"/>
    </row>
    <row r="593" spans="2:15">
      <c r="B593" s="7"/>
      <c r="C593" s="6"/>
      <c r="D593" s="6"/>
      <c r="E593" s="6"/>
      <c r="F593" s="1"/>
      <c r="G593" s="9"/>
      <c r="H593" s="9"/>
      <c r="I593" s="16"/>
      <c r="J593" s="1"/>
      <c r="K593" s="1"/>
      <c r="L593" s="1"/>
      <c r="M593" s="1"/>
      <c r="O593" s="16"/>
    </row>
    <row r="594" spans="2:15">
      <c r="B594" s="7"/>
      <c r="C594" s="6"/>
      <c r="D594" s="6"/>
      <c r="E594" s="6"/>
      <c r="F594" s="1"/>
      <c r="G594" s="9"/>
      <c r="H594" s="9"/>
      <c r="I594" s="16"/>
      <c r="J594" s="1"/>
      <c r="K594" s="1"/>
      <c r="L594" s="1"/>
      <c r="M594" s="1"/>
      <c r="O594" s="16"/>
    </row>
    <row r="595" spans="2:15">
      <c r="B595" s="7"/>
      <c r="C595" s="6"/>
      <c r="D595" s="6"/>
      <c r="E595" s="6"/>
      <c r="F595" s="1"/>
      <c r="G595" s="9"/>
      <c r="H595" s="9"/>
      <c r="I595" s="16"/>
      <c r="J595" s="1"/>
      <c r="K595" s="1"/>
      <c r="L595" s="1"/>
      <c r="M595" s="1"/>
      <c r="O595" s="16"/>
    </row>
    <row r="596" spans="2:15">
      <c r="B596" s="7"/>
      <c r="C596" s="6"/>
      <c r="D596" s="6"/>
      <c r="E596" s="6"/>
      <c r="F596" s="1"/>
      <c r="G596" s="9"/>
      <c r="H596" s="9"/>
      <c r="I596" s="16"/>
      <c r="J596" s="1"/>
      <c r="K596" s="1"/>
      <c r="L596" s="1"/>
      <c r="M596" s="1"/>
      <c r="O596" s="16"/>
    </row>
    <row r="597" spans="2:15">
      <c r="B597" s="7"/>
      <c r="C597" s="6"/>
      <c r="D597" s="6"/>
      <c r="E597" s="6"/>
      <c r="F597" s="1"/>
      <c r="G597" s="9"/>
      <c r="H597" s="9"/>
      <c r="I597" s="16"/>
      <c r="J597" s="1"/>
      <c r="K597" s="1"/>
      <c r="L597" s="1"/>
      <c r="M597" s="1"/>
      <c r="O597" s="16"/>
    </row>
    <row r="598" spans="2:15">
      <c r="B598" s="7"/>
      <c r="C598" s="6"/>
      <c r="D598" s="6"/>
      <c r="E598" s="6"/>
      <c r="F598" s="1"/>
      <c r="G598" s="9"/>
      <c r="H598" s="9"/>
      <c r="I598" s="16"/>
      <c r="J598" s="1"/>
      <c r="K598" s="1"/>
      <c r="L598" s="1"/>
      <c r="M598" s="1"/>
      <c r="O598" s="16"/>
    </row>
  </sheetData>
  <autoFilter ref="A586" xr:uid="{D84E34C9-DB50-470B-8C75-7D24079FC739}"/>
  <conditionalFormatting sqref="A585">
    <cfRule type="duplicateValues" dxfId="518" priority="91"/>
  </conditionalFormatting>
  <conditionalFormatting sqref="A586">
    <cfRule type="duplicateValues" dxfId="517" priority="11"/>
  </conditionalFormatting>
  <conditionalFormatting sqref="C177">
    <cfRule type="cellIs" dxfId="516" priority="41" operator="equal">
      <formula>"CANCELADO"</formula>
    </cfRule>
  </conditionalFormatting>
  <conditionalFormatting sqref="C180">
    <cfRule type="cellIs" dxfId="515" priority="40" operator="equal">
      <formula>"CANCELADO"</formula>
    </cfRule>
  </conditionalFormatting>
  <conditionalFormatting sqref="C184">
    <cfRule type="cellIs" dxfId="514" priority="39" operator="equal">
      <formula>"CANCELADO"</formula>
    </cfRule>
  </conditionalFormatting>
  <conditionalFormatting sqref="C200">
    <cfRule type="cellIs" dxfId="513" priority="38" operator="equal">
      <formula>"CANCELADO"</formula>
    </cfRule>
  </conditionalFormatting>
  <conditionalFormatting sqref="C243">
    <cfRule type="cellIs" dxfId="512" priority="36" operator="equal">
      <formula>"CANCELADO"</formula>
    </cfRule>
  </conditionalFormatting>
  <conditionalFormatting sqref="C252">
    <cfRule type="cellIs" dxfId="511" priority="33" operator="equal">
      <formula>"CANCELADO"</formula>
    </cfRule>
  </conditionalFormatting>
  <conditionalFormatting sqref="C285">
    <cfRule type="cellIs" dxfId="510" priority="32" operator="equal">
      <formula>"CANCELADO"</formula>
    </cfRule>
  </conditionalFormatting>
  <conditionalFormatting sqref="C323">
    <cfRule type="cellIs" dxfId="509" priority="31" operator="equal">
      <formula>"CANCELADO"</formula>
    </cfRule>
  </conditionalFormatting>
  <conditionalFormatting sqref="C341">
    <cfRule type="cellIs" dxfId="508" priority="29" operator="equal">
      <formula>"CANCELADO"</formula>
    </cfRule>
  </conditionalFormatting>
  <conditionalFormatting sqref="C343">
    <cfRule type="cellIs" dxfId="507" priority="28" operator="equal">
      <formula>"CANCELADO"</formula>
    </cfRule>
  </conditionalFormatting>
  <conditionalFormatting sqref="C345">
    <cfRule type="cellIs" dxfId="506" priority="26" operator="equal">
      <formula>"CANCELADO"</formula>
    </cfRule>
  </conditionalFormatting>
  <conditionalFormatting sqref="C415">
    <cfRule type="cellIs" dxfId="505" priority="23" operator="equal">
      <formula>"CANCELADO"</formula>
    </cfRule>
  </conditionalFormatting>
  <conditionalFormatting sqref="C458">
    <cfRule type="cellIs" dxfId="504" priority="22" operator="equal">
      <formula>"CANCELADO"</formula>
    </cfRule>
  </conditionalFormatting>
  <conditionalFormatting sqref="C485">
    <cfRule type="cellIs" dxfId="503" priority="21" operator="equal">
      <formula>"CANCELADO"</formula>
    </cfRule>
  </conditionalFormatting>
  <conditionalFormatting sqref="C500">
    <cfRule type="cellIs" dxfId="502" priority="18" operator="equal">
      <formula>"CANCELADO"</formula>
    </cfRule>
  </conditionalFormatting>
  <conditionalFormatting sqref="C546">
    <cfRule type="cellIs" dxfId="501" priority="14" operator="equal">
      <formula>"CANCELADO"</formula>
    </cfRule>
  </conditionalFormatting>
  <conditionalFormatting sqref="C550">
    <cfRule type="cellIs" dxfId="500" priority="12" operator="equal">
      <formula>"CANCELADO"</formula>
    </cfRule>
  </conditionalFormatting>
  <conditionalFormatting sqref="C559">
    <cfRule type="cellIs" dxfId="499" priority="13" operator="equal">
      <formula>"CANCELADO"</formula>
    </cfRule>
  </conditionalFormatting>
  <conditionalFormatting sqref="C567">
    <cfRule type="cellIs" dxfId="498" priority="9" operator="equal">
      <formula>"CANCELADO"</formula>
    </cfRule>
  </conditionalFormatting>
  <conditionalFormatting sqref="E569:E576">
    <cfRule type="cellIs" dxfId="497" priority="1" operator="equal">
      <formula>"Interior"</formula>
    </cfRule>
  </conditionalFormatting>
  <conditionalFormatting sqref="L539:L568 L569:M598">
    <cfRule type="cellIs" dxfId="496" priority="15" operator="equal">
      <formula>"LANÇADO"</formula>
    </cfRule>
    <cfRule type="cellIs" dxfId="495" priority="16" operator="equal">
      <formula>"PENDENTE"</formula>
    </cfRule>
  </conditionalFormatting>
  <conditionalFormatting sqref="L3:M538">
    <cfRule type="cellIs" dxfId="494" priority="19" operator="equal">
      <formula>"LANÇADO"</formula>
    </cfRule>
    <cfRule type="cellIs" dxfId="493" priority="20" operator="equal">
      <formula>"PENDENTE"</formula>
    </cfRule>
  </conditionalFormatting>
  <conditionalFormatting sqref="M539:M568">
    <cfRule type="cellIs" dxfId="492" priority="43" operator="equal">
      <formula>"LANÇADO"</formula>
    </cfRule>
    <cfRule type="cellIs" dxfId="491" priority="44" operator="equal">
      <formula>"PENDENTE"</formula>
    </cfRule>
  </conditionalFormatting>
  <conditionalFormatting sqref="O1:O13 O15:O177 O179:O184 O186 O188:O196 O199 O202:O216 O218:O566 O568:O598">
    <cfRule type="cellIs" dxfId="490" priority="42" operator="lessThan">
      <formula>0</formula>
    </cfRule>
  </conditionalFormatting>
  <dataValidations count="6">
    <dataValidation type="list" allowBlank="1" showInputMessage="1" showErrorMessage="1" sqref="J3 J500:J530" xr:uid="{FD0594BB-3DBB-46C6-8AF6-70E063822425}">
      <formula1>"PENDENTE,OK,ISENTO"</formula1>
    </dataValidation>
    <dataValidation type="list" allowBlank="1" showInputMessage="1" showErrorMessage="1" sqref="K3 K500:K530" xr:uid="{C22AAD73-E685-44AF-8749-B40C8E93044E}">
      <formula1>"PENDENTE,ANEXADO,ISENTO"</formula1>
    </dataValidation>
    <dataValidation allowBlank="1" showInputMessage="1" showErrorMessage="1" sqref="N3:N25 I14 O14 N27:N46 N48:N50 N52:N54 M1:M584 M586:M1048576" xr:uid="{C10155BF-4574-4402-B650-1CD91F92C973}"/>
    <dataValidation type="list" allowBlank="1" showInputMessage="1" showErrorMessage="1" sqref="L3:L584" xr:uid="{89F2024E-EB21-4710-AF0A-168FAD32DB3B}">
      <formula1>"LANÇADO,PENDENTE"</formula1>
    </dataValidation>
    <dataValidation type="list" allowBlank="1" showInputMessage="1" showErrorMessage="1" sqref="J4:J377 J379:J383" xr:uid="{F79A36CF-1C3A-4734-844F-BE57C8CFCFB5}">
      <formula1>"PENDENTE,OK"</formula1>
    </dataValidation>
    <dataValidation type="list" allowBlank="1" showInputMessage="1" showErrorMessage="1" sqref="K4:K377 K379:K384" xr:uid="{9B75DD8D-2385-4635-91AD-B52826F126BB}">
      <formula1>"PENDENTE,ANEXADO"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808B-BB6A-40B0-9C12-8F11DDFDC2C6}">
  <dimension ref="A1:P607"/>
  <sheetViews>
    <sheetView showGridLines="0" topLeftCell="D1" zoomScale="80" zoomScaleNormal="80" workbookViewId="0">
      <pane ySplit="2" topLeftCell="A3" activePane="bottomLeft" state="frozen"/>
      <selection pane="bottomLeft" activeCell="N18" sqref="N18"/>
    </sheetView>
  </sheetViews>
  <sheetFormatPr defaultRowHeight="15"/>
  <cols>
    <col min="1" max="1" width="16.42578125" style="1" customWidth="1"/>
    <col min="2" max="2" width="13.5703125" bestFit="1" customWidth="1"/>
    <col min="3" max="3" width="30.5703125" bestFit="1" customWidth="1"/>
    <col min="4" max="4" width="34.85546875" bestFit="1" customWidth="1"/>
    <col min="5" max="5" width="22" bestFit="1" customWidth="1"/>
    <col min="6" max="6" width="28.42578125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32" style="147" customWidth="1"/>
    <col min="15" max="15" width="14.5703125" customWidth="1"/>
    <col min="16" max="16" width="14.42578125" customWidth="1"/>
  </cols>
  <sheetData>
    <row r="1" spans="1:16">
      <c r="N1" s="147">
        <f>SUBTOTAL(9,Tabela138[Match_Planilha])</f>
        <v>0</v>
      </c>
      <c r="O1" s="15">
        <f>SUBTOTAL(9,O3:O606)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116" t="s">
        <v>318</v>
      </c>
      <c r="B3" s="7">
        <v>45474</v>
      </c>
      <c r="C3" s="95" t="s">
        <v>319</v>
      </c>
      <c r="D3" s="105"/>
      <c r="E3" s="106"/>
      <c r="F3" s="1"/>
      <c r="G3" s="9"/>
      <c r="H3" s="9"/>
      <c r="I3" s="5"/>
      <c r="J3" s="1"/>
      <c r="K3" s="1"/>
      <c r="L3" s="1"/>
      <c r="M3" s="10"/>
      <c r="N3" s="145"/>
      <c r="O3" s="16">
        <f t="shared" ref="O3:O8" si="0">IFERROR(I3-N3,0)</f>
        <v>0</v>
      </c>
      <c r="P3" s="1"/>
    </row>
    <row r="4" spans="1:16">
      <c r="A4" s="6">
        <v>18046422</v>
      </c>
      <c r="B4" s="7">
        <v>45474</v>
      </c>
      <c r="C4" s="6" t="s">
        <v>320</v>
      </c>
      <c r="D4" s="105"/>
      <c r="E4" s="106"/>
      <c r="F4" s="1"/>
      <c r="G4" s="9"/>
      <c r="H4" s="9"/>
      <c r="I4" s="5"/>
      <c r="J4" s="1"/>
      <c r="K4" s="1"/>
      <c r="L4" s="1"/>
      <c r="M4" s="10"/>
      <c r="N4" s="145"/>
      <c r="O4" s="16">
        <f t="shared" si="0"/>
        <v>0</v>
      </c>
      <c r="P4" s="1"/>
    </row>
    <row r="5" spans="1:16">
      <c r="A5" s="6" t="s">
        <v>321</v>
      </c>
      <c r="B5" s="7">
        <v>45474</v>
      </c>
      <c r="C5" s="6" t="s">
        <v>322</v>
      </c>
      <c r="D5" s="105"/>
      <c r="E5" s="106"/>
      <c r="F5" s="1"/>
      <c r="G5" s="9"/>
      <c r="H5" s="9"/>
      <c r="I5" s="5"/>
      <c r="J5" s="1"/>
      <c r="K5" s="1"/>
      <c r="L5" s="1"/>
      <c r="M5" s="10"/>
      <c r="N5" s="145"/>
      <c r="O5" s="16">
        <f t="shared" si="0"/>
        <v>0</v>
      </c>
      <c r="P5" s="1"/>
    </row>
    <row r="6" spans="1:16">
      <c r="A6" s="6" t="s">
        <v>323</v>
      </c>
      <c r="B6" s="7">
        <v>45474</v>
      </c>
      <c r="C6" s="6" t="s">
        <v>324</v>
      </c>
      <c r="D6" s="105"/>
      <c r="E6" s="106"/>
      <c r="F6" s="1"/>
      <c r="G6" s="9"/>
      <c r="H6" s="9"/>
      <c r="I6" s="5"/>
      <c r="J6" s="1"/>
      <c r="K6" s="1"/>
      <c r="L6" s="1"/>
      <c r="M6" s="10"/>
      <c r="N6" s="145"/>
      <c r="O6" s="16">
        <f t="shared" si="0"/>
        <v>0</v>
      </c>
      <c r="P6" s="1"/>
    </row>
    <row r="7" spans="1:16">
      <c r="A7" s="6" t="s">
        <v>325</v>
      </c>
      <c r="B7" s="7">
        <v>45474</v>
      </c>
      <c r="C7" s="6" t="s">
        <v>326</v>
      </c>
      <c r="D7" s="105"/>
      <c r="E7" s="106"/>
      <c r="F7" s="1"/>
      <c r="G7" s="9"/>
      <c r="H7" s="9"/>
      <c r="I7" s="5"/>
      <c r="J7" s="1"/>
      <c r="K7" s="1"/>
      <c r="L7" s="1"/>
      <c r="M7" s="10"/>
      <c r="N7" s="145"/>
      <c r="O7" s="16">
        <f t="shared" si="0"/>
        <v>0</v>
      </c>
      <c r="P7" s="1"/>
    </row>
    <row r="8" spans="1:16">
      <c r="A8" s="116" t="s">
        <v>327</v>
      </c>
      <c r="B8" s="7">
        <v>45474</v>
      </c>
      <c r="C8" s="6" t="s">
        <v>328</v>
      </c>
      <c r="D8" s="117"/>
      <c r="E8" s="105"/>
      <c r="F8" s="1"/>
      <c r="G8" s="9"/>
      <c r="H8" s="9"/>
      <c r="I8" s="5"/>
      <c r="J8" s="1"/>
      <c r="K8" s="1"/>
      <c r="L8" s="1"/>
      <c r="M8" s="10"/>
      <c r="N8" s="145"/>
      <c r="O8" s="16">
        <f t="shared" si="0"/>
        <v>0</v>
      </c>
      <c r="P8" s="1"/>
    </row>
    <row r="9" spans="1:16">
      <c r="A9" s="6"/>
      <c r="B9" s="7"/>
      <c r="C9" s="6"/>
      <c r="D9" s="105"/>
      <c r="E9" s="106"/>
      <c r="F9" s="1"/>
      <c r="G9" s="9"/>
      <c r="H9" s="9"/>
      <c r="I9" s="5"/>
      <c r="J9" s="1"/>
      <c r="K9" s="1"/>
      <c r="L9" s="1"/>
      <c r="M9" s="10"/>
      <c r="N9" s="145"/>
      <c r="O9" s="16"/>
      <c r="P9" s="1"/>
    </row>
    <row r="10" spans="1:16">
      <c r="A10" s="6"/>
      <c r="B10" s="7"/>
      <c r="C10" s="6"/>
      <c r="D10" s="119"/>
      <c r="E10" s="120"/>
      <c r="F10" s="1"/>
      <c r="G10" s="9"/>
      <c r="H10" s="9"/>
      <c r="I10" s="5"/>
      <c r="J10" s="1"/>
      <c r="K10" s="1"/>
      <c r="L10" s="1"/>
      <c r="M10" s="10"/>
      <c r="N10" s="145"/>
      <c r="O10" s="16"/>
      <c r="P10" s="1"/>
    </row>
    <row r="11" spans="1:16">
      <c r="A11" s="6"/>
      <c r="B11" s="7"/>
      <c r="C11" s="6"/>
      <c r="D11" s="123"/>
      <c r="E11" s="124"/>
      <c r="F11" s="1"/>
      <c r="G11" s="9"/>
      <c r="H11" s="9"/>
      <c r="I11" s="5"/>
      <c r="J11" s="1"/>
      <c r="K11" s="1"/>
      <c r="L11" s="1"/>
      <c r="M11" s="10"/>
      <c r="N11" s="145"/>
      <c r="O11" s="16"/>
      <c r="P11" s="1"/>
    </row>
    <row r="12" spans="1:16">
      <c r="A12" s="6"/>
      <c r="B12" s="7"/>
      <c r="C12" s="6"/>
      <c r="D12" s="123"/>
      <c r="E12" s="124"/>
      <c r="F12" s="1"/>
      <c r="G12" s="9"/>
      <c r="H12" s="9"/>
      <c r="I12" s="5"/>
      <c r="J12" s="1"/>
      <c r="K12" s="1"/>
      <c r="L12" s="1"/>
      <c r="M12" s="10"/>
      <c r="N12" s="145"/>
      <c r="O12" s="16"/>
      <c r="P12" s="1"/>
    </row>
    <row r="13" spans="1:16">
      <c r="A13" s="6"/>
      <c r="B13" s="7"/>
      <c r="C13" s="6"/>
      <c r="D13" s="123"/>
      <c r="E13" s="124"/>
      <c r="F13" s="1"/>
      <c r="G13" s="9"/>
      <c r="H13" s="9"/>
      <c r="I13" s="5"/>
      <c r="J13" s="1"/>
      <c r="K13" s="1"/>
      <c r="L13" s="1"/>
      <c r="M13" s="10"/>
      <c r="N13" s="145"/>
      <c r="O13" s="16"/>
      <c r="P13" s="1"/>
    </row>
    <row r="14" spans="1:16">
      <c r="A14" s="6"/>
      <c r="B14" s="7"/>
      <c r="C14" s="6"/>
      <c r="D14" s="123"/>
      <c r="E14" s="124"/>
      <c r="F14" s="1"/>
      <c r="G14" s="9"/>
      <c r="H14" s="9"/>
      <c r="I14" s="5"/>
      <c r="J14" s="1"/>
      <c r="K14" s="1"/>
      <c r="L14" s="1"/>
      <c r="M14" s="10"/>
      <c r="N14" s="145"/>
      <c r="O14" s="16"/>
      <c r="P14" s="1"/>
    </row>
    <row r="15" spans="1:16">
      <c r="A15" s="6"/>
      <c r="B15" s="7"/>
      <c r="C15" s="6"/>
      <c r="D15" s="123"/>
      <c r="E15" s="124"/>
      <c r="F15" s="1"/>
      <c r="G15" s="9"/>
      <c r="H15" s="9"/>
      <c r="I15" s="5"/>
      <c r="J15" s="1"/>
      <c r="K15" s="1"/>
      <c r="L15" s="1"/>
      <c r="M15" s="10"/>
      <c r="N15" s="145"/>
      <c r="O15" s="16"/>
      <c r="P15" s="1"/>
    </row>
    <row r="16" spans="1:16">
      <c r="A16" s="6"/>
      <c r="B16" s="7"/>
      <c r="C16" s="6"/>
      <c r="D16" s="123"/>
      <c r="E16" s="124"/>
      <c r="F16" s="1"/>
      <c r="G16" s="9"/>
      <c r="H16" s="9"/>
      <c r="I16" s="5"/>
      <c r="J16" s="1"/>
      <c r="K16" s="1"/>
      <c r="L16" s="1"/>
      <c r="M16" s="10"/>
      <c r="N16" s="145"/>
      <c r="O16" s="16"/>
      <c r="P16" s="1"/>
    </row>
    <row r="17" spans="1:16">
      <c r="A17" s="6"/>
      <c r="B17" s="7"/>
      <c r="C17" s="6"/>
      <c r="D17" s="123"/>
      <c r="E17" s="124"/>
      <c r="F17" s="1"/>
      <c r="G17" s="9"/>
      <c r="H17" s="9"/>
      <c r="I17" s="5"/>
      <c r="J17" s="1"/>
      <c r="K17" s="1"/>
      <c r="L17" s="1"/>
      <c r="M17" s="10"/>
      <c r="N17" s="145"/>
      <c r="O17" s="16"/>
      <c r="P17" s="1"/>
    </row>
    <row r="18" spans="1:16">
      <c r="A18" s="6"/>
      <c r="B18" s="7"/>
      <c r="C18" s="6"/>
      <c r="D18" s="123"/>
      <c r="E18" s="124"/>
      <c r="F18" s="1"/>
      <c r="G18" s="9"/>
      <c r="H18" s="9"/>
      <c r="I18" s="5"/>
      <c r="J18" s="1"/>
      <c r="K18" s="1"/>
      <c r="L18" s="1"/>
      <c r="M18" s="10"/>
      <c r="N18" s="145"/>
      <c r="O18" s="16"/>
      <c r="P18" s="1"/>
    </row>
    <row r="19" spans="1:16">
      <c r="A19" s="6"/>
      <c r="B19" s="7"/>
      <c r="C19" s="6"/>
      <c r="D19" s="123"/>
      <c r="E19" s="124"/>
      <c r="F19" s="1"/>
      <c r="G19" s="9"/>
      <c r="H19" s="9"/>
      <c r="I19" s="5"/>
      <c r="J19" s="1"/>
      <c r="K19" s="1"/>
      <c r="L19" s="1"/>
      <c r="M19" s="10"/>
      <c r="N19" s="145"/>
      <c r="O19" s="16"/>
      <c r="P19" s="1"/>
    </row>
    <row r="20" spans="1:16">
      <c r="A20" s="6"/>
      <c r="B20" s="7"/>
      <c r="C20" s="6"/>
      <c r="D20" s="123"/>
      <c r="E20" s="124"/>
      <c r="F20" s="1"/>
      <c r="G20" s="9"/>
      <c r="H20" s="9"/>
      <c r="I20" s="5"/>
      <c r="J20" s="1"/>
      <c r="K20" s="1"/>
      <c r="L20" s="1"/>
      <c r="M20" s="10"/>
      <c r="N20" s="145"/>
      <c r="O20" s="16"/>
      <c r="P20" s="1"/>
    </row>
    <row r="21" spans="1:16">
      <c r="A21" s="6"/>
      <c r="B21" s="7"/>
      <c r="C21" s="6"/>
      <c r="D21" s="123"/>
      <c r="E21" s="124"/>
      <c r="F21" s="1"/>
      <c r="G21" s="9"/>
      <c r="H21" s="9"/>
      <c r="I21" s="5"/>
      <c r="J21" s="1"/>
      <c r="K21" s="1"/>
      <c r="L21" s="1"/>
      <c r="M21" s="10"/>
      <c r="N21" s="145"/>
      <c r="O21" s="16"/>
      <c r="P21" s="1"/>
    </row>
    <row r="22" spans="1:16">
      <c r="A22" s="6"/>
      <c r="B22" s="7"/>
      <c r="C22" s="6"/>
      <c r="D22" s="123"/>
      <c r="E22" s="124"/>
      <c r="F22" s="1"/>
      <c r="G22" s="9"/>
      <c r="H22" s="9"/>
      <c r="I22" s="5"/>
      <c r="J22" s="1"/>
      <c r="K22" s="1"/>
      <c r="L22" s="1"/>
      <c r="M22" s="10"/>
      <c r="N22" s="145"/>
      <c r="O22" s="16"/>
      <c r="P22" s="1"/>
    </row>
    <row r="23" spans="1:16">
      <c r="A23" s="6"/>
      <c r="B23" s="7"/>
      <c r="C23" s="6"/>
      <c r="D23" s="123"/>
      <c r="E23" s="124"/>
      <c r="F23" s="1"/>
      <c r="G23" s="9"/>
      <c r="H23" s="9"/>
      <c r="I23" s="5"/>
      <c r="J23" s="1"/>
      <c r="K23" s="1"/>
      <c r="L23" s="1"/>
      <c r="M23" s="10"/>
      <c r="N23" s="145"/>
      <c r="O23" s="16"/>
      <c r="P23" s="1"/>
    </row>
    <row r="24" spans="1:16">
      <c r="A24" s="6"/>
      <c r="B24" s="7"/>
      <c r="C24" s="6"/>
      <c r="D24" s="123"/>
      <c r="E24" s="124"/>
      <c r="F24" s="1"/>
      <c r="G24" s="9"/>
      <c r="H24" s="9"/>
      <c r="I24" s="5"/>
      <c r="J24" s="1"/>
      <c r="K24" s="1"/>
      <c r="L24" s="1"/>
      <c r="M24" s="10"/>
      <c r="N24" s="145"/>
      <c r="O24" s="16"/>
      <c r="P24" s="1"/>
    </row>
    <row r="25" spans="1:16">
      <c r="A25" s="6"/>
      <c r="B25" s="7"/>
      <c r="C25" s="6"/>
      <c r="D25" s="123"/>
      <c r="E25" s="124"/>
      <c r="F25" s="1"/>
      <c r="G25" s="9"/>
      <c r="H25" s="9"/>
      <c r="I25" s="5"/>
      <c r="J25" s="1"/>
      <c r="K25" s="1"/>
      <c r="L25" s="1"/>
      <c r="M25" s="10"/>
      <c r="N25" s="145"/>
      <c r="O25" s="16"/>
      <c r="P25" s="1"/>
    </row>
    <row r="26" spans="1:16">
      <c r="A26" s="6"/>
      <c r="B26" s="7"/>
      <c r="C26" s="122"/>
      <c r="D26" s="125"/>
      <c r="E26" s="126"/>
      <c r="F26" s="1"/>
      <c r="G26" s="9"/>
      <c r="H26" s="9"/>
      <c r="I26" s="5"/>
      <c r="J26" s="1"/>
      <c r="K26" s="1"/>
      <c r="L26" s="1"/>
      <c r="M26" s="10"/>
      <c r="N26" s="145"/>
      <c r="O26" s="16"/>
      <c r="P26" s="1"/>
    </row>
    <row r="27" spans="1:16">
      <c r="A27" s="6"/>
      <c r="B27" s="7"/>
      <c r="C27" s="6"/>
      <c r="D27" s="123"/>
      <c r="E27" s="124"/>
      <c r="F27" s="1"/>
      <c r="G27" s="9"/>
      <c r="H27" s="9"/>
      <c r="I27" s="5"/>
      <c r="J27" s="1"/>
      <c r="K27" s="1"/>
      <c r="L27" s="1"/>
      <c r="M27" s="10"/>
      <c r="N27" s="145"/>
      <c r="O27" s="16"/>
      <c r="P27" s="1"/>
    </row>
    <row r="28" spans="1:16">
      <c r="A28" s="6"/>
      <c r="B28" s="7"/>
      <c r="C28" s="6"/>
      <c r="D28" s="123"/>
      <c r="E28" s="124"/>
      <c r="F28" s="1"/>
      <c r="G28" s="9"/>
      <c r="H28" s="9"/>
      <c r="I28" s="5"/>
      <c r="J28" s="1"/>
      <c r="K28" s="1"/>
      <c r="L28" s="1"/>
      <c r="M28" s="10"/>
      <c r="N28" s="145"/>
      <c r="O28" s="16"/>
      <c r="P28" s="1"/>
    </row>
    <row r="29" spans="1:16">
      <c r="A29" s="6"/>
      <c r="B29" s="7"/>
      <c r="C29" s="6"/>
      <c r="D29" s="123"/>
      <c r="E29" s="124"/>
      <c r="F29" s="1"/>
      <c r="G29" s="9"/>
      <c r="H29" s="9"/>
      <c r="I29" s="5"/>
      <c r="J29" s="1"/>
      <c r="K29" s="1"/>
      <c r="L29" s="1"/>
      <c r="M29" s="10"/>
      <c r="N29" s="145"/>
      <c r="O29" s="16"/>
      <c r="P29" s="1"/>
    </row>
    <row r="30" spans="1:16">
      <c r="A30" s="6"/>
      <c r="B30" s="7"/>
      <c r="C30" s="6"/>
      <c r="D30" s="123"/>
      <c r="E30" s="124"/>
      <c r="F30" s="1"/>
      <c r="G30" s="9"/>
      <c r="H30" s="9"/>
      <c r="I30" s="5"/>
      <c r="J30" s="1"/>
      <c r="K30" s="1"/>
      <c r="L30" s="1"/>
      <c r="M30" s="10"/>
      <c r="N30" s="145"/>
      <c r="O30" s="16"/>
      <c r="P30" s="1"/>
    </row>
    <row r="31" spans="1:16">
      <c r="A31" s="6"/>
      <c r="B31" s="7"/>
      <c r="C31" s="6"/>
      <c r="D31" s="123"/>
      <c r="E31" s="124"/>
      <c r="F31" s="1"/>
      <c r="G31" s="9"/>
      <c r="H31" s="9"/>
      <c r="I31" s="5"/>
      <c r="J31" s="1"/>
      <c r="K31" s="1"/>
      <c r="L31" s="1"/>
      <c r="M31" s="10"/>
      <c r="N31" s="145"/>
      <c r="O31" s="16"/>
      <c r="P31" s="1"/>
    </row>
    <row r="32" spans="1:16">
      <c r="A32" s="6"/>
      <c r="B32" s="7"/>
      <c r="C32" s="6"/>
      <c r="D32" s="123"/>
      <c r="E32" s="124"/>
      <c r="F32" s="1"/>
      <c r="G32" s="9"/>
      <c r="H32" s="9"/>
      <c r="I32" s="5"/>
      <c r="J32" s="1"/>
      <c r="K32" s="1"/>
      <c r="L32" s="1"/>
      <c r="M32" s="10"/>
      <c r="N32" s="145"/>
      <c r="O32" s="16"/>
      <c r="P32" s="1"/>
    </row>
    <row r="33" spans="1:16">
      <c r="A33" s="6"/>
      <c r="B33" s="7"/>
      <c r="C33" s="6"/>
      <c r="D33" s="123"/>
      <c r="E33" s="124"/>
      <c r="F33" s="1"/>
      <c r="G33" s="9"/>
      <c r="H33" s="9"/>
      <c r="I33" s="5"/>
      <c r="J33" s="1"/>
      <c r="K33" s="1"/>
      <c r="L33" s="1"/>
      <c r="M33" s="10"/>
      <c r="N33" s="145"/>
      <c r="O33" s="16"/>
      <c r="P33" s="1"/>
    </row>
    <row r="34" spans="1:16">
      <c r="A34" s="6"/>
      <c r="B34" s="7"/>
      <c r="C34" s="6"/>
      <c r="D34" s="123"/>
      <c r="E34" s="124"/>
      <c r="F34" s="1"/>
      <c r="G34" s="9"/>
      <c r="H34" s="9"/>
      <c r="I34" s="5"/>
      <c r="J34" s="1"/>
      <c r="K34" s="1"/>
      <c r="L34" s="1"/>
      <c r="M34" s="10"/>
      <c r="N34" s="145"/>
      <c r="O34" s="16"/>
      <c r="P34" s="1"/>
    </row>
    <row r="35" spans="1:16">
      <c r="A35" s="6"/>
      <c r="B35" s="7"/>
      <c r="C35" s="6"/>
      <c r="D35" s="123"/>
      <c r="E35" s="124"/>
      <c r="F35" s="1"/>
      <c r="G35" s="9"/>
      <c r="H35" s="9"/>
      <c r="I35" s="5"/>
      <c r="J35" s="1"/>
      <c r="K35" s="1"/>
      <c r="L35" s="1"/>
      <c r="M35" s="10"/>
      <c r="N35" s="145"/>
      <c r="O35" s="16"/>
      <c r="P35" s="1"/>
    </row>
    <row r="36" spans="1:16">
      <c r="A36" s="6"/>
      <c r="B36" s="7"/>
      <c r="C36" s="6"/>
      <c r="D36" s="125"/>
      <c r="E36" s="126"/>
      <c r="F36" s="1"/>
      <c r="G36" s="9"/>
      <c r="H36" s="9"/>
      <c r="I36" s="5"/>
      <c r="J36" s="1"/>
      <c r="K36" s="1"/>
      <c r="L36" s="1"/>
      <c r="M36" s="10"/>
      <c r="N36" s="145"/>
      <c r="O36" s="16"/>
      <c r="P36" s="1"/>
    </row>
    <row r="37" spans="1:16">
      <c r="A37" s="6"/>
      <c r="B37" s="7"/>
      <c r="C37" s="6"/>
      <c r="D37" s="123"/>
      <c r="E37" s="124"/>
      <c r="F37" s="1"/>
      <c r="G37" s="9"/>
      <c r="H37" s="9"/>
      <c r="I37" s="5"/>
      <c r="J37" s="1"/>
      <c r="K37" s="1"/>
      <c r="L37" s="1"/>
      <c r="M37" s="10"/>
      <c r="N37" s="145"/>
      <c r="O37" s="16"/>
      <c r="P37" s="1"/>
    </row>
    <row r="38" spans="1:16">
      <c r="A38" s="6"/>
      <c r="B38" s="7"/>
      <c r="C38" s="6"/>
      <c r="D38" s="125"/>
      <c r="E38" s="126"/>
      <c r="F38" s="1"/>
      <c r="G38" s="9"/>
      <c r="H38" s="9"/>
      <c r="I38" s="5"/>
      <c r="J38" s="1"/>
      <c r="K38" s="1"/>
      <c r="L38" s="1"/>
      <c r="M38" s="10"/>
      <c r="N38" s="145"/>
      <c r="O38" s="16"/>
      <c r="P38" s="1"/>
    </row>
    <row r="39" spans="1:16">
      <c r="A39" s="6"/>
      <c r="B39" s="7"/>
      <c r="C39" s="6"/>
      <c r="D39" s="125"/>
      <c r="E39" s="126"/>
      <c r="F39" s="1"/>
      <c r="G39" s="9"/>
      <c r="H39" s="9"/>
      <c r="I39" s="5"/>
      <c r="J39" s="1"/>
      <c r="K39" s="1"/>
      <c r="L39" s="1"/>
      <c r="M39" s="10"/>
      <c r="N39" s="145"/>
      <c r="O39" s="16"/>
      <c r="P39" s="1"/>
    </row>
    <row r="40" spans="1:16">
      <c r="A40" s="6"/>
      <c r="B40" s="7"/>
      <c r="C40" s="6"/>
      <c r="D40" s="125"/>
      <c r="E40" s="126"/>
      <c r="F40" s="1"/>
      <c r="G40" s="9"/>
      <c r="H40" s="9"/>
      <c r="I40" s="5"/>
      <c r="J40" s="1"/>
      <c r="K40" s="1"/>
      <c r="L40" s="1"/>
      <c r="M40" s="10"/>
      <c r="N40" s="145"/>
      <c r="O40" s="16"/>
      <c r="P40" s="1"/>
    </row>
    <row r="41" spans="1:16">
      <c r="A41" s="6"/>
      <c r="B41" s="7"/>
      <c r="C41" s="6"/>
      <c r="D41" s="125"/>
      <c r="E41" s="126"/>
      <c r="F41" s="1"/>
      <c r="G41" s="9"/>
      <c r="H41" s="9"/>
      <c r="I41" s="5"/>
      <c r="J41" s="1"/>
      <c r="K41" s="1"/>
      <c r="L41" s="1"/>
      <c r="M41" s="10"/>
      <c r="N41" s="145"/>
      <c r="O41" s="16"/>
      <c r="P41" s="1"/>
    </row>
    <row r="42" spans="1:16">
      <c r="A42" s="6"/>
      <c r="B42" s="7"/>
      <c r="C42" s="6"/>
      <c r="D42" s="125"/>
      <c r="E42" s="126"/>
      <c r="F42" s="1"/>
      <c r="G42" s="9"/>
      <c r="H42" s="9"/>
      <c r="I42" s="5"/>
      <c r="J42" s="1"/>
      <c r="K42" s="1"/>
      <c r="L42" s="1"/>
      <c r="M42" s="10"/>
      <c r="N42" s="145"/>
      <c r="O42" s="16"/>
      <c r="P42" s="1"/>
    </row>
    <row r="43" spans="1:16">
      <c r="A43" s="6"/>
      <c r="B43" s="7"/>
      <c r="C43" s="6"/>
      <c r="D43" s="125"/>
      <c r="E43" s="126"/>
      <c r="F43" s="1"/>
      <c r="G43" s="9"/>
      <c r="H43" s="9"/>
      <c r="I43" s="5"/>
      <c r="J43" s="1"/>
      <c r="K43" s="1"/>
      <c r="L43" s="1"/>
      <c r="M43" s="10"/>
      <c r="N43" s="145"/>
      <c r="O43" s="16"/>
      <c r="P43" s="1"/>
    </row>
    <row r="44" spans="1:16">
      <c r="A44" s="6"/>
      <c r="B44" s="7"/>
      <c r="C44" s="6"/>
      <c r="D44" s="125"/>
      <c r="E44" s="126"/>
      <c r="F44" s="1"/>
      <c r="G44" s="9"/>
      <c r="H44" s="9"/>
      <c r="I44" s="5"/>
      <c r="J44" s="1"/>
      <c r="K44" s="1"/>
      <c r="L44" s="1"/>
      <c r="M44" s="10"/>
      <c r="N44" s="145"/>
      <c r="O44" s="16"/>
      <c r="P44" s="1"/>
    </row>
    <row r="45" spans="1:16">
      <c r="A45" s="6"/>
      <c r="B45" s="7"/>
      <c r="C45" s="6"/>
      <c r="D45" s="125"/>
      <c r="E45" s="126"/>
      <c r="F45" s="1"/>
      <c r="G45" s="9"/>
      <c r="H45" s="9"/>
      <c r="I45" s="5"/>
      <c r="J45" s="1"/>
      <c r="K45" s="1"/>
      <c r="L45" s="1"/>
      <c r="M45" s="10"/>
      <c r="N45" s="145"/>
      <c r="O45" s="16"/>
      <c r="P45" s="1"/>
    </row>
    <row r="46" spans="1:16">
      <c r="A46" s="6"/>
      <c r="B46" s="7"/>
      <c r="C46" s="6"/>
      <c r="D46" s="123"/>
      <c r="E46" s="124"/>
      <c r="F46" s="1"/>
      <c r="G46" s="9"/>
      <c r="H46" s="9"/>
      <c r="I46" s="5"/>
      <c r="J46" s="1"/>
      <c r="K46" s="1"/>
      <c r="L46" s="1"/>
      <c r="M46" s="10"/>
      <c r="N46" s="145"/>
      <c r="O46" s="16"/>
      <c r="P46" s="1"/>
    </row>
    <row r="47" spans="1:16">
      <c r="A47" s="6"/>
      <c r="B47" s="7"/>
      <c r="C47" s="6"/>
      <c r="D47" s="123"/>
      <c r="E47" s="124"/>
      <c r="F47" s="1"/>
      <c r="G47" s="9"/>
      <c r="H47" s="9"/>
      <c r="I47" s="5"/>
      <c r="J47" s="1"/>
      <c r="K47" s="1"/>
      <c r="L47" s="1"/>
      <c r="M47" s="10"/>
      <c r="N47" s="145"/>
      <c r="O47" s="16"/>
      <c r="P47" s="1"/>
    </row>
    <row r="48" spans="1:16">
      <c r="A48" s="6"/>
      <c r="B48" s="127"/>
      <c r="C48" s="6"/>
      <c r="D48" s="123"/>
      <c r="E48" s="124"/>
      <c r="F48" s="1"/>
      <c r="G48" s="9"/>
      <c r="H48" s="9"/>
      <c r="I48" s="5"/>
      <c r="J48" s="1"/>
      <c r="K48" s="1"/>
      <c r="L48" s="1"/>
      <c r="M48" s="10"/>
      <c r="N48" s="145"/>
      <c r="O48" s="16"/>
      <c r="P48" s="1"/>
    </row>
    <row r="49" spans="1:16">
      <c r="A49" s="6"/>
      <c r="B49" s="7"/>
      <c r="C49" s="6"/>
      <c r="D49" s="120"/>
      <c r="E49" s="120"/>
      <c r="F49" s="1"/>
      <c r="G49" s="9"/>
      <c r="H49" s="9"/>
      <c r="I49" s="5"/>
      <c r="J49" s="1"/>
      <c r="K49" s="1"/>
      <c r="L49" s="1"/>
      <c r="M49" s="10"/>
      <c r="N49" s="145"/>
      <c r="O49" s="16"/>
      <c r="P49" s="1"/>
    </row>
    <row r="50" spans="1:16">
      <c r="A50" s="6"/>
      <c r="B50" s="127"/>
      <c r="C50" s="6"/>
      <c r="D50" s="123"/>
      <c r="E50" s="124"/>
      <c r="F50" s="1"/>
      <c r="G50" s="9"/>
      <c r="H50" s="9"/>
      <c r="I50" s="5"/>
      <c r="J50" s="1"/>
      <c r="K50" s="1"/>
      <c r="L50" s="1"/>
      <c r="M50" s="10"/>
      <c r="N50" s="145"/>
      <c r="O50" s="16"/>
      <c r="P50" s="1"/>
    </row>
    <row r="51" spans="1:16">
      <c r="A51" s="6"/>
      <c r="B51" s="7"/>
      <c r="C51" s="6"/>
      <c r="D51" s="125"/>
      <c r="E51" s="126"/>
      <c r="F51" s="1"/>
      <c r="G51" s="9"/>
      <c r="H51" s="9"/>
      <c r="I51" s="5"/>
      <c r="J51" s="1"/>
      <c r="K51" s="1"/>
      <c r="L51" s="1"/>
      <c r="M51" s="10"/>
      <c r="N51" s="145"/>
      <c r="O51" s="16"/>
      <c r="P51" s="1"/>
    </row>
    <row r="52" spans="1:16">
      <c r="A52" s="6"/>
      <c r="B52" s="127"/>
      <c r="C52" s="6"/>
      <c r="D52" s="123"/>
      <c r="E52" s="124"/>
      <c r="F52" s="1"/>
      <c r="G52" s="9"/>
      <c r="H52" s="9"/>
      <c r="I52" s="5"/>
      <c r="J52" s="1"/>
      <c r="K52" s="1"/>
      <c r="L52" s="1"/>
      <c r="M52" s="10"/>
      <c r="N52" s="145"/>
      <c r="O52" s="16"/>
      <c r="P52" s="1"/>
    </row>
    <row r="53" spans="1:16">
      <c r="A53" s="6"/>
      <c r="B53" s="7"/>
      <c r="C53" s="6"/>
      <c r="D53" s="121"/>
      <c r="E53" s="121"/>
      <c r="F53" s="1"/>
      <c r="G53" s="9"/>
      <c r="H53" s="9"/>
      <c r="I53" s="5"/>
      <c r="J53" s="1"/>
      <c r="K53" s="1"/>
      <c r="L53" s="1"/>
      <c r="M53" s="10"/>
      <c r="N53" s="145"/>
      <c r="O53" s="16"/>
      <c r="P53" s="1"/>
    </row>
    <row r="54" spans="1:16">
      <c r="A54" s="6"/>
      <c r="B54" s="7"/>
      <c r="C54" s="6"/>
      <c r="D54" s="123"/>
      <c r="E54" s="124"/>
      <c r="F54" s="1"/>
      <c r="G54" s="9"/>
      <c r="H54" s="9"/>
      <c r="I54" s="5"/>
      <c r="J54" s="1"/>
      <c r="K54" s="1"/>
      <c r="L54" s="1"/>
      <c r="M54" s="10"/>
      <c r="N54" s="145"/>
      <c r="O54" s="16"/>
      <c r="P54" s="1"/>
    </row>
    <row r="55" spans="1:16">
      <c r="A55" s="6"/>
      <c r="B55" s="7"/>
      <c r="C55" s="122"/>
      <c r="D55" s="123"/>
      <c r="E55" s="124"/>
      <c r="F55" s="1"/>
      <c r="G55" s="9"/>
      <c r="H55" s="9"/>
      <c r="I55" s="5"/>
      <c r="J55" s="1"/>
      <c r="K55" s="1"/>
      <c r="L55" s="1"/>
      <c r="M55" s="10"/>
      <c r="N55" s="145"/>
      <c r="O55" s="16"/>
      <c r="P55" s="1"/>
    </row>
    <row r="56" spans="1:16">
      <c r="A56" s="6"/>
      <c r="B56" s="7"/>
      <c r="C56" s="6"/>
      <c r="D56" s="125"/>
      <c r="E56" s="126"/>
      <c r="F56" s="1"/>
      <c r="G56" s="9"/>
      <c r="H56" s="9"/>
      <c r="I56" s="5"/>
      <c r="J56" s="1"/>
      <c r="K56" s="1"/>
      <c r="L56" s="1"/>
      <c r="M56" s="10"/>
      <c r="N56" s="145"/>
      <c r="O56" s="16"/>
      <c r="P56" s="1"/>
    </row>
    <row r="57" spans="1:16">
      <c r="A57" s="6"/>
      <c r="B57" s="7"/>
      <c r="C57" s="6"/>
      <c r="D57" s="125"/>
      <c r="E57" s="126"/>
      <c r="F57" s="1"/>
      <c r="G57" s="9"/>
      <c r="H57" s="9"/>
      <c r="I57" s="5"/>
      <c r="J57" s="1"/>
      <c r="K57" s="1"/>
      <c r="L57" s="1"/>
      <c r="M57" s="10"/>
      <c r="N57" s="145"/>
      <c r="O57" s="16"/>
      <c r="P57" s="1"/>
    </row>
    <row r="58" spans="1:16">
      <c r="A58" s="6"/>
      <c r="B58" s="7"/>
      <c r="C58" s="6"/>
      <c r="D58" s="125"/>
      <c r="E58" s="126"/>
      <c r="F58" s="1"/>
      <c r="G58" s="9"/>
      <c r="H58" s="9"/>
      <c r="I58" s="5"/>
      <c r="J58" s="1"/>
      <c r="K58" s="1"/>
      <c r="L58" s="1"/>
      <c r="M58" s="10"/>
      <c r="N58" s="145"/>
      <c r="O58" s="16"/>
      <c r="P58" s="1"/>
    </row>
    <row r="59" spans="1:16">
      <c r="A59" s="6"/>
      <c r="B59" s="7"/>
      <c r="C59" s="6"/>
      <c r="D59" s="125"/>
      <c r="E59" s="126"/>
      <c r="F59" s="1"/>
      <c r="G59" s="9"/>
      <c r="H59" s="9"/>
      <c r="I59" s="5"/>
      <c r="J59" s="1"/>
      <c r="K59" s="1"/>
      <c r="L59" s="1"/>
      <c r="M59" s="10"/>
      <c r="N59" s="145"/>
      <c r="O59" s="16"/>
      <c r="P59" s="1"/>
    </row>
    <row r="60" spans="1:16">
      <c r="A60" s="6"/>
      <c r="B60" s="7"/>
      <c r="C60" s="6"/>
      <c r="D60" s="125"/>
      <c r="E60" s="126"/>
      <c r="F60" s="1"/>
      <c r="G60" s="9"/>
      <c r="H60" s="9"/>
      <c r="I60" s="5"/>
      <c r="J60" s="1"/>
      <c r="K60" s="1"/>
      <c r="L60" s="1"/>
      <c r="M60" s="10"/>
      <c r="N60" s="145"/>
      <c r="O60" s="16"/>
      <c r="P60" s="1"/>
    </row>
    <row r="61" spans="1:16">
      <c r="A61" s="6"/>
      <c r="B61" s="7"/>
      <c r="C61" s="6"/>
      <c r="D61" s="125"/>
      <c r="E61" s="126"/>
      <c r="F61" s="1"/>
      <c r="G61" s="9"/>
      <c r="H61" s="9"/>
      <c r="I61" s="5"/>
      <c r="J61" s="1"/>
      <c r="K61" s="1"/>
      <c r="L61" s="1"/>
      <c r="M61" s="10"/>
      <c r="N61" s="145"/>
      <c r="O61" s="16"/>
      <c r="P61" s="1"/>
    </row>
    <row r="62" spans="1:16">
      <c r="A62" s="6"/>
      <c r="B62" s="7"/>
      <c r="C62" s="6"/>
      <c r="D62" s="125"/>
      <c r="E62" s="126"/>
      <c r="F62" s="1"/>
      <c r="G62" s="9"/>
      <c r="H62" s="9"/>
      <c r="I62" s="5"/>
      <c r="J62" s="1"/>
      <c r="K62" s="1"/>
      <c r="L62" s="1"/>
      <c r="M62" s="10"/>
      <c r="N62" s="145"/>
      <c r="O62" s="16"/>
      <c r="P62" s="1"/>
    </row>
    <row r="63" spans="1:16">
      <c r="A63" s="6"/>
      <c r="B63" s="7"/>
      <c r="C63" s="6"/>
      <c r="D63" s="125"/>
      <c r="E63" s="126"/>
      <c r="F63" s="1"/>
      <c r="G63" s="9"/>
      <c r="H63" s="9"/>
      <c r="I63" s="5"/>
      <c r="J63" s="1"/>
      <c r="K63" s="1"/>
      <c r="L63" s="1"/>
      <c r="M63" s="10"/>
      <c r="N63" s="145"/>
      <c r="O63" s="16"/>
      <c r="P63" s="1"/>
    </row>
    <row r="64" spans="1:16">
      <c r="A64" s="6"/>
      <c r="B64" s="7"/>
      <c r="C64" s="6"/>
      <c r="D64" s="125"/>
      <c r="E64" s="126"/>
      <c r="F64" s="1"/>
      <c r="G64" s="9"/>
      <c r="H64" s="9"/>
      <c r="I64" s="5"/>
      <c r="J64" s="1"/>
      <c r="K64" s="1"/>
      <c r="L64" s="1"/>
      <c r="M64" s="10"/>
      <c r="N64" s="145"/>
      <c r="O64" s="16"/>
      <c r="P64" s="1"/>
    </row>
    <row r="65" spans="1:16">
      <c r="A65" s="6"/>
      <c r="B65" s="7"/>
      <c r="C65" s="6"/>
      <c r="D65" s="123"/>
      <c r="E65" s="124"/>
      <c r="F65" s="1"/>
      <c r="G65" s="9"/>
      <c r="H65" s="9"/>
      <c r="I65" s="5"/>
      <c r="J65" s="1"/>
      <c r="K65" s="1"/>
      <c r="L65" s="1"/>
      <c r="M65" s="10"/>
      <c r="N65" s="145"/>
      <c r="O65" s="16"/>
      <c r="P65" s="1"/>
    </row>
    <row r="66" spans="1:16">
      <c r="A66" s="6"/>
      <c r="B66" s="7"/>
      <c r="C66" s="6"/>
      <c r="D66" s="122"/>
      <c r="E66" s="122"/>
      <c r="F66" s="1"/>
      <c r="G66" s="9"/>
      <c r="H66" s="9"/>
      <c r="I66" s="5"/>
      <c r="J66" s="1"/>
      <c r="K66" s="1"/>
      <c r="L66" s="1"/>
      <c r="M66" s="10"/>
      <c r="N66" s="145"/>
      <c r="O66" s="16"/>
      <c r="P66" s="1"/>
    </row>
    <row r="67" spans="1:16">
      <c r="A67" s="6"/>
      <c r="B67" s="7"/>
      <c r="C67" s="6"/>
      <c r="D67" s="123"/>
      <c r="E67" s="124"/>
      <c r="F67" s="1"/>
      <c r="G67" s="9"/>
      <c r="H67" s="9"/>
      <c r="I67" s="5"/>
      <c r="J67" s="1"/>
      <c r="K67" s="1"/>
      <c r="L67" s="1"/>
      <c r="M67" s="10"/>
      <c r="N67" s="145"/>
      <c r="O67" s="16"/>
      <c r="P67" s="1"/>
    </row>
    <row r="68" spans="1:16">
      <c r="A68" s="6"/>
      <c r="B68" s="7"/>
      <c r="C68" s="6"/>
      <c r="D68" s="123"/>
      <c r="E68" s="124"/>
      <c r="F68" s="1"/>
      <c r="G68" s="9"/>
      <c r="H68" s="9"/>
      <c r="I68" s="5"/>
      <c r="J68" s="1"/>
      <c r="K68" s="1"/>
      <c r="L68" s="1"/>
      <c r="M68" s="10"/>
      <c r="N68" s="145"/>
      <c r="O68" s="16"/>
      <c r="P68" s="1"/>
    </row>
    <row r="69" spans="1:16">
      <c r="A69" s="6"/>
      <c r="B69" s="7"/>
      <c r="C69" s="6"/>
      <c r="D69" s="125"/>
      <c r="E69" s="126"/>
      <c r="F69" s="1"/>
      <c r="G69" s="9"/>
      <c r="H69" s="9"/>
      <c r="I69" s="5"/>
      <c r="J69" s="1"/>
      <c r="K69" s="1"/>
      <c r="L69" s="1"/>
      <c r="M69" s="10"/>
      <c r="N69" s="145"/>
      <c r="O69" s="16"/>
      <c r="P69" s="1"/>
    </row>
    <row r="70" spans="1:16">
      <c r="A70" s="6"/>
      <c r="B70" s="7"/>
      <c r="C70" s="6"/>
      <c r="D70" s="123"/>
      <c r="E70" s="124"/>
      <c r="F70" s="1"/>
      <c r="G70" s="9"/>
      <c r="H70" s="9"/>
      <c r="I70" s="5"/>
      <c r="J70" s="1"/>
      <c r="K70" s="1"/>
      <c r="L70" s="1"/>
      <c r="M70" s="10"/>
      <c r="N70" s="145"/>
      <c r="O70" s="16"/>
      <c r="P70" s="1"/>
    </row>
    <row r="71" spans="1:16">
      <c r="B71" s="7"/>
      <c r="C71" s="6"/>
      <c r="D71" s="125"/>
      <c r="E71" s="126"/>
      <c r="F71" s="1"/>
      <c r="G71" s="9"/>
      <c r="H71" s="9"/>
      <c r="I71" s="16"/>
      <c r="J71" s="1"/>
      <c r="K71" s="1"/>
      <c r="L71" s="1"/>
      <c r="M71" s="10"/>
      <c r="N71" s="146"/>
      <c r="O71" s="16"/>
      <c r="P71" s="1"/>
    </row>
    <row r="72" spans="1:16">
      <c r="B72" s="7"/>
      <c r="C72" s="6"/>
      <c r="D72" s="125"/>
      <c r="E72" s="126"/>
      <c r="F72" s="1"/>
      <c r="G72" s="9"/>
      <c r="H72" s="9"/>
      <c r="I72" s="16"/>
      <c r="J72" s="1"/>
      <c r="K72" s="1"/>
      <c r="L72" s="1"/>
      <c r="M72" s="10"/>
      <c r="N72" s="146"/>
      <c r="O72" s="16"/>
      <c r="P72" s="1"/>
    </row>
    <row r="73" spans="1:16">
      <c r="A73" s="6"/>
      <c r="B73" s="7"/>
      <c r="C73" s="6"/>
      <c r="D73" s="122"/>
      <c r="E73" s="122"/>
      <c r="F73" s="1"/>
      <c r="G73" s="9"/>
      <c r="H73" s="9"/>
      <c r="I73" s="5"/>
      <c r="J73" s="1"/>
      <c r="K73" s="1"/>
      <c r="L73" s="1"/>
      <c r="M73" s="10"/>
      <c r="N73" s="145"/>
      <c r="O73" s="16"/>
      <c r="P73" s="1"/>
    </row>
    <row r="74" spans="1:16">
      <c r="A74" s="6"/>
      <c r="B74" s="7"/>
      <c r="C74" s="6"/>
      <c r="D74" s="125"/>
      <c r="E74" s="126"/>
      <c r="F74" s="1"/>
      <c r="G74" s="9"/>
      <c r="H74" s="9"/>
      <c r="I74" s="5"/>
      <c r="J74" s="1"/>
      <c r="K74" s="1"/>
      <c r="L74" s="1"/>
      <c r="M74" s="10"/>
      <c r="N74" s="145"/>
      <c r="O74" s="16"/>
      <c r="P74" s="1"/>
    </row>
    <row r="75" spans="1:16">
      <c r="A75" s="6"/>
      <c r="B75" s="7"/>
      <c r="C75" s="6"/>
      <c r="D75" s="123"/>
      <c r="E75" s="124"/>
      <c r="F75" s="1"/>
      <c r="G75" s="9"/>
      <c r="H75" s="9"/>
      <c r="I75" s="5"/>
      <c r="J75" s="1"/>
      <c r="K75" s="1"/>
      <c r="L75" s="1"/>
      <c r="M75" s="10"/>
      <c r="N75" s="145"/>
      <c r="O75" s="16"/>
      <c r="P75" s="1"/>
    </row>
    <row r="76" spans="1:16">
      <c r="A76" s="6"/>
      <c r="B76" s="7"/>
      <c r="C76" s="6"/>
      <c r="D76" s="125"/>
      <c r="E76" s="126"/>
      <c r="F76" s="1"/>
      <c r="G76" s="9"/>
      <c r="H76" s="9"/>
      <c r="I76" s="5"/>
      <c r="J76" s="1"/>
      <c r="K76" s="1"/>
      <c r="L76" s="1"/>
      <c r="M76" s="10"/>
      <c r="N76" s="145"/>
      <c r="O76" s="16"/>
      <c r="P76" s="1"/>
    </row>
    <row r="77" spans="1:16">
      <c r="A77" s="6"/>
      <c r="B77" s="7"/>
      <c r="C77" s="6"/>
      <c r="D77" s="125"/>
      <c r="E77" s="126"/>
      <c r="F77" s="1"/>
      <c r="G77" s="9"/>
      <c r="H77" s="9"/>
      <c r="I77" s="5"/>
      <c r="J77" s="1"/>
      <c r="K77" s="1"/>
      <c r="L77" s="1"/>
      <c r="M77" s="10"/>
      <c r="N77" s="145"/>
      <c r="O77" s="16"/>
      <c r="P77" s="1"/>
    </row>
    <row r="78" spans="1:16">
      <c r="A78" s="6"/>
      <c r="B78" s="7"/>
      <c r="C78" s="6"/>
      <c r="D78" s="123"/>
      <c r="E78" s="124"/>
      <c r="F78" s="1"/>
      <c r="G78" s="9"/>
      <c r="H78" s="9"/>
      <c r="I78" s="5"/>
      <c r="J78" s="1"/>
      <c r="K78" s="1"/>
      <c r="L78" s="1"/>
      <c r="M78" s="10"/>
      <c r="N78" s="145"/>
      <c r="O78" s="16"/>
      <c r="P78" s="1"/>
    </row>
    <row r="79" spans="1:16">
      <c r="A79" s="6"/>
      <c r="B79" s="7"/>
      <c r="C79" s="6"/>
      <c r="D79" s="123"/>
      <c r="E79" s="124"/>
      <c r="F79" s="1"/>
      <c r="G79" s="9"/>
      <c r="H79" s="9"/>
      <c r="I79" s="5"/>
      <c r="J79" s="1"/>
      <c r="K79" s="1"/>
      <c r="L79" s="1"/>
      <c r="M79" s="10"/>
      <c r="N79" s="145"/>
      <c r="O79" s="16"/>
      <c r="P79" s="1"/>
    </row>
    <row r="80" spans="1:16">
      <c r="B80" s="7"/>
      <c r="C80" s="6"/>
      <c r="D80" s="125"/>
      <c r="E80" s="126"/>
      <c r="F80" s="1"/>
      <c r="G80" s="9"/>
      <c r="H80" s="9"/>
      <c r="I80" s="16"/>
      <c r="J80" s="1"/>
      <c r="K80" s="1"/>
      <c r="L80" s="1"/>
      <c r="M80" s="10"/>
      <c r="N80" s="146"/>
      <c r="O80" s="16"/>
      <c r="P80" s="1"/>
    </row>
    <row r="81" spans="1:16">
      <c r="A81" s="6"/>
      <c r="B81" s="7"/>
      <c r="C81" s="6"/>
      <c r="D81" s="123"/>
      <c r="E81" s="124"/>
      <c r="F81" s="1"/>
      <c r="G81" s="9"/>
      <c r="H81" s="9"/>
      <c r="I81" s="5"/>
      <c r="J81" s="1"/>
      <c r="K81" s="1"/>
      <c r="L81" s="1"/>
      <c r="M81" s="10"/>
      <c r="N81" s="145"/>
      <c r="O81" s="16"/>
      <c r="P81" s="1"/>
    </row>
    <row r="82" spans="1:16">
      <c r="A82" s="6"/>
      <c r="B82" s="7"/>
      <c r="C82" s="6"/>
      <c r="D82" s="125"/>
      <c r="E82" s="126"/>
      <c r="F82" s="1"/>
      <c r="G82" s="9"/>
      <c r="H82" s="9"/>
      <c r="I82" s="5"/>
      <c r="J82" s="1"/>
      <c r="K82" s="1"/>
      <c r="L82" s="1"/>
      <c r="M82" s="10"/>
      <c r="N82" s="145"/>
      <c r="O82" s="16"/>
      <c r="P82" s="1"/>
    </row>
    <row r="83" spans="1:16">
      <c r="A83" s="6"/>
      <c r="B83" s="7"/>
      <c r="C83" s="6"/>
      <c r="D83" s="125"/>
      <c r="E83" s="126"/>
      <c r="F83" s="1"/>
      <c r="G83" s="9"/>
      <c r="H83" s="9"/>
      <c r="I83" s="5"/>
      <c r="J83" s="1"/>
      <c r="K83" s="1"/>
      <c r="L83" s="1"/>
      <c r="M83" s="10"/>
      <c r="N83" s="145"/>
      <c r="O83" s="16"/>
      <c r="P83" s="1"/>
    </row>
    <row r="84" spans="1:16">
      <c r="A84" s="6"/>
      <c r="B84" s="7"/>
      <c r="C84" s="6"/>
      <c r="D84" s="125"/>
      <c r="E84" s="126"/>
      <c r="F84" s="1"/>
      <c r="G84" s="9"/>
      <c r="H84" s="9"/>
      <c r="I84" s="5"/>
      <c r="J84" s="1"/>
      <c r="K84" s="1"/>
      <c r="L84" s="1"/>
      <c r="M84" s="10"/>
      <c r="N84" s="145"/>
      <c r="O84" s="16"/>
      <c r="P84" s="1"/>
    </row>
    <row r="85" spans="1:16">
      <c r="A85" s="6"/>
      <c r="B85" s="7"/>
      <c r="C85" s="122"/>
      <c r="D85" s="125"/>
      <c r="E85" s="126"/>
      <c r="F85" s="1"/>
      <c r="G85" s="9"/>
      <c r="H85" s="9"/>
      <c r="I85" s="5"/>
      <c r="J85" s="1"/>
      <c r="K85" s="1"/>
      <c r="L85" s="1"/>
      <c r="M85" s="10"/>
      <c r="N85" s="145"/>
      <c r="O85" s="16"/>
      <c r="P85" s="1"/>
    </row>
    <row r="86" spans="1:16">
      <c r="A86" s="6"/>
      <c r="B86" s="7"/>
      <c r="C86" s="6"/>
      <c r="D86" s="125"/>
      <c r="E86" s="126"/>
      <c r="F86" s="1"/>
      <c r="G86" s="9"/>
      <c r="H86" s="9"/>
      <c r="I86" s="5"/>
      <c r="J86" s="1"/>
      <c r="K86" s="1"/>
      <c r="L86" s="1"/>
      <c r="M86" s="10"/>
      <c r="N86" s="145"/>
      <c r="O86" s="16"/>
      <c r="P86" s="1"/>
    </row>
    <row r="87" spans="1:16">
      <c r="A87" s="6"/>
      <c r="B87" s="7"/>
      <c r="C87" s="6"/>
      <c r="D87" s="125"/>
      <c r="E87" s="126"/>
      <c r="F87" s="1"/>
      <c r="G87" s="9"/>
      <c r="H87" s="9"/>
      <c r="I87" s="5"/>
      <c r="J87" s="1"/>
      <c r="K87" s="1"/>
      <c r="L87" s="1"/>
      <c r="M87" s="10"/>
      <c r="N87" s="145"/>
      <c r="O87" s="16"/>
      <c r="P87" s="1"/>
    </row>
    <row r="88" spans="1:16">
      <c r="A88" s="6"/>
      <c r="B88" s="7"/>
      <c r="C88" s="6"/>
      <c r="D88" s="125"/>
      <c r="E88" s="126"/>
      <c r="F88" s="1"/>
      <c r="G88" s="9"/>
      <c r="H88" s="9"/>
      <c r="I88" s="5"/>
      <c r="J88" s="1"/>
      <c r="K88" s="1"/>
      <c r="L88" s="1"/>
      <c r="M88" s="10"/>
      <c r="N88" s="145"/>
      <c r="O88" s="16"/>
      <c r="P88" s="1"/>
    </row>
    <row r="89" spans="1:16">
      <c r="A89" s="6"/>
      <c r="B89" s="7"/>
      <c r="C89" s="6"/>
      <c r="D89" s="125"/>
      <c r="E89" s="126"/>
      <c r="F89" s="1"/>
      <c r="G89" s="9"/>
      <c r="H89" s="9"/>
      <c r="I89" s="5"/>
      <c r="J89" s="1"/>
      <c r="K89" s="1"/>
      <c r="L89" s="1"/>
      <c r="M89" s="10"/>
      <c r="N89" s="145"/>
      <c r="O89" s="16"/>
      <c r="P89" s="1"/>
    </row>
    <row r="90" spans="1:16">
      <c r="A90" s="6"/>
      <c r="B90" s="7"/>
      <c r="C90" s="6"/>
      <c r="D90" s="125"/>
      <c r="E90" s="126"/>
      <c r="F90" s="1"/>
      <c r="G90" s="9"/>
      <c r="H90" s="9"/>
      <c r="I90" s="5"/>
      <c r="J90" s="1"/>
      <c r="K90" s="1"/>
      <c r="L90" s="1"/>
      <c r="M90" s="10"/>
      <c r="N90" s="145"/>
      <c r="O90" s="16"/>
      <c r="P90" s="1"/>
    </row>
    <row r="91" spans="1:16">
      <c r="A91" s="122"/>
      <c r="B91" s="7"/>
      <c r="C91" s="6"/>
      <c r="D91" s="125"/>
      <c r="E91" s="126"/>
      <c r="F91" s="1"/>
      <c r="G91" s="9"/>
      <c r="H91" s="9"/>
      <c r="I91" s="5"/>
      <c r="J91" s="1"/>
      <c r="K91" s="1"/>
      <c r="L91" s="1"/>
      <c r="M91" s="10"/>
      <c r="N91" s="145"/>
      <c r="O91" s="16"/>
      <c r="P91" s="1"/>
    </row>
    <row r="92" spans="1:16">
      <c r="A92" s="6"/>
      <c r="B92" s="7"/>
      <c r="C92" s="6"/>
      <c r="D92" s="125"/>
      <c r="E92" s="126"/>
      <c r="F92" s="1"/>
      <c r="G92" s="9"/>
      <c r="H92" s="9"/>
      <c r="I92" s="5"/>
      <c r="J92" s="1"/>
      <c r="K92" s="1"/>
      <c r="L92" s="1"/>
      <c r="M92" s="10"/>
      <c r="N92" s="145"/>
      <c r="O92" s="16"/>
      <c r="P92" s="1"/>
    </row>
    <row r="93" spans="1:16">
      <c r="A93" s="6"/>
      <c r="B93" s="7"/>
      <c r="C93" s="6"/>
      <c r="D93" s="125"/>
      <c r="E93" s="126"/>
      <c r="F93" s="1"/>
      <c r="G93" s="9"/>
      <c r="H93" s="9"/>
      <c r="I93" s="5"/>
      <c r="J93" s="1"/>
      <c r="K93" s="1"/>
      <c r="L93" s="1"/>
      <c r="M93" s="10"/>
      <c r="N93" s="145"/>
      <c r="O93" s="16"/>
      <c r="P93" s="1"/>
    </row>
    <row r="94" spans="1:16">
      <c r="A94" s="6"/>
      <c r="B94" s="7"/>
      <c r="C94" s="6"/>
      <c r="D94" s="125"/>
      <c r="E94" s="126"/>
      <c r="F94" s="1"/>
      <c r="G94" s="9"/>
      <c r="H94" s="9"/>
      <c r="I94" s="5"/>
      <c r="J94" s="1"/>
      <c r="K94" s="1"/>
      <c r="L94" s="1"/>
      <c r="M94" s="10"/>
      <c r="N94" s="145"/>
      <c r="O94" s="16"/>
      <c r="P94" s="1"/>
    </row>
    <row r="95" spans="1:16">
      <c r="A95" s="6"/>
      <c r="B95" s="7"/>
      <c r="C95" s="6"/>
      <c r="D95" s="123"/>
      <c r="E95" s="124"/>
      <c r="F95" s="124"/>
      <c r="G95" s="9"/>
      <c r="H95" s="9"/>
      <c r="I95" s="5"/>
      <c r="J95" s="1"/>
      <c r="K95" s="1"/>
      <c r="L95" s="1"/>
      <c r="M95" s="10"/>
      <c r="N95" s="145"/>
      <c r="O95" s="16"/>
      <c r="P95" s="1"/>
    </row>
    <row r="96" spans="1:16">
      <c r="A96" s="6"/>
      <c r="B96" s="7"/>
      <c r="C96" s="6"/>
      <c r="D96" s="123"/>
      <c r="E96" s="124"/>
      <c r="F96" s="1"/>
      <c r="G96" s="9"/>
      <c r="H96" s="9"/>
      <c r="I96" s="5"/>
      <c r="J96" s="1"/>
      <c r="K96" s="1"/>
      <c r="L96" s="1"/>
      <c r="M96" s="10"/>
      <c r="N96" s="145"/>
      <c r="O96" s="16"/>
      <c r="P96" s="1"/>
    </row>
    <row r="97" spans="1:16">
      <c r="A97" s="6"/>
      <c r="B97" s="7"/>
      <c r="C97" s="6"/>
      <c r="D97" s="125"/>
      <c r="E97" s="126"/>
      <c r="F97" s="1"/>
      <c r="G97" s="9"/>
      <c r="H97" s="9"/>
      <c r="I97" s="5"/>
      <c r="J97" s="1"/>
      <c r="K97" s="1"/>
      <c r="L97" s="1"/>
      <c r="M97" s="10"/>
      <c r="N97" s="145"/>
      <c r="O97" s="16"/>
      <c r="P97" s="1"/>
    </row>
    <row r="98" spans="1:16">
      <c r="A98" s="6"/>
      <c r="B98" s="7"/>
      <c r="C98" s="6"/>
      <c r="D98" s="125"/>
      <c r="E98" s="126"/>
      <c r="F98" s="1"/>
      <c r="G98" s="9"/>
      <c r="H98" s="9"/>
      <c r="I98" s="5"/>
      <c r="J98" s="1"/>
      <c r="K98" s="1"/>
      <c r="L98" s="1"/>
      <c r="M98" s="10"/>
      <c r="N98" s="145"/>
      <c r="O98" s="16"/>
      <c r="P98" s="1"/>
    </row>
    <row r="99" spans="1:16">
      <c r="A99" s="6"/>
      <c r="B99" s="7"/>
      <c r="C99" s="6"/>
      <c r="D99" s="125"/>
      <c r="E99" s="126"/>
      <c r="F99" s="1"/>
      <c r="G99" s="9"/>
      <c r="H99" s="9"/>
      <c r="I99" s="5"/>
      <c r="J99" s="1"/>
      <c r="K99" s="1"/>
      <c r="L99" s="1"/>
      <c r="M99" s="10"/>
      <c r="N99" s="145"/>
      <c r="O99" s="16"/>
      <c r="P99" s="1"/>
    </row>
    <row r="100" spans="1:16">
      <c r="A100" s="6"/>
      <c r="B100" s="7"/>
      <c r="C100" s="6"/>
      <c r="D100" s="125"/>
      <c r="E100" s="126"/>
      <c r="F100" s="1"/>
      <c r="G100" s="9"/>
      <c r="H100" s="9"/>
      <c r="I100" s="5"/>
      <c r="J100" s="1"/>
      <c r="K100" s="1"/>
      <c r="L100" s="1"/>
      <c r="M100" s="10"/>
      <c r="N100" s="145"/>
      <c r="O100" s="16"/>
      <c r="P100" s="1"/>
    </row>
    <row r="101" spans="1:16">
      <c r="A101" s="6"/>
      <c r="B101" s="7"/>
      <c r="C101" s="6"/>
      <c r="D101" s="125"/>
      <c r="E101" s="126"/>
      <c r="F101" s="1"/>
      <c r="G101" s="9"/>
      <c r="H101" s="9"/>
      <c r="I101" s="5"/>
      <c r="J101" s="1"/>
      <c r="K101" s="1"/>
      <c r="L101" s="1"/>
      <c r="M101" s="10"/>
      <c r="N101" s="145"/>
      <c r="O101" s="16"/>
      <c r="P101" s="1"/>
    </row>
    <row r="102" spans="1:16">
      <c r="A102" s="6"/>
      <c r="B102" s="7"/>
      <c r="C102" s="6"/>
      <c r="D102" s="125"/>
      <c r="E102" s="126"/>
      <c r="F102" s="1"/>
      <c r="G102" s="9"/>
      <c r="H102" s="9"/>
      <c r="I102" s="5"/>
      <c r="J102" s="1"/>
      <c r="K102" s="1"/>
      <c r="L102" s="1"/>
      <c r="M102" s="10"/>
      <c r="N102" s="145"/>
      <c r="O102" s="16"/>
      <c r="P102" s="1"/>
    </row>
    <row r="103" spans="1:16">
      <c r="A103" s="6"/>
      <c r="B103" s="7"/>
      <c r="C103" s="6"/>
      <c r="D103" s="123"/>
      <c r="E103" s="124"/>
      <c r="F103" s="1"/>
      <c r="G103" s="9"/>
      <c r="H103" s="9"/>
      <c r="I103" s="5"/>
      <c r="J103" s="1"/>
      <c r="K103" s="1"/>
      <c r="L103" s="1"/>
      <c r="M103" s="10"/>
      <c r="N103" s="145"/>
      <c r="O103" s="16"/>
      <c r="P103" s="1"/>
    </row>
    <row r="104" spans="1:16">
      <c r="A104" s="6"/>
      <c r="B104" s="7"/>
      <c r="C104" s="6"/>
      <c r="D104" s="125"/>
      <c r="E104" s="126"/>
      <c r="F104" s="1"/>
      <c r="G104" s="9"/>
      <c r="H104" s="9"/>
      <c r="I104" s="5"/>
      <c r="J104" s="1"/>
      <c r="K104" s="1"/>
      <c r="L104" s="1"/>
      <c r="M104" s="10"/>
      <c r="N104" s="145"/>
      <c r="O104" s="16"/>
      <c r="P104" s="1"/>
    </row>
    <row r="105" spans="1:16">
      <c r="A105" s="6"/>
      <c r="B105" s="7"/>
      <c r="C105" s="6"/>
      <c r="D105" s="125"/>
      <c r="E105" s="126"/>
      <c r="F105" s="1"/>
      <c r="G105" s="9"/>
      <c r="H105" s="9"/>
      <c r="I105" s="5"/>
      <c r="J105" s="1"/>
      <c r="K105" s="1"/>
      <c r="L105" s="1"/>
      <c r="M105" s="10"/>
      <c r="N105" s="145"/>
      <c r="O105" s="16"/>
      <c r="P105" s="1"/>
    </row>
    <row r="106" spans="1:16">
      <c r="A106" s="6"/>
      <c r="B106" s="7"/>
      <c r="C106" s="6"/>
      <c r="D106" s="125"/>
      <c r="E106" s="126"/>
      <c r="F106" s="1"/>
      <c r="G106" s="9"/>
      <c r="H106" s="9"/>
      <c r="I106" s="5"/>
      <c r="J106" s="1"/>
      <c r="K106" s="1"/>
      <c r="L106" s="1"/>
      <c r="M106" s="10"/>
      <c r="N106" s="145"/>
      <c r="O106" s="16"/>
      <c r="P106" s="1"/>
    </row>
    <row r="107" spans="1:16">
      <c r="A107" s="6"/>
      <c r="B107" s="7"/>
      <c r="C107" s="6"/>
      <c r="D107" s="125"/>
      <c r="E107" s="126"/>
      <c r="F107" s="1"/>
      <c r="G107" s="9"/>
      <c r="H107" s="9"/>
      <c r="I107" s="5"/>
      <c r="J107" s="1"/>
      <c r="K107" s="1"/>
      <c r="L107" s="1"/>
      <c r="M107" s="10"/>
      <c r="N107" s="145"/>
      <c r="O107" s="16"/>
      <c r="P107" s="1"/>
    </row>
    <row r="108" spans="1:16">
      <c r="A108" s="6"/>
      <c r="B108" s="7"/>
      <c r="C108" s="6"/>
      <c r="D108" s="125"/>
      <c r="E108" s="126"/>
      <c r="F108" s="1"/>
      <c r="G108" s="9"/>
      <c r="H108" s="9"/>
      <c r="I108" s="5"/>
      <c r="J108" s="1"/>
      <c r="K108" s="1"/>
      <c r="L108" s="1"/>
      <c r="M108" s="10"/>
      <c r="N108" s="145"/>
      <c r="O108" s="16"/>
      <c r="P108" s="1"/>
    </row>
    <row r="109" spans="1:16">
      <c r="A109" s="6"/>
      <c r="B109" s="7"/>
      <c r="C109" s="6"/>
      <c r="D109" s="125"/>
      <c r="E109" s="126"/>
      <c r="F109" s="1"/>
      <c r="G109" s="9"/>
      <c r="H109" s="9"/>
      <c r="I109" s="5"/>
      <c r="J109" s="1"/>
      <c r="K109" s="1"/>
      <c r="L109" s="1"/>
      <c r="M109" s="10"/>
      <c r="N109" s="145"/>
      <c r="O109" s="16"/>
      <c r="P109" s="1"/>
    </row>
    <row r="110" spans="1:16">
      <c r="A110" s="6"/>
      <c r="B110" s="7"/>
      <c r="C110" s="6"/>
      <c r="D110" s="125"/>
      <c r="E110" s="126"/>
      <c r="F110" s="1"/>
      <c r="G110" s="9"/>
      <c r="H110" s="9"/>
      <c r="I110" s="5"/>
      <c r="J110" s="1"/>
      <c r="K110" s="1"/>
      <c r="L110" s="1"/>
      <c r="M110" s="10"/>
      <c r="N110" s="145"/>
      <c r="O110" s="16"/>
      <c r="P110" s="1"/>
    </row>
    <row r="111" spans="1:16">
      <c r="A111" s="6"/>
      <c r="B111" s="7"/>
      <c r="C111" s="6"/>
      <c r="D111" s="125"/>
      <c r="E111" s="126"/>
      <c r="F111" s="1"/>
      <c r="G111" s="9"/>
      <c r="H111" s="9"/>
      <c r="I111" s="5"/>
      <c r="J111" s="1"/>
      <c r="K111" s="1"/>
      <c r="L111" s="1"/>
      <c r="M111" s="10"/>
      <c r="N111" s="145"/>
      <c r="O111" s="16"/>
      <c r="P111" s="1"/>
    </row>
    <row r="112" spans="1:16">
      <c r="A112" s="6"/>
      <c r="B112" s="7"/>
      <c r="C112" s="6"/>
      <c r="D112" s="125"/>
      <c r="E112" s="126"/>
      <c r="F112" s="1"/>
      <c r="G112" s="9"/>
      <c r="H112" s="9"/>
      <c r="I112" s="5"/>
      <c r="J112" s="1"/>
      <c r="K112" s="1"/>
      <c r="L112" s="1"/>
      <c r="M112" s="10"/>
      <c r="N112" s="145"/>
      <c r="O112" s="16"/>
      <c r="P112" s="1"/>
    </row>
    <row r="113" spans="1:16">
      <c r="A113" s="6"/>
      <c r="B113" s="7"/>
      <c r="C113" s="6"/>
      <c r="D113" s="122"/>
      <c r="E113" s="122"/>
      <c r="F113" s="1"/>
      <c r="G113" s="9"/>
      <c r="H113" s="9"/>
      <c r="I113" s="5"/>
      <c r="J113" s="1"/>
      <c r="K113" s="1"/>
      <c r="L113" s="1"/>
      <c r="M113" s="10"/>
      <c r="N113" s="145"/>
      <c r="O113" s="16"/>
      <c r="P113" s="1"/>
    </row>
    <row r="114" spans="1:16">
      <c r="A114" s="6"/>
      <c r="B114" s="7"/>
      <c r="C114" s="6"/>
      <c r="D114" s="125"/>
      <c r="E114" s="126"/>
      <c r="F114" s="1"/>
      <c r="G114" s="9"/>
      <c r="H114" s="9"/>
      <c r="I114" s="5"/>
      <c r="J114" s="1"/>
      <c r="K114" s="1"/>
      <c r="L114" s="1"/>
      <c r="M114" s="10"/>
      <c r="N114" s="145"/>
      <c r="O114" s="16"/>
      <c r="P114" s="1"/>
    </row>
    <row r="115" spans="1:16">
      <c r="A115" s="6"/>
      <c r="B115" s="7"/>
      <c r="C115" s="6"/>
      <c r="D115" s="125"/>
      <c r="E115" s="126"/>
      <c r="F115" s="1"/>
      <c r="G115" s="9"/>
      <c r="H115" s="9"/>
      <c r="I115" s="5"/>
      <c r="J115" s="1"/>
      <c r="K115" s="1"/>
      <c r="L115" s="1"/>
      <c r="M115" s="10"/>
      <c r="N115" s="145"/>
      <c r="O115" s="16"/>
      <c r="P115" s="1"/>
    </row>
    <row r="116" spans="1:16">
      <c r="A116" s="6"/>
      <c r="B116" s="7"/>
      <c r="C116" s="6"/>
      <c r="D116" s="125"/>
      <c r="E116" s="126"/>
      <c r="F116" s="1"/>
      <c r="G116" s="9"/>
      <c r="H116" s="9"/>
      <c r="I116" s="5"/>
      <c r="J116" s="1"/>
      <c r="K116" s="1"/>
      <c r="L116" s="1"/>
      <c r="M116" s="10"/>
      <c r="N116" s="145"/>
      <c r="O116" s="16"/>
      <c r="P116" s="1"/>
    </row>
    <row r="117" spans="1:16">
      <c r="A117" s="6"/>
      <c r="B117" s="7"/>
      <c r="C117" s="6"/>
      <c r="D117" s="125"/>
      <c r="E117" s="126"/>
      <c r="F117" s="1"/>
      <c r="G117" s="9"/>
      <c r="H117" s="9"/>
      <c r="I117" s="5"/>
      <c r="J117" s="1"/>
      <c r="K117" s="1"/>
      <c r="L117" s="1"/>
      <c r="M117" s="10"/>
      <c r="N117" s="145"/>
      <c r="O117" s="16"/>
      <c r="P117" s="1"/>
    </row>
    <row r="118" spans="1:16">
      <c r="A118" s="6"/>
      <c r="B118" s="7"/>
      <c r="C118" s="6"/>
      <c r="D118" s="125"/>
      <c r="E118" s="126"/>
      <c r="F118" s="1"/>
      <c r="G118" s="9"/>
      <c r="H118" s="9"/>
      <c r="I118" s="5"/>
      <c r="J118" s="1"/>
      <c r="K118" s="1"/>
      <c r="L118" s="1"/>
      <c r="M118" s="10"/>
      <c r="N118" s="145"/>
      <c r="O118" s="16"/>
      <c r="P118" s="1"/>
    </row>
    <row r="119" spans="1:16">
      <c r="A119" s="6"/>
      <c r="B119" s="7"/>
      <c r="C119" s="6"/>
      <c r="D119" s="125"/>
      <c r="E119" s="126"/>
      <c r="F119" s="1"/>
      <c r="G119" s="9"/>
      <c r="H119" s="9"/>
      <c r="I119" s="5"/>
      <c r="J119" s="1"/>
      <c r="K119" s="1"/>
      <c r="L119" s="1"/>
      <c r="M119" s="10"/>
      <c r="N119" s="145"/>
      <c r="O119" s="16"/>
      <c r="P119" s="1"/>
    </row>
    <row r="120" spans="1:16">
      <c r="A120" s="6"/>
      <c r="B120" s="7"/>
      <c r="C120" s="6"/>
      <c r="D120" s="125"/>
      <c r="E120" s="126"/>
      <c r="F120" s="1"/>
      <c r="G120" s="9"/>
      <c r="H120" s="9"/>
      <c r="I120" s="5"/>
      <c r="J120" s="1"/>
      <c r="K120" s="1"/>
      <c r="L120" s="1"/>
      <c r="M120" s="10"/>
      <c r="N120" s="145"/>
      <c r="O120" s="16"/>
      <c r="P120" s="1"/>
    </row>
    <row r="121" spans="1:16">
      <c r="A121" s="6"/>
      <c r="B121" s="7"/>
      <c r="C121" s="6"/>
      <c r="D121" s="125"/>
      <c r="E121" s="126"/>
      <c r="F121" s="1"/>
      <c r="G121" s="9"/>
      <c r="H121" s="9"/>
      <c r="I121" s="5"/>
      <c r="J121" s="1"/>
      <c r="K121" s="1"/>
      <c r="L121" s="1"/>
      <c r="M121" s="10"/>
      <c r="N121" s="145"/>
      <c r="O121" s="16"/>
      <c r="P121" s="1"/>
    </row>
    <row r="122" spans="1:16">
      <c r="A122" s="6"/>
      <c r="B122" s="7"/>
      <c r="C122" s="6"/>
      <c r="D122" s="125"/>
      <c r="E122" s="126"/>
      <c r="F122" s="1"/>
      <c r="G122" s="9"/>
      <c r="H122" s="9"/>
      <c r="I122" s="5"/>
      <c r="J122" s="1"/>
      <c r="K122" s="1"/>
      <c r="L122" s="1"/>
      <c r="M122" s="10"/>
      <c r="N122" s="145"/>
      <c r="O122" s="16"/>
      <c r="P122" s="1"/>
    </row>
    <row r="123" spans="1:16">
      <c r="A123" s="6"/>
      <c r="B123" s="7"/>
      <c r="C123" s="6"/>
      <c r="D123" s="125"/>
      <c r="E123" s="126"/>
      <c r="F123" s="1"/>
      <c r="G123" s="9"/>
      <c r="H123" s="9"/>
      <c r="I123" s="5"/>
      <c r="J123" s="1"/>
      <c r="K123" s="1"/>
      <c r="L123" s="1"/>
      <c r="M123" s="10"/>
      <c r="N123" s="145"/>
      <c r="O123" s="16"/>
      <c r="P123" s="1"/>
    </row>
    <row r="124" spans="1:16">
      <c r="A124" s="6"/>
      <c r="B124" s="7"/>
      <c r="C124" s="67"/>
      <c r="D124" s="125"/>
      <c r="E124" s="126"/>
      <c r="F124" s="71"/>
      <c r="G124" s="9"/>
      <c r="H124" s="9"/>
      <c r="I124" s="5"/>
      <c r="J124" s="1"/>
      <c r="K124" s="1"/>
      <c r="L124" s="1"/>
      <c r="M124" s="10"/>
      <c r="N124" s="145"/>
      <c r="O124" s="16"/>
      <c r="P124" s="1"/>
    </row>
    <row r="125" spans="1:16">
      <c r="A125" s="6"/>
      <c r="B125" s="7"/>
      <c r="C125" s="67"/>
      <c r="D125" s="125"/>
      <c r="E125" s="126"/>
      <c r="F125" s="71"/>
      <c r="G125" s="9"/>
      <c r="H125" s="9"/>
      <c r="I125" s="5"/>
      <c r="J125" s="1"/>
      <c r="K125" s="1"/>
      <c r="L125" s="1"/>
      <c r="M125" s="10"/>
      <c r="N125" s="145"/>
      <c r="O125" s="16"/>
      <c r="P125" s="1"/>
    </row>
    <row r="126" spans="1:16">
      <c r="A126" s="6"/>
      <c r="B126" s="7"/>
      <c r="C126" s="67"/>
      <c r="D126" s="125"/>
      <c r="E126" s="126"/>
      <c r="F126" s="71"/>
      <c r="G126" s="9"/>
      <c r="H126" s="9"/>
      <c r="I126" s="5"/>
      <c r="J126" s="1"/>
      <c r="K126" s="1"/>
      <c r="L126" s="1"/>
      <c r="M126" s="10"/>
      <c r="N126" s="145"/>
      <c r="O126" s="16"/>
      <c r="P126" s="1"/>
    </row>
    <row r="127" spans="1:16">
      <c r="A127" s="6"/>
      <c r="B127" s="7"/>
      <c r="C127" s="67"/>
      <c r="D127" s="125"/>
      <c r="E127" s="126"/>
      <c r="F127" s="71"/>
      <c r="G127" s="9"/>
      <c r="H127" s="9"/>
      <c r="I127" s="5"/>
      <c r="J127" s="1"/>
      <c r="K127" s="1"/>
      <c r="L127" s="1"/>
      <c r="M127" s="10"/>
      <c r="N127" s="145"/>
      <c r="O127" s="16"/>
      <c r="P127" s="1"/>
    </row>
    <row r="128" spans="1:16">
      <c r="A128" s="6"/>
      <c r="B128" s="7"/>
      <c r="C128" s="67"/>
      <c r="D128" s="125"/>
      <c r="E128" s="126"/>
      <c r="F128" s="71"/>
      <c r="G128" s="9"/>
      <c r="H128" s="9"/>
      <c r="I128" s="5"/>
      <c r="J128" s="1"/>
      <c r="K128" s="1"/>
      <c r="L128" s="1"/>
      <c r="M128" s="10"/>
      <c r="N128" s="145"/>
      <c r="O128" s="16"/>
      <c r="P128" s="1"/>
    </row>
    <row r="129" spans="1:16">
      <c r="A129" s="6"/>
      <c r="B129" s="7"/>
      <c r="C129" s="67"/>
      <c r="D129" s="125"/>
      <c r="E129" s="126"/>
      <c r="F129" s="71"/>
      <c r="G129" s="9"/>
      <c r="H129" s="9"/>
      <c r="I129" s="5"/>
      <c r="J129" s="1"/>
      <c r="K129" s="1"/>
      <c r="L129" s="1"/>
      <c r="M129" s="10"/>
      <c r="N129" s="145"/>
      <c r="O129" s="16"/>
      <c r="P129" s="1"/>
    </row>
    <row r="130" spans="1:16">
      <c r="A130" s="129"/>
      <c r="B130" s="7"/>
      <c r="C130" s="67"/>
      <c r="D130" s="67"/>
      <c r="E130" s="67"/>
      <c r="F130" s="71"/>
      <c r="G130" s="9"/>
      <c r="H130" s="9"/>
      <c r="I130" s="5"/>
      <c r="J130" s="1"/>
      <c r="K130" s="1"/>
      <c r="L130" s="1"/>
      <c r="M130" s="10"/>
      <c r="N130" s="145"/>
      <c r="O130" s="16"/>
      <c r="P130" s="1"/>
    </row>
    <row r="131" spans="1:16">
      <c r="A131" s="6"/>
      <c r="B131" s="7"/>
      <c r="C131" s="67"/>
      <c r="D131" s="67"/>
      <c r="E131" s="67"/>
      <c r="F131" s="71"/>
      <c r="G131" s="9"/>
      <c r="H131" s="9"/>
      <c r="I131" s="5"/>
      <c r="J131" s="1"/>
      <c r="K131" s="1"/>
      <c r="L131" s="1"/>
      <c r="M131" s="10"/>
      <c r="N131" s="145"/>
      <c r="O131" s="16"/>
      <c r="P131" s="1"/>
    </row>
    <row r="132" spans="1:16">
      <c r="A132" s="6"/>
      <c r="B132" s="7"/>
      <c r="C132" s="67"/>
      <c r="D132" s="125"/>
      <c r="E132" s="67"/>
      <c r="F132" s="71"/>
      <c r="G132" s="9"/>
      <c r="H132" s="9"/>
      <c r="I132" s="5"/>
      <c r="J132" s="1"/>
      <c r="K132" s="1"/>
      <c r="L132" s="1"/>
      <c r="M132" s="10"/>
      <c r="N132" s="145"/>
      <c r="O132" s="16"/>
      <c r="P132" s="1"/>
    </row>
    <row r="133" spans="1:16">
      <c r="A133" s="6"/>
      <c r="B133" s="7"/>
      <c r="C133" s="67"/>
      <c r="D133" s="125"/>
      <c r="E133" s="126"/>
      <c r="F133" s="71"/>
      <c r="G133" s="9"/>
      <c r="H133" s="9"/>
      <c r="I133" s="5"/>
      <c r="J133" s="1"/>
      <c r="K133" s="1"/>
      <c r="L133" s="1"/>
      <c r="M133" s="10"/>
      <c r="N133" s="145"/>
      <c r="O133" s="16"/>
      <c r="P133" s="1"/>
    </row>
    <row r="134" spans="1:16">
      <c r="A134" s="6"/>
      <c r="B134" s="7"/>
      <c r="C134" s="67"/>
      <c r="D134" s="125"/>
      <c r="E134" s="126"/>
      <c r="F134" s="71"/>
      <c r="G134" s="9"/>
      <c r="H134" s="9"/>
      <c r="I134" s="5"/>
      <c r="J134" s="1"/>
      <c r="K134" s="1"/>
      <c r="L134" s="1"/>
      <c r="M134" s="10"/>
      <c r="N134" s="145"/>
      <c r="O134" s="16"/>
      <c r="P134" s="1"/>
    </row>
    <row r="135" spans="1:16">
      <c r="A135" s="6"/>
      <c r="B135" s="7"/>
      <c r="C135" s="67"/>
      <c r="D135" s="125"/>
      <c r="E135" s="126"/>
      <c r="F135" s="71"/>
      <c r="G135" s="9"/>
      <c r="H135" s="9"/>
      <c r="I135" s="5"/>
      <c r="J135" s="1"/>
      <c r="K135" s="1"/>
      <c r="L135" s="1"/>
      <c r="M135" s="10"/>
      <c r="N135" s="145"/>
      <c r="O135" s="16"/>
      <c r="P135" s="1"/>
    </row>
    <row r="136" spans="1:16">
      <c r="A136" s="6"/>
      <c r="B136" s="7"/>
      <c r="C136" s="67"/>
      <c r="D136" s="125"/>
      <c r="E136" s="126"/>
      <c r="F136" s="71"/>
      <c r="G136" s="9"/>
      <c r="H136" s="9"/>
      <c r="I136" s="5"/>
      <c r="J136" s="1"/>
      <c r="K136" s="1"/>
      <c r="L136" s="1"/>
      <c r="M136" s="10"/>
      <c r="N136" s="145"/>
      <c r="O136" s="16"/>
      <c r="P136" s="1"/>
    </row>
    <row r="137" spans="1:16">
      <c r="A137" s="6"/>
      <c r="B137" s="7"/>
      <c r="C137" s="67"/>
      <c r="D137" s="125"/>
      <c r="E137" s="126"/>
      <c r="F137" s="72"/>
      <c r="G137" s="9"/>
      <c r="H137" s="9"/>
      <c r="I137" s="5"/>
      <c r="J137" s="1"/>
      <c r="K137" s="1"/>
      <c r="L137" s="1"/>
      <c r="M137" s="10"/>
      <c r="N137" s="145"/>
      <c r="O137" s="16"/>
      <c r="P137" s="1"/>
    </row>
    <row r="138" spans="1:16">
      <c r="A138" s="6"/>
      <c r="B138" s="7"/>
      <c r="C138" s="130"/>
      <c r="D138" s="125"/>
      <c r="E138" s="126"/>
      <c r="F138" s="71"/>
      <c r="G138" s="9"/>
      <c r="H138" s="9"/>
      <c r="I138" s="5"/>
      <c r="J138" s="1"/>
      <c r="K138" s="1"/>
      <c r="L138" s="1"/>
      <c r="M138" s="10"/>
      <c r="N138" s="145"/>
      <c r="O138" s="16"/>
      <c r="P138" s="1"/>
    </row>
    <row r="139" spans="1:16">
      <c r="A139" s="6"/>
      <c r="B139" s="7"/>
      <c r="C139" s="6"/>
      <c r="D139" s="125"/>
      <c r="E139" s="126"/>
      <c r="F139" s="1"/>
      <c r="G139" s="9"/>
      <c r="H139" s="9"/>
      <c r="I139" s="5"/>
      <c r="J139" s="1"/>
      <c r="K139" s="1"/>
      <c r="L139" s="1"/>
      <c r="M139" s="10"/>
      <c r="N139" s="145"/>
      <c r="O139" s="16"/>
      <c r="P139" s="1"/>
    </row>
    <row r="140" spans="1:16">
      <c r="A140" s="6"/>
      <c r="B140" s="7"/>
      <c r="C140" s="6"/>
      <c r="D140" s="125"/>
      <c r="E140" s="126"/>
      <c r="F140" s="1"/>
      <c r="G140" s="9"/>
      <c r="H140" s="9"/>
      <c r="I140" s="5"/>
      <c r="J140" s="1"/>
      <c r="K140" s="1"/>
      <c r="L140" s="1"/>
      <c r="M140" s="10"/>
      <c r="N140" s="145"/>
      <c r="O140" s="16"/>
      <c r="P140" s="1"/>
    </row>
    <row r="141" spans="1:16">
      <c r="A141" s="6"/>
      <c r="B141" s="7"/>
      <c r="C141" s="6"/>
      <c r="D141" s="125"/>
      <c r="E141" s="126"/>
      <c r="F141" s="1"/>
      <c r="G141" s="9"/>
      <c r="H141" s="9"/>
      <c r="I141" s="5"/>
      <c r="J141" s="1"/>
      <c r="K141" s="1"/>
      <c r="L141" s="1"/>
      <c r="M141" s="10"/>
      <c r="N141" s="145"/>
      <c r="O141" s="16"/>
      <c r="P141" s="1"/>
    </row>
    <row r="142" spans="1:16">
      <c r="A142" s="6"/>
      <c r="B142" s="7"/>
      <c r="C142" s="6"/>
      <c r="D142" s="125"/>
      <c r="E142" s="126"/>
      <c r="F142" s="1"/>
      <c r="G142" s="9"/>
      <c r="H142" s="9"/>
      <c r="I142" s="5"/>
      <c r="J142" s="1"/>
      <c r="K142" s="1"/>
      <c r="L142" s="1"/>
      <c r="M142" s="10"/>
      <c r="N142" s="145"/>
      <c r="O142" s="16"/>
      <c r="P142" s="1"/>
    </row>
    <row r="143" spans="1:16">
      <c r="A143" s="6"/>
      <c r="B143" s="7"/>
      <c r="C143" s="132"/>
      <c r="D143" s="125"/>
      <c r="E143" s="125"/>
      <c r="F143" s="1"/>
      <c r="G143" s="9"/>
      <c r="H143" s="9"/>
      <c r="I143" s="5"/>
      <c r="J143" s="1"/>
      <c r="K143" s="1"/>
      <c r="L143" s="1"/>
      <c r="M143" s="10"/>
      <c r="N143" s="145"/>
      <c r="O143" s="16"/>
      <c r="P143" s="1"/>
    </row>
    <row r="144" spans="1:16">
      <c r="A144" s="6"/>
      <c r="B144" s="7"/>
      <c r="C144" s="6"/>
      <c r="D144" s="125"/>
      <c r="E144" s="125"/>
      <c r="F144" s="1"/>
      <c r="G144" s="9"/>
      <c r="H144" s="9"/>
      <c r="I144" s="5"/>
      <c r="J144" s="1"/>
      <c r="K144" s="1"/>
      <c r="L144" s="1"/>
      <c r="M144" s="10"/>
      <c r="N144" s="145"/>
      <c r="O144" s="16"/>
      <c r="P144" s="1"/>
    </row>
    <row r="145" spans="1:16">
      <c r="A145" s="6"/>
      <c r="B145" s="7"/>
      <c r="C145" s="6"/>
      <c r="D145" s="125"/>
      <c r="E145" s="125"/>
      <c r="F145" s="1"/>
      <c r="G145" s="9"/>
      <c r="H145" s="9"/>
      <c r="I145" s="5"/>
      <c r="J145" s="1"/>
      <c r="K145" s="1"/>
      <c r="L145" s="1"/>
      <c r="M145" s="10"/>
      <c r="N145" s="145"/>
      <c r="O145" s="16"/>
      <c r="P145" s="1"/>
    </row>
    <row r="146" spans="1:16">
      <c r="A146" s="6"/>
      <c r="B146" s="7"/>
      <c r="C146" s="6"/>
      <c r="D146" s="125"/>
      <c r="E146" s="125"/>
      <c r="F146" s="1"/>
      <c r="G146" s="9"/>
      <c r="H146" s="9"/>
      <c r="I146" s="5"/>
      <c r="J146" s="1"/>
      <c r="K146" s="1"/>
      <c r="L146" s="1"/>
      <c r="M146" s="10"/>
      <c r="N146" s="145"/>
      <c r="O146" s="16"/>
      <c r="P146" s="1"/>
    </row>
    <row r="147" spans="1:16">
      <c r="A147" s="6"/>
      <c r="B147" s="7"/>
      <c r="C147" s="6"/>
      <c r="D147" s="125"/>
      <c r="E147" s="125"/>
      <c r="F147" s="1"/>
      <c r="G147" s="9"/>
      <c r="H147" s="9"/>
      <c r="I147" s="5"/>
      <c r="J147" s="1"/>
      <c r="K147" s="1"/>
      <c r="L147" s="1"/>
      <c r="M147" s="10"/>
      <c r="N147" s="145"/>
      <c r="O147" s="16"/>
      <c r="P147" s="1"/>
    </row>
    <row r="148" spans="1:16">
      <c r="A148" s="6"/>
      <c r="B148" s="7"/>
      <c r="C148" s="6"/>
      <c r="D148" s="125"/>
      <c r="E148" s="125"/>
      <c r="F148" s="1"/>
      <c r="G148" s="9"/>
      <c r="H148" s="9"/>
      <c r="I148" s="5"/>
      <c r="J148" s="1"/>
      <c r="K148" s="1"/>
      <c r="L148" s="1"/>
      <c r="M148" s="10"/>
      <c r="N148" s="145"/>
      <c r="O148" s="16"/>
      <c r="P148" s="1"/>
    </row>
    <row r="149" spans="1:16">
      <c r="A149" s="6"/>
      <c r="B149" s="7"/>
      <c r="C149" s="6"/>
      <c r="D149" s="125"/>
      <c r="E149" s="125"/>
      <c r="F149" s="1"/>
      <c r="G149" s="9"/>
      <c r="H149" s="9"/>
      <c r="I149" s="5"/>
      <c r="J149" s="1"/>
      <c r="K149" s="1"/>
      <c r="L149" s="1"/>
      <c r="M149" s="10"/>
      <c r="N149" s="145"/>
      <c r="O149" s="16"/>
      <c r="P149" s="1"/>
    </row>
    <row r="150" spans="1:16">
      <c r="A150" s="6"/>
      <c r="B150" s="7"/>
      <c r="C150" s="6"/>
      <c r="D150" s="125"/>
      <c r="E150" s="125"/>
      <c r="F150" s="1"/>
      <c r="G150" s="9"/>
      <c r="H150" s="9"/>
      <c r="I150" s="5"/>
      <c r="J150" s="1"/>
      <c r="K150" s="1"/>
      <c r="L150" s="1"/>
      <c r="M150" s="10"/>
      <c r="N150" s="145"/>
      <c r="O150" s="16"/>
      <c r="P150" s="1"/>
    </row>
    <row r="151" spans="1:16">
      <c r="A151" s="6"/>
      <c r="B151" s="7"/>
      <c r="C151" s="6"/>
      <c r="D151" s="125"/>
      <c r="E151" s="125"/>
      <c r="F151" s="1"/>
      <c r="G151" s="9"/>
      <c r="H151" s="9"/>
      <c r="I151" s="5"/>
      <c r="J151" s="1"/>
      <c r="K151" s="1"/>
      <c r="L151" s="1"/>
      <c r="M151" s="10"/>
      <c r="N151" s="145"/>
      <c r="O151" s="16"/>
      <c r="P151" s="1"/>
    </row>
    <row r="152" spans="1:16">
      <c r="A152" s="6"/>
      <c r="B152" s="7"/>
      <c r="C152" s="6"/>
      <c r="D152" s="125"/>
      <c r="E152" s="125"/>
      <c r="F152" s="1"/>
      <c r="G152" s="9"/>
      <c r="H152" s="9"/>
      <c r="I152" s="5"/>
      <c r="J152" s="1"/>
      <c r="K152" s="1"/>
      <c r="L152" s="1"/>
      <c r="M152" s="10"/>
      <c r="N152" s="145"/>
      <c r="O152" s="16"/>
      <c r="P152" s="1"/>
    </row>
    <row r="153" spans="1:16">
      <c r="A153" s="6"/>
      <c r="B153" s="7"/>
      <c r="C153" s="6"/>
      <c r="D153" s="125"/>
      <c r="E153" s="125"/>
      <c r="F153" s="1"/>
      <c r="G153" s="9"/>
      <c r="H153" s="9"/>
      <c r="I153" s="5"/>
      <c r="J153" s="1"/>
      <c r="K153" s="1"/>
      <c r="L153" s="1"/>
      <c r="M153" s="10"/>
      <c r="N153" s="145"/>
      <c r="O153" s="16"/>
      <c r="P153" s="1"/>
    </row>
    <row r="154" spans="1:16">
      <c r="A154" s="6"/>
      <c r="B154" s="7"/>
      <c r="C154" s="6"/>
      <c r="D154" s="125"/>
      <c r="E154" s="125"/>
      <c r="F154" s="1"/>
      <c r="G154" s="9"/>
      <c r="H154" s="9"/>
      <c r="I154" s="5"/>
      <c r="J154" s="1"/>
      <c r="K154" s="1"/>
      <c r="L154" s="1"/>
      <c r="M154" s="10"/>
      <c r="N154" s="145"/>
      <c r="O154" s="16"/>
      <c r="P154" s="1"/>
    </row>
    <row r="155" spans="1:16">
      <c r="A155" s="6"/>
      <c r="B155" s="7"/>
      <c r="C155" s="6"/>
      <c r="D155" s="125"/>
      <c r="E155" s="125"/>
      <c r="F155" s="1"/>
      <c r="G155" s="9"/>
      <c r="H155" s="9"/>
      <c r="I155" s="5"/>
      <c r="J155" s="1"/>
      <c r="K155" s="1"/>
      <c r="L155" s="1"/>
      <c r="M155" s="10"/>
      <c r="N155" s="145"/>
      <c r="O155" s="16"/>
      <c r="P155" s="1"/>
    </row>
    <row r="156" spans="1:16">
      <c r="A156" s="6"/>
      <c r="B156" s="7"/>
      <c r="C156" s="6"/>
      <c r="D156" s="125"/>
      <c r="E156" s="125"/>
      <c r="F156" s="1"/>
      <c r="G156" s="9"/>
      <c r="H156" s="9"/>
      <c r="I156" s="5"/>
      <c r="J156" s="1"/>
      <c r="K156" s="1"/>
      <c r="L156" s="1"/>
      <c r="M156" s="10"/>
      <c r="N156" s="145"/>
      <c r="O156" s="16"/>
      <c r="P156" s="1"/>
    </row>
    <row r="157" spans="1:16">
      <c r="A157" s="6"/>
      <c r="B157" s="7"/>
      <c r="C157" s="6"/>
      <c r="D157" s="125"/>
      <c r="E157" s="125"/>
      <c r="F157" s="1"/>
      <c r="G157" s="9"/>
      <c r="H157" s="9"/>
      <c r="I157" s="5"/>
      <c r="J157" s="1"/>
      <c r="K157" s="1"/>
      <c r="L157" s="1"/>
      <c r="M157" s="10"/>
      <c r="N157" s="145"/>
      <c r="O157" s="16"/>
      <c r="P157" s="1"/>
    </row>
    <row r="158" spans="1:16">
      <c r="A158" s="6"/>
      <c r="B158" s="7"/>
      <c r="C158" s="6"/>
      <c r="D158" s="125"/>
      <c r="E158" s="125"/>
      <c r="F158" s="1"/>
      <c r="G158" s="9"/>
      <c r="H158" s="9"/>
      <c r="I158" s="5"/>
      <c r="J158" s="1"/>
      <c r="K158" s="1"/>
      <c r="L158" s="1"/>
      <c r="M158" s="10"/>
      <c r="N158" s="145"/>
      <c r="O158" s="16"/>
      <c r="P158" s="1"/>
    </row>
    <row r="159" spans="1:16">
      <c r="A159" s="6"/>
      <c r="B159" s="7"/>
      <c r="C159" s="6"/>
      <c r="D159" s="125"/>
      <c r="E159" s="125"/>
      <c r="F159" s="1"/>
      <c r="G159" s="9"/>
      <c r="H159" s="9"/>
      <c r="I159" s="5"/>
      <c r="J159" s="1"/>
      <c r="K159" s="1"/>
      <c r="L159" s="1"/>
      <c r="M159" s="10"/>
      <c r="N159" s="145"/>
      <c r="O159" s="16"/>
      <c r="P159" s="1"/>
    </row>
    <row r="160" spans="1:16">
      <c r="A160" s="6"/>
      <c r="B160" s="7"/>
      <c r="C160" s="6"/>
      <c r="D160" s="125"/>
      <c r="E160" s="125"/>
      <c r="F160" s="1"/>
      <c r="G160" s="9"/>
      <c r="H160" s="9"/>
      <c r="I160" s="5"/>
      <c r="J160" s="1"/>
      <c r="K160" s="1"/>
      <c r="L160" s="1"/>
      <c r="M160" s="10"/>
      <c r="N160" s="145"/>
      <c r="O160" s="16"/>
      <c r="P160" s="1"/>
    </row>
    <row r="161" spans="1:16">
      <c r="A161" s="6"/>
      <c r="B161" s="7"/>
      <c r="C161" s="6"/>
      <c r="D161" s="125"/>
      <c r="E161" s="125"/>
      <c r="F161" s="1"/>
      <c r="G161" s="9"/>
      <c r="H161" s="9"/>
      <c r="I161" s="5"/>
      <c r="J161" s="1"/>
      <c r="K161" s="1"/>
      <c r="L161" s="1"/>
      <c r="M161" s="10"/>
      <c r="N161" s="145"/>
      <c r="O161" s="16"/>
      <c r="P161" s="1"/>
    </row>
    <row r="162" spans="1:16">
      <c r="A162" s="6"/>
      <c r="B162" s="7"/>
      <c r="C162" s="6"/>
      <c r="D162" s="125"/>
      <c r="E162" s="125"/>
      <c r="F162" s="1"/>
      <c r="G162" s="9"/>
      <c r="H162" s="9"/>
      <c r="I162" s="5"/>
      <c r="J162" s="1"/>
      <c r="K162" s="1"/>
      <c r="L162" s="1"/>
      <c r="M162" s="10"/>
      <c r="N162" s="145"/>
      <c r="O162" s="16"/>
      <c r="P162" s="1"/>
    </row>
    <row r="163" spans="1:16">
      <c r="A163" s="6"/>
      <c r="B163" s="7"/>
      <c r="C163" s="6"/>
      <c r="D163" s="125"/>
      <c r="E163" s="125"/>
      <c r="F163" s="1"/>
      <c r="G163" s="9"/>
      <c r="H163" s="9"/>
      <c r="I163" s="5"/>
      <c r="J163" s="1"/>
      <c r="K163" s="1"/>
      <c r="L163" s="1"/>
      <c r="M163" s="10"/>
      <c r="N163" s="145"/>
      <c r="O163" s="16"/>
      <c r="P163" s="1"/>
    </row>
    <row r="164" spans="1:16">
      <c r="A164" s="6"/>
      <c r="B164" s="7"/>
      <c r="C164" s="6"/>
      <c r="D164" s="125"/>
      <c r="E164" s="125"/>
      <c r="F164" s="1"/>
      <c r="G164" s="9"/>
      <c r="H164" s="9"/>
      <c r="I164" s="5"/>
      <c r="J164" s="1"/>
      <c r="K164" s="1"/>
      <c r="L164" s="1"/>
      <c r="M164" s="10"/>
      <c r="N164" s="145"/>
      <c r="O164" s="16"/>
      <c r="P164" s="1"/>
    </row>
    <row r="165" spans="1:16">
      <c r="A165" s="6"/>
      <c r="B165" s="7"/>
      <c r="C165" s="6"/>
      <c r="D165" s="125"/>
      <c r="E165" s="125"/>
      <c r="F165" s="1"/>
      <c r="G165" s="9"/>
      <c r="H165" s="9"/>
      <c r="I165" s="5"/>
      <c r="J165" s="1"/>
      <c r="K165" s="1"/>
      <c r="L165" s="1"/>
      <c r="M165" s="10"/>
      <c r="N165" s="145"/>
      <c r="O165" s="16"/>
      <c r="P165" s="1"/>
    </row>
    <row r="166" spans="1:16">
      <c r="A166" s="6"/>
      <c r="B166" s="7"/>
      <c r="C166" s="6"/>
      <c r="D166" s="125"/>
      <c r="E166" s="125"/>
      <c r="F166" s="1"/>
      <c r="G166" s="9"/>
      <c r="H166" s="9"/>
      <c r="I166" s="5"/>
      <c r="J166" s="1"/>
      <c r="K166" s="1"/>
      <c r="L166" s="1"/>
      <c r="M166" s="10"/>
      <c r="N166" s="145"/>
      <c r="O166" s="16"/>
      <c r="P166" s="1"/>
    </row>
    <row r="167" spans="1:16">
      <c r="A167" s="6"/>
      <c r="B167" s="7"/>
      <c r="C167" s="6"/>
      <c r="D167" s="123"/>
      <c r="E167" s="124"/>
      <c r="F167" s="1"/>
      <c r="G167" s="9"/>
      <c r="H167" s="9"/>
      <c r="I167" s="5"/>
      <c r="J167" s="1"/>
      <c r="K167" s="1"/>
      <c r="L167" s="1"/>
      <c r="M167" s="9"/>
      <c r="N167" s="145"/>
      <c r="O167" s="16"/>
      <c r="P167" s="1"/>
    </row>
    <row r="168" spans="1:16">
      <c r="A168" s="6"/>
      <c r="B168" s="7"/>
      <c r="C168" s="6"/>
      <c r="D168" s="125"/>
      <c r="E168" s="126"/>
      <c r="F168" s="1"/>
      <c r="G168" s="9"/>
      <c r="H168" s="9"/>
      <c r="I168" s="5"/>
      <c r="J168" s="1"/>
      <c r="K168" s="1"/>
      <c r="L168" s="1"/>
      <c r="M168" s="9"/>
      <c r="N168" s="145"/>
      <c r="O168" s="16"/>
      <c r="P168" s="1"/>
    </row>
    <row r="169" spans="1:16">
      <c r="A169" s="6"/>
      <c r="B169" s="7"/>
      <c r="C169" s="6"/>
      <c r="D169" s="125"/>
      <c r="E169" s="6"/>
      <c r="F169" s="1"/>
      <c r="G169" s="9"/>
      <c r="H169" s="9"/>
      <c r="I169" s="5"/>
      <c r="J169" s="1"/>
      <c r="K169" s="1"/>
      <c r="L169" s="1"/>
      <c r="M169" s="9"/>
      <c r="N169" s="145"/>
      <c r="O169" s="16"/>
      <c r="P169" s="1"/>
    </row>
    <row r="170" spans="1:16">
      <c r="A170" s="6"/>
      <c r="B170" s="7"/>
      <c r="C170" s="6"/>
      <c r="D170" s="125"/>
      <c r="E170" s="126"/>
      <c r="F170" s="1"/>
      <c r="G170" s="9"/>
      <c r="H170" s="9"/>
      <c r="I170" s="5"/>
      <c r="J170" s="1"/>
      <c r="K170" s="1"/>
      <c r="L170" s="1"/>
      <c r="M170" s="9"/>
      <c r="N170" s="145"/>
      <c r="O170" s="16"/>
      <c r="P170" s="1"/>
    </row>
    <row r="171" spans="1:16">
      <c r="A171" s="6"/>
      <c r="B171" s="7"/>
      <c r="C171" s="6"/>
      <c r="D171" s="125"/>
      <c r="E171" s="126"/>
      <c r="F171" s="1"/>
      <c r="G171" s="9"/>
      <c r="H171" s="9"/>
      <c r="I171" s="5"/>
      <c r="J171" s="1"/>
      <c r="K171" s="1"/>
      <c r="L171" s="1"/>
      <c r="M171" s="1"/>
      <c r="N171" s="145"/>
      <c r="O171" s="16"/>
      <c r="P171" s="1"/>
    </row>
    <row r="172" spans="1:16">
      <c r="A172" s="6"/>
      <c r="B172" s="7"/>
      <c r="C172" s="6"/>
      <c r="D172" s="123"/>
      <c r="E172" s="124"/>
      <c r="F172" s="1"/>
      <c r="G172" s="9"/>
      <c r="H172" s="9"/>
      <c r="I172" s="5"/>
      <c r="J172" s="1"/>
      <c r="K172" s="1"/>
      <c r="L172" s="1"/>
      <c r="M172" s="9"/>
      <c r="N172" s="145"/>
      <c r="O172" s="16"/>
      <c r="P172" s="1"/>
    </row>
    <row r="173" spans="1:16">
      <c r="A173" s="6"/>
      <c r="B173" s="7"/>
      <c r="C173" s="6"/>
      <c r="D173" s="125"/>
      <c r="E173" s="126"/>
      <c r="F173" s="1"/>
      <c r="G173" s="9"/>
      <c r="H173" s="9"/>
      <c r="I173" s="5"/>
      <c r="J173" s="1"/>
      <c r="K173" s="1"/>
      <c r="L173" s="1"/>
      <c r="M173" s="9"/>
      <c r="N173" s="145"/>
      <c r="O173" s="16"/>
      <c r="P173" s="1"/>
    </row>
    <row r="174" spans="1:16">
      <c r="A174" s="6"/>
      <c r="B174" s="7"/>
      <c r="C174" s="6"/>
      <c r="D174" s="123"/>
      <c r="E174" s="124"/>
      <c r="F174" s="1"/>
      <c r="G174" s="9"/>
      <c r="H174" s="9"/>
      <c r="I174" s="5"/>
      <c r="J174" s="1"/>
      <c r="K174" s="1"/>
      <c r="L174" s="1"/>
      <c r="M174" s="9"/>
      <c r="N174" s="145"/>
      <c r="O174" s="16"/>
      <c r="P174" s="1"/>
    </row>
    <row r="175" spans="1:16">
      <c r="A175" s="6"/>
      <c r="B175" s="7"/>
      <c r="C175" s="6"/>
      <c r="D175" s="123"/>
      <c r="E175" s="124"/>
      <c r="F175" s="1"/>
      <c r="G175" s="9"/>
      <c r="H175" s="9"/>
      <c r="I175" s="5"/>
      <c r="J175" s="1"/>
      <c r="K175" s="1"/>
      <c r="L175" s="1"/>
      <c r="M175" s="9"/>
      <c r="N175" s="145"/>
      <c r="O175" s="16"/>
      <c r="P175" s="1"/>
    </row>
    <row r="176" spans="1:16">
      <c r="A176" s="6"/>
      <c r="B176" s="7"/>
      <c r="C176" s="6"/>
      <c r="D176" s="123"/>
      <c r="E176" s="124"/>
      <c r="F176" s="1"/>
      <c r="G176" s="9"/>
      <c r="H176" s="9"/>
      <c r="I176" s="5"/>
      <c r="J176" s="1"/>
      <c r="K176" s="1"/>
      <c r="L176" s="1"/>
      <c r="M176" s="9"/>
      <c r="N176" s="145"/>
      <c r="O176" s="16"/>
      <c r="P176" s="1"/>
    </row>
    <row r="177" spans="1:16">
      <c r="A177" s="6"/>
      <c r="B177" s="7"/>
      <c r="C177" s="6"/>
      <c r="D177" s="123"/>
      <c r="E177" s="124"/>
      <c r="F177" s="1"/>
      <c r="G177" s="9"/>
      <c r="H177" s="9"/>
      <c r="I177" s="5"/>
      <c r="J177" s="1"/>
      <c r="K177" s="1"/>
      <c r="L177" s="1"/>
      <c r="M177" s="9"/>
      <c r="N177" s="145"/>
      <c r="O177" s="16"/>
      <c r="P177" s="1"/>
    </row>
    <row r="178" spans="1:16">
      <c r="A178" s="6"/>
      <c r="B178" s="7"/>
      <c r="C178" s="6"/>
      <c r="D178" s="123"/>
      <c r="E178" s="124"/>
      <c r="F178" s="1"/>
      <c r="G178" s="9"/>
      <c r="H178" s="9"/>
      <c r="I178" s="5"/>
      <c r="J178" s="1"/>
      <c r="K178" s="1"/>
      <c r="L178" s="1"/>
      <c r="M178" s="9"/>
      <c r="N178" s="145"/>
      <c r="O178" s="16"/>
      <c r="P178" s="1"/>
    </row>
    <row r="179" spans="1:16">
      <c r="A179" s="6"/>
      <c r="B179" s="7"/>
      <c r="C179" s="6"/>
      <c r="D179" s="123"/>
      <c r="E179" s="124"/>
      <c r="F179" s="1"/>
      <c r="G179" s="9"/>
      <c r="H179" s="9"/>
      <c r="I179" s="5"/>
      <c r="J179" s="1"/>
      <c r="K179" s="1"/>
      <c r="L179" s="1"/>
      <c r="M179" s="1"/>
      <c r="N179" s="145"/>
      <c r="O179" s="16"/>
      <c r="P179" s="1"/>
    </row>
    <row r="180" spans="1:16">
      <c r="A180" s="6"/>
      <c r="B180" s="7"/>
      <c r="C180" s="6"/>
      <c r="D180" s="123"/>
      <c r="E180" s="124"/>
      <c r="F180" s="1"/>
      <c r="G180" s="9"/>
      <c r="H180" s="9"/>
      <c r="I180" s="5"/>
      <c r="J180" s="1"/>
      <c r="K180" s="1"/>
      <c r="L180" s="1"/>
      <c r="M180" s="1"/>
      <c r="N180" s="145"/>
      <c r="O180" s="16"/>
      <c r="P180" s="1"/>
    </row>
    <row r="181" spans="1:16">
      <c r="A181" s="6"/>
      <c r="B181" s="7"/>
      <c r="C181" s="6"/>
      <c r="D181" s="123"/>
      <c r="E181" s="124"/>
      <c r="F181" s="1"/>
      <c r="G181" s="9"/>
      <c r="H181" s="9"/>
      <c r="I181" s="5"/>
      <c r="J181" s="1"/>
      <c r="K181" s="1"/>
      <c r="L181" s="1"/>
      <c r="M181" s="9"/>
      <c r="N181" s="145"/>
      <c r="O181" s="16"/>
      <c r="P181" s="1"/>
    </row>
    <row r="182" spans="1:16">
      <c r="A182" s="6"/>
      <c r="B182" s="7"/>
      <c r="C182" s="6"/>
      <c r="D182" s="125"/>
      <c r="E182" s="126"/>
      <c r="F182" s="1"/>
      <c r="G182" s="9"/>
      <c r="H182" s="9"/>
      <c r="I182" s="5"/>
      <c r="J182" s="1"/>
      <c r="K182" s="1"/>
      <c r="L182" s="1"/>
      <c r="M182" s="9"/>
      <c r="N182" s="145"/>
      <c r="O182" s="16"/>
      <c r="P182" s="1"/>
    </row>
    <row r="183" spans="1:16">
      <c r="A183" s="6"/>
      <c r="B183" s="7"/>
      <c r="C183" s="6"/>
      <c r="D183" s="123"/>
      <c r="E183" s="124"/>
      <c r="F183" s="1"/>
      <c r="G183" s="9"/>
      <c r="H183" s="9"/>
      <c r="I183" s="5"/>
      <c r="J183" s="1"/>
      <c r="K183" s="1"/>
      <c r="L183" s="1"/>
      <c r="M183" s="1"/>
      <c r="N183" s="145"/>
      <c r="O183" s="16"/>
      <c r="P183" s="1"/>
    </row>
    <row r="184" spans="1:16">
      <c r="A184" s="6"/>
      <c r="B184" s="7"/>
      <c r="C184" s="6"/>
      <c r="D184" s="125"/>
      <c r="E184" s="126"/>
      <c r="F184" s="1"/>
      <c r="G184" s="9"/>
      <c r="H184" s="9"/>
      <c r="I184" s="5"/>
      <c r="J184" s="1"/>
      <c r="K184" s="1"/>
      <c r="L184" s="1"/>
      <c r="M184" s="9"/>
      <c r="N184" s="145"/>
      <c r="O184" s="16"/>
      <c r="P184" s="1"/>
    </row>
    <row r="185" spans="1:16">
      <c r="A185" s="6"/>
      <c r="B185" s="7"/>
      <c r="C185" s="6"/>
      <c r="D185" s="125"/>
      <c r="E185" s="126"/>
      <c r="F185" s="1"/>
      <c r="G185" s="9"/>
      <c r="H185" s="9"/>
      <c r="I185" s="5"/>
      <c r="J185" s="1"/>
      <c r="K185" s="1"/>
      <c r="L185" s="1"/>
      <c r="M185" s="9"/>
      <c r="N185" s="145"/>
      <c r="O185" s="16"/>
      <c r="P185" s="1"/>
    </row>
    <row r="186" spans="1:16">
      <c r="A186" s="6"/>
      <c r="B186" s="7"/>
      <c r="C186" s="6"/>
      <c r="D186" s="123"/>
      <c r="E186" s="124"/>
      <c r="F186" s="1"/>
      <c r="G186" s="9"/>
      <c r="H186" s="9"/>
      <c r="I186" s="5"/>
      <c r="J186" s="1"/>
      <c r="K186" s="1"/>
      <c r="L186" s="1"/>
      <c r="M186" s="9"/>
      <c r="N186" s="145"/>
      <c r="O186" s="16"/>
      <c r="P186" s="1"/>
    </row>
    <row r="187" spans="1:16">
      <c r="A187" s="6"/>
      <c r="B187" s="7"/>
      <c r="C187" s="6"/>
      <c r="D187" s="123"/>
      <c r="E187" s="124"/>
      <c r="F187" s="1"/>
      <c r="G187" s="9"/>
      <c r="H187" s="9"/>
      <c r="I187" s="5"/>
      <c r="J187" s="1"/>
      <c r="K187" s="1"/>
      <c r="L187" s="1"/>
      <c r="M187" s="9"/>
      <c r="N187" s="145"/>
      <c r="O187" s="16"/>
      <c r="P187" s="1"/>
    </row>
    <row r="188" spans="1:16">
      <c r="A188" s="6"/>
      <c r="B188" s="7"/>
      <c r="C188" s="6"/>
      <c r="D188" s="123"/>
      <c r="E188" s="124"/>
      <c r="F188" s="1"/>
      <c r="G188" s="9"/>
      <c r="H188" s="9"/>
      <c r="I188" s="5"/>
      <c r="J188" s="1"/>
      <c r="K188" s="1"/>
      <c r="L188" s="1"/>
      <c r="M188" s="1"/>
      <c r="N188" s="145"/>
      <c r="O188" s="16"/>
      <c r="P188" s="1"/>
    </row>
    <row r="189" spans="1:16">
      <c r="A189" s="6"/>
      <c r="B189" s="7"/>
      <c r="C189" s="6"/>
      <c r="D189" s="123"/>
      <c r="E189" s="124"/>
      <c r="F189" s="1"/>
      <c r="G189" s="9"/>
      <c r="H189" s="9"/>
      <c r="I189" s="5"/>
      <c r="J189" s="1"/>
      <c r="K189" s="1"/>
      <c r="L189" s="1"/>
      <c r="M189" s="9"/>
      <c r="N189" s="145"/>
      <c r="O189" s="16"/>
      <c r="P189" s="1"/>
    </row>
    <row r="190" spans="1:16">
      <c r="A190" s="6"/>
      <c r="B190" s="7"/>
      <c r="C190" s="6"/>
      <c r="D190" s="123"/>
      <c r="E190" s="124"/>
      <c r="F190" s="1"/>
      <c r="G190" s="9"/>
      <c r="H190" s="9"/>
      <c r="I190" s="5"/>
      <c r="J190" s="1"/>
      <c r="K190" s="1"/>
      <c r="L190" s="1"/>
      <c r="M190" s="9"/>
      <c r="N190" s="145"/>
      <c r="O190" s="16"/>
      <c r="P190" s="1"/>
    </row>
    <row r="191" spans="1:16">
      <c r="A191" s="6"/>
      <c r="B191" s="7"/>
      <c r="C191" s="6"/>
      <c r="D191" s="123"/>
      <c r="E191" s="124"/>
      <c r="F191" s="1"/>
      <c r="G191" s="9"/>
      <c r="H191" s="9"/>
      <c r="I191" s="5"/>
      <c r="J191" s="1"/>
      <c r="K191" s="1"/>
      <c r="L191" s="1"/>
      <c r="M191" s="9"/>
      <c r="N191" s="145"/>
      <c r="O191" s="16"/>
      <c r="P191" s="1"/>
    </row>
    <row r="192" spans="1:16">
      <c r="A192" s="6"/>
      <c r="B192" s="7"/>
      <c r="C192" s="6"/>
      <c r="D192" s="123"/>
      <c r="E192" s="124"/>
      <c r="F192" s="1"/>
      <c r="G192" s="9"/>
      <c r="H192" s="9"/>
      <c r="I192" s="5"/>
      <c r="J192" s="1"/>
      <c r="K192" s="1"/>
      <c r="L192" s="1"/>
      <c r="M192" s="9"/>
      <c r="N192" s="145"/>
      <c r="O192" s="16"/>
      <c r="P192" s="1"/>
    </row>
    <row r="193" spans="1:16">
      <c r="A193" s="6"/>
      <c r="B193" s="7"/>
      <c r="C193" s="6"/>
      <c r="D193" s="123"/>
      <c r="E193" s="124"/>
      <c r="F193" s="1"/>
      <c r="G193" s="9"/>
      <c r="H193" s="9"/>
      <c r="I193" s="5"/>
      <c r="J193" s="1"/>
      <c r="K193" s="1"/>
      <c r="L193" s="1"/>
      <c r="M193" s="9"/>
      <c r="N193" s="145"/>
      <c r="O193" s="16"/>
      <c r="P193" s="1"/>
    </row>
    <row r="194" spans="1:16">
      <c r="A194" s="6"/>
      <c r="B194" s="7"/>
      <c r="C194" s="6"/>
      <c r="D194" s="123"/>
      <c r="E194" s="124"/>
      <c r="F194" s="1"/>
      <c r="G194" s="9"/>
      <c r="H194" s="9"/>
      <c r="I194" s="5"/>
      <c r="J194" s="1"/>
      <c r="K194" s="1"/>
      <c r="L194" s="1"/>
      <c r="M194" s="1"/>
      <c r="N194" s="145"/>
      <c r="O194" s="16"/>
      <c r="P194" s="1"/>
    </row>
    <row r="195" spans="1:16">
      <c r="A195" s="6"/>
      <c r="B195" s="7"/>
      <c r="C195" s="6"/>
      <c r="D195" s="123"/>
      <c r="E195" s="124"/>
      <c r="F195" s="1"/>
      <c r="G195" s="9"/>
      <c r="H195" s="9"/>
      <c r="I195" s="5"/>
      <c r="J195" s="1"/>
      <c r="K195" s="1"/>
      <c r="L195" s="1"/>
      <c r="M195" s="9"/>
      <c r="N195" s="145"/>
      <c r="O195" s="16"/>
      <c r="P195" s="1"/>
    </row>
    <row r="196" spans="1:16">
      <c r="A196" s="6"/>
      <c r="B196" s="7"/>
      <c r="C196" s="6"/>
      <c r="D196" s="123"/>
      <c r="E196" s="124"/>
      <c r="F196" s="1"/>
      <c r="G196" s="9"/>
      <c r="H196" s="9"/>
      <c r="I196" s="5"/>
      <c r="J196" s="1"/>
      <c r="K196" s="1"/>
      <c r="L196" s="1"/>
      <c r="M196" s="9"/>
      <c r="N196" s="145"/>
      <c r="O196" s="16"/>
      <c r="P196" s="1"/>
    </row>
    <row r="197" spans="1:16">
      <c r="A197" s="6"/>
      <c r="B197" s="7"/>
      <c r="C197" s="6"/>
      <c r="D197" s="123"/>
      <c r="E197" s="124"/>
      <c r="F197" s="1"/>
      <c r="G197" s="9"/>
      <c r="H197" s="9"/>
      <c r="I197" s="16"/>
      <c r="J197" s="1"/>
      <c r="K197" s="1"/>
      <c r="L197" s="1"/>
      <c r="M197" s="9"/>
      <c r="N197" s="146"/>
      <c r="O197" s="16"/>
      <c r="P197" s="1"/>
    </row>
    <row r="198" spans="1:16">
      <c r="A198" s="6"/>
      <c r="B198" s="7"/>
      <c r="C198" s="6"/>
      <c r="D198" s="123"/>
      <c r="E198" s="124"/>
      <c r="F198" s="1"/>
      <c r="G198" s="9"/>
      <c r="H198" s="9"/>
      <c r="I198" s="5"/>
      <c r="J198" s="1"/>
      <c r="K198" s="1"/>
      <c r="L198" s="1"/>
      <c r="M198" s="9"/>
      <c r="N198" s="145"/>
      <c r="O198" s="16"/>
      <c r="P198" s="1"/>
    </row>
    <row r="199" spans="1:16">
      <c r="A199" s="6"/>
      <c r="B199" s="7"/>
      <c r="C199" s="6"/>
      <c r="D199" s="123"/>
      <c r="E199" s="124"/>
      <c r="F199" s="1"/>
      <c r="G199" s="9"/>
      <c r="H199" s="9"/>
      <c r="I199" s="5"/>
      <c r="J199" s="1"/>
      <c r="K199" s="1"/>
      <c r="L199" s="1"/>
      <c r="M199" s="1"/>
      <c r="N199" s="145"/>
      <c r="O199" s="16"/>
      <c r="P199" s="1"/>
    </row>
    <row r="200" spans="1:16">
      <c r="A200" s="6"/>
      <c r="B200" s="7"/>
      <c r="C200" s="6"/>
      <c r="D200" s="123"/>
      <c r="E200" s="124"/>
      <c r="F200" s="1"/>
      <c r="G200" s="9"/>
      <c r="H200" s="9"/>
      <c r="I200" s="5"/>
      <c r="J200" s="1"/>
      <c r="K200" s="1"/>
      <c r="L200" s="1"/>
      <c r="M200" s="9"/>
      <c r="N200" s="145"/>
      <c r="O200" s="16"/>
      <c r="P200" s="1"/>
    </row>
    <row r="201" spans="1:16">
      <c r="A201" s="6"/>
      <c r="B201" s="7"/>
      <c r="C201" s="6"/>
      <c r="D201" s="123"/>
      <c r="E201" s="124"/>
      <c r="F201" s="1"/>
      <c r="G201" s="9"/>
      <c r="H201" s="9"/>
      <c r="I201" s="5"/>
      <c r="J201" s="1"/>
      <c r="K201" s="1"/>
      <c r="L201" s="1"/>
      <c r="M201" s="9"/>
      <c r="N201" s="145"/>
      <c r="O201" s="16"/>
      <c r="P201" s="1"/>
    </row>
    <row r="202" spans="1:16">
      <c r="A202" s="6"/>
      <c r="B202" s="7"/>
      <c r="C202" s="6"/>
      <c r="D202" s="123"/>
      <c r="E202" s="124"/>
      <c r="F202" s="1"/>
      <c r="G202" s="9"/>
      <c r="H202" s="9"/>
      <c r="I202" s="5"/>
      <c r="J202" s="1"/>
      <c r="K202" s="1"/>
      <c r="L202" s="1"/>
      <c r="M202" s="1"/>
      <c r="N202" s="145"/>
      <c r="O202" s="16"/>
      <c r="P202" s="1"/>
    </row>
    <row r="203" spans="1:16">
      <c r="A203" s="6"/>
      <c r="B203" s="7"/>
      <c r="C203" s="6"/>
      <c r="D203" s="123"/>
      <c r="E203" s="124"/>
      <c r="F203" s="1"/>
      <c r="G203" s="9"/>
      <c r="H203" s="9"/>
      <c r="I203" s="5"/>
      <c r="J203" s="1"/>
      <c r="K203" s="1"/>
      <c r="L203" s="1"/>
      <c r="M203" s="9"/>
      <c r="N203" s="145"/>
      <c r="O203" s="16"/>
      <c r="P203" s="1"/>
    </row>
    <row r="204" spans="1:16">
      <c r="A204" s="6"/>
      <c r="B204" s="7"/>
      <c r="C204" s="6"/>
      <c r="D204" s="123"/>
      <c r="E204" s="124"/>
      <c r="F204" s="1"/>
      <c r="G204" s="9"/>
      <c r="H204" s="9"/>
      <c r="I204" s="5"/>
      <c r="J204" s="1"/>
      <c r="K204" s="1"/>
      <c r="L204" s="1"/>
      <c r="M204" s="9"/>
      <c r="N204" s="145"/>
      <c r="O204" s="16"/>
      <c r="P204" s="1"/>
    </row>
    <row r="205" spans="1:16">
      <c r="A205" s="6"/>
      <c r="B205" s="7"/>
      <c r="C205" s="6"/>
      <c r="D205" s="123"/>
      <c r="E205" s="124"/>
      <c r="F205" s="1"/>
      <c r="G205" s="9"/>
      <c r="H205" s="9"/>
      <c r="I205" s="5"/>
      <c r="J205" s="1"/>
      <c r="K205" s="1"/>
      <c r="L205" s="1"/>
      <c r="M205" s="1"/>
      <c r="N205" s="145"/>
      <c r="O205" s="16"/>
      <c r="P205" s="1"/>
    </row>
    <row r="206" spans="1:16">
      <c r="A206" s="6"/>
      <c r="B206" s="7"/>
      <c r="C206" s="133"/>
      <c r="D206" s="125"/>
      <c r="E206" s="126"/>
      <c r="F206" s="1"/>
      <c r="G206" s="9"/>
      <c r="H206" s="9"/>
      <c r="I206" s="5"/>
      <c r="J206" s="1"/>
      <c r="K206" s="1"/>
      <c r="L206" s="1"/>
      <c r="M206" s="1"/>
      <c r="N206" s="145"/>
      <c r="O206" s="16"/>
      <c r="P206" s="1"/>
    </row>
    <row r="207" spans="1:16">
      <c r="A207" s="6"/>
      <c r="B207" s="7"/>
      <c r="C207" s="6"/>
      <c r="D207" s="123"/>
      <c r="E207" s="124"/>
      <c r="F207" s="1"/>
      <c r="G207" s="9"/>
      <c r="H207" s="9"/>
      <c r="I207" s="5"/>
      <c r="J207" s="1"/>
      <c r="K207" s="1"/>
      <c r="L207" s="1"/>
      <c r="M207" s="9"/>
      <c r="N207" s="145"/>
      <c r="O207" s="16"/>
      <c r="P207" s="1"/>
    </row>
    <row r="208" spans="1:16">
      <c r="A208" s="6"/>
      <c r="B208" s="7"/>
      <c r="C208" s="134"/>
      <c r="D208" s="123"/>
      <c r="E208" s="124"/>
      <c r="F208" s="1"/>
      <c r="G208" s="9"/>
      <c r="H208" s="9"/>
      <c r="I208" s="5"/>
      <c r="J208" s="1"/>
      <c r="K208" s="1"/>
      <c r="L208" s="1"/>
      <c r="M208" s="9"/>
      <c r="N208" s="145"/>
      <c r="O208" s="16"/>
      <c r="P208" s="1"/>
    </row>
    <row r="209" spans="1:16">
      <c r="A209" s="6"/>
      <c r="B209" s="7"/>
      <c r="C209" s="6"/>
      <c r="D209" s="125"/>
      <c r="E209" s="126"/>
      <c r="F209" s="1"/>
      <c r="G209" s="9"/>
      <c r="H209" s="9"/>
      <c r="I209" s="5"/>
      <c r="J209" s="1"/>
      <c r="K209" s="1"/>
      <c r="L209" s="1"/>
      <c r="M209" s="9"/>
      <c r="N209" s="145"/>
      <c r="O209" s="16"/>
      <c r="P209" s="1"/>
    </row>
    <row r="210" spans="1:16">
      <c r="A210" s="6"/>
      <c r="B210" s="7"/>
      <c r="C210" s="6"/>
      <c r="D210" s="125"/>
      <c r="E210" s="126"/>
      <c r="F210" s="1"/>
      <c r="G210" s="9"/>
      <c r="H210" s="9"/>
      <c r="I210" s="5"/>
      <c r="J210" s="1"/>
      <c r="K210" s="1"/>
      <c r="L210" s="1"/>
      <c r="M210" s="9"/>
      <c r="N210" s="145"/>
      <c r="O210" s="16"/>
      <c r="P210" s="1"/>
    </row>
    <row r="211" spans="1:16">
      <c r="A211" s="6"/>
      <c r="B211" s="7"/>
      <c r="C211" s="6"/>
      <c r="D211" s="125"/>
      <c r="E211" s="126"/>
      <c r="F211" s="1"/>
      <c r="G211" s="9"/>
      <c r="H211" s="9"/>
      <c r="I211" s="5"/>
      <c r="J211" s="1"/>
      <c r="K211" s="1"/>
      <c r="L211" s="1"/>
      <c r="M211" s="9"/>
      <c r="N211" s="145"/>
      <c r="O211" s="16"/>
      <c r="P211" s="1"/>
    </row>
    <row r="212" spans="1:16">
      <c r="A212" s="6"/>
      <c r="B212" s="7"/>
      <c r="C212" s="6"/>
      <c r="D212" s="123"/>
      <c r="E212" s="124"/>
      <c r="F212" s="1"/>
      <c r="G212" s="9"/>
      <c r="H212" s="9"/>
      <c r="I212" s="5"/>
      <c r="J212" s="1"/>
      <c r="K212" s="1"/>
      <c r="L212" s="1"/>
      <c r="M212" s="9"/>
      <c r="N212" s="145"/>
      <c r="O212" s="16"/>
      <c r="P212" s="1"/>
    </row>
    <row r="213" spans="1:16">
      <c r="A213" s="6"/>
      <c r="B213" s="7"/>
      <c r="C213" s="6"/>
      <c r="D213" s="125"/>
      <c r="E213" s="126"/>
      <c r="F213" s="1"/>
      <c r="G213" s="9"/>
      <c r="H213" s="9"/>
      <c r="I213" s="5"/>
      <c r="J213" s="1"/>
      <c r="K213" s="1"/>
      <c r="L213" s="1"/>
      <c r="M213" s="9"/>
      <c r="N213" s="145"/>
      <c r="O213" s="16"/>
      <c r="P213" s="1"/>
    </row>
    <row r="214" spans="1:16">
      <c r="A214" s="6"/>
      <c r="B214" s="7"/>
      <c r="C214" s="6"/>
      <c r="D214" s="125"/>
      <c r="E214" s="126"/>
      <c r="F214" s="1"/>
      <c r="G214" s="9"/>
      <c r="H214" s="9"/>
      <c r="I214" s="5"/>
      <c r="J214" s="1"/>
      <c r="K214" s="1"/>
      <c r="L214" s="1"/>
      <c r="M214" s="9"/>
      <c r="N214" s="145"/>
      <c r="O214" s="16"/>
      <c r="P214" s="1"/>
    </row>
    <row r="215" spans="1:16">
      <c r="A215" s="6"/>
      <c r="B215" s="7"/>
      <c r="C215" s="6"/>
      <c r="D215" s="125"/>
      <c r="E215" s="126"/>
      <c r="F215" s="1"/>
      <c r="G215" s="9"/>
      <c r="H215" s="9"/>
      <c r="I215" s="5"/>
      <c r="J215" s="1"/>
      <c r="K215" s="1"/>
      <c r="L215" s="1"/>
      <c r="M215" s="9"/>
      <c r="N215" s="145"/>
      <c r="O215" s="16"/>
      <c r="P215" s="1"/>
    </row>
    <row r="216" spans="1:16">
      <c r="A216" s="6"/>
      <c r="B216" s="7"/>
      <c r="C216" s="6"/>
      <c r="D216" s="125"/>
      <c r="E216" s="126"/>
      <c r="F216" s="1"/>
      <c r="G216" s="9"/>
      <c r="H216" s="9"/>
      <c r="I216" s="5"/>
      <c r="J216" s="1"/>
      <c r="K216" s="1"/>
      <c r="L216" s="1"/>
      <c r="M216" s="9"/>
      <c r="N216" s="145"/>
      <c r="O216" s="16"/>
      <c r="P216" s="1"/>
    </row>
    <row r="217" spans="1:16">
      <c r="A217" s="6"/>
      <c r="B217" s="7"/>
      <c r="C217" s="6"/>
      <c r="D217" s="125"/>
      <c r="E217" s="126"/>
      <c r="F217" s="1"/>
      <c r="G217" s="9"/>
      <c r="H217" s="9"/>
      <c r="I217" s="5"/>
      <c r="J217" s="1"/>
      <c r="K217" s="1"/>
      <c r="L217" s="1"/>
      <c r="M217" s="9"/>
      <c r="N217" s="145"/>
      <c r="O217" s="16"/>
      <c r="P217" s="1"/>
    </row>
    <row r="218" spans="1:16">
      <c r="A218" s="6"/>
      <c r="B218" s="7"/>
      <c r="C218" s="6"/>
      <c r="D218" s="123"/>
      <c r="E218" s="124"/>
      <c r="F218" s="1"/>
      <c r="G218" s="9"/>
      <c r="H218" s="9"/>
      <c r="I218" s="5"/>
      <c r="J218" s="1"/>
      <c r="K218" s="1"/>
      <c r="L218" s="1"/>
      <c r="M218" s="9"/>
      <c r="N218" s="145"/>
      <c r="O218" s="16"/>
      <c r="P218" s="1"/>
    </row>
    <row r="219" spans="1:16">
      <c r="A219" s="6"/>
      <c r="B219" s="7"/>
      <c r="C219" s="6"/>
      <c r="D219" s="125"/>
      <c r="E219" s="126"/>
      <c r="F219" s="1"/>
      <c r="G219" s="9"/>
      <c r="H219" s="9"/>
      <c r="I219" s="5"/>
      <c r="J219" s="1"/>
      <c r="K219" s="1"/>
      <c r="L219" s="1"/>
      <c r="M219" s="9"/>
      <c r="N219" s="145"/>
      <c r="O219" s="16"/>
      <c r="P219" s="1"/>
    </row>
    <row r="220" spans="1:16">
      <c r="A220" s="6"/>
      <c r="B220" s="7"/>
      <c r="C220" s="6"/>
      <c r="D220" s="125"/>
      <c r="E220" s="126"/>
      <c r="F220" s="1"/>
      <c r="G220" s="9"/>
      <c r="H220" s="9"/>
      <c r="I220" s="5"/>
      <c r="J220" s="1"/>
      <c r="K220" s="1"/>
      <c r="L220" s="1"/>
      <c r="M220" s="9"/>
      <c r="N220" s="145"/>
      <c r="O220" s="16"/>
      <c r="P220" s="1"/>
    </row>
    <row r="221" spans="1:16">
      <c r="A221" s="6"/>
      <c r="B221" s="7"/>
      <c r="C221" s="6"/>
      <c r="D221" s="125"/>
      <c r="E221" s="126"/>
      <c r="F221" s="1"/>
      <c r="G221" s="9"/>
      <c r="H221" s="9"/>
      <c r="I221" s="5"/>
      <c r="J221" s="1"/>
      <c r="K221" s="1"/>
      <c r="L221" s="1"/>
      <c r="M221" s="1"/>
      <c r="N221" s="145"/>
      <c r="O221" s="16"/>
      <c r="P221" s="1"/>
    </row>
    <row r="222" spans="1:16">
      <c r="A222" s="6"/>
      <c r="B222" s="7"/>
      <c r="C222" s="6"/>
      <c r="D222" s="125"/>
      <c r="E222" s="126"/>
      <c r="F222" s="1"/>
      <c r="G222" s="9"/>
      <c r="H222" s="9"/>
      <c r="I222" s="5"/>
      <c r="J222" s="1"/>
      <c r="K222" s="1"/>
      <c r="L222" s="1"/>
      <c r="M222" s="9"/>
      <c r="N222" s="145"/>
      <c r="O222" s="16"/>
      <c r="P222" s="1"/>
    </row>
    <row r="223" spans="1:16">
      <c r="A223" s="6"/>
      <c r="B223" s="7"/>
      <c r="C223" s="6"/>
      <c r="D223" s="125"/>
      <c r="E223" s="126"/>
      <c r="F223" s="1"/>
      <c r="G223" s="9"/>
      <c r="H223" s="9"/>
      <c r="I223" s="5"/>
      <c r="J223" s="1"/>
      <c r="K223" s="1"/>
      <c r="L223" s="1"/>
      <c r="M223" s="9"/>
      <c r="N223" s="145"/>
      <c r="O223" s="16"/>
      <c r="P223" s="1"/>
    </row>
    <row r="224" spans="1:16">
      <c r="A224" s="6"/>
      <c r="B224" s="7"/>
      <c r="C224" s="6"/>
      <c r="D224" s="125"/>
      <c r="E224" s="126"/>
      <c r="F224" s="1"/>
      <c r="G224" s="9"/>
      <c r="H224" s="9"/>
      <c r="I224" s="5"/>
      <c r="J224" s="1"/>
      <c r="K224" s="1"/>
      <c r="L224" s="1"/>
      <c r="M224" s="9"/>
      <c r="N224" s="145"/>
      <c r="O224" s="16"/>
      <c r="P224" s="1"/>
    </row>
    <row r="225" spans="1:16">
      <c r="A225" s="6"/>
      <c r="B225" s="7"/>
      <c r="C225" s="6"/>
      <c r="D225" s="123"/>
      <c r="E225" s="124"/>
      <c r="F225" s="1"/>
      <c r="G225" s="9"/>
      <c r="H225" s="9"/>
      <c r="I225" s="5"/>
      <c r="J225" s="1"/>
      <c r="K225" s="1"/>
      <c r="L225" s="1"/>
      <c r="M225" s="9"/>
      <c r="N225" s="145"/>
      <c r="O225" s="16"/>
      <c r="P225" s="1"/>
    </row>
    <row r="226" spans="1:16">
      <c r="A226" s="6"/>
      <c r="B226" s="7"/>
      <c r="C226" s="6"/>
      <c r="D226" s="123"/>
      <c r="E226" s="124"/>
      <c r="F226" s="1"/>
      <c r="G226" s="9"/>
      <c r="H226" s="9"/>
      <c r="I226" s="5"/>
      <c r="J226" s="1"/>
      <c r="K226" s="1"/>
      <c r="L226" s="1"/>
      <c r="M226" s="9"/>
      <c r="N226" s="145"/>
      <c r="O226" s="16"/>
      <c r="P226" s="1"/>
    </row>
    <row r="227" spans="1:16">
      <c r="A227" s="6"/>
      <c r="B227" s="7"/>
      <c r="C227" s="6"/>
      <c r="D227" s="125"/>
      <c r="E227" s="126"/>
      <c r="F227" s="1"/>
      <c r="G227" s="9"/>
      <c r="H227" s="9"/>
      <c r="I227" s="5"/>
      <c r="J227" s="1"/>
      <c r="K227" s="1"/>
      <c r="L227" s="1"/>
      <c r="M227" s="9"/>
      <c r="N227" s="145"/>
      <c r="O227" s="16"/>
      <c r="P227" s="1"/>
    </row>
    <row r="228" spans="1:16">
      <c r="A228" s="6"/>
      <c r="B228" s="7"/>
      <c r="C228" s="6"/>
      <c r="D228" s="125"/>
      <c r="E228" s="126"/>
      <c r="F228" s="1"/>
      <c r="G228" s="9"/>
      <c r="H228" s="9"/>
      <c r="I228" s="5"/>
      <c r="J228" s="1"/>
      <c r="K228" s="1"/>
      <c r="L228" s="1"/>
      <c r="M228" s="9"/>
      <c r="N228" s="145"/>
      <c r="O228" s="16"/>
      <c r="P228" s="1"/>
    </row>
    <row r="229" spans="1:16">
      <c r="A229" s="6"/>
      <c r="B229" s="7"/>
      <c r="C229" s="6"/>
      <c r="D229" s="125"/>
      <c r="E229" s="126"/>
      <c r="F229" s="1"/>
      <c r="G229" s="9"/>
      <c r="H229" s="9"/>
      <c r="I229" s="5"/>
      <c r="J229" s="1"/>
      <c r="K229" s="1"/>
      <c r="L229" s="1"/>
      <c r="M229" s="9"/>
      <c r="N229" s="145"/>
      <c r="O229" s="16"/>
      <c r="P229" s="1"/>
    </row>
    <row r="230" spans="1:16">
      <c r="A230" s="6"/>
      <c r="B230" s="7"/>
      <c r="C230" s="6"/>
      <c r="D230" s="125"/>
      <c r="E230" s="126"/>
      <c r="F230" s="1"/>
      <c r="G230" s="9"/>
      <c r="H230" s="9"/>
      <c r="I230" s="5"/>
      <c r="J230" s="1"/>
      <c r="K230" s="1"/>
      <c r="L230" s="1"/>
      <c r="M230" s="9"/>
      <c r="N230" s="145"/>
      <c r="O230" s="16"/>
      <c r="P230" s="1"/>
    </row>
    <row r="231" spans="1:16">
      <c r="A231" s="6"/>
      <c r="B231" s="7"/>
      <c r="C231" s="6"/>
      <c r="D231" s="125"/>
      <c r="E231" s="126"/>
      <c r="F231" s="1"/>
      <c r="G231" s="9"/>
      <c r="H231" s="9"/>
      <c r="I231" s="5"/>
      <c r="J231" s="1"/>
      <c r="K231" s="1"/>
      <c r="L231" s="1"/>
      <c r="M231" s="9"/>
      <c r="N231" s="145"/>
      <c r="O231" s="16"/>
      <c r="P231" s="1"/>
    </row>
    <row r="232" spans="1:16">
      <c r="A232" s="6"/>
      <c r="B232" s="7"/>
      <c r="C232" s="6"/>
      <c r="D232" s="123"/>
      <c r="E232" s="124"/>
      <c r="F232" s="1"/>
      <c r="G232" s="9"/>
      <c r="H232" s="9"/>
      <c r="I232" s="5"/>
      <c r="J232" s="1"/>
      <c r="K232" s="1"/>
      <c r="L232" s="1"/>
      <c r="M232" s="1"/>
      <c r="N232" s="145"/>
      <c r="O232" s="16"/>
      <c r="P232" s="1"/>
    </row>
    <row r="233" spans="1:16">
      <c r="A233" s="6"/>
      <c r="B233" s="7"/>
      <c r="C233" s="6"/>
      <c r="D233" s="123"/>
      <c r="E233" s="124"/>
      <c r="F233" s="1"/>
      <c r="G233" s="9"/>
      <c r="H233" s="9"/>
      <c r="I233" s="5"/>
      <c r="J233" s="1"/>
      <c r="K233" s="1"/>
      <c r="L233" s="1"/>
      <c r="M233" s="1"/>
      <c r="N233" s="145"/>
      <c r="O233" s="16"/>
      <c r="P233" s="1"/>
    </row>
    <row r="234" spans="1:16">
      <c r="A234" s="6"/>
      <c r="B234" s="7"/>
      <c r="C234" s="6"/>
      <c r="D234" s="123"/>
      <c r="E234" s="124"/>
      <c r="F234" s="1"/>
      <c r="G234" s="9"/>
      <c r="H234" s="9"/>
      <c r="I234" s="5"/>
      <c r="J234" s="1"/>
      <c r="K234" s="1"/>
      <c r="L234" s="1"/>
      <c r="M234" s="1"/>
      <c r="N234" s="145"/>
      <c r="O234" s="16"/>
      <c r="P234" s="1"/>
    </row>
    <row r="235" spans="1:16">
      <c r="A235" s="6"/>
      <c r="B235" s="7"/>
      <c r="C235" s="6"/>
      <c r="D235" s="123"/>
      <c r="E235" s="124"/>
      <c r="F235" s="1"/>
      <c r="G235" s="9"/>
      <c r="H235" s="9"/>
      <c r="I235" s="5"/>
      <c r="J235" s="1"/>
      <c r="K235" s="1"/>
      <c r="L235" s="1"/>
      <c r="M235" s="1"/>
      <c r="N235" s="145"/>
      <c r="O235" s="16"/>
      <c r="P235" s="1"/>
    </row>
    <row r="236" spans="1:16">
      <c r="A236" s="6"/>
      <c r="B236" s="7"/>
      <c r="C236" s="6"/>
      <c r="D236" s="123"/>
      <c r="E236" s="124"/>
      <c r="F236" s="1"/>
      <c r="G236" s="9"/>
      <c r="H236" s="9"/>
      <c r="I236" s="5"/>
      <c r="J236" s="1"/>
      <c r="K236" s="1"/>
      <c r="L236" s="1"/>
      <c r="M236" s="1"/>
      <c r="N236" s="145"/>
      <c r="O236" s="16"/>
      <c r="P236" s="1"/>
    </row>
    <row r="237" spans="1:16">
      <c r="A237" s="6"/>
      <c r="B237" s="7"/>
      <c r="C237" s="6"/>
      <c r="D237" s="125"/>
      <c r="E237" s="126"/>
      <c r="F237" s="1"/>
      <c r="G237" s="9"/>
      <c r="H237" s="9"/>
      <c r="I237" s="5"/>
      <c r="J237" s="1"/>
      <c r="K237" s="1"/>
      <c r="L237" s="1"/>
      <c r="M237" s="9"/>
      <c r="N237" s="145"/>
      <c r="O237" s="16"/>
      <c r="P237" s="1"/>
    </row>
    <row r="238" spans="1:16">
      <c r="A238" s="6"/>
      <c r="B238" s="7"/>
      <c r="C238" s="6"/>
      <c r="D238" s="123"/>
      <c r="E238" s="124"/>
      <c r="F238" s="1"/>
      <c r="G238" s="9"/>
      <c r="H238" s="9"/>
      <c r="I238" s="5"/>
      <c r="J238" s="1"/>
      <c r="K238" s="1"/>
      <c r="L238" s="1"/>
      <c r="M238" s="9"/>
      <c r="N238" s="145"/>
      <c r="O238" s="16"/>
      <c r="P238" s="1"/>
    </row>
    <row r="239" spans="1:16">
      <c r="A239" s="6"/>
      <c r="B239" s="7"/>
      <c r="C239" s="6"/>
      <c r="D239" s="123"/>
      <c r="E239" s="124"/>
      <c r="F239" s="1"/>
      <c r="G239" s="9"/>
      <c r="H239" s="9"/>
      <c r="I239" s="5"/>
      <c r="J239" s="1"/>
      <c r="K239" s="1"/>
      <c r="L239" s="1"/>
      <c r="M239" s="9"/>
      <c r="N239" s="145"/>
      <c r="O239" s="16"/>
      <c r="P239" s="1"/>
    </row>
    <row r="240" spans="1:16">
      <c r="A240" s="6"/>
      <c r="B240" s="7"/>
      <c r="C240" s="6"/>
      <c r="D240" s="125"/>
      <c r="E240" s="126"/>
      <c r="F240" s="1"/>
      <c r="G240" s="9"/>
      <c r="H240" s="9"/>
      <c r="I240" s="5"/>
      <c r="J240" s="1"/>
      <c r="K240" s="1"/>
      <c r="L240" s="1"/>
      <c r="M240" s="9"/>
      <c r="N240" s="145"/>
      <c r="O240" s="16"/>
      <c r="P240" s="1"/>
    </row>
    <row r="241" spans="1:16">
      <c r="A241" s="6"/>
      <c r="B241" s="7"/>
      <c r="C241" s="6"/>
      <c r="D241" s="125"/>
      <c r="E241" s="126"/>
      <c r="F241" s="1"/>
      <c r="G241" s="9"/>
      <c r="H241" s="9"/>
      <c r="I241" s="5"/>
      <c r="J241" s="1"/>
      <c r="K241" s="1"/>
      <c r="L241" s="1"/>
      <c r="M241" s="9"/>
      <c r="N241" s="145"/>
      <c r="O241" s="16"/>
      <c r="P241" s="1"/>
    </row>
    <row r="242" spans="1:16">
      <c r="A242" s="6"/>
      <c r="B242" s="7"/>
      <c r="C242" s="6"/>
      <c r="D242" s="125"/>
      <c r="E242" s="126"/>
      <c r="F242" s="1"/>
      <c r="G242" s="9"/>
      <c r="H242" s="9"/>
      <c r="I242" s="5"/>
      <c r="J242" s="1"/>
      <c r="K242" s="1"/>
      <c r="L242" s="1"/>
      <c r="M242" s="9"/>
      <c r="N242" s="145"/>
      <c r="O242" s="16"/>
      <c r="P242" s="1"/>
    </row>
    <row r="243" spans="1:16">
      <c r="A243" s="6"/>
      <c r="B243" s="7"/>
      <c r="C243" s="6"/>
      <c r="D243" s="123"/>
      <c r="E243" s="124"/>
      <c r="F243" s="1"/>
      <c r="G243" s="9"/>
      <c r="H243" s="9"/>
      <c r="I243" s="5"/>
      <c r="J243" s="1"/>
      <c r="K243" s="1"/>
      <c r="L243" s="1"/>
      <c r="M243" s="9"/>
      <c r="N243" s="145"/>
      <c r="O243" s="16"/>
      <c r="P243" s="1"/>
    </row>
    <row r="244" spans="1:16">
      <c r="A244" s="6"/>
      <c r="B244" s="7"/>
      <c r="C244" s="6"/>
      <c r="D244" s="123"/>
      <c r="E244" s="124"/>
      <c r="F244" s="1"/>
      <c r="G244" s="9"/>
      <c r="H244" s="9"/>
      <c r="I244" s="5"/>
      <c r="J244" s="1"/>
      <c r="K244" s="1"/>
      <c r="L244" s="1"/>
      <c r="M244" s="9"/>
      <c r="N244" s="145"/>
      <c r="O244" s="16"/>
      <c r="P244" s="1"/>
    </row>
    <row r="245" spans="1:16">
      <c r="A245" s="6"/>
      <c r="B245" s="7"/>
      <c r="C245" s="6"/>
      <c r="D245" s="123"/>
      <c r="E245" s="124"/>
      <c r="F245" s="1"/>
      <c r="G245" s="9"/>
      <c r="H245" s="9"/>
      <c r="I245" s="5"/>
      <c r="J245" s="1"/>
      <c r="K245" s="1"/>
      <c r="L245" s="1"/>
      <c r="M245" s="9"/>
      <c r="N245" s="145"/>
      <c r="O245" s="16"/>
      <c r="P245" s="1"/>
    </row>
    <row r="246" spans="1:16">
      <c r="A246" s="6"/>
      <c r="B246" s="7"/>
      <c r="C246" s="6"/>
      <c r="D246" s="123"/>
      <c r="E246" s="124"/>
      <c r="F246" s="1"/>
      <c r="G246" s="9"/>
      <c r="H246" s="9"/>
      <c r="I246" s="5"/>
      <c r="J246" s="1"/>
      <c r="K246" s="1"/>
      <c r="L246" s="1"/>
      <c r="M246" s="9"/>
      <c r="N246" s="145"/>
      <c r="O246" s="16"/>
      <c r="P246" s="1"/>
    </row>
    <row r="247" spans="1:16">
      <c r="A247" s="6"/>
      <c r="B247" s="7"/>
      <c r="C247" s="6"/>
      <c r="D247" s="123"/>
      <c r="E247" s="124"/>
      <c r="F247" s="1"/>
      <c r="G247" s="9"/>
      <c r="H247" s="9"/>
      <c r="I247" s="5"/>
      <c r="J247" s="1"/>
      <c r="K247" s="1"/>
      <c r="L247" s="1"/>
      <c r="M247" s="9"/>
      <c r="N247" s="145"/>
      <c r="O247" s="16"/>
      <c r="P247" s="1"/>
    </row>
    <row r="248" spans="1:16">
      <c r="A248" s="6"/>
      <c r="B248" s="7"/>
      <c r="C248" s="6"/>
      <c r="D248" s="123"/>
      <c r="E248" s="124"/>
      <c r="F248" s="1"/>
      <c r="G248" s="9"/>
      <c r="H248" s="9"/>
      <c r="I248" s="5"/>
      <c r="J248" s="1"/>
      <c r="K248" s="1"/>
      <c r="L248" s="1"/>
      <c r="M248" s="9"/>
      <c r="N248" s="145"/>
      <c r="O248" s="16"/>
      <c r="P248" s="1"/>
    </row>
    <row r="249" spans="1:16">
      <c r="A249" s="6"/>
      <c r="B249" s="7"/>
      <c r="C249" s="6"/>
      <c r="D249" s="125"/>
      <c r="E249" s="126"/>
      <c r="F249" s="1"/>
      <c r="G249" s="9"/>
      <c r="H249" s="9"/>
      <c r="I249" s="5"/>
      <c r="J249" s="1"/>
      <c r="K249" s="1"/>
      <c r="L249" s="1"/>
      <c r="M249" s="9"/>
      <c r="N249" s="145"/>
      <c r="O249" s="16"/>
      <c r="P249" s="1"/>
    </row>
    <row r="250" spans="1:16">
      <c r="A250" s="6"/>
      <c r="B250" s="7"/>
      <c r="C250" s="6"/>
      <c r="D250" s="123"/>
      <c r="E250" s="124"/>
      <c r="F250" s="1"/>
      <c r="G250" s="9"/>
      <c r="H250" s="9"/>
      <c r="I250" s="5"/>
      <c r="J250" s="1"/>
      <c r="K250" s="1"/>
      <c r="L250" s="1"/>
      <c r="M250" s="9"/>
      <c r="N250" s="145"/>
      <c r="O250" s="16"/>
      <c r="P250" s="1"/>
    </row>
    <row r="251" spans="1:16">
      <c r="A251" s="6"/>
      <c r="B251" s="7"/>
      <c r="C251" s="6"/>
      <c r="D251" s="123"/>
      <c r="E251" s="124"/>
      <c r="F251" s="1"/>
      <c r="G251" s="9"/>
      <c r="H251" s="9"/>
      <c r="I251" s="5"/>
      <c r="J251" s="1"/>
      <c r="K251" s="1"/>
      <c r="L251" s="1"/>
      <c r="M251" s="9"/>
      <c r="N251" s="145"/>
      <c r="O251" s="16"/>
      <c r="P251" s="1"/>
    </row>
    <row r="252" spans="1:16">
      <c r="A252" s="6"/>
      <c r="B252" s="7"/>
      <c r="C252" s="6"/>
      <c r="D252" s="125"/>
      <c r="E252" s="126"/>
      <c r="F252" s="1"/>
      <c r="G252" s="9"/>
      <c r="H252" s="9"/>
      <c r="I252" s="5"/>
      <c r="J252" s="1"/>
      <c r="K252" s="1"/>
      <c r="L252" s="1"/>
      <c r="M252" s="9"/>
      <c r="N252" s="145"/>
      <c r="O252" s="16"/>
      <c r="P252" s="1"/>
    </row>
    <row r="253" spans="1:16">
      <c r="A253" s="6"/>
      <c r="B253" s="7"/>
      <c r="C253" s="6"/>
      <c r="D253" s="123"/>
      <c r="E253" s="124"/>
      <c r="F253" s="1"/>
      <c r="G253" s="9"/>
      <c r="H253" s="9"/>
      <c r="I253" s="5"/>
      <c r="J253" s="1"/>
      <c r="K253" s="1"/>
      <c r="L253" s="1"/>
      <c r="M253" s="9"/>
      <c r="N253" s="145"/>
      <c r="O253" s="16"/>
      <c r="P253" s="1"/>
    </row>
    <row r="254" spans="1:16">
      <c r="A254" s="6"/>
      <c r="B254" s="7"/>
      <c r="C254" s="6"/>
      <c r="D254" s="125"/>
      <c r="E254" s="126"/>
      <c r="F254" s="1"/>
      <c r="G254" s="9"/>
      <c r="H254" s="9"/>
      <c r="I254" s="5"/>
      <c r="J254" s="1"/>
      <c r="K254" s="1"/>
      <c r="L254" s="1"/>
      <c r="M254" s="9"/>
      <c r="N254" s="145"/>
      <c r="O254" s="16"/>
      <c r="P254" s="1"/>
    </row>
    <row r="255" spans="1:16">
      <c r="A255" s="6"/>
      <c r="B255" s="7"/>
      <c r="C255" s="6"/>
      <c r="D255" s="125"/>
      <c r="E255" s="126"/>
      <c r="F255" s="1"/>
      <c r="G255" s="9"/>
      <c r="H255" s="9"/>
      <c r="I255" s="5"/>
      <c r="J255" s="1"/>
      <c r="K255" s="1"/>
      <c r="L255" s="1"/>
      <c r="M255" s="9"/>
      <c r="N255" s="145"/>
      <c r="O255" s="16"/>
      <c r="P255" s="1"/>
    </row>
    <row r="256" spans="1:16">
      <c r="A256" s="6"/>
      <c r="B256" s="7"/>
      <c r="C256" s="6"/>
      <c r="D256" s="135"/>
      <c r="E256" s="136"/>
      <c r="F256" s="1"/>
      <c r="G256" s="9"/>
      <c r="H256" s="9"/>
      <c r="I256" s="5"/>
      <c r="J256" s="1"/>
      <c r="K256" s="1"/>
      <c r="L256" s="1"/>
      <c r="M256" s="9"/>
      <c r="N256" s="145"/>
      <c r="O256" s="16"/>
      <c r="P256" s="1"/>
    </row>
    <row r="257" spans="1:16">
      <c r="A257" s="6"/>
      <c r="B257" s="7"/>
      <c r="C257" s="6"/>
      <c r="D257" s="125"/>
      <c r="E257" s="126"/>
      <c r="F257" s="1"/>
      <c r="G257" s="9"/>
      <c r="H257" s="9"/>
      <c r="I257" s="5"/>
      <c r="J257" s="1"/>
      <c r="K257" s="1"/>
      <c r="L257" s="1"/>
      <c r="M257" s="1"/>
      <c r="N257" s="145"/>
      <c r="O257" s="16"/>
      <c r="P257" s="1"/>
    </row>
    <row r="258" spans="1:16">
      <c r="A258" s="6"/>
      <c r="B258" s="7"/>
      <c r="C258" s="6"/>
      <c r="D258" s="125"/>
      <c r="E258" s="126"/>
      <c r="F258" s="1"/>
      <c r="G258" s="9"/>
      <c r="H258" s="9"/>
      <c r="I258" s="5"/>
      <c r="J258" s="1"/>
      <c r="K258" s="1"/>
      <c r="L258" s="1"/>
      <c r="M258" s="1"/>
      <c r="N258" s="145"/>
      <c r="O258" s="16"/>
      <c r="P258" s="1"/>
    </row>
    <row r="259" spans="1:16">
      <c r="A259" s="6"/>
      <c r="B259" s="7"/>
      <c r="C259" s="6"/>
      <c r="D259" s="125"/>
      <c r="E259" s="126"/>
      <c r="F259" s="1"/>
      <c r="G259" s="9"/>
      <c r="H259" s="9"/>
      <c r="I259" s="5"/>
      <c r="J259" s="1"/>
      <c r="K259" s="1"/>
      <c r="L259" s="1"/>
      <c r="M259" s="9"/>
      <c r="N259" s="145"/>
      <c r="O259" s="16"/>
      <c r="P259" s="1"/>
    </row>
    <row r="260" spans="1:16">
      <c r="A260" s="6"/>
      <c r="B260" s="7"/>
      <c r="C260" s="6"/>
      <c r="D260" s="125"/>
      <c r="E260" s="126"/>
      <c r="F260" s="1"/>
      <c r="G260" s="9"/>
      <c r="H260" s="9"/>
      <c r="I260" s="5"/>
      <c r="J260" s="1"/>
      <c r="K260" s="1"/>
      <c r="L260" s="1"/>
      <c r="M260" s="9"/>
      <c r="N260" s="145"/>
      <c r="O260" s="16"/>
      <c r="P260" s="1"/>
    </row>
    <row r="261" spans="1:16">
      <c r="A261" s="6"/>
      <c r="B261" s="7"/>
      <c r="C261" s="6"/>
      <c r="D261" s="125"/>
      <c r="E261" s="126"/>
      <c r="F261" s="1"/>
      <c r="G261" s="9"/>
      <c r="H261" s="9"/>
      <c r="I261" s="5"/>
      <c r="J261" s="1"/>
      <c r="K261" s="1"/>
      <c r="L261" s="1"/>
      <c r="M261" s="9"/>
      <c r="N261" s="145"/>
      <c r="O261" s="16"/>
      <c r="P261" s="1"/>
    </row>
    <row r="262" spans="1:16">
      <c r="A262" s="6"/>
      <c r="B262" s="7"/>
      <c r="C262" s="122"/>
      <c r="D262" s="125"/>
      <c r="E262" s="126"/>
      <c r="F262" s="1"/>
      <c r="G262" s="9"/>
      <c r="H262" s="9"/>
      <c r="I262" s="5"/>
      <c r="J262" s="1"/>
      <c r="K262" s="1"/>
      <c r="L262" s="1"/>
      <c r="M262" s="9"/>
      <c r="N262" s="145"/>
      <c r="O262" s="16"/>
      <c r="P262" s="1"/>
    </row>
    <row r="263" spans="1:16">
      <c r="A263" s="6"/>
      <c r="B263" s="7"/>
      <c r="C263" s="6"/>
      <c r="D263" s="125"/>
      <c r="E263" s="126"/>
      <c r="F263" s="1"/>
      <c r="G263" s="9"/>
      <c r="H263" s="9"/>
      <c r="I263" s="5"/>
      <c r="J263" s="1"/>
      <c r="K263" s="1"/>
      <c r="L263" s="1"/>
      <c r="M263" s="9"/>
      <c r="N263" s="145"/>
      <c r="O263" s="16"/>
      <c r="P263" s="1"/>
    </row>
    <row r="264" spans="1:16">
      <c r="A264" s="6"/>
      <c r="B264" s="7"/>
      <c r="C264" s="6"/>
      <c r="D264" s="125"/>
      <c r="E264" s="126"/>
      <c r="F264" s="1"/>
      <c r="G264" s="9"/>
      <c r="H264" s="9"/>
      <c r="I264" s="5"/>
      <c r="J264" s="1"/>
      <c r="K264" s="1"/>
      <c r="L264" s="1"/>
      <c r="M264" s="9"/>
      <c r="N264" s="145"/>
      <c r="O264" s="16"/>
      <c r="P264" s="1"/>
    </row>
    <row r="265" spans="1:16">
      <c r="A265" s="6"/>
      <c r="B265" s="7"/>
      <c r="C265" s="6"/>
      <c r="D265" s="125"/>
      <c r="E265" s="126"/>
      <c r="F265" s="1"/>
      <c r="G265" s="9"/>
      <c r="H265" s="9"/>
      <c r="I265" s="5"/>
      <c r="J265" s="1"/>
      <c r="K265" s="1"/>
      <c r="L265" s="1"/>
      <c r="M265" s="9"/>
      <c r="N265" s="145"/>
      <c r="O265" s="16"/>
      <c r="P265" s="1"/>
    </row>
    <row r="266" spans="1:16">
      <c r="A266" s="6"/>
      <c r="B266" s="7"/>
      <c r="C266" s="6"/>
      <c r="D266" s="125"/>
      <c r="E266" s="126"/>
      <c r="F266" s="1"/>
      <c r="G266" s="9"/>
      <c r="H266" s="9"/>
      <c r="I266" s="5"/>
      <c r="J266" s="1"/>
      <c r="K266" s="1"/>
      <c r="L266" s="1"/>
      <c r="M266" s="9"/>
      <c r="N266" s="145"/>
      <c r="O266" s="16"/>
      <c r="P266" s="1"/>
    </row>
    <row r="267" spans="1:16">
      <c r="A267" s="6"/>
      <c r="B267" s="7"/>
      <c r="C267" s="6"/>
      <c r="D267" s="123"/>
      <c r="E267" s="124"/>
      <c r="F267" s="1"/>
      <c r="G267" s="9"/>
      <c r="H267" s="9"/>
      <c r="I267" s="5"/>
      <c r="J267" s="1"/>
      <c r="K267" s="1"/>
      <c r="L267" s="1"/>
      <c r="M267" s="9"/>
      <c r="N267" s="145"/>
      <c r="O267" s="16"/>
      <c r="P267" s="1"/>
    </row>
    <row r="268" spans="1:16">
      <c r="A268" s="6"/>
      <c r="B268" s="7"/>
      <c r="C268" s="6"/>
      <c r="D268" s="125"/>
      <c r="E268" s="126"/>
      <c r="F268" s="1"/>
      <c r="G268" s="9"/>
      <c r="H268" s="9"/>
      <c r="I268" s="5"/>
      <c r="J268" s="1"/>
      <c r="K268" s="1"/>
      <c r="L268" s="1"/>
      <c r="M268" s="9"/>
      <c r="N268" s="145"/>
      <c r="O268" s="16"/>
      <c r="P268" s="1"/>
    </row>
    <row r="269" spans="1:16">
      <c r="A269" s="6"/>
      <c r="B269" s="7"/>
      <c r="C269" s="6"/>
      <c r="D269" s="125"/>
      <c r="E269" s="126"/>
      <c r="F269" s="1"/>
      <c r="G269" s="9"/>
      <c r="H269" s="9"/>
      <c r="I269" s="5"/>
      <c r="J269" s="1"/>
      <c r="K269" s="1"/>
      <c r="L269" s="1"/>
      <c r="M269" s="9"/>
      <c r="N269" s="145"/>
      <c r="O269" s="16"/>
      <c r="P269" s="1"/>
    </row>
    <row r="270" spans="1:16">
      <c r="A270" s="6"/>
      <c r="B270" s="7"/>
      <c r="C270" s="6"/>
      <c r="D270" s="123"/>
      <c r="E270" s="124"/>
      <c r="F270" s="1"/>
      <c r="G270" s="9"/>
      <c r="H270" s="9"/>
      <c r="I270" s="5"/>
      <c r="J270" s="1"/>
      <c r="K270" s="1"/>
      <c r="L270" s="1"/>
      <c r="M270" s="9"/>
      <c r="N270" s="145"/>
      <c r="O270" s="16"/>
      <c r="P270" s="1"/>
    </row>
    <row r="271" spans="1:16">
      <c r="A271" s="6"/>
      <c r="B271" s="7"/>
      <c r="C271" s="6"/>
      <c r="D271" s="123"/>
      <c r="E271" s="124"/>
      <c r="F271" s="1"/>
      <c r="G271" s="9"/>
      <c r="H271" s="9"/>
      <c r="I271" s="5"/>
      <c r="J271" s="1"/>
      <c r="K271" s="1"/>
      <c r="L271" s="1"/>
      <c r="M271" s="9"/>
      <c r="N271" s="145"/>
      <c r="O271" s="16"/>
      <c r="P271" s="1"/>
    </row>
    <row r="272" spans="1:16">
      <c r="A272" s="6"/>
      <c r="B272" s="7"/>
      <c r="C272" s="6"/>
      <c r="D272" s="125"/>
      <c r="E272" s="126"/>
      <c r="F272" s="1"/>
      <c r="G272" s="9"/>
      <c r="H272" s="9"/>
      <c r="I272" s="5"/>
      <c r="J272" s="1"/>
      <c r="K272" s="1"/>
      <c r="L272" s="1"/>
      <c r="M272" s="9"/>
      <c r="N272" s="145"/>
      <c r="O272" s="16"/>
      <c r="P272" s="1"/>
    </row>
    <row r="273" spans="1:16">
      <c r="A273" s="6"/>
      <c r="B273" s="7"/>
      <c r="C273" s="6"/>
      <c r="D273" s="125"/>
      <c r="E273" s="126"/>
      <c r="F273" s="1"/>
      <c r="G273" s="9"/>
      <c r="H273" s="9"/>
      <c r="I273" s="5"/>
      <c r="J273" s="1"/>
      <c r="K273" s="1"/>
      <c r="L273" s="1"/>
      <c r="M273" s="9"/>
      <c r="N273" s="145"/>
      <c r="O273" s="16"/>
      <c r="P273" s="1"/>
    </row>
    <row r="274" spans="1:16">
      <c r="A274" s="6"/>
      <c r="B274" s="7"/>
      <c r="C274" s="6"/>
      <c r="D274" s="125"/>
      <c r="E274" s="126"/>
      <c r="F274" s="1"/>
      <c r="G274" s="9"/>
      <c r="H274" s="9"/>
      <c r="I274" s="5"/>
      <c r="J274" s="1"/>
      <c r="K274" s="1"/>
      <c r="L274" s="1"/>
      <c r="M274" s="9"/>
      <c r="N274" s="145"/>
      <c r="O274" s="16"/>
      <c r="P274" s="1"/>
    </row>
    <row r="275" spans="1:16">
      <c r="A275" s="6"/>
      <c r="B275" s="7"/>
      <c r="C275" s="6"/>
      <c r="D275" s="125"/>
      <c r="E275" s="126"/>
      <c r="F275" s="1"/>
      <c r="G275" s="9"/>
      <c r="H275" s="9"/>
      <c r="I275" s="5"/>
      <c r="J275" s="1"/>
      <c r="K275" s="1"/>
      <c r="L275" s="1"/>
      <c r="M275" s="9"/>
      <c r="N275" s="145"/>
      <c r="O275" s="16"/>
      <c r="P275" s="1"/>
    </row>
    <row r="276" spans="1:16">
      <c r="A276" s="6"/>
      <c r="B276" s="7"/>
      <c r="C276" s="6"/>
      <c r="D276" s="125"/>
      <c r="E276" s="126"/>
      <c r="F276" s="1"/>
      <c r="G276" s="9"/>
      <c r="H276" s="9"/>
      <c r="I276" s="5"/>
      <c r="J276" s="1"/>
      <c r="K276" s="1"/>
      <c r="L276" s="1"/>
      <c r="M276" s="9"/>
      <c r="N276" s="145"/>
      <c r="O276" s="16"/>
      <c r="P276" s="1"/>
    </row>
    <row r="277" spans="1:16">
      <c r="A277" s="6"/>
      <c r="B277" s="7"/>
      <c r="C277" s="6"/>
      <c r="D277" s="125"/>
      <c r="E277" s="126"/>
      <c r="F277" s="1"/>
      <c r="G277" s="9"/>
      <c r="H277" s="9"/>
      <c r="I277" s="5"/>
      <c r="J277" s="1"/>
      <c r="K277" s="1"/>
      <c r="L277" s="1"/>
      <c r="M277" s="9"/>
      <c r="N277" s="145"/>
      <c r="O277" s="16"/>
      <c r="P277" s="1"/>
    </row>
    <row r="278" spans="1:16">
      <c r="A278" s="6"/>
      <c r="B278" s="7"/>
      <c r="C278" s="6"/>
      <c r="D278" s="125"/>
      <c r="E278" s="126"/>
      <c r="F278" s="1"/>
      <c r="G278" s="9"/>
      <c r="H278" s="9"/>
      <c r="I278" s="5"/>
      <c r="J278" s="1"/>
      <c r="K278" s="1"/>
      <c r="L278" s="1"/>
      <c r="M278" s="9"/>
      <c r="N278" s="145"/>
      <c r="O278" s="16"/>
      <c r="P278" s="1"/>
    </row>
    <row r="279" spans="1:16">
      <c r="A279" s="6"/>
      <c r="B279" s="7"/>
      <c r="C279" s="6"/>
      <c r="D279" s="125"/>
      <c r="E279" s="126"/>
      <c r="F279" s="1"/>
      <c r="G279" s="9"/>
      <c r="H279" s="9"/>
      <c r="I279" s="5"/>
      <c r="J279" s="1"/>
      <c r="K279" s="1"/>
      <c r="L279" s="1"/>
      <c r="M279" s="9"/>
      <c r="N279" s="145"/>
      <c r="O279" s="16"/>
      <c r="P279" s="1"/>
    </row>
    <row r="280" spans="1:16">
      <c r="A280" s="6"/>
      <c r="B280" s="7"/>
      <c r="C280" s="6"/>
      <c r="D280" s="125"/>
      <c r="E280" s="126"/>
      <c r="F280" s="1"/>
      <c r="G280" s="9"/>
      <c r="H280" s="9"/>
      <c r="I280" s="5"/>
      <c r="J280" s="1"/>
      <c r="K280" s="1"/>
      <c r="L280" s="1"/>
      <c r="M280" s="9"/>
      <c r="N280" s="145"/>
      <c r="O280" s="16"/>
      <c r="P280" s="1"/>
    </row>
    <row r="281" spans="1:16">
      <c r="A281" s="6"/>
      <c r="B281" s="7"/>
      <c r="C281" s="6"/>
      <c r="D281" s="125"/>
      <c r="E281" s="126"/>
      <c r="F281" s="1"/>
      <c r="G281" s="9"/>
      <c r="H281" s="9"/>
      <c r="I281" s="5"/>
      <c r="J281" s="1"/>
      <c r="K281" s="1"/>
      <c r="L281" s="1"/>
      <c r="M281" s="9"/>
      <c r="N281" s="145"/>
      <c r="O281" s="16"/>
      <c r="P281" s="1"/>
    </row>
    <row r="282" spans="1:16">
      <c r="A282" s="6"/>
      <c r="B282" s="7"/>
      <c r="C282" s="6"/>
      <c r="D282" s="125"/>
      <c r="E282" s="126"/>
      <c r="F282" s="1"/>
      <c r="G282" s="9"/>
      <c r="H282" s="9"/>
      <c r="I282" s="5"/>
      <c r="J282" s="1"/>
      <c r="K282" s="1"/>
      <c r="L282" s="1"/>
      <c r="M282" s="9"/>
      <c r="N282" s="145"/>
      <c r="O282" s="16"/>
      <c r="P282" s="1"/>
    </row>
    <row r="283" spans="1:16">
      <c r="A283" s="6"/>
      <c r="B283" s="7"/>
      <c r="C283" s="6"/>
      <c r="D283" s="125"/>
      <c r="E283" s="126"/>
      <c r="F283" s="1"/>
      <c r="G283" s="9"/>
      <c r="H283" s="9"/>
      <c r="I283" s="5"/>
      <c r="J283" s="1"/>
      <c r="K283" s="1"/>
      <c r="L283" s="1"/>
      <c r="M283" s="9"/>
      <c r="N283" s="145"/>
      <c r="O283" s="16"/>
      <c r="P283" s="1"/>
    </row>
    <row r="284" spans="1:16">
      <c r="A284" s="6"/>
      <c r="B284" s="7"/>
      <c r="C284" s="6"/>
      <c r="D284" s="125"/>
      <c r="E284" s="126"/>
      <c r="F284" s="1"/>
      <c r="G284" s="9"/>
      <c r="H284" s="9"/>
      <c r="I284" s="5"/>
      <c r="J284" s="1"/>
      <c r="K284" s="1"/>
      <c r="L284" s="1"/>
      <c r="M284" s="9"/>
      <c r="N284" s="145"/>
      <c r="O284" s="16"/>
      <c r="P284" s="1"/>
    </row>
    <row r="285" spans="1:16">
      <c r="A285" s="6"/>
      <c r="B285" s="7"/>
      <c r="C285" s="6"/>
      <c r="D285" s="125"/>
      <c r="E285" s="126"/>
      <c r="F285" s="1"/>
      <c r="G285" s="9"/>
      <c r="H285" s="9"/>
      <c r="I285" s="5"/>
      <c r="J285" s="1"/>
      <c r="K285" s="1"/>
      <c r="L285" s="1"/>
      <c r="M285" s="9"/>
      <c r="N285" s="145"/>
      <c r="O285" s="16"/>
      <c r="P285" s="1"/>
    </row>
    <row r="286" spans="1:16">
      <c r="A286" s="6"/>
      <c r="B286" s="7"/>
      <c r="C286" s="6"/>
      <c r="D286" s="125"/>
      <c r="E286" s="126"/>
      <c r="F286" s="1"/>
      <c r="G286" s="9"/>
      <c r="H286" s="9"/>
      <c r="I286" s="5"/>
      <c r="J286" s="1"/>
      <c r="K286" s="1"/>
      <c r="L286" s="1"/>
      <c r="M286" s="9"/>
      <c r="N286" s="145"/>
      <c r="O286" s="16"/>
      <c r="P286" s="1"/>
    </row>
    <row r="287" spans="1:16">
      <c r="A287" s="6"/>
      <c r="B287" s="7"/>
      <c r="C287" s="6"/>
      <c r="D287" s="125"/>
      <c r="E287" s="126"/>
      <c r="F287" s="1"/>
      <c r="G287" s="9"/>
      <c r="H287" s="9"/>
      <c r="I287" s="5"/>
      <c r="J287" s="1"/>
      <c r="K287" s="1"/>
      <c r="L287" s="1"/>
      <c r="M287" s="9"/>
      <c r="N287" s="145"/>
      <c r="O287" s="16"/>
      <c r="P287" s="1"/>
    </row>
    <row r="288" spans="1:16">
      <c r="A288" s="6"/>
      <c r="B288" s="7"/>
      <c r="C288" s="6"/>
      <c r="D288" s="125"/>
      <c r="E288" s="126"/>
      <c r="F288" s="1"/>
      <c r="G288" s="9"/>
      <c r="H288" s="9"/>
      <c r="I288" s="5"/>
      <c r="J288" s="1"/>
      <c r="K288" s="1"/>
      <c r="L288" s="1"/>
      <c r="M288" s="9"/>
      <c r="N288" s="145"/>
      <c r="O288" s="16"/>
      <c r="P288" s="1"/>
    </row>
    <row r="289" spans="1:16">
      <c r="A289" s="6"/>
      <c r="B289" s="7"/>
      <c r="C289" s="6"/>
      <c r="D289" s="125"/>
      <c r="E289" s="126"/>
      <c r="F289" s="1"/>
      <c r="G289" s="9"/>
      <c r="H289" s="9"/>
      <c r="I289" s="5"/>
      <c r="J289" s="1"/>
      <c r="K289" s="1"/>
      <c r="L289" s="1"/>
      <c r="M289" s="9"/>
      <c r="N289" s="145"/>
      <c r="O289" s="16"/>
      <c r="P289" s="1"/>
    </row>
    <row r="290" spans="1:16">
      <c r="A290" s="6"/>
      <c r="B290" s="7"/>
      <c r="C290" s="6"/>
      <c r="D290" s="125"/>
      <c r="E290" s="126"/>
      <c r="F290" s="1"/>
      <c r="G290" s="9"/>
      <c r="H290" s="9"/>
      <c r="I290" s="5"/>
      <c r="J290" s="1"/>
      <c r="K290" s="1"/>
      <c r="L290" s="1"/>
      <c r="M290" s="9"/>
      <c r="N290" s="145"/>
      <c r="O290" s="16"/>
      <c r="P290" s="1"/>
    </row>
    <row r="291" spans="1:16">
      <c r="A291" s="6"/>
      <c r="B291" s="7"/>
      <c r="C291" s="122"/>
      <c r="D291" s="125"/>
      <c r="E291" s="126"/>
      <c r="F291" s="1"/>
      <c r="G291" s="9"/>
      <c r="H291" s="9"/>
      <c r="I291" s="5"/>
      <c r="J291" s="1"/>
      <c r="K291" s="1"/>
      <c r="L291" s="1"/>
      <c r="M291" s="9"/>
      <c r="N291" s="145"/>
      <c r="O291" s="16"/>
      <c r="P291" s="1"/>
    </row>
    <row r="292" spans="1:16">
      <c r="A292" s="6"/>
      <c r="B292" s="7"/>
      <c r="C292" s="6"/>
      <c r="D292" s="141"/>
      <c r="E292" s="142"/>
      <c r="F292" s="1"/>
      <c r="G292" s="9"/>
      <c r="H292" s="9"/>
      <c r="I292" s="5"/>
      <c r="J292" s="1"/>
      <c r="K292" s="1"/>
      <c r="L292" s="1"/>
      <c r="M292" s="9"/>
      <c r="O292" s="16"/>
      <c r="P292" s="1"/>
    </row>
    <row r="293" spans="1:16">
      <c r="A293" s="6"/>
      <c r="B293" s="7"/>
      <c r="C293" s="6"/>
      <c r="D293" s="141"/>
      <c r="E293" s="157"/>
      <c r="F293" s="1"/>
      <c r="G293" s="9"/>
      <c r="H293" s="9"/>
      <c r="I293" s="5"/>
      <c r="J293" s="1"/>
      <c r="K293" s="1"/>
      <c r="L293" s="1"/>
      <c r="M293" s="9"/>
      <c r="O293" s="16"/>
      <c r="P293" s="1"/>
    </row>
    <row r="294" spans="1:16">
      <c r="A294" s="6"/>
      <c r="B294" s="7"/>
      <c r="C294" s="6"/>
      <c r="D294" s="141"/>
      <c r="E294" s="142"/>
      <c r="F294" s="1"/>
      <c r="G294" s="9"/>
      <c r="H294" s="9"/>
      <c r="I294" s="5"/>
      <c r="J294" s="1"/>
      <c r="K294" s="1"/>
      <c r="L294" s="1"/>
      <c r="M294" s="9"/>
      <c r="O294" s="16"/>
      <c r="P294" s="1"/>
    </row>
    <row r="295" spans="1:16">
      <c r="A295" s="6"/>
      <c r="B295" s="7"/>
      <c r="C295" s="6"/>
      <c r="D295" s="158"/>
      <c r="E295" s="157"/>
      <c r="F295" s="1"/>
      <c r="G295" s="9"/>
      <c r="H295" s="9"/>
      <c r="I295" s="5"/>
      <c r="J295" s="1"/>
      <c r="K295" s="1"/>
      <c r="L295" s="1"/>
      <c r="M295" s="9"/>
      <c r="O295" s="16"/>
      <c r="P295" s="1"/>
    </row>
    <row r="296" spans="1:16">
      <c r="A296" s="6"/>
      <c r="B296" s="7"/>
      <c r="C296" s="6"/>
      <c r="D296" s="141"/>
      <c r="E296" s="157"/>
      <c r="F296" s="1"/>
      <c r="G296" s="9"/>
      <c r="H296" s="9"/>
      <c r="I296" s="5"/>
      <c r="J296" s="1"/>
      <c r="K296" s="1"/>
      <c r="L296" s="1"/>
      <c r="M296" s="1"/>
      <c r="O296" s="16"/>
      <c r="P296" s="1"/>
    </row>
    <row r="297" spans="1:16">
      <c r="A297" s="6"/>
      <c r="B297" s="7"/>
      <c r="C297" s="6"/>
      <c r="D297" s="158"/>
      <c r="E297" s="157"/>
      <c r="F297" s="1"/>
      <c r="G297" s="9"/>
      <c r="H297" s="9"/>
      <c r="I297" s="5"/>
      <c r="J297" s="1"/>
      <c r="K297" s="1"/>
      <c r="L297" s="1"/>
      <c r="M297" s="9"/>
      <c r="O297" s="16"/>
      <c r="P297" s="1"/>
    </row>
    <row r="298" spans="1:16">
      <c r="A298" s="6"/>
      <c r="B298" s="7"/>
      <c r="C298" s="6"/>
      <c r="D298" s="158"/>
      <c r="E298" s="157"/>
      <c r="F298" s="1"/>
      <c r="G298" s="9"/>
      <c r="H298" s="9"/>
      <c r="I298" s="5"/>
      <c r="J298" s="1"/>
      <c r="K298" s="1"/>
      <c r="L298" s="1"/>
      <c r="M298" s="9"/>
      <c r="O298" s="16"/>
      <c r="P298" s="1"/>
    </row>
    <row r="299" spans="1:16">
      <c r="A299" s="6"/>
      <c r="B299" s="7"/>
      <c r="C299" s="6"/>
      <c r="D299" s="158"/>
      <c r="E299" s="157"/>
      <c r="F299" s="1"/>
      <c r="G299" s="9"/>
      <c r="H299" s="9"/>
      <c r="I299" s="5"/>
      <c r="J299" s="1"/>
      <c r="K299" s="1"/>
      <c r="L299" s="1"/>
      <c r="M299" s="9"/>
      <c r="O299" s="16"/>
      <c r="P299" s="1"/>
    </row>
    <row r="300" spans="1:16">
      <c r="A300" s="6"/>
      <c r="B300" s="7"/>
      <c r="C300" s="6"/>
      <c r="D300" s="140"/>
      <c r="E300" s="154"/>
      <c r="F300" s="1"/>
      <c r="G300" s="9"/>
      <c r="H300" s="9"/>
      <c r="I300" s="5"/>
      <c r="J300" s="1"/>
      <c r="K300" s="1"/>
      <c r="L300" s="1"/>
      <c r="M300" s="9"/>
      <c r="O300" s="16"/>
      <c r="P300" s="1"/>
    </row>
    <row r="301" spans="1:16">
      <c r="A301" s="6"/>
      <c r="B301" s="7"/>
      <c r="C301" s="6"/>
      <c r="D301" s="158"/>
      <c r="E301" s="157"/>
      <c r="F301" s="1"/>
      <c r="G301" s="9"/>
      <c r="H301" s="9"/>
      <c r="I301" s="5"/>
      <c r="J301" s="1"/>
      <c r="K301" s="1"/>
      <c r="L301" s="1"/>
      <c r="M301" s="9"/>
      <c r="O301" s="16"/>
      <c r="P301" s="1"/>
    </row>
    <row r="302" spans="1:16">
      <c r="A302" s="6"/>
      <c r="B302" s="7"/>
      <c r="C302" s="6"/>
      <c r="D302" s="158"/>
      <c r="E302" s="157"/>
      <c r="F302" s="1"/>
      <c r="G302" s="9"/>
      <c r="H302" s="9"/>
      <c r="I302" s="5"/>
      <c r="J302" s="1"/>
      <c r="K302" s="1"/>
      <c r="L302" s="1"/>
      <c r="M302" s="9"/>
      <c r="O302" s="16"/>
      <c r="P302" s="1"/>
    </row>
    <row r="303" spans="1:16">
      <c r="A303" s="6"/>
      <c r="B303" s="7"/>
      <c r="C303" s="6"/>
      <c r="D303" s="158"/>
      <c r="E303" s="157"/>
      <c r="F303" s="1"/>
      <c r="G303" s="9"/>
      <c r="H303" s="9"/>
      <c r="I303" s="5"/>
      <c r="J303" s="1"/>
      <c r="K303" s="1"/>
      <c r="L303" s="1"/>
      <c r="M303" s="9"/>
      <c r="N303" s="5"/>
      <c r="O303" s="16"/>
      <c r="P303" s="1"/>
    </row>
    <row r="304" spans="1:16">
      <c r="A304" s="6"/>
      <c r="B304" s="7"/>
      <c r="C304" s="6"/>
      <c r="D304" s="158"/>
      <c r="E304" s="157"/>
      <c r="F304" s="1"/>
      <c r="G304" s="9"/>
      <c r="H304" s="9"/>
      <c r="I304" s="5"/>
      <c r="J304" s="1"/>
      <c r="K304" s="1"/>
      <c r="L304" s="1"/>
      <c r="M304" s="1"/>
      <c r="O304" s="16"/>
      <c r="P304" s="1"/>
    </row>
    <row r="305" spans="1:16">
      <c r="A305" s="6"/>
      <c r="B305" s="7"/>
      <c r="C305" s="6"/>
      <c r="D305" s="158"/>
      <c r="E305" s="157"/>
      <c r="F305" s="1"/>
      <c r="G305" s="9"/>
      <c r="H305" s="9"/>
      <c r="I305" s="5"/>
      <c r="J305" s="1"/>
      <c r="K305" s="1"/>
      <c r="L305" s="1"/>
      <c r="M305" s="9"/>
      <c r="O305" s="16"/>
      <c r="P305" s="1"/>
    </row>
    <row r="306" spans="1:16">
      <c r="A306" s="6"/>
      <c r="B306" s="7"/>
      <c r="C306" s="6"/>
      <c r="D306" s="158"/>
      <c r="E306" s="157"/>
      <c r="F306" s="1"/>
      <c r="G306" s="9"/>
      <c r="H306" s="9"/>
      <c r="I306" s="5"/>
      <c r="J306" s="1"/>
      <c r="K306" s="1"/>
      <c r="L306" s="1"/>
      <c r="M306" s="9"/>
      <c r="O306" s="16"/>
      <c r="P306" s="1"/>
    </row>
    <row r="307" spans="1:16">
      <c r="A307" s="6"/>
      <c r="B307" s="7"/>
      <c r="C307" s="6"/>
      <c r="D307" s="158"/>
      <c r="E307" s="157"/>
      <c r="F307" s="1"/>
      <c r="G307" s="9"/>
      <c r="H307" s="9"/>
      <c r="I307" s="5"/>
      <c r="J307" s="1"/>
      <c r="K307" s="1"/>
      <c r="L307" s="1"/>
      <c r="M307" s="9"/>
      <c r="O307" s="16"/>
      <c r="P307" s="1"/>
    </row>
    <row r="308" spans="1:16">
      <c r="A308" s="6"/>
      <c r="B308" s="7"/>
      <c r="C308" s="6"/>
      <c r="D308" s="158"/>
      <c r="E308" s="157"/>
      <c r="F308" s="1"/>
      <c r="G308" s="9"/>
      <c r="H308" s="9"/>
      <c r="I308" s="5"/>
      <c r="J308" s="1"/>
      <c r="K308" s="1"/>
      <c r="L308" s="1"/>
      <c r="M308" s="9"/>
      <c r="O308" s="16"/>
      <c r="P308" s="1"/>
    </row>
    <row r="309" spans="1:16">
      <c r="A309" s="6"/>
      <c r="B309" s="7"/>
      <c r="C309" s="6"/>
      <c r="D309" s="140"/>
      <c r="E309" s="157"/>
      <c r="F309" s="1"/>
      <c r="G309" s="9"/>
      <c r="H309" s="9"/>
      <c r="I309" s="5"/>
      <c r="J309" s="1"/>
      <c r="K309" s="1"/>
      <c r="L309" s="1"/>
      <c r="M309" s="9"/>
      <c r="O309" s="16"/>
      <c r="P309" s="1"/>
    </row>
    <row r="310" spans="1:16">
      <c r="A310" s="6"/>
      <c r="B310" s="7"/>
      <c r="C310" s="6"/>
      <c r="D310" s="158"/>
      <c r="E310" s="157"/>
      <c r="F310" s="1"/>
      <c r="G310" s="9"/>
      <c r="H310" s="9"/>
      <c r="I310" s="5"/>
      <c r="J310" s="1"/>
      <c r="K310" s="1"/>
      <c r="L310" s="1"/>
      <c r="M310" s="9"/>
      <c r="N310" s="5"/>
      <c r="O310" s="16"/>
      <c r="P310" s="1"/>
    </row>
    <row r="311" spans="1:16">
      <c r="A311" s="6"/>
      <c r="B311" s="7"/>
      <c r="C311" s="6"/>
      <c r="D311" s="158"/>
      <c r="E311" s="157"/>
      <c r="F311" s="1"/>
      <c r="G311" s="9"/>
      <c r="H311" s="9"/>
      <c r="I311" s="5"/>
      <c r="J311" s="1"/>
      <c r="K311" s="1"/>
      <c r="L311" s="1"/>
      <c r="M311" s="9"/>
      <c r="O311" s="16"/>
      <c r="P311" s="1"/>
    </row>
    <row r="312" spans="1:16">
      <c r="A312" s="6"/>
      <c r="B312" s="7"/>
      <c r="C312" s="6"/>
      <c r="D312" s="158"/>
      <c r="E312" s="157"/>
      <c r="F312" s="1"/>
      <c r="G312" s="9"/>
      <c r="H312" s="9"/>
      <c r="I312" s="5"/>
      <c r="J312" s="1"/>
      <c r="K312" s="1"/>
      <c r="L312" s="1"/>
      <c r="M312" s="9"/>
      <c r="O312" s="16"/>
      <c r="P312" s="1"/>
    </row>
    <row r="313" spans="1:16">
      <c r="A313" s="6"/>
      <c r="B313" s="7"/>
      <c r="C313" s="6"/>
      <c r="D313" s="141"/>
      <c r="E313" s="157"/>
      <c r="F313" s="1"/>
      <c r="G313" s="9"/>
      <c r="H313" s="9"/>
      <c r="I313" s="5"/>
      <c r="J313" s="1"/>
      <c r="K313" s="1"/>
      <c r="L313" s="1"/>
      <c r="M313" s="9"/>
      <c r="N313" s="5"/>
      <c r="O313" s="16"/>
      <c r="P313" s="1"/>
    </row>
    <row r="314" spans="1:16">
      <c r="A314" s="6"/>
      <c r="B314" s="7"/>
      <c r="C314" s="6"/>
      <c r="D314" s="158"/>
      <c r="E314" s="157"/>
      <c r="F314" s="1"/>
      <c r="G314" s="9"/>
      <c r="H314" s="9"/>
      <c r="I314" s="5"/>
      <c r="J314" s="1"/>
      <c r="K314" s="1"/>
      <c r="L314" s="1"/>
      <c r="M314" s="9"/>
      <c r="O314" s="16"/>
      <c r="P314" s="1"/>
    </row>
    <row r="315" spans="1:16">
      <c r="A315" s="6"/>
      <c r="B315" s="7"/>
      <c r="C315" s="6"/>
      <c r="D315" s="158"/>
      <c r="E315" s="157"/>
      <c r="F315" s="1"/>
      <c r="G315" s="9"/>
      <c r="H315" s="9"/>
      <c r="I315" s="5"/>
      <c r="J315" s="1"/>
      <c r="K315" s="1"/>
      <c r="L315" s="1"/>
      <c r="M315" s="9"/>
      <c r="O315" s="16"/>
      <c r="P315" s="1"/>
    </row>
    <row r="316" spans="1:16">
      <c r="A316" s="6"/>
      <c r="B316" s="7"/>
      <c r="C316" s="6"/>
      <c r="D316" s="158"/>
      <c r="E316" s="157"/>
      <c r="F316" s="1"/>
      <c r="G316" s="9"/>
      <c r="H316" s="9"/>
      <c r="I316" s="5"/>
      <c r="J316" s="1"/>
      <c r="K316" s="1"/>
      <c r="L316" s="1"/>
      <c r="M316" s="9"/>
      <c r="O316" s="16"/>
      <c r="P316" s="1"/>
    </row>
    <row r="317" spans="1:16">
      <c r="A317" s="6"/>
      <c r="B317" s="7"/>
      <c r="C317" s="6"/>
      <c r="D317" s="158"/>
      <c r="E317" s="157"/>
      <c r="F317" s="1"/>
      <c r="G317" s="9"/>
      <c r="H317" s="9"/>
      <c r="I317" s="5"/>
      <c r="J317" s="1"/>
      <c r="K317" s="1"/>
      <c r="L317" s="1"/>
      <c r="M317" s="9"/>
      <c r="O317" s="16"/>
      <c r="P317" s="1"/>
    </row>
    <row r="318" spans="1:16">
      <c r="A318" s="6"/>
      <c r="B318" s="7"/>
      <c r="C318" s="6"/>
      <c r="D318" s="158"/>
      <c r="E318" s="157"/>
      <c r="F318" s="1"/>
      <c r="G318" s="9"/>
      <c r="H318" s="9"/>
      <c r="I318" s="5"/>
      <c r="J318" s="1"/>
      <c r="K318" s="1"/>
      <c r="L318" s="1"/>
      <c r="M318" s="9"/>
      <c r="O318" s="16"/>
      <c r="P318" s="1"/>
    </row>
    <row r="319" spans="1:16">
      <c r="A319" s="6"/>
      <c r="B319" s="7"/>
      <c r="C319" s="6"/>
      <c r="D319" s="158"/>
      <c r="E319" s="157"/>
      <c r="F319" s="1"/>
      <c r="G319" s="9"/>
      <c r="H319" s="9"/>
      <c r="I319" s="5"/>
      <c r="J319" s="1"/>
      <c r="K319" s="1"/>
      <c r="L319" s="1"/>
      <c r="M319" s="9"/>
      <c r="O319" s="16"/>
      <c r="P319" s="1"/>
    </row>
    <row r="320" spans="1:16">
      <c r="A320" s="6"/>
      <c r="B320" s="7"/>
      <c r="C320" s="6"/>
      <c r="D320" s="158"/>
      <c r="E320" s="157"/>
      <c r="F320" s="1"/>
      <c r="G320" s="9"/>
      <c r="H320" s="9"/>
      <c r="I320" s="5"/>
      <c r="J320" s="1"/>
      <c r="K320" s="1"/>
      <c r="L320" s="1"/>
      <c r="M320" s="9"/>
      <c r="O320" s="16"/>
      <c r="P320" s="1"/>
    </row>
    <row r="321" spans="1:16">
      <c r="A321" s="6"/>
      <c r="B321" s="7"/>
      <c r="C321" s="6"/>
      <c r="D321" s="158"/>
      <c r="E321" s="157"/>
      <c r="F321" s="1"/>
      <c r="G321" s="9"/>
      <c r="H321" s="9"/>
      <c r="I321" s="5"/>
      <c r="J321" s="1"/>
      <c r="K321" s="1"/>
      <c r="L321" s="1"/>
      <c r="M321" s="9"/>
      <c r="O321" s="16"/>
      <c r="P321" s="1"/>
    </row>
    <row r="322" spans="1:16">
      <c r="A322" s="6"/>
      <c r="B322" s="7"/>
      <c r="C322" s="6"/>
      <c r="D322" s="160"/>
      <c r="E322" s="157"/>
      <c r="F322" s="1"/>
      <c r="G322" s="9"/>
      <c r="H322" s="9"/>
      <c r="I322" s="5"/>
      <c r="J322" s="1"/>
      <c r="K322" s="1"/>
      <c r="L322" s="1"/>
      <c r="M322" s="9"/>
      <c r="N322" s="5"/>
      <c r="O322" s="16"/>
      <c r="P322" s="1"/>
    </row>
    <row r="323" spans="1:16">
      <c r="A323" s="6"/>
      <c r="B323" s="7"/>
      <c r="C323" s="6"/>
      <c r="D323" s="158"/>
      <c r="E323" s="157"/>
      <c r="F323" s="1"/>
      <c r="G323" s="9"/>
      <c r="H323" s="9"/>
      <c r="I323" s="5"/>
      <c r="J323" s="1"/>
      <c r="K323" s="1"/>
      <c r="L323" s="1"/>
      <c r="M323" s="9"/>
      <c r="O323" s="16"/>
      <c r="P323" s="1"/>
    </row>
    <row r="324" spans="1:16">
      <c r="A324" s="6"/>
      <c r="B324" s="7"/>
      <c r="C324" s="6"/>
      <c r="D324" s="140"/>
      <c r="E324" s="157"/>
      <c r="F324" s="1"/>
      <c r="G324" s="9"/>
      <c r="H324" s="9"/>
      <c r="I324" s="5"/>
      <c r="J324" s="1"/>
      <c r="K324" s="1"/>
      <c r="L324" s="1"/>
      <c r="M324" s="9"/>
      <c r="O324" s="16"/>
      <c r="P324" s="1"/>
    </row>
    <row r="325" spans="1:16">
      <c r="A325" s="6"/>
      <c r="B325" s="7"/>
      <c r="C325" s="6"/>
      <c r="D325" s="158"/>
      <c r="E325" s="157"/>
      <c r="F325" s="1"/>
      <c r="G325" s="9"/>
      <c r="H325" s="9"/>
      <c r="I325" s="5"/>
      <c r="J325" s="1"/>
      <c r="K325" s="1"/>
      <c r="L325" s="1"/>
      <c r="M325" s="10"/>
      <c r="N325" s="5"/>
      <c r="O325" s="16"/>
      <c r="P325" s="1"/>
    </row>
    <row r="326" spans="1:16">
      <c r="A326" s="6"/>
      <c r="B326" s="7"/>
      <c r="C326" s="6"/>
      <c r="D326" s="158"/>
      <c r="E326" s="157"/>
      <c r="F326" s="1"/>
      <c r="G326" s="9"/>
      <c r="H326" s="9"/>
      <c r="I326" s="5"/>
      <c r="J326" s="1"/>
      <c r="K326" s="1"/>
      <c r="L326" s="1"/>
      <c r="M326" s="10"/>
      <c r="N326" s="5"/>
      <c r="O326" s="16"/>
      <c r="P326" s="1"/>
    </row>
    <row r="327" spans="1:16">
      <c r="A327" s="6"/>
      <c r="B327" s="7"/>
      <c r="C327" s="6"/>
      <c r="D327" s="158"/>
      <c r="E327" s="157"/>
      <c r="F327" s="1"/>
      <c r="G327" s="9"/>
      <c r="H327" s="9"/>
      <c r="I327" s="5"/>
      <c r="J327" s="1"/>
      <c r="K327" s="1"/>
      <c r="L327" s="1"/>
      <c r="M327" s="10"/>
      <c r="N327" s="5"/>
      <c r="O327" s="16"/>
      <c r="P327" s="1"/>
    </row>
    <row r="328" spans="1:16">
      <c r="A328" s="6"/>
      <c r="B328" s="7"/>
      <c r="C328" s="6"/>
      <c r="D328" s="158"/>
      <c r="E328" s="157"/>
      <c r="F328" s="1"/>
      <c r="G328" s="9"/>
      <c r="H328" s="9"/>
      <c r="I328" s="5"/>
      <c r="J328" s="1"/>
      <c r="K328" s="1"/>
      <c r="L328" s="1"/>
      <c r="M328" s="10"/>
      <c r="N328" s="5"/>
      <c r="O328" s="16"/>
      <c r="P328" s="1"/>
    </row>
    <row r="329" spans="1:16">
      <c r="A329" s="6"/>
      <c r="B329" s="7"/>
      <c r="C329" s="6"/>
      <c r="D329" s="158"/>
      <c r="E329" s="157"/>
      <c r="F329" s="1"/>
      <c r="G329" s="9"/>
      <c r="H329" s="9"/>
      <c r="I329" s="5"/>
      <c r="J329" s="1"/>
      <c r="K329" s="1"/>
      <c r="L329" s="1"/>
      <c r="M329" s="10"/>
      <c r="N329" s="5"/>
      <c r="O329" s="16"/>
      <c r="P329" s="1"/>
    </row>
    <row r="330" spans="1:16">
      <c r="A330" s="6"/>
      <c r="B330" s="7"/>
      <c r="C330" s="6"/>
      <c r="D330" s="158"/>
      <c r="E330" s="142"/>
      <c r="F330" s="1"/>
      <c r="G330" s="9"/>
      <c r="H330" s="9"/>
      <c r="I330" s="5"/>
      <c r="J330" s="1"/>
      <c r="K330" s="1"/>
      <c r="L330" s="1"/>
      <c r="M330" s="10"/>
      <c r="N330" s="5"/>
      <c r="O330" s="16"/>
      <c r="P330" s="1"/>
    </row>
    <row r="331" spans="1:16">
      <c r="A331" s="6"/>
      <c r="B331" s="7"/>
      <c r="C331" s="6"/>
      <c r="D331" s="158"/>
      <c r="E331" s="157"/>
      <c r="F331" s="1"/>
      <c r="G331" s="9"/>
      <c r="H331" s="9"/>
      <c r="I331" s="5"/>
      <c r="J331" s="1"/>
      <c r="K331" s="1"/>
      <c r="L331" s="1"/>
      <c r="M331" s="10"/>
      <c r="O331" s="16"/>
      <c r="P331" s="1"/>
    </row>
    <row r="332" spans="1:16">
      <c r="A332" s="6"/>
      <c r="B332" s="7"/>
      <c r="C332" s="6"/>
      <c r="D332" s="158"/>
      <c r="E332" s="157"/>
      <c r="F332" s="1"/>
      <c r="G332" s="9"/>
      <c r="H332" s="9"/>
      <c r="I332" s="5"/>
      <c r="J332" s="1"/>
      <c r="K332" s="1"/>
      <c r="L332" s="1"/>
      <c r="M332" s="10"/>
      <c r="O332" s="16"/>
      <c r="P332" s="1"/>
    </row>
    <row r="333" spans="1:16">
      <c r="A333" s="6"/>
      <c r="B333" s="7"/>
      <c r="C333" s="6"/>
      <c r="D333" s="158"/>
      <c r="E333" s="157"/>
      <c r="F333" s="1"/>
      <c r="G333" s="9"/>
      <c r="H333" s="9"/>
      <c r="I333" s="5"/>
      <c r="J333" s="1"/>
      <c r="K333" s="1"/>
      <c r="L333" s="1"/>
      <c r="M333" s="10"/>
      <c r="O333" s="16"/>
      <c r="P333" s="1"/>
    </row>
    <row r="334" spans="1:16">
      <c r="A334" s="6"/>
      <c r="B334" s="7"/>
      <c r="C334" s="6"/>
      <c r="D334" s="158"/>
      <c r="E334" s="157"/>
      <c r="F334" s="1"/>
      <c r="G334" s="9"/>
      <c r="H334" s="9"/>
      <c r="I334" s="5"/>
      <c r="J334" s="1"/>
      <c r="K334" s="1"/>
      <c r="L334" s="1"/>
      <c r="M334" s="10"/>
      <c r="O334" s="16"/>
      <c r="P334" s="1"/>
    </row>
    <row r="335" spans="1:16">
      <c r="A335" s="6"/>
      <c r="B335" s="7"/>
      <c r="C335" s="6"/>
      <c r="D335" s="158"/>
      <c r="E335" s="157"/>
      <c r="F335" s="1"/>
      <c r="G335" s="9"/>
      <c r="H335" s="9"/>
      <c r="I335" s="5"/>
      <c r="J335" s="1"/>
      <c r="K335" s="1"/>
      <c r="L335" s="1"/>
      <c r="M335" s="10"/>
      <c r="O335" s="16"/>
      <c r="P335" s="1"/>
    </row>
    <row r="336" spans="1:16">
      <c r="A336" s="6"/>
      <c r="B336" s="7"/>
      <c r="C336" s="6"/>
      <c r="D336" s="158"/>
      <c r="E336" s="157"/>
      <c r="F336" s="1"/>
      <c r="G336" s="9"/>
      <c r="H336" s="9"/>
      <c r="I336" s="5"/>
      <c r="J336" s="1"/>
      <c r="K336" s="1"/>
      <c r="L336" s="1"/>
      <c r="M336" s="10"/>
      <c r="O336" s="16"/>
      <c r="P336" s="1"/>
    </row>
    <row r="337" spans="1:16">
      <c r="A337" s="6"/>
      <c r="B337" s="7"/>
      <c r="C337" s="6"/>
      <c r="D337" s="158"/>
      <c r="E337" s="157"/>
      <c r="F337" s="1"/>
      <c r="G337" s="1"/>
      <c r="H337" s="1"/>
      <c r="I337" s="5"/>
      <c r="J337" s="1"/>
      <c r="K337" s="1"/>
      <c r="L337" s="1"/>
      <c r="M337" s="10"/>
      <c r="O337" s="16"/>
      <c r="P337" s="1"/>
    </row>
    <row r="338" spans="1:16">
      <c r="A338" s="6"/>
      <c r="B338" s="7"/>
      <c r="C338" s="6"/>
      <c r="D338" s="158"/>
      <c r="E338" s="157"/>
      <c r="F338" s="1"/>
      <c r="G338" s="9"/>
      <c r="H338" s="9"/>
      <c r="I338" s="5"/>
      <c r="J338" s="1"/>
      <c r="K338" s="1"/>
      <c r="L338" s="1"/>
      <c r="M338" s="10"/>
      <c r="O338" s="16"/>
      <c r="P338" s="1"/>
    </row>
    <row r="339" spans="1:16">
      <c r="A339" s="6"/>
      <c r="B339" s="7"/>
      <c r="C339" s="6"/>
      <c r="D339" s="158"/>
      <c r="E339" s="157"/>
      <c r="F339" s="1"/>
      <c r="G339" s="9"/>
      <c r="H339" s="9"/>
      <c r="I339" s="5"/>
      <c r="J339" s="1"/>
      <c r="K339" s="1"/>
      <c r="L339" s="1"/>
      <c r="M339" s="10"/>
      <c r="O339" s="16"/>
      <c r="P339" s="1"/>
    </row>
    <row r="340" spans="1:16">
      <c r="A340" s="6"/>
      <c r="B340" s="7"/>
      <c r="C340" s="6"/>
      <c r="D340" s="158"/>
      <c r="E340" s="157"/>
      <c r="F340" s="1"/>
      <c r="G340" s="9"/>
      <c r="H340" s="9"/>
      <c r="I340" s="5"/>
      <c r="J340" s="1"/>
      <c r="K340" s="1"/>
      <c r="L340" s="1"/>
      <c r="M340" s="10"/>
      <c r="O340" s="16"/>
      <c r="P340" s="1"/>
    </row>
    <row r="341" spans="1:16">
      <c r="A341" s="6"/>
      <c r="B341" s="7"/>
      <c r="C341" s="6"/>
      <c r="D341" s="140"/>
      <c r="E341" s="157"/>
      <c r="F341" s="1"/>
      <c r="G341" s="9"/>
      <c r="H341" s="9"/>
      <c r="I341" s="5"/>
      <c r="J341" s="1"/>
      <c r="K341" s="1"/>
      <c r="L341" s="1"/>
      <c r="M341" s="10"/>
      <c r="O341" s="16"/>
      <c r="P341" s="1"/>
    </row>
    <row r="342" spans="1:16">
      <c r="A342" s="6"/>
      <c r="B342" s="7"/>
      <c r="C342" s="6"/>
      <c r="D342" s="140"/>
      <c r="E342" s="157"/>
      <c r="F342" s="1"/>
      <c r="G342" s="9"/>
      <c r="H342" s="9"/>
      <c r="I342" s="5"/>
      <c r="J342" s="1"/>
      <c r="K342" s="1"/>
      <c r="L342" s="1"/>
      <c r="M342" s="10"/>
      <c r="O342" s="16"/>
      <c r="P342" s="1"/>
    </row>
    <row r="343" spans="1:16">
      <c r="A343" s="6"/>
      <c r="B343" s="7"/>
      <c r="C343" s="6"/>
      <c r="D343" s="140"/>
      <c r="E343" s="157"/>
      <c r="F343" s="1"/>
      <c r="G343" s="9"/>
      <c r="H343" s="9"/>
      <c r="I343" s="5"/>
      <c r="J343" s="1"/>
      <c r="K343" s="1"/>
      <c r="L343" s="1"/>
      <c r="M343" s="10"/>
      <c r="O343" s="16"/>
      <c r="P343" s="1"/>
    </row>
    <row r="344" spans="1:16">
      <c r="A344" s="6"/>
      <c r="B344" s="7"/>
      <c r="C344" s="6"/>
      <c r="D344" s="158"/>
      <c r="E344" s="157"/>
      <c r="F344" s="1"/>
      <c r="G344" s="9"/>
      <c r="H344" s="9"/>
      <c r="I344" s="5"/>
      <c r="J344" s="1"/>
      <c r="K344" s="1"/>
      <c r="L344" s="1"/>
      <c r="M344" s="10"/>
      <c r="O344" s="16"/>
      <c r="P344" s="1"/>
    </row>
    <row r="345" spans="1:16">
      <c r="A345" s="6"/>
      <c r="B345" s="7"/>
      <c r="C345" s="6"/>
      <c r="D345" s="158"/>
      <c r="E345" s="157"/>
      <c r="F345" s="1"/>
      <c r="G345" s="9"/>
      <c r="H345" s="9"/>
      <c r="I345" s="5"/>
      <c r="J345" s="1"/>
      <c r="K345" s="1"/>
      <c r="L345" s="1"/>
      <c r="M345" s="10"/>
      <c r="O345" s="16"/>
      <c r="P345" s="1"/>
    </row>
    <row r="346" spans="1:16">
      <c r="A346" s="6"/>
      <c r="B346" s="7"/>
      <c r="C346" s="6"/>
      <c r="D346" s="158"/>
      <c r="E346" s="157"/>
      <c r="F346" s="1"/>
      <c r="G346" s="9"/>
      <c r="H346" s="9"/>
      <c r="I346" s="5"/>
      <c r="J346" s="1"/>
      <c r="K346" s="1"/>
      <c r="L346" s="1"/>
      <c r="M346" s="10"/>
      <c r="O346" s="16"/>
      <c r="P346" s="9"/>
    </row>
    <row r="347" spans="1:16">
      <c r="A347" s="6"/>
      <c r="B347" s="7"/>
      <c r="C347" s="6"/>
      <c r="D347" s="158"/>
      <c r="E347" s="157"/>
      <c r="F347" s="1"/>
      <c r="G347" s="9"/>
      <c r="H347" s="9"/>
      <c r="I347" s="5"/>
      <c r="J347" s="1"/>
      <c r="K347" s="1"/>
      <c r="L347" s="1"/>
      <c r="M347" s="10"/>
      <c r="O347" s="16"/>
      <c r="P347" s="1"/>
    </row>
    <row r="348" spans="1:16">
      <c r="A348" s="6"/>
      <c r="B348" s="7"/>
      <c r="C348" s="6"/>
      <c r="D348" s="158"/>
      <c r="E348" s="157"/>
      <c r="F348" s="1"/>
      <c r="G348" s="9"/>
      <c r="H348" s="9"/>
      <c r="I348" s="5"/>
      <c r="J348" s="1"/>
      <c r="K348" s="1"/>
      <c r="L348" s="1"/>
      <c r="M348" s="10"/>
      <c r="O348" s="16"/>
      <c r="P348" s="1"/>
    </row>
    <row r="349" spans="1:16">
      <c r="A349" s="6"/>
      <c r="B349" s="7"/>
      <c r="C349" s="6"/>
      <c r="D349" s="158"/>
      <c r="E349" s="157"/>
      <c r="F349" s="1"/>
      <c r="G349" s="9"/>
      <c r="H349" s="9"/>
      <c r="I349" s="5"/>
      <c r="J349" s="1"/>
      <c r="K349" s="1"/>
      <c r="L349" s="1"/>
      <c r="M349" s="10"/>
      <c r="O349" s="16"/>
      <c r="P349" s="1"/>
    </row>
    <row r="350" spans="1:16">
      <c r="A350" s="6"/>
      <c r="B350" s="7"/>
      <c r="C350" s="6"/>
      <c r="D350" s="158"/>
      <c r="E350" s="157"/>
      <c r="F350" s="1"/>
      <c r="G350" s="9"/>
      <c r="H350" s="9"/>
      <c r="I350" s="5"/>
      <c r="J350" s="1"/>
      <c r="K350" s="1"/>
      <c r="L350" s="1"/>
      <c r="M350" s="10"/>
      <c r="O350" s="16"/>
      <c r="P350" s="1"/>
    </row>
    <row r="351" spans="1:16">
      <c r="A351" s="6"/>
      <c r="B351" s="7"/>
      <c r="C351" s="6"/>
      <c r="D351" s="158"/>
      <c r="E351" s="157"/>
      <c r="F351" s="1"/>
      <c r="G351" s="9"/>
      <c r="H351" s="9"/>
      <c r="I351" s="5"/>
      <c r="J351" s="1"/>
      <c r="K351" s="1"/>
      <c r="L351" s="1"/>
      <c r="M351" s="10"/>
      <c r="O351" s="16"/>
      <c r="P351" s="1"/>
    </row>
    <row r="352" spans="1:16">
      <c r="A352" s="6"/>
      <c r="B352" s="7"/>
      <c r="C352" s="6"/>
      <c r="D352" s="158"/>
      <c r="E352" s="157"/>
      <c r="F352" s="1"/>
      <c r="G352" s="9"/>
      <c r="H352" s="9"/>
      <c r="I352" s="5"/>
      <c r="J352" s="1"/>
      <c r="K352" s="1"/>
      <c r="L352" s="1"/>
      <c r="M352" s="10"/>
      <c r="O352" s="16"/>
      <c r="P352" s="1"/>
    </row>
    <row r="353" spans="1:16">
      <c r="A353" s="6"/>
      <c r="B353" s="7"/>
      <c r="C353" s="6"/>
      <c r="D353" s="158"/>
      <c r="E353" s="157"/>
      <c r="F353" s="1"/>
      <c r="G353" s="9"/>
      <c r="H353" s="9"/>
      <c r="I353" s="5"/>
      <c r="J353" s="1"/>
      <c r="K353" s="1"/>
      <c r="L353" s="1"/>
      <c r="M353" s="10"/>
      <c r="O353" s="16"/>
      <c r="P353" s="1"/>
    </row>
    <row r="354" spans="1:16">
      <c r="A354" s="6"/>
      <c r="B354" s="7"/>
      <c r="C354" s="6"/>
      <c r="D354" s="140"/>
      <c r="E354" s="157"/>
      <c r="F354" s="1"/>
      <c r="G354" s="9"/>
      <c r="H354" s="9"/>
      <c r="I354" s="5"/>
      <c r="J354" s="1"/>
      <c r="K354" s="1"/>
      <c r="L354" s="1"/>
      <c r="M354" s="10"/>
      <c r="N354" s="5"/>
      <c r="O354" s="16"/>
      <c r="P354" s="1"/>
    </row>
    <row r="355" spans="1:16">
      <c r="A355" s="6"/>
      <c r="B355" s="7"/>
      <c r="C355" s="6"/>
      <c r="D355" s="158"/>
      <c r="E355" s="157"/>
      <c r="F355" s="1"/>
      <c r="G355" s="9"/>
      <c r="H355" s="9"/>
      <c r="I355" s="5"/>
      <c r="J355" s="1"/>
      <c r="K355" s="1"/>
      <c r="L355" s="1"/>
      <c r="M355" s="10"/>
      <c r="O355" s="16"/>
      <c r="P355" s="1"/>
    </row>
    <row r="356" spans="1:16">
      <c r="A356" s="6"/>
      <c r="B356" s="7"/>
      <c r="C356" s="6"/>
      <c r="D356" s="158"/>
      <c r="E356" s="142"/>
      <c r="F356" s="1"/>
      <c r="G356" s="9"/>
      <c r="H356" s="9"/>
      <c r="I356" s="5"/>
      <c r="J356" s="1"/>
      <c r="K356" s="1"/>
      <c r="L356" s="1"/>
      <c r="M356" s="10"/>
      <c r="N356" s="5"/>
      <c r="O356" s="16"/>
      <c r="P356" s="1"/>
    </row>
    <row r="357" spans="1:16">
      <c r="A357" s="6"/>
      <c r="B357" s="7"/>
      <c r="C357" s="6"/>
      <c r="D357" s="140"/>
      <c r="E357" s="157"/>
      <c r="F357" s="1"/>
      <c r="G357" s="9"/>
      <c r="H357" s="9"/>
      <c r="I357" s="5"/>
      <c r="J357" s="1"/>
      <c r="K357" s="1"/>
      <c r="L357" s="1"/>
      <c r="M357" s="10"/>
      <c r="O357" s="16"/>
      <c r="P357" s="1"/>
    </row>
    <row r="358" spans="1:16">
      <c r="A358" s="6"/>
      <c r="B358" s="7"/>
      <c r="C358" s="6"/>
      <c r="D358" s="158"/>
      <c r="E358" s="157"/>
      <c r="F358" s="1"/>
      <c r="G358" s="9"/>
      <c r="H358" s="9"/>
      <c r="I358" s="5"/>
      <c r="J358" s="1"/>
      <c r="K358" s="1"/>
      <c r="L358" s="1"/>
      <c r="M358" s="10"/>
      <c r="O358" s="16"/>
      <c r="P358" s="1"/>
    </row>
    <row r="359" spans="1:16">
      <c r="A359" s="6"/>
      <c r="B359" s="7"/>
      <c r="C359" s="6"/>
      <c r="D359" s="158"/>
      <c r="E359" s="157"/>
      <c r="F359" s="1"/>
      <c r="G359" s="9"/>
      <c r="H359" s="9"/>
      <c r="I359" s="5"/>
      <c r="J359" s="1"/>
      <c r="K359" s="1"/>
      <c r="L359" s="1"/>
      <c r="M359" s="10"/>
      <c r="N359" s="5"/>
      <c r="O359" s="16"/>
      <c r="P359" s="1"/>
    </row>
    <row r="360" spans="1:16">
      <c r="A360" s="6"/>
      <c r="B360" s="7"/>
      <c r="C360" s="6"/>
      <c r="D360" s="140"/>
      <c r="E360" s="157"/>
      <c r="F360" s="1"/>
      <c r="G360" s="9"/>
      <c r="H360" s="9"/>
      <c r="I360" s="5"/>
      <c r="J360" s="1"/>
      <c r="K360" s="1"/>
      <c r="L360" s="1"/>
      <c r="M360" s="10"/>
      <c r="O360" s="16"/>
      <c r="P360" s="1"/>
    </row>
    <row r="361" spans="1:16">
      <c r="A361" s="6"/>
      <c r="B361" s="7"/>
      <c r="C361" s="6"/>
      <c r="D361" s="140"/>
      <c r="E361" s="157"/>
      <c r="F361" s="1"/>
      <c r="G361" s="9"/>
      <c r="H361" s="9"/>
      <c r="I361" s="5"/>
      <c r="J361" s="1"/>
      <c r="K361" s="1"/>
      <c r="L361" s="1"/>
      <c r="M361" s="10"/>
      <c r="O361" s="16"/>
      <c r="P361" s="1"/>
    </row>
    <row r="362" spans="1:16">
      <c r="A362" s="6"/>
      <c r="B362" s="7"/>
      <c r="C362" s="6"/>
      <c r="D362" s="158"/>
      <c r="E362" s="157"/>
      <c r="F362" s="1"/>
      <c r="G362" s="9"/>
      <c r="H362" s="9"/>
      <c r="I362" s="5"/>
      <c r="J362" s="1"/>
      <c r="K362" s="1"/>
      <c r="L362" s="1"/>
      <c r="M362" s="10"/>
      <c r="O362" s="16"/>
      <c r="P362" s="1"/>
    </row>
    <row r="363" spans="1:16">
      <c r="A363" s="6"/>
      <c r="B363" s="7"/>
      <c r="C363" s="6"/>
      <c r="D363" s="158"/>
      <c r="E363" s="157"/>
      <c r="F363" s="1"/>
      <c r="G363" s="9"/>
      <c r="H363" s="9"/>
      <c r="I363" s="5"/>
      <c r="J363" s="1"/>
      <c r="K363" s="1"/>
      <c r="L363" s="1"/>
      <c r="M363" s="10"/>
      <c r="O363" s="16"/>
      <c r="P363" s="1"/>
    </row>
    <row r="364" spans="1:16">
      <c r="A364" s="6"/>
      <c r="B364" s="7"/>
      <c r="C364" s="6"/>
      <c r="D364" s="158"/>
      <c r="E364" s="157"/>
      <c r="F364" s="1"/>
      <c r="G364" s="9"/>
      <c r="H364" s="9"/>
      <c r="I364" s="5"/>
      <c r="J364" s="1"/>
      <c r="K364" s="1"/>
      <c r="L364" s="1"/>
      <c r="M364" s="10"/>
      <c r="N364" s="5"/>
      <c r="O364" s="16"/>
      <c r="P364" s="1"/>
    </row>
    <row r="365" spans="1:16">
      <c r="A365" s="6"/>
      <c r="B365" s="7"/>
      <c r="C365" s="6"/>
      <c r="D365" s="158"/>
      <c r="E365" s="157"/>
      <c r="F365" s="1"/>
      <c r="G365" s="9"/>
      <c r="H365" s="9"/>
      <c r="I365" s="5"/>
      <c r="J365" s="1"/>
      <c r="K365" s="1"/>
      <c r="L365" s="1"/>
      <c r="M365" s="10"/>
      <c r="N365" s="5"/>
      <c r="O365" s="16"/>
      <c r="P365" s="1"/>
    </row>
    <row r="366" spans="1:16">
      <c r="A366" s="6"/>
      <c r="B366" s="7"/>
      <c r="C366" s="6"/>
      <c r="D366" s="158"/>
      <c r="E366" s="157"/>
      <c r="F366" s="1"/>
      <c r="G366" s="9"/>
      <c r="H366" s="9"/>
      <c r="I366" s="5"/>
      <c r="J366" s="1"/>
      <c r="K366" s="1"/>
      <c r="L366" s="1"/>
      <c r="M366" s="10"/>
      <c r="N366" s="5"/>
      <c r="O366" s="16"/>
      <c r="P366" s="1"/>
    </row>
    <row r="367" spans="1:16">
      <c r="A367" s="6"/>
      <c r="B367" s="7"/>
      <c r="C367" s="6"/>
      <c r="D367" s="158"/>
      <c r="E367" s="157"/>
      <c r="F367" s="1"/>
      <c r="G367" s="9"/>
      <c r="H367" s="9"/>
      <c r="I367" s="5"/>
      <c r="J367" s="1"/>
      <c r="K367" s="1"/>
      <c r="L367" s="1"/>
      <c r="M367" s="10"/>
      <c r="O367" s="16"/>
      <c r="P367" s="1"/>
    </row>
    <row r="368" spans="1:16">
      <c r="A368" s="6"/>
      <c r="B368" s="7"/>
      <c r="C368" s="6"/>
      <c r="D368" s="140"/>
      <c r="E368" s="157"/>
      <c r="F368" s="1"/>
      <c r="G368" s="9"/>
      <c r="H368" s="9"/>
      <c r="I368" s="5"/>
      <c r="J368" s="1"/>
      <c r="K368" s="1"/>
      <c r="L368" s="1"/>
      <c r="M368" s="10"/>
      <c r="O368" s="16"/>
      <c r="P368" s="1"/>
    </row>
    <row r="369" spans="1:16">
      <c r="A369" s="6"/>
      <c r="B369" s="7"/>
      <c r="C369" s="6"/>
      <c r="D369" s="6"/>
      <c r="E369" s="6"/>
      <c r="F369" s="1"/>
      <c r="G369" s="9"/>
      <c r="H369" s="9"/>
      <c r="I369" s="5"/>
      <c r="J369" s="1"/>
      <c r="K369" s="1"/>
      <c r="L369" s="1"/>
      <c r="M369" s="10"/>
      <c r="O369" s="16"/>
      <c r="P369" s="1"/>
    </row>
    <row r="370" spans="1:16">
      <c r="A370" s="6"/>
      <c r="B370" s="7"/>
      <c r="C370" s="6"/>
      <c r="D370" s="140"/>
      <c r="E370" s="157"/>
      <c r="F370" s="1"/>
      <c r="G370" s="9"/>
      <c r="H370" s="9"/>
      <c r="I370" s="5"/>
      <c r="J370" s="1"/>
      <c r="K370" s="1"/>
      <c r="L370" s="1"/>
      <c r="M370" s="10"/>
      <c r="O370" s="16"/>
      <c r="P370" s="1"/>
    </row>
    <row r="371" spans="1:16">
      <c r="A371" s="6"/>
      <c r="B371" s="7"/>
      <c r="C371" s="6"/>
      <c r="D371" s="158"/>
      <c r="E371" s="157"/>
      <c r="F371" s="1"/>
      <c r="G371" s="9"/>
      <c r="H371" s="9"/>
      <c r="I371" s="5"/>
      <c r="J371" s="1"/>
      <c r="K371" s="1"/>
      <c r="L371" s="1"/>
      <c r="M371" s="10"/>
      <c r="O371" s="16"/>
      <c r="P371" s="1"/>
    </row>
    <row r="372" spans="1:16">
      <c r="A372" s="6"/>
      <c r="B372" s="7"/>
      <c r="C372" s="6"/>
      <c r="D372" s="158"/>
      <c r="E372" s="157"/>
      <c r="F372" s="1"/>
      <c r="G372" s="9"/>
      <c r="H372" s="9"/>
      <c r="I372" s="5"/>
      <c r="J372" s="1"/>
      <c r="K372" s="1"/>
      <c r="L372" s="1"/>
      <c r="M372" s="10"/>
      <c r="O372" s="16"/>
      <c r="P372" s="1"/>
    </row>
    <row r="373" spans="1:16">
      <c r="A373" s="6"/>
      <c r="B373" s="7"/>
      <c r="C373" s="6"/>
      <c r="D373" s="158"/>
      <c r="E373" s="157"/>
      <c r="F373" s="1"/>
      <c r="G373" s="9"/>
      <c r="H373" s="9"/>
      <c r="I373" s="5"/>
      <c r="J373" s="1"/>
      <c r="K373" s="1"/>
      <c r="L373" s="1"/>
      <c r="M373" s="10"/>
      <c r="O373" s="16"/>
      <c r="P373" s="1"/>
    </row>
    <row r="374" spans="1:16">
      <c r="A374" s="6"/>
      <c r="B374" s="7"/>
      <c r="C374" s="6"/>
      <c r="D374" s="158"/>
      <c r="E374" s="157"/>
      <c r="F374" s="1"/>
      <c r="G374" s="9"/>
      <c r="H374" s="9"/>
      <c r="I374" s="5"/>
      <c r="J374" s="1"/>
      <c r="K374" s="1"/>
      <c r="L374" s="1"/>
      <c r="M374" s="10"/>
      <c r="N374" s="170"/>
      <c r="O374" s="17"/>
      <c r="P374" s="1"/>
    </row>
    <row r="375" spans="1:16">
      <c r="A375" s="6"/>
      <c r="B375" s="7"/>
      <c r="C375" s="6"/>
      <c r="D375" s="158"/>
      <c r="E375" s="157"/>
      <c r="F375" s="1"/>
      <c r="G375" s="9"/>
      <c r="H375" s="9"/>
      <c r="I375" s="5"/>
      <c r="J375" s="1"/>
      <c r="K375" s="1"/>
      <c r="L375" s="1"/>
      <c r="M375" s="10"/>
      <c r="N375" s="170"/>
      <c r="O375" s="17"/>
      <c r="P375" s="1"/>
    </row>
    <row r="376" spans="1:16">
      <c r="A376" s="6"/>
      <c r="B376" s="7"/>
      <c r="C376" s="6"/>
      <c r="D376" s="158"/>
      <c r="E376" s="157"/>
      <c r="F376" s="1"/>
      <c r="G376" s="9"/>
      <c r="H376" s="9"/>
      <c r="I376" s="5"/>
      <c r="J376" s="1"/>
      <c r="K376" s="1"/>
      <c r="L376" s="1"/>
      <c r="M376" s="10"/>
      <c r="N376" s="60"/>
      <c r="O376" s="17"/>
      <c r="P376" s="1"/>
    </row>
    <row r="377" spans="1:16">
      <c r="A377" s="6"/>
      <c r="B377" s="7"/>
      <c r="C377" s="6"/>
      <c r="D377" s="140"/>
      <c r="E377" s="157"/>
      <c r="F377" s="1"/>
      <c r="G377" s="9"/>
      <c r="H377" s="9"/>
      <c r="I377" s="5"/>
      <c r="J377" s="1"/>
      <c r="K377" s="1"/>
      <c r="L377" s="1"/>
      <c r="M377" s="10"/>
      <c r="N377" s="170"/>
      <c r="O377" s="17"/>
      <c r="P377" s="1"/>
    </row>
    <row r="378" spans="1:16">
      <c r="A378" s="6"/>
      <c r="B378" s="7"/>
      <c r="C378" s="6"/>
      <c r="D378" s="140"/>
      <c r="E378" s="157"/>
      <c r="F378" s="1"/>
      <c r="G378" s="9"/>
      <c r="H378" s="9"/>
      <c r="I378" s="5"/>
      <c r="J378" s="1"/>
      <c r="K378" s="1"/>
      <c r="L378" s="1"/>
      <c r="M378" s="10"/>
      <c r="N378" s="170"/>
      <c r="O378" s="17"/>
      <c r="P378" s="1"/>
    </row>
    <row r="379" spans="1:16">
      <c r="A379" s="6"/>
      <c r="B379" s="7"/>
      <c r="C379" s="6"/>
      <c r="D379" s="140"/>
      <c r="E379" s="157"/>
      <c r="F379" s="1"/>
      <c r="G379" s="9"/>
      <c r="H379" s="9"/>
      <c r="I379" s="5"/>
      <c r="J379" s="1"/>
      <c r="K379" s="1"/>
      <c r="L379" s="1"/>
      <c r="M379" s="10"/>
      <c r="N379" s="170"/>
      <c r="O379" s="17"/>
      <c r="P379" s="1"/>
    </row>
    <row r="380" spans="1:16">
      <c r="A380" s="6"/>
      <c r="B380" s="7"/>
      <c r="C380" s="6"/>
      <c r="D380" s="140"/>
      <c r="E380" s="157"/>
      <c r="F380" s="1"/>
      <c r="G380" s="9"/>
      <c r="H380" s="9"/>
      <c r="I380" s="5"/>
      <c r="J380" s="1"/>
      <c r="K380" s="1"/>
      <c r="L380" s="1"/>
      <c r="M380" s="10"/>
      <c r="N380" s="170"/>
      <c r="O380" s="17"/>
      <c r="P380" s="1"/>
    </row>
    <row r="381" spans="1:16">
      <c r="B381" s="7"/>
      <c r="C381" s="6"/>
      <c r="D381" s="158"/>
      <c r="E381" s="157"/>
      <c r="F381" s="1"/>
      <c r="G381" s="9"/>
      <c r="H381" s="9"/>
      <c r="I381" s="16"/>
      <c r="J381" s="1"/>
      <c r="K381" s="1"/>
      <c r="L381" s="1"/>
      <c r="M381" s="9"/>
      <c r="N381" s="131"/>
      <c r="O381" s="17"/>
      <c r="P381" s="1"/>
    </row>
    <row r="382" spans="1:16">
      <c r="B382" s="7"/>
      <c r="C382" s="6"/>
      <c r="D382" s="158"/>
      <c r="E382" s="157"/>
      <c r="F382" s="1"/>
      <c r="G382" s="9"/>
      <c r="H382" s="9"/>
      <c r="I382" s="16"/>
      <c r="J382" s="1"/>
      <c r="K382" s="1"/>
      <c r="L382" s="1"/>
      <c r="M382" s="9"/>
      <c r="N382" s="131"/>
      <c r="O382" s="17"/>
      <c r="P382" s="1"/>
    </row>
    <row r="383" spans="1:16">
      <c r="B383" s="7"/>
      <c r="C383" s="6"/>
      <c r="D383" s="158"/>
      <c r="E383" s="157"/>
      <c r="F383" s="1"/>
      <c r="G383" s="9"/>
      <c r="H383" s="9"/>
      <c r="I383" s="16"/>
      <c r="J383" s="1"/>
      <c r="K383" s="1"/>
      <c r="L383" s="1"/>
      <c r="M383" s="9"/>
      <c r="N383" s="131"/>
      <c r="O383" s="17"/>
      <c r="P383" s="1"/>
    </row>
    <row r="384" spans="1:16">
      <c r="B384" s="7"/>
      <c r="C384" s="6"/>
      <c r="D384" s="140"/>
      <c r="E384" s="157"/>
      <c r="F384" s="1"/>
      <c r="G384" s="9"/>
      <c r="H384" s="9"/>
      <c r="I384" s="16"/>
      <c r="J384" s="1"/>
      <c r="K384" s="1"/>
      <c r="L384" s="1"/>
      <c r="M384" s="9"/>
      <c r="N384" s="131"/>
      <c r="O384" s="17"/>
      <c r="P384" s="1"/>
    </row>
    <row r="385" spans="1:16">
      <c r="A385" s="6"/>
      <c r="B385" s="7"/>
      <c r="C385" s="6"/>
      <c r="D385" s="140"/>
      <c r="E385" s="157"/>
      <c r="F385" s="1"/>
      <c r="G385" s="9"/>
      <c r="H385" s="9"/>
      <c r="I385" s="5"/>
      <c r="J385" s="1"/>
      <c r="K385" s="1"/>
      <c r="L385" s="1"/>
      <c r="M385" s="9"/>
      <c r="N385" s="170"/>
      <c r="O385" s="17"/>
      <c r="P385" s="1"/>
    </row>
    <row r="386" spans="1:16">
      <c r="A386" s="6"/>
      <c r="B386" s="7"/>
      <c r="C386" s="148"/>
      <c r="D386" s="140"/>
      <c r="E386" s="157"/>
      <c r="F386" s="1"/>
      <c r="G386" s="9"/>
      <c r="H386" s="9"/>
      <c r="I386" s="5"/>
      <c r="J386" s="1"/>
      <c r="K386" s="1"/>
      <c r="L386" s="1"/>
      <c r="M386" s="9"/>
      <c r="N386" s="171"/>
      <c r="O386" s="171"/>
      <c r="P386" s="1"/>
    </row>
    <row r="387" spans="1:16">
      <c r="A387" s="6"/>
      <c r="B387" s="7"/>
      <c r="C387" s="6"/>
      <c r="D387" s="158"/>
      <c r="E387" s="157"/>
      <c r="F387" s="1"/>
      <c r="G387" s="9"/>
      <c r="H387" s="9"/>
      <c r="I387" s="5"/>
      <c r="J387" s="1"/>
      <c r="K387" s="1"/>
      <c r="L387" s="1"/>
      <c r="M387" s="9"/>
      <c r="N387" s="171"/>
      <c r="O387" s="171"/>
      <c r="P387" s="1"/>
    </row>
    <row r="388" spans="1:16">
      <c r="A388" s="6"/>
      <c r="B388" s="7"/>
      <c r="C388" s="6"/>
      <c r="D388" s="140"/>
      <c r="E388" s="154"/>
      <c r="F388" s="1"/>
      <c r="G388" s="9"/>
      <c r="H388" s="9"/>
      <c r="I388" s="5"/>
      <c r="J388" s="1"/>
      <c r="K388" s="1"/>
      <c r="L388" s="1"/>
      <c r="M388" s="9"/>
      <c r="N388" s="171"/>
      <c r="O388" s="171"/>
      <c r="P388" s="1"/>
    </row>
    <row r="389" spans="1:16">
      <c r="A389" s="6"/>
      <c r="B389" s="7"/>
      <c r="C389" s="6"/>
      <c r="D389" s="158"/>
      <c r="E389" s="157"/>
      <c r="F389" s="1"/>
      <c r="G389" s="9"/>
      <c r="H389" s="9"/>
      <c r="I389" s="5"/>
      <c r="J389" s="1"/>
      <c r="K389" s="1"/>
      <c r="L389" s="1"/>
      <c r="M389" s="9"/>
      <c r="N389" s="16"/>
      <c r="O389" s="16"/>
      <c r="P389" s="1"/>
    </row>
    <row r="390" spans="1:16">
      <c r="A390" s="6"/>
      <c r="B390" s="7"/>
      <c r="C390" s="6"/>
      <c r="D390" s="158"/>
      <c r="E390" s="157"/>
      <c r="F390" s="1"/>
      <c r="G390" s="9"/>
      <c r="H390" s="9"/>
      <c r="I390" s="5"/>
      <c r="J390" s="1"/>
      <c r="K390" s="1"/>
      <c r="L390" s="1"/>
      <c r="M390" s="9"/>
      <c r="O390" s="16"/>
      <c r="P390" s="1"/>
    </row>
    <row r="391" spans="1:16">
      <c r="A391" s="6"/>
      <c r="B391" s="7"/>
      <c r="C391" s="6"/>
      <c r="D391" s="141"/>
      <c r="E391" s="142"/>
      <c r="F391" s="1"/>
      <c r="G391" s="9"/>
      <c r="H391" s="9"/>
      <c r="I391" s="5"/>
      <c r="J391" s="1"/>
      <c r="K391" s="1"/>
      <c r="L391" s="1"/>
      <c r="M391" s="9"/>
      <c r="O391" s="16"/>
      <c r="P391" s="1"/>
    </row>
    <row r="392" spans="1:16">
      <c r="A392" s="6"/>
      <c r="B392" s="7"/>
      <c r="C392" s="6"/>
      <c r="D392" s="140"/>
      <c r="E392" s="157"/>
      <c r="F392" s="1"/>
      <c r="G392" s="9"/>
      <c r="H392" s="9"/>
      <c r="I392" s="5"/>
      <c r="J392" s="1"/>
      <c r="K392" s="1"/>
      <c r="L392" s="1"/>
      <c r="M392" s="9"/>
      <c r="O392" s="16"/>
      <c r="P392" s="1"/>
    </row>
    <row r="393" spans="1:16">
      <c r="A393" s="6"/>
      <c r="B393" s="7"/>
      <c r="C393" s="6"/>
      <c r="D393" s="158"/>
      <c r="E393" s="157"/>
      <c r="F393" s="1"/>
      <c r="G393" s="9"/>
      <c r="H393" s="9"/>
      <c r="I393" s="5"/>
      <c r="J393" s="1"/>
      <c r="K393" s="1"/>
      <c r="L393" s="1"/>
      <c r="M393" s="9"/>
      <c r="O393" s="16"/>
      <c r="P393" s="1"/>
    </row>
    <row r="394" spans="1:16">
      <c r="A394" s="6"/>
      <c r="B394" s="7"/>
      <c r="C394" s="6"/>
      <c r="D394" s="140"/>
      <c r="E394" s="157"/>
      <c r="F394" s="1"/>
      <c r="G394" s="9"/>
      <c r="H394" s="9"/>
      <c r="I394" s="5"/>
      <c r="J394" s="1"/>
      <c r="K394" s="1"/>
      <c r="L394" s="1"/>
      <c r="M394" s="9"/>
      <c r="O394" s="16"/>
      <c r="P394" s="1"/>
    </row>
    <row r="395" spans="1:16">
      <c r="A395" s="6"/>
      <c r="B395" s="7"/>
      <c r="C395" s="6"/>
      <c r="D395" s="140"/>
      <c r="E395" s="157"/>
      <c r="F395" s="1"/>
      <c r="G395" s="9"/>
      <c r="H395" s="9"/>
      <c r="I395" s="5"/>
      <c r="J395" s="1"/>
      <c r="K395" s="1"/>
      <c r="L395" s="1"/>
      <c r="M395" s="9"/>
      <c r="O395" s="16"/>
      <c r="P395" s="1"/>
    </row>
    <row r="396" spans="1:16">
      <c r="A396" s="6"/>
      <c r="B396" s="7"/>
      <c r="C396" s="6"/>
      <c r="D396" s="158"/>
      <c r="E396" s="157"/>
      <c r="F396" s="1"/>
      <c r="G396" s="9"/>
      <c r="H396" s="9"/>
      <c r="I396" s="5"/>
      <c r="J396" s="1"/>
      <c r="K396" s="1"/>
      <c r="L396" s="1"/>
      <c r="M396" s="9"/>
      <c r="O396" s="16"/>
      <c r="P396" s="1"/>
    </row>
    <row r="397" spans="1:16">
      <c r="A397" s="6"/>
      <c r="B397" s="7"/>
      <c r="C397" s="6"/>
      <c r="D397" s="140"/>
      <c r="E397" s="157"/>
      <c r="F397" s="1"/>
      <c r="G397" s="9"/>
      <c r="H397" s="9"/>
      <c r="I397" s="5"/>
      <c r="J397" s="1"/>
      <c r="K397" s="1"/>
      <c r="L397" s="1"/>
      <c r="M397" s="9"/>
      <c r="O397" s="16"/>
      <c r="P397" s="1"/>
    </row>
    <row r="398" spans="1:16">
      <c r="A398" s="6"/>
      <c r="B398" s="7"/>
      <c r="C398" s="6"/>
      <c r="D398" s="158"/>
      <c r="E398" s="157"/>
      <c r="F398" s="1"/>
      <c r="G398" s="9"/>
      <c r="H398" s="9"/>
      <c r="I398" s="5"/>
      <c r="J398" s="1"/>
      <c r="K398" s="1"/>
      <c r="L398" s="1"/>
      <c r="M398" s="9"/>
      <c r="O398" s="16"/>
      <c r="P398" s="1"/>
    </row>
    <row r="399" spans="1:16">
      <c r="A399" s="6"/>
      <c r="B399" s="7"/>
      <c r="C399" s="6"/>
      <c r="D399" s="140"/>
      <c r="E399" s="157"/>
      <c r="F399" s="1"/>
      <c r="G399" s="9"/>
      <c r="H399" s="9"/>
      <c r="I399" s="5"/>
      <c r="J399" s="1"/>
      <c r="K399" s="1"/>
      <c r="L399" s="1"/>
      <c r="M399" s="9"/>
      <c r="O399" s="16"/>
      <c r="P399" s="1"/>
    </row>
    <row r="400" spans="1:16">
      <c r="A400" s="6"/>
      <c r="B400" s="7"/>
      <c r="C400" s="6"/>
      <c r="D400" s="140"/>
      <c r="E400" s="157"/>
      <c r="F400" s="1"/>
      <c r="G400" s="9"/>
      <c r="H400" s="9"/>
      <c r="I400" s="5"/>
      <c r="J400" s="1"/>
      <c r="K400" s="1"/>
      <c r="L400" s="1"/>
      <c r="M400" s="9"/>
      <c r="O400" s="16"/>
      <c r="P400" s="1"/>
    </row>
    <row r="401" spans="1:16">
      <c r="A401" s="6"/>
      <c r="B401" s="7"/>
      <c r="C401" s="6"/>
      <c r="D401" s="158"/>
      <c r="E401" s="157"/>
      <c r="F401" s="1"/>
      <c r="G401" s="9"/>
      <c r="H401" s="9"/>
      <c r="I401" s="5"/>
      <c r="J401" s="1"/>
      <c r="K401" s="1"/>
      <c r="L401" s="1"/>
      <c r="M401" s="9"/>
      <c r="O401" s="16"/>
      <c r="P401" s="1"/>
    </row>
    <row r="402" spans="1:16">
      <c r="A402" s="6"/>
      <c r="B402" s="7"/>
      <c r="C402" s="6"/>
      <c r="D402" s="158"/>
      <c r="E402" s="157"/>
      <c r="F402" s="1"/>
      <c r="G402" s="9"/>
      <c r="H402" s="9"/>
      <c r="I402" s="5"/>
      <c r="J402" s="1"/>
      <c r="K402" s="1"/>
      <c r="L402" s="1"/>
      <c r="M402" s="9"/>
      <c r="O402" s="16"/>
      <c r="P402" s="1"/>
    </row>
    <row r="403" spans="1:16">
      <c r="A403" s="6"/>
      <c r="B403" s="7"/>
      <c r="C403" s="6"/>
      <c r="D403" s="158"/>
      <c r="E403" s="157"/>
      <c r="F403" s="1"/>
      <c r="G403" s="9"/>
      <c r="H403" s="9"/>
      <c r="I403" s="5"/>
      <c r="J403" s="1"/>
      <c r="K403" s="1"/>
      <c r="L403" s="1"/>
      <c r="M403" s="9"/>
      <c r="O403" s="16"/>
      <c r="P403" s="1"/>
    </row>
    <row r="404" spans="1:16">
      <c r="A404" s="6"/>
      <c r="B404" s="7"/>
      <c r="C404" s="6"/>
      <c r="D404" s="158"/>
      <c r="E404" s="157"/>
      <c r="F404" s="1"/>
      <c r="G404" s="9"/>
      <c r="H404" s="9"/>
      <c r="I404" s="5"/>
      <c r="J404" s="1"/>
      <c r="K404" s="1"/>
      <c r="L404" s="1"/>
      <c r="M404" s="9"/>
      <c r="O404" s="16"/>
      <c r="P404" s="1"/>
    </row>
    <row r="405" spans="1:16">
      <c r="A405" s="6"/>
      <c r="B405" s="7"/>
      <c r="C405" s="6"/>
      <c r="D405" s="158"/>
      <c r="E405" s="157"/>
      <c r="F405" s="1"/>
      <c r="G405" s="9"/>
      <c r="H405" s="9"/>
      <c r="I405" s="5"/>
      <c r="J405" s="1"/>
      <c r="K405" s="1"/>
      <c r="L405" s="1"/>
      <c r="M405" s="9"/>
      <c r="O405" s="16"/>
      <c r="P405" s="1"/>
    </row>
    <row r="406" spans="1:16">
      <c r="A406" s="6"/>
      <c r="B406" s="7"/>
      <c r="C406" s="6"/>
      <c r="D406" s="158"/>
      <c r="E406" s="157"/>
      <c r="F406" s="1"/>
      <c r="G406" s="9"/>
      <c r="H406" s="9"/>
      <c r="I406" s="5"/>
      <c r="J406" s="1"/>
      <c r="K406" s="1"/>
      <c r="L406" s="1"/>
      <c r="M406" s="9"/>
      <c r="O406" s="16"/>
      <c r="P406" s="1"/>
    </row>
    <row r="407" spans="1:16">
      <c r="A407" s="6"/>
      <c r="B407" s="7"/>
      <c r="C407" s="6"/>
      <c r="D407" s="158"/>
      <c r="E407" s="157"/>
      <c r="F407" s="1"/>
      <c r="G407" s="9"/>
      <c r="H407" s="9"/>
      <c r="I407" s="5"/>
      <c r="J407" s="1"/>
      <c r="K407" s="1"/>
      <c r="L407" s="1"/>
      <c r="M407" s="9"/>
      <c r="O407" s="16"/>
      <c r="P407" s="1"/>
    </row>
    <row r="408" spans="1:16">
      <c r="A408" s="6"/>
      <c r="B408" s="7"/>
      <c r="C408" s="6"/>
      <c r="D408" s="140"/>
      <c r="E408" s="157"/>
      <c r="F408" s="1"/>
      <c r="G408" s="9"/>
      <c r="H408" s="9"/>
      <c r="I408" s="5"/>
      <c r="J408" s="1"/>
      <c r="K408" s="1"/>
      <c r="L408" s="1"/>
      <c r="M408" s="9"/>
      <c r="O408" s="16"/>
      <c r="P408" s="1"/>
    </row>
    <row r="409" spans="1:16">
      <c r="A409" s="6"/>
      <c r="B409" s="7"/>
      <c r="C409" s="6"/>
      <c r="D409" s="140"/>
      <c r="E409" s="157"/>
      <c r="F409" s="1"/>
      <c r="G409" s="9"/>
      <c r="H409" s="9"/>
      <c r="I409" s="5"/>
      <c r="J409" s="1"/>
      <c r="K409" s="1"/>
      <c r="L409" s="1"/>
      <c r="M409" s="9"/>
      <c r="O409" s="16"/>
      <c r="P409" s="1"/>
    </row>
    <row r="410" spans="1:16">
      <c r="A410" s="6"/>
      <c r="B410" s="7"/>
      <c r="C410" s="6"/>
      <c r="D410" s="140"/>
      <c r="E410" s="157"/>
      <c r="F410" s="1"/>
      <c r="G410" s="9"/>
      <c r="H410" s="9"/>
      <c r="I410" s="5"/>
      <c r="J410" s="1"/>
      <c r="K410" s="1"/>
      <c r="L410" s="1"/>
      <c r="M410" s="9"/>
      <c r="O410" s="16"/>
      <c r="P410" s="1"/>
    </row>
    <row r="411" spans="1:16">
      <c r="A411" s="6"/>
      <c r="B411" s="7"/>
      <c r="C411" s="6"/>
      <c r="D411" s="140"/>
      <c r="E411" s="157"/>
      <c r="F411" s="1"/>
      <c r="G411" s="9"/>
      <c r="H411" s="9"/>
      <c r="I411" s="5"/>
      <c r="J411" s="1"/>
      <c r="K411" s="1"/>
      <c r="L411" s="1"/>
      <c r="M411" s="9"/>
      <c r="O411" s="16"/>
      <c r="P411" s="1"/>
    </row>
    <row r="412" spans="1:16">
      <c r="A412" s="6"/>
      <c r="B412" s="7"/>
      <c r="C412" s="6"/>
      <c r="D412" s="140"/>
      <c r="E412" s="154"/>
      <c r="F412" s="1"/>
      <c r="G412" s="9"/>
      <c r="H412" s="9"/>
      <c r="I412" s="5"/>
      <c r="J412" s="1"/>
      <c r="K412" s="1"/>
      <c r="L412" s="1"/>
      <c r="M412" s="9"/>
      <c r="O412" s="16"/>
      <c r="P412" s="1"/>
    </row>
    <row r="413" spans="1:16">
      <c r="A413" s="6"/>
      <c r="B413" s="7"/>
      <c r="C413" s="6"/>
      <c r="D413" s="158"/>
      <c r="E413" s="157"/>
      <c r="F413" s="1"/>
      <c r="G413" s="9"/>
      <c r="H413" s="9"/>
      <c r="I413" s="5"/>
      <c r="J413" s="1"/>
      <c r="K413" s="1"/>
      <c r="L413" s="1"/>
      <c r="M413" s="9"/>
      <c r="O413" s="16"/>
      <c r="P413" s="1"/>
    </row>
    <row r="414" spans="1:16">
      <c r="A414" s="6"/>
      <c r="B414" s="7"/>
      <c r="C414" s="6"/>
      <c r="D414" s="140"/>
      <c r="E414" s="157"/>
      <c r="F414" s="1"/>
      <c r="G414" s="9"/>
      <c r="H414" s="9"/>
      <c r="I414" s="16"/>
      <c r="J414" s="1"/>
      <c r="K414" s="1"/>
      <c r="L414" s="1"/>
      <c r="M414" s="9"/>
      <c r="O414" s="16"/>
      <c r="P414" s="1"/>
    </row>
    <row r="415" spans="1:16">
      <c r="A415" s="6"/>
      <c r="B415" s="7"/>
      <c r="C415" s="6"/>
      <c r="D415" s="158"/>
      <c r="E415" s="157"/>
      <c r="F415" s="1"/>
      <c r="G415" s="9"/>
      <c r="H415" s="9"/>
      <c r="I415" s="5"/>
      <c r="J415" s="1"/>
      <c r="K415" s="1"/>
      <c r="L415" s="1"/>
      <c r="M415" s="9"/>
      <c r="O415" s="16"/>
      <c r="P415" s="1"/>
    </row>
    <row r="416" spans="1:16">
      <c r="A416" s="6"/>
      <c r="B416" s="7"/>
      <c r="C416" s="6"/>
      <c r="D416" s="140"/>
      <c r="E416" s="157"/>
      <c r="F416" s="1"/>
      <c r="G416" s="9"/>
      <c r="H416" s="9"/>
      <c r="I416" s="5"/>
      <c r="J416" s="1"/>
      <c r="K416" s="1"/>
      <c r="L416" s="1"/>
      <c r="M416" s="9"/>
      <c r="O416" s="16"/>
      <c r="P416" s="1"/>
    </row>
    <row r="417" spans="1:16">
      <c r="A417" s="6"/>
      <c r="B417" s="7"/>
      <c r="C417" s="6"/>
      <c r="D417" s="158"/>
      <c r="E417" s="158"/>
      <c r="F417" s="1"/>
      <c r="G417" s="9"/>
      <c r="H417" s="9"/>
      <c r="I417" s="5"/>
      <c r="J417" s="1"/>
      <c r="K417" s="1"/>
      <c r="L417" s="1"/>
      <c r="M417" s="9"/>
      <c r="O417" s="16"/>
      <c r="P417" s="1"/>
    </row>
    <row r="418" spans="1:16">
      <c r="A418" s="6"/>
      <c r="B418" s="7"/>
      <c r="C418" s="6"/>
      <c r="D418" s="158"/>
      <c r="E418" s="157"/>
      <c r="F418" s="1"/>
      <c r="G418" s="9"/>
      <c r="H418" s="9"/>
      <c r="I418" s="5"/>
      <c r="J418" s="1"/>
      <c r="K418" s="1"/>
      <c r="L418" s="1"/>
      <c r="M418" s="9"/>
      <c r="O418" s="16"/>
      <c r="P418" s="1"/>
    </row>
    <row r="419" spans="1:16">
      <c r="A419" s="6"/>
      <c r="B419" s="7"/>
      <c r="C419" s="6"/>
      <c r="D419" s="158"/>
      <c r="E419" s="157"/>
      <c r="F419" s="1"/>
      <c r="G419" s="9"/>
      <c r="H419" s="9"/>
      <c r="I419" s="5"/>
      <c r="J419" s="1"/>
      <c r="K419" s="1"/>
      <c r="L419" s="1"/>
      <c r="M419" s="9"/>
      <c r="O419" s="16"/>
      <c r="P419" s="1"/>
    </row>
    <row r="420" spans="1:16">
      <c r="A420" s="6"/>
      <c r="B420" s="7"/>
      <c r="C420" s="6"/>
      <c r="D420" s="158"/>
      <c r="E420" s="157"/>
      <c r="F420" s="1"/>
      <c r="G420" s="9"/>
      <c r="H420" s="9"/>
      <c r="I420" s="5"/>
      <c r="J420" s="1"/>
      <c r="K420" s="1"/>
      <c r="L420" s="1"/>
      <c r="M420" s="9"/>
      <c r="O420" s="16"/>
      <c r="P420" s="1"/>
    </row>
    <row r="421" spans="1:16">
      <c r="A421" s="6"/>
      <c r="B421" s="7"/>
      <c r="C421" s="6"/>
      <c r="D421" s="158"/>
      <c r="E421" s="157"/>
      <c r="F421" s="1"/>
      <c r="G421" s="9"/>
      <c r="H421" s="9"/>
      <c r="I421" s="5"/>
      <c r="J421" s="1"/>
      <c r="K421" s="1"/>
      <c r="L421" s="1"/>
      <c r="M421" s="9"/>
      <c r="O421" s="16"/>
      <c r="P421" s="1"/>
    </row>
    <row r="422" spans="1:16">
      <c r="A422" s="6"/>
      <c r="B422" s="7"/>
      <c r="C422" s="6"/>
      <c r="D422" s="158"/>
      <c r="E422" s="157"/>
      <c r="F422" s="1"/>
      <c r="G422" s="9"/>
      <c r="H422" s="9"/>
      <c r="I422" s="5"/>
      <c r="J422" s="1"/>
      <c r="K422" s="1"/>
      <c r="L422" s="1"/>
      <c r="M422" s="9"/>
      <c r="O422" s="16"/>
      <c r="P422" s="1"/>
    </row>
    <row r="423" spans="1:16">
      <c r="A423" s="6"/>
      <c r="B423" s="7"/>
      <c r="C423" s="6"/>
      <c r="D423" s="158"/>
      <c r="E423" s="157"/>
      <c r="F423" s="1"/>
      <c r="G423" s="9"/>
      <c r="H423" s="9"/>
      <c r="I423" s="5"/>
      <c r="J423" s="1"/>
      <c r="K423" s="1"/>
      <c r="L423" s="1"/>
      <c r="M423" s="9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5"/>
      <c r="J424" s="1"/>
      <c r="K424" s="1"/>
      <c r="L424" s="1"/>
      <c r="M424" s="9"/>
      <c r="O424" s="16"/>
      <c r="P424" s="1"/>
    </row>
    <row r="425" spans="1:16">
      <c r="A425" s="6"/>
      <c r="B425" s="7"/>
      <c r="C425" s="6"/>
      <c r="D425" s="158"/>
      <c r="E425" s="157"/>
      <c r="F425" s="1"/>
      <c r="G425" s="9"/>
      <c r="H425" s="9"/>
      <c r="I425" s="5"/>
      <c r="J425" s="1"/>
      <c r="K425" s="1"/>
      <c r="L425" s="1"/>
      <c r="M425" s="9"/>
      <c r="O425" s="16"/>
      <c r="P425" s="1"/>
    </row>
    <row r="426" spans="1:16">
      <c r="A426" s="6"/>
      <c r="B426" s="7"/>
      <c r="C426" s="6"/>
      <c r="D426" s="158"/>
      <c r="E426" s="157"/>
      <c r="F426" s="1"/>
      <c r="G426" s="9"/>
      <c r="H426" s="9"/>
      <c r="I426" s="5"/>
      <c r="J426" s="1"/>
      <c r="K426" s="1"/>
      <c r="L426" s="1"/>
      <c r="M426" s="9"/>
      <c r="O426" s="16"/>
      <c r="P426" s="1"/>
    </row>
    <row r="427" spans="1:16">
      <c r="A427" s="6"/>
      <c r="B427" s="7"/>
      <c r="C427" s="6"/>
      <c r="D427" s="158"/>
      <c r="E427" s="157"/>
      <c r="F427" s="1"/>
      <c r="G427" s="9"/>
      <c r="H427" s="9"/>
      <c r="I427" s="5"/>
      <c r="J427" s="1"/>
      <c r="K427" s="1"/>
      <c r="L427" s="1"/>
      <c r="M427" s="9"/>
      <c r="O427" s="16"/>
      <c r="P427" s="1"/>
    </row>
    <row r="428" spans="1:16">
      <c r="A428" s="6"/>
      <c r="B428" s="7"/>
      <c r="C428" s="6"/>
      <c r="D428" s="158"/>
      <c r="E428" s="157"/>
      <c r="F428" s="1"/>
      <c r="G428" s="9"/>
      <c r="H428" s="9"/>
      <c r="I428" s="5"/>
      <c r="J428" s="1"/>
      <c r="K428" s="1"/>
      <c r="L428" s="1"/>
      <c r="M428" s="9"/>
      <c r="O428" s="16"/>
      <c r="P428" s="1"/>
    </row>
    <row r="429" spans="1:16">
      <c r="A429" s="6"/>
      <c r="B429" s="7"/>
      <c r="C429" s="6"/>
      <c r="D429" s="158"/>
      <c r="E429" s="157"/>
      <c r="F429" s="1"/>
      <c r="G429" s="9"/>
      <c r="H429" s="9"/>
      <c r="I429" s="5"/>
      <c r="J429" s="1"/>
      <c r="K429" s="1"/>
      <c r="L429" s="1"/>
      <c r="M429" s="9"/>
      <c r="O429" s="16"/>
      <c r="P429" s="1"/>
    </row>
    <row r="430" spans="1:16">
      <c r="A430" s="6"/>
      <c r="B430" s="7"/>
      <c r="C430" s="6"/>
      <c r="D430" s="141"/>
      <c r="E430" s="142"/>
      <c r="F430" s="1"/>
      <c r="G430" s="9"/>
      <c r="H430" s="9"/>
      <c r="I430" s="5"/>
      <c r="J430" s="1"/>
      <c r="K430" s="1"/>
      <c r="L430" s="1"/>
      <c r="M430" s="9"/>
      <c r="O430" s="16"/>
      <c r="P430" s="1"/>
    </row>
    <row r="431" spans="1:16">
      <c r="A431" s="6"/>
      <c r="B431" s="7"/>
      <c r="C431" s="6"/>
      <c r="D431" s="141"/>
      <c r="E431" s="142"/>
      <c r="F431" s="1"/>
      <c r="G431" s="9"/>
      <c r="H431" s="9"/>
      <c r="I431" s="5"/>
      <c r="J431" s="1"/>
      <c r="K431" s="1"/>
      <c r="L431" s="1"/>
      <c r="M431" s="9"/>
      <c r="O431" s="16"/>
      <c r="P431" s="1"/>
    </row>
    <row r="432" spans="1:16">
      <c r="A432" s="6"/>
      <c r="B432" s="7"/>
      <c r="C432" s="6"/>
      <c r="D432" s="140"/>
      <c r="E432" s="157"/>
      <c r="F432" s="1"/>
      <c r="G432" s="9"/>
      <c r="H432" s="9"/>
      <c r="I432" s="5"/>
      <c r="J432" s="1"/>
      <c r="K432" s="1"/>
      <c r="L432" s="1"/>
      <c r="M432" s="9"/>
      <c r="O432" s="16"/>
      <c r="P432" s="1"/>
    </row>
    <row r="433" spans="1:16">
      <c r="A433" s="6"/>
      <c r="B433" s="7"/>
      <c r="C433" s="6"/>
      <c r="D433" s="158"/>
      <c r="E433" s="157"/>
      <c r="F433" s="1"/>
      <c r="G433" s="9"/>
      <c r="H433" s="9"/>
      <c r="I433" s="5"/>
      <c r="J433" s="1"/>
      <c r="K433" s="1"/>
      <c r="L433" s="1"/>
      <c r="M433" s="9"/>
      <c r="O433" s="16"/>
      <c r="P433" s="1"/>
    </row>
    <row r="434" spans="1:16">
      <c r="A434" s="6"/>
      <c r="B434" s="7"/>
      <c r="C434" s="6"/>
      <c r="D434" s="158"/>
      <c r="E434" s="157"/>
      <c r="F434" s="1"/>
      <c r="G434" s="9"/>
      <c r="H434" s="9"/>
      <c r="I434" s="5"/>
      <c r="J434" s="1"/>
      <c r="K434" s="1"/>
      <c r="L434" s="1"/>
      <c r="M434" s="9"/>
      <c r="O434" s="16"/>
      <c r="P434" s="1"/>
    </row>
    <row r="435" spans="1:16">
      <c r="A435" s="6"/>
      <c r="B435" s="7"/>
      <c r="C435" s="6"/>
      <c r="D435" s="158"/>
      <c r="E435" s="157"/>
      <c r="F435" s="1"/>
      <c r="G435" s="9"/>
      <c r="H435" s="9"/>
      <c r="I435" s="5"/>
      <c r="J435" s="1"/>
      <c r="K435" s="1"/>
      <c r="L435" s="1"/>
      <c r="M435" s="9"/>
      <c r="O435" s="16"/>
      <c r="P435" s="1"/>
    </row>
    <row r="436" spans="1:16">
      <c r="A436" s="6"/>
      <c r="B436" s="7"/>
      <c r="C436" s="6"/>
      <c r="D436" s="158"/>
      <c r="E436" s="157"/>
      <c r="F436" s="1"/>
      <c r="G436" s="9"/>
      <c r="H436" s="9"/>
      <c r="I436" s="5"/>
      <c r="J436" s="1"/>
      <c r="K436" s="1"/>
      <c r="L436" s="1"/>
      <c r="M436" s="9"/>
      <c r="O436" s="16"/>
      <c r="P436" s="1"/>
    </row>
    <row r="437" spans="1:16">
      <c r="A437" s="6"/>
      <c r="B437" s="7"/>
      <c r="C437" s="6"/>
      <c r="D437" s="158"/>
      <c r="E437" s="157"/>
      <c r="F437" s="1"/>
      <c r="G437" s="9"/>
      <c r="H437" s="9"/>
      <c r="I437" s="5"/>
      <c r="J437" s="1"/>
      <c r="K437" s="1"/>
      <c r="L437" s="1"/>
      <c r="M437" s="9"/>
      <c r="O437" s="16"/>
      <c r="P437" s="1"/>
    </row>
    <row r="438" spans="1:16">
      <c r="A438" s="6"/>
      <c r="B438" s="7"/>
      <c r="C438" s="6"/>
      <c r="D438" s="141"/>
      <c r="E438" s="142"/>
      <c r="F438" s="1"/>
      <c r="G438" s="9"/>
      <c r="H438" s="9"/>
      <c r="I438" s="5"/>
      <c r="J438" s="1"/>
      <c r="K438" s="1"/>
      <c r="L438" s="1"/>
      <c r="M438" s="9"/>
      <c r="O438" s="16"/>
      <c r="P438" s="1"/>
    </row>
    <row r="439" spans="1:16">
      <c r="B439" s="9"/>
      <c r="C439" s="1"/>
      <c r="D439" s="158"/>
      <c r="E439" s="157"/>
      <c r="F439" s="1"/>
      <c r="G439" s="9"/>
      <c r="H439" s="9"/>
      <c r="I439" s="5"/>
      <c r="J439" s="1"/>
      <c r="K439" s="1"/>
      <c r="L439" s="1"/>
      <c r="M439" s="9"/>
      <c r="O439" s="16"/>
      <c r="P439" s="1"/>
    </row>
    <row r="440" spans="1:16">
      <c r="A440" s="6"/>
      <c r="B440" s="7"/>
      <c r="C440" s="6"/>
      <c r="D440" s="158"/>
      <c r="E440" s="157"/>
      <c r="F440" s="1"/>
      <c r="G440" s="9"/>
      <c r="H440" s="9"/>
      <c r="I440" s="5"/>
      <c r="J440" s="1"/>
      <c r="K440" s="1"/>
      <c r="L440" s="1"/>
      <c r="M440" s="9"/>
      <c r="O440" s="16"/>
      <c r="P440" s="1"/>
    </row>
    <row r="441" spans="1:16">
      <c r="A441" s="6"/>
      <c r="B441" s="7"/>
      <c r="C441" s="6"/>
      <c r="D441" s="140"/>
      <c r="E441" s="157"/>
      <c r="F441" s="1"/>
      <c r="G441" s="9"/>
      <c r="H441" s="9"/>
      <c r="I441" s="5"/>
      <c r="J441" s="1"/>
      <c r="K441" s="1"/>
      <c r="L441" s="1"/>
      <c r="M441" s="9"/>
      <c r="O441" s="16"/>
      <c r="P441" s="1"/>
    </row>
    <row r="442" spans="1:16">
      <c r="A442" s="6"/>
      <c r="B442" s="7"/>
      <c r="C442" s="6"/>
      <c r="D442" s="158"/>
      <c r="E442" s="157"/>
      <c r="F442" s="1"/>
      <c r="G442" s="9"/>
      <c r="H442" s="9"/>
      <c r="I442" s="5"/>
      <c r="J442" s="1"/>
      <c r="K442" s="1"/>
      <c r="L442" s="1"/>
      <c r="M442" s="9"/>
      <c r="O442" s="16"/>
      <c r="P442" s="1"/>
    </row>
    <row r="443" spans="1:16">
      <c r="A443" s="6"/>
      <c r="B443" s="7"/>
      <c r="C443" s="6"/>
      <c r="D443" s="158"/>
      <c r="E443" s="157"/>
      <c r="F443" s="1"/>
      <c r="G443" s="9"/>
      <c r="H443" s="9"/>
      <c r="I443" s="5"/>
      <c r="J443" s="1"/>
      <c r="K443" s="1"/>
      <c r="L443" s="1"/>
      <c r="M443" s="9"/>
      <c r="O443" s="16"/>
      <c r="P443" s="1"/>
    </row>
    <row r="444" spans="1:16">
      <c r="A444" s="6"/>
      <c r="B444" s="7"/>
      <c r="C444" s="6"/>
      <c r="D444" s="140"/>
      <c r="E444" s="157"/>
      <c r="F444" s="1"/>
      <c r="G444" s="9"/>
      <c r="H444" s="9"/>
      <c r="I444" s="5"/>
      <c r="J444" s="1"/>
      <c r="K444" s="1"/>
      <c r="L444" s="1"/>
      <c r="M444" s="9"/>
      <c r="O444" s="16"/>
      <c r="P444" s="1"/>
    </row>
    <row r="445" spans="1:16">
      <c r="A445" s="6"/>
      <c r="B445" s="7"/>
      <c r="C445" s="6"/>
      <c r="D445" s="158"/>
      <c r="E445" s="157"/>
      <c r="F445" s="1"/>
      <c r="G445" s="9"/>
      <c r="H445" s="9"/>
      <c r="I445" s="5"/>
      <c r="J445" s="1"/>
      <c r="K445" s="1"/>
      <c r="L445" s="1"/>
      <c r="M445" s="9"/>
      <c r="O445" s="16"/>
      <c r="P445" s="1"/>
    </row>
    <row r="446" spans="1:16">
      <c r="A446" s="6"/>
      <c r="B446" s="7"/>
      <c r="C446" s="6"/>
      <c r="D446" s="140"/>
      <c r="E446" s="157"/>
      <c r="F446" s="1"/>
      <c r="G446" s="9"/>
      <c r="H446" s="9"/>
      <c r="I446" s="5"/>
      <c r="J446" s="1"/>
      <c r="K446" s="1"/>
      <c r="L446" s="1"/>
      <c r="M446" s="9"/>
      <c r="O446" s="16"/>
      <c r="P446" s="1"/>
    </row>
    <row r="447" spans="1:16">
      <c r="A447" s="6"/>
      <c r="B447" s="7"/>
      <c r="C447" s="6"/>
      <c r="D447" s="158"/>
      <c r="E447" s="157"/>
      <c r="F447" s="1"/>
      <c r="G447" s="9"/>
      <c r="H447" s="9"/>
      <c r="I447" s="5"/>
      <c r="J447" s="1"/>
      <c r="K447" s="1"/>
      <c r="L447" s="1"/>
      <c r="M447" s="9"/>
      <c r="O447" s="16"/>
      <c r="P447" s="1"/>
    </row>
    <row r="448" spans="1:16">
      <c r="A448" s="6"/>
      <c r="B448" s="7"/>
      <c r="C448" s="6"/>
      <c r="D448" s="140"/>
      <c r="E448" s="157"/>
      <c r="F448" s="1"/>
      <c r="G448" s="9"/>
      <c r="H448" s="9"/>
      <c r="I448" s="5"/>
      <c r="J448" s="1"/>
      <c r="K448" s="1"/>
      <c r="L448" s="1"/>
      <c r="M448" s="9"/>
      <c r="O448" s="16"/>
      <c r="P448" s="1"/>
    </row>
    <row r="449" spans="1:16">
      <c r="A449" s="6"/>
      <c r="B449" s="7"/>
      <c r="C449" s="6"/>
      <c r="D449" s="140"/>
      <c r="E449" s="157"/>
      <c r="F449" s="1"/>
      <c r="G449" s="9"/>
      <c r="H449" s="9"/>
      <c r="I449" s="5"/>
      <c r="J449" s="1"/>
      <c r="K449" s="1"/>
      <c r="L449" s="1"/>
      <c r="M449" s="9"/>
      <c r="O449" s="16"/>
      <c r="P449" s="1"/>
    </row>
    <row r="450" spans="1:16">
      <c r="A450" s="6"/>
      <c r="B450" s="7"/>
      <c r="C450" s="6"/>
      <c r="D450" s="158"/>
      <c r="E450" s="157"/>
      <c r="F450" s="1"/>
      <c r="G450" s="9"/>
      <c r="H450" s="9"/>
      <c r="I450" s="5"/>
      <c r="J450" s="1"/>
      <c r="K450" s="1"/>
      <c r="L450" s="1"/>
      <c r="M450" s="9"/>
      <c r="O450" s="16"/>
      <c r="P450" s="1"/>
    </row>
    <row r="451" spans="1:16">
      <c r="A451" s="6"/>
      <c r="B451" s="7"/>
      <c r="C451" s="6"/>
      <c r="D451" s="158"/>
      <c r="E451" s="157"/>
      <c r="F451" s="1"/>
      <c r="G451" s="9"/>
      <c r="H451" s="9"/>
      <c r="I451" s="5"/>
      <c r="J451" s="1"/>
      <c r="K451" s="1"/>
      <c r="L451" s="1"/>
      <c r="M451" s="9"/>
      <c r="O451" s="16"/>
      <c r="P451" s="1"/>
    </row>
    <row r="452" spans="1:16">
      <c r="A452" s="6"/>
      <c r="B452" s="7"/>
      <c r="C452" s="6"/>
      <c r="D452" s="158"/>
      <c r="E452" s="157"/>
      <c r="F452" s="1"/>
      <c r="G452" s="9"/>
      <c r="H452" s="9"/>
      <c r="I452" s="5"/>
      <c r="J452" s="1"/>
      <c r="K452" s="1"/>
      <c r="L452" s="1"/>
      <c r="M452" s="9"/>
      <c r="O452" s="16"/>
      <c r="P452" s="1"/>
    </row>
    <row r="453" spans="1:16">
      <c r="A453" s="6"/>
      <c r="B453" s="7"/>
      <c r="C453" s="6"/>
      <c r="D453" s="140"/>
      <c r="E453" s="157"/>
      <c r="F453" s="1"/>
      <c r="G453" s="9"/>
      <c r="H453" s="9"/>
      <c r="I453" s="5"/>
      <c r="J453" s="1"/>
      <c r="K453" s="1"/>
      <c r="L453" s="1"/>
      <c r="M453" s="9"/>
      <c r="O453" s="16"/>
      <c r="P453" s="1"/>
    </row>
    <row r="454" spans="1:16">
      <c r="A454" s="6"/>
      <c r="B454" s="7"/>
      <c r="C454" s="6"/>
      <c r="D454" s="140"/>
      <c r="E454" s="157"/>
      <c r="F454" s="1"/>
      <c r="G454" s="9"/>
      <c r="H454" s="9"/>
      <c r="I454" s="5"/>
      <c r="J454" s="1"/>
      <c r="K454" s="1"/>
      <c r="L454" s="1"/>
      <c r="M454" s="9"/>
      <c r="O454" s="16"/>
      <c r="P454" s="1"/>
    </row>
    <row r="455" spans="1:16">
      <c r="A455" s="6"/>
      <c r="B455" s="7"/>
      <c r="C455" s="6"/>
      <c r="D455" s="140"/>
      <c r="E455" s="157"/>
      <c r="F455" s="1"/>
      <c r="G455" s="9"/>
      <c r="H455" s="9"/>
      <c r="I455" s="5"/>
      <c r="J455" s="1"/>
      <c r="K455" s="1"/>
      <c r="L455" s="1"/>
      <c r="M455" s="9"/>
      <c r="N455" s="5"/>
      <c r="O455" s="16"/>
      <c r="P455" s="1"/>
    </row>
    <row r="456" spans="1:16">
      <c r="A456" s="6"/>
      <c r="B456" s="7"/>
      <c r="C456" s="6"/>
      <c r="D456" s="140"/>
      <c r="E456" s="157"/>
      <c r="F456" s="1"/>
      <c r="G456" s="9"/>
      <c r="H456" s="9"/>
      <c r="I456" s="5"/>
      <c r="J456" s="1"/>
      <c r="K456" s="1"/>
      <c r="L456" s="1"/>
      <c r="M456" s="9"/>
      <c r="O456" s="16"/>
      <c r="P456" s="1"/>
    </row>
    <row r="457" spans="1:16">
      <c r="A457" s="6"/>
      <c r="B457" s="7"/>
      <c r="C457" s="6"/>
      <c r="D457" s="140"/>
      <c r="E457" s="157"/>
      <c r="F457" s="1"/>
      <c r="G457" s="9"/>
      <c r="H457" s="9"/>
      <c r="I457" s="5"/>
      <c r="J457" s="1"/>
      <c r="K457" s="1"/>
      <c r="L457" s="1"/>
      <c r="M457" s="9"/>
      <c r="N457" s="5"/>
      <c r="O457" s="16"/>
      <c r="P457" s="1"/>
    </row>
    <row r="458" spans="1:16">
      <c r="A458" s="6"/>
      <c r="B458" s="7"/>
      <c r="C458" s="6"/>
      <c r="D458" s="140"/>
      <c r="E458" s="157"/>
      <c r="F458" s="1"/>
      <c r="G458" s="9"/>
      <c r="H458" s="9"/>
      <c r="I458" s="5"/>
      <c r="J458" s="1"/>
      <c r="K458" s="1"/>
      <c r="L458" s="1"/>
      <c r="M458" s="9"/>
      <c r="N458" s="5"/>
      <c r="O458" s="16"/>
      <c r="P458" s="1"/>
    </row>
    <row r="459" spans="1:16">
      <c r="A459" s="6"/>
      <c r="B459" s="7"/>
      <c r="C459" s="6"/>
      <c r="D459" s="140"/>
      <c r="E459" s="157"/>
      <c r="F459" s="1"/>
      <c r="G459" s="9"/>
      <c r="H459" s="9"/>
      <c r="I459" s="5"/>
      <c r="J459" s="1"/>
      <c r="K459" s="1"/>
      <c r="L459" s="1"/>
      <c r="M459" s="9"/>
      <c r="N459" s="5"/>
      <c r="O459" s="16"/>
      <c r="P459" s="1"/>
    </row>
    <row r="460" spans="1:16">
      <c r="A460" s="6"/>
      <c r="B460" s="7"/>
      <c r="C460" s="6"/>
      <c r="D460" s="158"/>
      <c r="E460" s="157"/>
      <c r="F460" s="1"/>
      <c r="G460" s="9"/>
      <c r="H460" s="9"/>
      <c r="I460" s="5"/>
      <c r="J460" s="1"/>
      <c r="K460" s="1"/>
      <c r="L460" s="1"/>
      <c r="M460" s="9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M461" s="9"/>
      <c r="N461" s="14"/>
      <c r="O461" s="16"/>
      <c r="P461" s="1"/>
    </row>
    <row r="462" spans="1:16">
      <c r="A462" s="6"/>
      <c r="B462" s="7"/>
      <c r="C462" s="6"/>
      <c r="D462" s="158"/>
      <c r="E462" s="157"/>
      <c r="F462" s="1"/>
      <c r="G462" s="9"/>
      <c r="H462" s="9"/>
      <c r="I462" s="5"/>
      <c r="J462" s="1"/>
      <c r="K462" s="1"/>
      <c r="L462" s="1"/>
      <c r="M462" s="9"/>
      <c r="O462" s="16"/>
      <c r="P462" s="1"/>
    </row>
    <row r="463" spans="1:16">
      <c r="A463" s="6"/>
      <c r="B463" s="7"/>
      <c r="C463" s="6"/>
      <c r="D463" s="158"/>
      <c r="E463" s="157"/>
      <c r="F463" s="1"/>
      <c r="G463" s="9"/>
      <c r="H463" s="9"/>
      <c r="I463" s="5"/>
      <c r="J463" s="1"/>
      <c r="K463" s="1"/>
      <c r="L463" s="1"/>
      <c r="M463" s="9"/>
      <c r="O463" s="16"/>
      <c r="P463" s="1"/>
    </row>
    <row r="464" spans="1:16">
      <c r="A464" s="6"/>
      <c r="B464" s="7"/>
      <c r="C464" s="6"/>
      <c r="D464" s="140"/>
      <c r="E464" s="157"/>
      <c r="F464" s="1"/>
      <c r="G464" s="9"/>
      <c r="H464" s="9"/>
      <c r="I464" s="5"/>
      <c r="J464" s="1"/>
      <c r="K464" s="1"/>
      <c r="L464" s="1"/>
      <c r="M464" s="9"/>
      <c r="O464" s="16"/>
      <c r="P464" s="1"/>
    </row>
    <row r="465" spans="1:16">
      <c r="A465" s="6"/>
      <c r="B465" s="7"/>
      <c r="C465" s="6"/>
      <c r="D465" s="158"/>
      <c r="E465" s="157"/>
      <c r="F465" s="1"/>
      <c r="G465" s="9"/>
      <c r="H465" s="9"/>
      <c r="I465" s="5"/>
      <c r="J465" s="1"/>
      <c r="K465" s="1"/>
      <c r="L465" s="1"/>
      <c r="M465" s="9"/>
      <c r="O465" s="16"/>
      <c r="P465" s="1"/>
    </row>
    <row r="466" spans="1:16">
      <c r="A466" s="6"/>
      <c r="B466" s="7"/>
      <c r="C466" s="6"/>
      <c r="D466" s="140"/>
      <c r="E466" s="157"/>
      <c r="F466" s="1"/>
      <c r="G466" s="9"/>
      <c r="H466" s="9"/>
      <c r="I466" s="5"/>
      <c r="J466" s="1"/>
      <c r="K466" s="1"/>
      <c r="L466" s="1"/>
      <c r="M466" s="9"/>
      <c r="O466" s="16"/>
      <c r="P466" s="1"/>
    </row>
    <row r="467" spans="1:16">
      <c r="A467" s="6"/>
      <c r="B467" s="7"/>
      <c r="C467" s="6"/>
      <c r="D467" s="140"/>
      <c r="E467" s="157"/>
      <c r="F467" s="1"/>
      <c r="G467" s="9"/>
      <c r="H467" s="9"/>
      <c r="I467" s="5"/>
      <c r="J467" s="1"/>
      <c r="K467" s="1"/>
      <c r="L467" s="1"/>
      <c r="M467" s="9"/>
      <c r="O467" s="16"/>
      <c r="P467" s="1"/>
    </row>
    <row r="468" spans="1:16">
      <c r="A468" s="6"/>
      <c r="B468" s="7"/>
      <c r="C468" s="6"/>
      <c r="D468" s="140"/>
      <c r="E468" s="157"/>
      <c r="F468" s="1"/>
      <c r="G468" s="9"/>
      <c r="H468" s="9"/>
      <c r="I468" s="5"/>
      <c r="J468" s="1"/>
      <c r="K468" s="1"/>
      <c r="L468" s="1"/>
      <c r="M468" s="9"/>
      <c r="O468" s="16"/>
      <c r="P468" s="1"/>
    </row>
    <row r="469" spans="1:16">
      <c r="A469" s="6"/>
      <c r="B469" s="7"/>
      <c r="C469" s="6"/>
      <c r="D469" s="158"/>
      <c r="E469" s="157"/>
      <c r="F469" s="1"/>
      <c r="G469" s="9"/>
      <c r="H469" s="9"/>
      <c r="I469" s="5"/>
      <c r="J469" s="1"/>
      <c r="K469" s="1"/>
      <c r="L469" s="1"/>
      <c r="M469" s="9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M470" s="9"/>
      <c r="O470" s="16"/>
      <c r="P470" s="1"/>
    </row>
    <row r="471" spans="1:16">
      <c r="A471" s="6"/>
      <c r="B471" s="7"/>
      <c r="C471" s="6"/>
      <c r="D471" s="158"/>
      <c r="E471" s="157"/>
      <c r="F471" s="1"/>
      <c r="G471" s="9"/>
      <c r="H471" s="9"/>
      <c r="I471" s="5"/>
      <c r="J471" s="1"/>
      <c r="K471" s="1"/>
      <c r="L471" s="1"/>
      <c r="M471" s="9"/>
      <c r="O471" s="16"/>
      <c r="P471" s="1"/>
    </row>
    <row r="472" spans="1:16">
      <c r="A472" s="6"/>
      <c r="B472" s="7"/>
      <c r="C472" s="6"/>
      <c r="D472" s="140"/>
      <c r="E472" s="157"/>
      <c r="F472" s="1"/>
      <c r="G472" s="9"/>
      <c r="H472" s="9"/>
      <c r="I472" s="5"/>
      <c r="J472" s="1"/>
      <c r="K472" s="1"/>
      <c r="L472" s="1"/>
      <c r="M472" s="9"/>
      <c r="O472" s="16"/>
      <c r="P472" s="1"/>
    </row>
    <row r="473" spans="1:16">
      <c r="A473" s="6"/>
      <c r="B473" s="7"/>
      <c r="C473" s="6"/>
      <c r="D473" s="140"/>
      <c r="E473" s="157"/>
      <c r="F473" s="1"/>
      <c r="G473" s="9"/>
      <c r="H473" s="9"/>
      <c r="I473" s="5"/>
      <c r="J473" s="1"/>
      <c r="K473" s="1"/>
      <c r="L473" s="1"/>
      <c r="M473" s="9"/>
      <c r="O473" s="16"/>
      <c r="P473" s="1"/>
    </row>
    <row r="474" spans="1:16">
      <c r="A474" s="6"/>
      <c r="B474" s="7"/>
      <c r="C474" s="6"/>
      <c r="D474" s="158"/>
      <c r="E474" s="157"/>
      <c r="F474" s="1"/>
      <c r="G474" s="9"/>
      <c r="H474" s="9"/>
      <c r="I474" s="5"/>
      <c r="J474" s="1"/>
      <c r="K474" s="1"/>
      <c r="L474" s="1"/>
      <c r="M474" s="9"/>
      <c r="O474" s="16"/>
      <c r="P474" s="1"/>
    </row>
    <row r="475" spans="1:16">
      <c r="A475" s="6"/>
      <c r="B475" s="7"/>
      <c r="C475" s="6"/>
      <c r="D475" s="158"/>
      <c r="E475" s="157"/>
      <c r="F475" s="1"/>
      <c r="G475" s="9"/>
      <c r="H475" s="9"/>
      <c r="I475" s="5"/>
      <c r="J475" s="1"/>
      <c r="K475" s="1"/>
      <c r="L475" s="1"/>
      <c r="M475" s="9"/>
      <c r="O475" s="16"/>
      <c r="P475" s="1"/>
    </row>
    <row r="476" spans="1:16">
      <c r="A476" s="6"/>
      <c r="B476" s="7"/>
      <c r="C476" s="6"/>
      <c r="D476" s="158"/>
      <c r="E476" s="157"/>
      <c r="F476" s="1"/>
      <c r="G476" s="9"/>
      <c r="H476" s="9"/>
      <c r="I476" s="5"/>
      <c r="J476" s="1"/>
      <c r="K476" s="1"/>
      <c r="L476" s="1"/>
      <c r="M476" s="9"/>
      <c r="O476" s="16"/>
      <c r="P476" s="1"/>
    </row>
    <row r="477" spans="1:16">
      <c r="A477" s="6"/>
      <c r="B477" s="7"/>
      <c r="C477" s="6"/>
      <c r="D477" s="158"/>
      <c r="E477" s="157"/>
      <c r="F477" s="1"/>
      <c r="G477" s="9"/>
      <c r="H477" s="9"/>
      <c r="I477" s="5"/>
      <c r="J477" s="1"/>
      <c r="K477" s="1"/>
      <c r="L477" s="1"/>
      <c r="M477" s="9"/>
      <c r="O477" s="16"/>
      <c r="P477" s="1"/>
    </row>
    <row r="478" spans="1:16">
      <c r="A478" s="6"/>
      <c r="B478" s="7"/>
      <c r="C478" s="6"/>
      <c r="D478" s="158"/>
      <c r="E478" s="157"/>
      <c r="F478" s="1"/>
      <c r="G478" s="9"/>
      <c r="H478" s="9"/>
      <c r="I478" s="5"/>
      <c r="J478" s="1"/>
      <c r="K478" s="1"/>
      <c r="L478" s="1"/>
      <c r="M478" s="9"/>
      <c r="O478" s="16"/>
      <c r="P478" s="1"/>
    </row>
    <row r="479" spans="1:16">
      <c r="A479" s="6"/>
      <c r="B479" s="7"/>
      <c r="C479" s="6"/>
      <c r="D479" s="158"/>
      <c r="E479" s="157"/>
      <c r="F479" s="1"/>
      <c r="G479" s="9"/>
      <c r="H479" s="9"/>
      <c r="I479" s="5"/>
      <c r="J479" s="1"/>
      <c r="K479" s="1"/>
      <c r="L479" s="1"/>
      <c r="M479" s="9"/>
      <c r="O479" s="16"/>
      <c r="P479" s="1"/>
    </row>
    <row r="480" spans="1:16">
      <c r="A480" s="6"/>
      <c r="B480" s="7"/>
      <c r="C480" s="6"/>
      <c r="D480" s="158"/>
      <c r="E480" s="157"/>
      <c r="F480" s="1"/>
      <c r="G480" s="9"/>
      <c r="H480" s="9"/>
      <c r="I480" s="5"/>
      <c r="J480" s="1"/>
      <c r="K480" s="1"/>
      <c r="L480" s="1"/>
      <c r="M480" s="9"/>
      <c r="N480" s="14"/>
      <c r="O480" s="16"/>
      <c r="P480" s="1"/>
    </row>
    <row r="481" spans="1:16">
      <c r="A481" s="6"/>
      <c r="B481" s="7"/>
      <c r="C481" s="6"/>
      <c r="D481" s="158"/>
      <c r="E481" s="157"/>
      <c r="F481" s="1"/>
      <c r="G481" s="9"/>
      <c r="H481" s="9"/>
      <c r="I481" s="5"/>
      <c r="J481" s="1"/>
      <c r="K481" s="1"/>
      <c r="L481" s="1"/>
      <c r="M481" s="9"/>
      <c r="O481" s="16"/>
      <c r="P481" s="1"/>
    </row>
    <row r="482" spans="1:16">
      <c r="A482" s="6"/>
      <c r="B482" s="7"/>
      <c r="C482" s="6"/>
      <c r="D482" s="140"/>
      <c r="E482" s="157"/>
      <c r="F482" s="1"/>
      <c r="G482" s="9"/>
      <c r="H482" s="9"/>
      <c r="I482" s="5"/>
      <c r="J482" s="1"/>
      <c r="K482" s="1"/>
      <c r="L482" s="1"/>
      <c r="M482" s="9"/>
      <c r="O482" s="16"/>
      <c r="P482" s="1"/>
    </row>
    <row r="483" spans="1:16">
      <c r="A483" s="6"/>
      <c r="B483" s="7"/>
      <c r="C483" s="6"/>
      <c r="D483" s="140"/>
      <c r="E483" s="157"/>
      <c r="F483" s="1"/>
      <c r="G483" s="9"/>
      <c r="H483" s="9"/>
      <c r="I483" s="5"/>
      <c r="J483" s="1"/>
      <c r="K483" s="1"/>
      <c r="L483" s="1"/>
      <c r="M483" s="9"/>
      <c r="O483" s="16"/>
      <c r="P483" s="1"/>
    </row>
    <row r="484" spans="1:16">
      <c r="A484" s="6"/>
      <c r="B484" s="7"/>
      <c r="C484" s="6"/>
      <c r="D484" s="158"/>
      <c r="E484" s="157"/>
      <c r="F484" s="1"/>
      <c r="G484" s="9"/>
      <c r="H484" s="9"/>
      <c r="I484" s="5"/>
      <c r="J484" s="1"/>
      <c r="K484" s="1"/>
      <c r="L484" s="1"/>
      <c r="M484" s="9"/>
      <c r="O484" s="16"/>
      <c r="P484" s="1"/>
    </row>
    <row r="485" spans="1:16">
      <c r="A485" s="6"/>
      <c r="B485" s="7"/>
      <c r="C485" s="6"/>
      <c r="D485" s="158"/>
      <c r="E485" s="157"/>
      <c r="F485" s="1"/>
      <c r="G485" s="9"/>
      <c r="H485" s="9"/>
      <c r="I485" s="5"/>
      <c r="J485" s="1"/>
      <c r="K485" s="1"/>
      <c r="L485" s="1"/>
      <c r="M485" s="9"/>
      <c r="O485" s="16"/>
      <c r="P485" s="1"/>
    </row>
    <row r="486" spans="1:16">
      <c r="A486" s="6"/>
      <c r="B486" s="7"/>
      <c r="C486" s="6"/>
      <c r="D486" s="141"/>
      <c r="E486" s="157"/>
      <c r="F486" s="1"/>
      <c r="G486" s="9"/>
      <c r="H486" s="9"/>
      <c r="I486" s="5"/>
      <c r="J486" s="1"/>
      <c r="K486" s="1"/>
      <c r="L486" s="1"/>
      <c r="M486" s="9"/>
      <c r="O486" s="16"/>
      <c r="P486" s="1"/>
    </row>
    <row r="487" spans="1:16">
      <c r="A487" s="6"/>
      <c r="B487" s="7"/>
      <c r="C487" s="6"/>
      <c r="D487" s="158"/>
      <c r="E487" s="157"/>
      <c r="F487" s="1"/>
      <c r="G487" s="9"/>
      <c r="H487" s="9"/>
      <c r="I487" s="5"/>
      <c r="J487" s="1"/>
      <c r="K487" s="1"/>
      <c r="L487" s="1"/>
      <c r="M487" s="9"/>
      <c r="O487" s="16"/>
      <c r="P487" s="1"/>
    </row>
    <row r="488" spans="1:16">
      <c r="A488" s="6"/>
      <c r="B488" s="7"/>
      <c r="C488" s="6"/>
      <c r="D488" s="140"/>
      <c r="E488" s="157"/>
      <c r="F488" s="1"/>
      <c r="G488" s="9"/>
      <c r="H488" s="9"/>
      <c r="I488" s="5"/>
      <c r="J488" s="1"/>
      <c r="K488" s="1"/>
      <c r="L488" s="1"/>
      <c r="M488" s="9"/>
      <c r="O488" s="16"/>
      <c r="P488" s="1"/>
    </row>
    <row r="489" spans="1:16">
      <c r="A489" s="6"/>
      <c r="B489" s="7"/>
      <c r="C489" s="6"/>
      <c r="D489" s="158"/>
      <c r="E489" s="157"/>
      <c r="F489" s="1"/>
      <c r="G489" s="9"/>
      <c r="H489" s="9"/>
      <c r="I489" s="5"/>
      <c r="J489" s="1"/>
      <c r="K489" s="1"/>
      <c r="L489" s="1"/>
      <c r="M489" s="9"/>
      <c r="O489" s="16"/>
      <c r="P489" s="1"/>
    </row>
    <row r="490" spans="1:16">
      <c r="A490" s="6"/>
      <c r="B490" s="7"/>
      <c r="C490" s="6"/>
      <c r="D490" s="158"/>
      <c r="E490" s="157"/>
      <c r="F490" s="1"/>
      <c r="G490" s="9"/>
      <c r="H490" s="9"/>
      <c r="I490" s="5"/>
      <c r="J490" s="1"/>
      <c r="K490" s="1"/>
      <c r="L490" s="1"/>
      <c r="M490" s="9"/>
      <c r="O490" s="16"/>
      <c r="P490" s="1"/>
    </row>
    <row r="491" spans="1:16">
      <c r="A491" s="6"/>
      <c r="B491" s="7"/>
      <c r="C491" s="6"/>
      <c r="D491" s="140"/>
      <c r="E491" s="157"/>
      <c r="F491" s="1"/>
      <c r="G491" s="9"/>
      <c r="H491" s="9"/>
      <c r="I491" s="5"/>
      <c r="J491" s="1"/>
      <c r="K491" s="1"/>
      <c r="L491" s="1"/>
      <c r="M491" s="9"/>
      <c r="O491" s="16"/>
      <c r="P491" s="1"/>
    </row>
    <row r="492" spans="1:16">
      <c r="A492" s="6"/>
      <c r="B492" s="7"/>
      <c r="C492" s="6"/>
      <c r="D492" s="158"/>
      <c r="E492" s="157"/>
      <c r="F492" s="1"/>
      <c r="G492" s="9"/>
      <c r="H492" s="9"/>
      <c r="I492" s="5"/>
      <c r="J492" s="1"/>
      <c r="K492" s="1"/>
      <c r="L492" s="1"/>
      <c r="M492" s="9"/>
      <c r="O492" s="16"/>
      <c r="P492" s="1"/>
    </row>
    <row r="493" spans="1:16">
      <c r="A493" s="6"/>
      <c r="B493" s="7"/>
      <c r="C493" s="6"/>
      <c r="D493" s="158"/>
      <c r="E493" s="157"/>
      <c r="F493" s="1"/>
      <c r="G493" s="9"/>
      <c r="H493" s="9"/>
      <c r="I493" s="5"/>
      <c r="J493" s="1"/>
      <c r="K493" s="1"/>
      <c r="L493" s="1"/>
      <c r="M493" s="9"/>
      <c r="O493" s="16"/>
      <c r="P493" s="1"/>
    </row>
    <row r="494" spans="1:16">
      <c r="A494" s="6"/>
      <c r="B494" s="7"/>
      <c r="C494" s="6"/>
      <c r="D494" s="158"/>
      <c r="E494" s="157"/>
      <c r="F494" s="1"/>
      <c r="G494" s="9"/>
      <c r="H494" s="9"/>
      <c r="I494" s="5"/>
      <c r="J494" s="1"/>
      <c r="K494" s="1"/>
      <c r="L494" s="1"/>
      <c r="M494" s="9"/>
      <c r="O494" s="16"/>
      <c r="P494" s="1"/>
    </row>
    <row r="495" spans="1:16">
      <c r="A495" s="6"/>
      <c r="B495" s="7"/>
      <c r="C495" s="6"/>
      <c r="D495" s="158"/>
      <c r="E495" s="157"/>
      <c r="F495" s="1"/>
      <c r="G495" s="9"/>
      <c r="H495" s="9"/>
      <c r="I495" s="5"/>
      <c r="J495" s="1"/>
      <c r="K495" s="1"/>
      <c r="L495" s="1"/>
      <c r="M495" s="9"/>
      <c r="O495" s="16"/>
      <c r="P495" s="1"/>
    </row>
    <row r="496" spans="1:16">
      <c r="A496" s="6"/>
      <c r="B496" s="7"/>
      <c r="C496" s="6"/>
      <c r="D496" s="158"/>
      <c r="E496" s="157"/>
      <c r="F496" s="1"/>
      <c r="G496" s="9"/>
      <c r="H496" s="9"/>
      <c r="I496" s="5"/>
      <c r="J496" s="1"/>
      <c r="K496" s="1"/>
      <c r="L496" s="1"/>
      <c r="M496" s="9"/>
      <c r="O496" s="16"/>
      <c r="P496" s="1"/>
    </row>
    <row r="497" spans="1:16">
      <c r="A497" s="6"/>
      <c r="B497" s="7"/>
      <c r="C497" s="6"/>
      <c r="D497" s="140"/>
      <c r="E497" s="157"/>
      <c r="F497" s="1"/>
      <c r="G497" s="9"/>
      <c r="H497" s="9"/>
      <c r="I497" s="5"/>
      <c r="J497" s="1"/>
      <c r="K497" s="1"/>
      <c r="L497" s="1"/>
      <c r="M497" s="9"/>
      <c r="O497" s="16"/>
      <c r="P497" s="1"/>
    </row>
    <row r="498" spans="1:16">
      <c r="A498" s="6"/>
      <c r="B498" s="7"/>
      <c r="C498" s="6"/>
      <c r="D498" s="158"/>
      <c r="E498" s="157"/>
      <c r="F498" s="1"/>
      <c r="G498" s="9"/>
      <c r="H498" s="9"/>
      <c r="I498" s="5"/>
      <c r="J498" s="1"/>
      <c r="K498" s="1"/>
      <c r="L498" s="1"/>
      <c r="M498" s="9"/>
      <c r="O498" s="16"/>
      <c r="P498" s="1"/>
    </row>
    <row r="499" spans="1:16">
      <c r="A499" s="6"/>
      <c r="B499" s="7"/>
      <c r="C499" s="6"/>
      <c r="D499" s="158"/>
      <c r="E499" s="157"/>
      <c r="F499" s="1"/>
      <c r="G499" s="9"/>
      <c r="H499" s="9"/>
      <c r="I499" s="5"/>
      <c r="J499" s="1"/>
      <c r="K499" s="1"/>
      <c r="L499" s="1"/>
      <c r="M499" s="9"/>
      <c r="O499" s="16"/>
      <c r="P499" s="1"/>
    </row>
    <row r="500" spans="1:16">
      <c r="A500" s="6"/>
      <c r="B500" s="7"/>
      <c r="C500" s="6"/>
      <c r="D500" s="158"/>
      <c r="E500" s="157"/>
      <c r="F500" s="1"/>
      <c r="G500" s="9"/>
      <c r="H500" s="9"/>
      <c r="I500" s="5"/>
      <c r="J500" s="1"/>
      <c r="K500" s="1"/>
      <c r="L500" s="1"/>
      <c r="M500" s="9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M501" s="9"/>
      <c r="O501" s="16"/>
      <c r="P501" s="1"/>
    </row>
    <row r="502" spans="1:16">
      <c r="A502" s="6"/>
      <c r="B502" s="7"/>
      <c r="C502" s="6"/>
      <c r="D502" s="158"/>
      <c r="E502" s="157"/>
      <c r="F502" s="1"/>
      <c r="G502" s="9"/>
      <c r="H502" s="9"/>
      <c r="I502" s="5"/>
      <c r="J502" s="1"/>
      <c r="K502" s="1"/>
      <c r="L502" s="1"/>
      <c r="M502" s="9"/>
      <c r="O502" s="16"/>
      <c r="P502" s="1"/>
    </row>
    <row r="503" spans="1:16">
      <c r="A503" s="6"/>
      <c r="B503" s="7"/>
      <c r="C503" s="6"/>
      <c r="D503" s="141"/>
      <c r="E503" s="157"/>
      <c r="F503" s="1"/>
      <c r="G503" s="9"/>
      <c r="H503" s="9"/>
      <c r="I503" s="5"/>
      <c r="J503" s="1"/>
      <c r="K503" s="1"/>
      <c r="L503" s="1"/>
      <c r="M503" s="9"/>
      <c r="O503" s="16"/>
      <c r="P503" s="1"/>
    </row>
    <row r="504" spans="1:16">
      <c r="A504" s="6"/>
      <c r="B504" s="7"/>
      <c r="C504" s="6"/>
      <c r="D504" s="158"/>
      <c r="E504" s="157"/>
      <c r="F504" s="1"/>
      <c r="G504" s="9"/>
      <c r="H504" s="9"/>
      <c r="I504" s="5"/>
      <c r="J504" s="1"/>
      <c r="K504" s="1"/>
      <c r="L504" s="1"/>
      <c r="M504" s="9"/>
      <c r="N504" s="14"/>
      <c r="O504" s="16"/>
      <c r="P504" s="1"/>
    </row>
    <row r="505" spans="1:16">
      <c r="A505" s="6"/>
      <c r="B505" s="7"/>
      <c r="C505" s="6"/>
      <c r="D505" s="176"/>
      <c r="E505" s="157"/>
      <c r="F505" s="1"/>
      <c r="G505" s="9"/>
      <c r="H505" s="9"/>
      <c r="I505" s="5"/>
      <c r="J505" s="1"/>
      <c r="K505" s="1"/>
      <c r="L505" s="1"/>
      <c r="M505" s="9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5"/>
      <c r="J506" s="1"/>
      <c r="K506" s="1"/>
      <c r="L506" s="1"/>
      <c r="M506" s="1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5"/>
      <c r="J507" s="1"/>
      <c r="K507" s="1"/>
      <c r="L507" s="1"/>
      <c r="M507" s="1"/>
      <c r="O507" s="16"/>
      <c r="P507" s="1"/>
    </row>
    <row r="508" spans="1:16">
      <c r="A508" s="6"/>
      <c r="B508" s="7"/>
      <c r="C508" s="6"/>
      <c r="D508" s="6"/>
      <c r="E508" s="6"/>
      <c r="F508" s="1"/>
      <c r="G508" s="1"/>
      <c r="H508" s="1"/>
      <c r="I508" s="5"/>
      <c r="J508" s="1"/>
      <c r="K508" s="1"/>
      <c r="L508" s="1"/>
      <c r="M508" s="1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M509" s="1"/>
      <c r="O509" s="16"/>
      <c r="P509" s="1"/>
    </row>
    <row r="510" spans="1:16">
      <c r="A510" s="6"/>
      <c r="B510" s="7"/>
      <c r="C510" s="6"/>
      <c r="D510" s="6"/>
      <c r="E510" s="6"/>
      <c r="F510" s="1"/>
      <c r="G510" s="1"/>
      <c r="H510" s="9"/>
      <c r="I510" s="5"/>
      <c r="J510" s="1"/>
      <c r="K510" s="1"/>
      <c r="L510" s="1"/>
      <c r="M510" s="1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5"/>
      <c r="J511" s="1"/>
      <c r="K511" s="1"/>
      <c r="L511" s="1"/>
      <c r="M511" s="1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5"/>
      <c r="J512" s="1"/>
      <c r="K512" s="1"/>
      <c r="L512" s="1"/>
      <c r="M512" s="1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9"/>
      <c r="I513" s="5"/>
      <c r="J513" s="1"/>
      <c r="K513" s="1"/>
      <c r="L513" s="1"/>
      <c r="M513" s="1"/>
      <c r="O513" s="16"/>
      <c r="P513" s="1"/>
    </row>
    <row r="514" spans="1:16">
      <c r="A514" s="6"/>
      <c r="B514" s="7"/>
      <c r="C514" s="6"/>
      <c r="D514" s="6"/>
      <c r="E514" s="6"/>
      <c r="F514" s="1"/>
      <c r="G514" s="1"/>
      <c r="H514" s="1"/>
      <c r="I514" s="5"/>
      <c r="J514" s="1"/>
      <c r="K514" s="1"/>
      <c r="L514" s="1"/>
      <c r="M514" s="1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1"/>
      <c r="I515" s="5"/>
      <c r="J515" s="1"/>
      <c r="K515" s="1"/>
      <c r="L515" s="1"/>
      <c r="M515" s="1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1"/>
      <c r="I516" s="5"/>
      <c r="J516" s="1"/>
      <c r="K516" s="1"/>
      <c r="L516" s="1"/>
      <c r="M516" s="1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5"/>
      <c r="J517" s="1"/>
      <c r="K517" s="1"/>
      <c r="L517" s="1"/>
      <c r="M517" s="1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5"/>
      <c r="J518" s="1"/>
      <c r="K518" s="1"/>
      <c r="L518" s="1"/>
      <c r="M518" s="1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M520" s="1"/>
      <c r="O520" s="16"/>
      <c r="P520" s="1"/>
    </row>
    <row r="521" spans="1:16">
      <c r="A521" s="6"/>
      <c r="B521" s="7"/>
      <c r="C521" s="6"/>
      <c r="D521" s="6"/>
      <c r="E521" s="6"/>
      <c r="F521" s="1"/>
      <c r="G521" s="1"/>
      <c r="H521" s="1"/>
      <c r="I521" s="5"/>
      <c r="J521" s="1"/>
      <c r="K521" s="1"/>
      <c r="L521" s="1"/>
      <c r="M521" s="1"/>
      <c r="O521" s="16"/>
      <c r="P521" s="1"/>
    </row>
    <row r="522" spans="1:16">
      <c r="A522" s="6"/>
      <c r="B522" s="7"/>
      <c r="C522" s="6"/>
      <c r="D522" s="6"/>
      <c r="E522" s="6"/>
      <c r="F522" s="1"/>
      <c r="G522" s="1"/>
      <c r="H522" s="1"/>
      <c r="I522" s="5"/>
      <c r="J522" s="1"/>
      <c r="K522" s="1"/>
      <c r="L522" s="1"/>
      <c r="M522" s="1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M523" s="1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1"/>
      <c r="I524" s="5"/>
      <c r="J524" s="1"/>
      <c r="K524" s="1"/>
      <c r="L524" s="1"/>
      <c r="M524" s="1"/>
      <c r="O524" s="16"/>
      <c r="P524" s="1"/>
    </row>
    <row r="525" spans="1:16">
      <c r="A525" s="6"/>
      <c r="B525" s="7"/>
      <c r="C525" s="6"/>
      <c r="D525" s="6"/>
      <c r="E525" s="6"/>
      <c r="F525" s="1"/>
      <c r="G525" s="1"/>
      <c r="H525" s="1"/>
      <c r="I525" s="5"/>
      <c r="J525" s="1"/>
      <c r="K525" s="1"/>
      <c r="L525" s="1"/>
      <c r="M525" s="1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O526" s="16"/>
      <c r="P526" s="1"/>
    </row>
    <row r="527" spans="1:16">
      <c r="A527" s="6"/>
      <c r="B527" s="7"/>
      <c r="C527" s="6"/>
      <c r="D527" s="6"/>
      <c r="E527" s="6"/>
      <c r="F527" s="1"/>
      <c r="G527" s="1"/>
      <c r="H527" s="1"/>
      <c r="I527" s="5"/>
      <c r="J527" s="1"/>
      <c r="K527" s="1"/>
      <c r="L527" s="1"/>
      <c r="M527" s="1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M529" s="1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5"/>
      <c r="J530" s="1"/>
      <c r="K530" s="1"/>
      <c r="L530" s="1"/>
      <c r="M530" s="1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M531" s="1"/>
      <c r="O531" s="16"/>
      <c r="P531" s="1"/>
    </row>
    <row r="532" spans="1:16">
      <c r="A532" s="6"/>
      <c r="B532" s="7"/>
      <c r="C532" s="6"/>
      <c r="D532" s="6"/>
      <c r="E532" s="6"/>
      <c r="F532" s="1"/>
      <c r="G532" s="9"/>
      <c r="H532" s="9"/>
      <c r="I532" s="5"/>
      <c r="J532" s="1"/>
      <c r="K532" s="1"/>
      <c r="L532" s="1"/>
      <c r="M532" s="1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1"/>
      <c r="I533" s="5"/>
      <c r="J533" s="1"/>
      <c r="K533" s="1"/>
      <c r="L533" s="1"/>
      <c r="M533" s="1"/>
      <c r="O533" s="16"/>
      <c r="P533" s="1"/>
    </row>
    <row r="534" spans="1:16">
      <c r="A534" s="6"/>
      <c r="B534" s="7"/>
      <c r="C534" s="6"/>
      <c r="D534" s="6"/>
      <c r="E534" s="6"/>
      <c r="F534" s="1"/>
      <c r="G534" s="9"/>
      <c r="H534" s="9"/>
      <c r="I534" s="5"/>
      <c r="J534" s="1"/>
      <c r="K534" s="1"/>
      <c r="L534" s="1"/>
      <c r="M534" s="1"/>
      <c r="O534" s="16"/>
      <c r="P534" s="1"/>
    </row>
    <row r="535" spans="1:16">
      <c r="A535" s="6"/>
      <c r="B535" s="7"/>
      <c r="C535" s="6"/>
      <c r="D535" s="6"/>
      <c r="E535" s="6"/>
      <c r="F535" s="1"/>
      <c r="G535" s="1"/>
      <c r="H535" s="1"/>
      <c r="I535" s="5"/>
      <c r="J535" s="1"/>
      <c r="K535" s="1"/>
      <c r="L535" s="1"/>
      <c r="M535" s="1"/>
      <c r="O535" s="16"/>
      <c r="P535" s="1"/>
    </row>
    <row r="536" spans="1:16">
      <c r="A536" s="6"/>
      <c r="B536" s="7"/>
      <c r="C536" s="6"/>
      <c r="D536" s="6"/>
      <c r="E536" s="6"/>
      <c r="F536" s="1"/>
      <c r="G536" s="1"/>
      <c r="H536" s="1"/>
      <c r="I536" s="5"/>
      <c r="J536" s="1"/>
      <c r="K536" s="1"/>
      <c r="L536" s="1"/>
      <c r="M536" s="1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5"/>
      <c r="J537" s="1"/>
      <c r="K537" s="1"/>
      <c r="L537" s="1"/>
      <c r="M537" s="1"/>
      <c r="O537" s="16"/>
      <c r="P537" s="1"/>
    </row>
    <row r="538" spans="1:16">
      <c r="A538" s="6"/>
      <c r="B538" s="7"/>
      <c r="C538" s="6"/>
      <c r="D538" s="6"/>
      <c r="E538" s="6"/>
      <c r="F538" s="1"/>
      <c r="G538" s="9"/>
      <c r="H538" s="9"/>
      <c r="I538" s="5"/>
      <c r="J538" s="1"/>
      <c r="K538" s="1"/>
      <c r="L538" s="1"/>
      <c r="M538" s="1"/>
      <c r="O538" s="16"/>
      <c r="P538" s="1"/>
    </row>
    <row r="539" spans="1:16">
      <c r="A539" s="6"/>
      <c r="B539" s="7"/>
      <c r="C539" s="6"/>
      <c r="D539" s="6"/>
      <c r="E539" s="6"/>
      <c r="F539" s="1"/>
      <c r="G539" s="9"/>
      <c r="H539" s="9"/>
      <c r="I539" s="5"/>
      <c r="J539" s="1"/>
      <c r="K539" s="1"/>
      <c r="L539" s="1"/>
      <c r="M539" s="1"/>
      <c r="O539" s="16"/>
      <c r="P539" s="1"/>
    </row>
    <row r="540" spans="1:16">
      <c r="A540" s="6"/>
      <c r="B540" s="7"/>
      <c r="C540" s="6"/>
      <c r="D540" s="6"/>
      <c r="E540" s="6"/>
      <c r="F540" s="1"/>
      <c r="G540" s="1"/>
      <c r="H540" s="1"/>
      <c r="I540" s="5"/>
      <c r="J540" s="1"/>
      <c r="K540" s="1"/>
      <c r="L540" s="1"/>
      <c r="M540" s="1"/>
      <c r="O540" s="16"/>
      <c r="P540" s="1"/>
    </row>
    <row r="541" spans="1:16">
      <c r="A541" s="6"/>
      <c r="B541" s="7"/>
      <c r="C541" s="6"/>
      <c r="D541" s="6"/>
      <c r="E541" s="6"/>
      <c r="F541" s="1"/>
      <c r="G541" s="1"/>
      <c r="H541" s="9"/>
      <c r="I541" s="5"/>
      <c r="J541" s="1"/>
      <c r="K541" s="1"/>
      <c r="L541" s="1"/>
      <c r="M541" s="1"/>
      <c r="O541" s="16"/>
      <c r="P541" s="1"/>
    </row>
    <row r="542" spans="1:16">
      <c r="A542" s="6"/>
      <c r="B542" s="7"/>
      <c r="C542" s="6"/>
      <c r="D542" s="6"/>
      <c r="E542" s="6"/>
      <c r="F542" s="1"/>
      <c r="G542" s="1"/>
      <c r="H542" s="1"/>
      <c r="I542" s="5"/>
      <c r="J542" s="1"/>
      <c r="K542" s="1"/>
      <c r="L542" s="1"/>
      <c r="M542" s="1"/>
      <c r="O542" s="16"/>
      <c r="P542" s="1"/>
    </row>
    <row r="543" spans="1:16">
      <c r="A543" s="6"/>
      <c r="B543" s="7"/>
      <c r="C543" s="6"/>
      <c r="D543" s="6"/>
      <c r="E543" s="6"/>
      <c r="F543" s="1"/>
      <c r="G543" s="9"/>
      <c r="H543" s="1"/>
      <c r="I543" s="5"/>
      <c r="J543" s="1"/>
      <c r="K543" s="1"/>
      <c r="L543" s="1"/>
      <c r="M543" s="1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1"/>
      <c r="I544" s="5"/>
      <c r="J544" s="1"/>
      <c r="K544" s="1"/>
      <c r="L544" s="1"/>
      <c r="M544" s="1"/>
      <c r="O544" s="16"/>
      <c r="P544" s="1"/>
    </row>
    <row r="545" spans="1:16">
      <c r="A545" s="6"/>
      <c r="B545" s="7"/>
      <c r="C545" s="6"/>
      <c r="D545" s="6"/>
      <c r="E545" s="6"/>
      <c r="F545" s="1"/>
      <c r="G545" s="9"/>
      <c r="H545" s="9"/>
      <c r="I545" s="5"/>
      <c r="J545" s="1"/>
      <c r="K545" s="1"/>
      <c r="L545" s="1"/>
      <c r="M545" s="1"/>
      <c r="O545" s="16"/>
      <c r="P545" s="1"/>
    </row>
    <row r="546" spans="1:16">
      <c r="A546" s="6"/>
      <c r="B546" s="7"/>
      <c r="C546" s="6"/>
      <c r="D546" s="6"/>
      <c r="E546" s="6"/>
      <c r="F546" s="1"/>
      <c r="G546" s="1"/>
      <c r="H546" s="1"/>
      <c r="I546" s="5"/>
      <c r="J546" s="1"/>
      <c r="K546" s="1"/>
      <c r="L546" s="1"/>
      <c r="M546" s="1"/>
      <c r="O546" s="16"/>
      <c r="P546" s="1"/>
    </row>
    <row r="547" spans="1:16">
      <c r="A547" s="6"/>
      <c r="B547" s="7"/>
      <c r="C547" s="6"/>
      <c r="D547" s="6"/>
      <c r="E547" s="6"/>
      <c r="F547" s="1"/>
      <c r="G547" s="1"/>
      <c r="H547" s="1"/>
      <c r="I547" s="5"/>
      <c r="J547" s="1"/>
      <c r="K547" s="1"/>
      <c r="L547" s="1"/>
      <c r="M547" s="1"/>
      <c r="O547" s="16"/>
      <c r="P547" s="1"/>
    </row>
    <row r="548" spans="1:16">
      <c r="A548" s="6"/>
      <c r="B548" s="7"/>
      <c r="C548" s="6"/>
      <c r="D548" s="6"/>
      <c r="E548" s="6"/>
      <c r="F548" s="1"/>
      <c r="G548" s="9"/>
      <c r="H548" s="9"/>
      <c r="I548" s="5"/>
      <c r="J548" s="1"/>
      <c r="K548" s="1"/>
      <c r="L548" s="1"/>
      <c r="M548" s="1"/>
      <c r="O548" s="16"/>
      <c r="P548" s="1"/>
    </row>
    <row r="549" spans="1:16">
      <c r="A549" s="6"/>
      <c r="B549" s="7"/>
      <c r="C549" s="6"/>
      <c r="D549" s="6"/>
      <c r="E549" s="6"/>
      <c r="F549" s="1"/>
      <c r="G549" s="1"/>
      <c r="H549" s="1"/>
      <c r="I549" s="5"/>
      <c r="J549" s="1"/>
      <c r="K549" s="1"/>
      <c r="L549" s="1"/>
      <c r="M549" s="1"/>
      <c r="O549" s="16"/>
      <c r="P549" s="1"/>
    </row>
    <row r="550" spans="1:16">
      <c r="A550" s="6"/>
      <c r="B550" s="7"/>
      <c r="C550" s="6"/>
      <c r="D550" s="6"/>
      <c r="E550" s="6"/>
      <c r="F550" s="1"/>
      <c r="G550" s="9"/>
      <c r="H550" s="9"/>
      <c r="I550" s="5"/>
      <c r="J550" s="1"/>
      <c r="K550" s="1"/>
      <c r="L550" s="1"/>
      <c r="M550" s="1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O551" s="16"/>
      <c r="P551" s="1"/>
    </row>
    <row r="552" spans="1:16">
      <c r="A552" s="6"/>
      <c r="B552" s="7"/>
      <c r="C552" s="6"/>
      <c r="D552" s="6"/>
      <c r="E552" s="6"/>
      <c r="F552" s="1"/>
      <c r="G552" s="9"/>
      <c r="H552" s="9"/>
      <c r="I552" s="5"/>
      <c r="J552" s="1"/>
      <c r="K552" s="1"/>
      <c r="L552" s="1"/>
      <c r="M552" s="1"/>
      <c r="O552" s="16"/>
      <c r="P552" s="1"/>
    </row>
    <row r="553" spans="1:16">
      <c r="A553" s="6"/>
      <c r="B553" s="7"/>
      <c r="C553" s="6"/>
      <c r="D553" s="6"/>
      <c r="E553" s="6"/>
      <c r="F553" s="1"/>
      <c r="G553" s="1"/>
      <c r="H553" s="1"/>
      <c r="I553" s="5"/>
      <c r="J553" s="1"/>
      <c r="K553" s="1"/>
      <c r="L553" s="1"/>
      <c r="M553" s="1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O554" s="16"/>
      <c r="P554" s="1"/>
    </row>
    <row r="555" spans="1:16">
      <c r="A555" s="6"/>
      <c r="B555" s="7"/>
      <c r="C555" s="6"/>
      <c r="D555" s="6"/>
      <c r="E555" s="6"/>
      <c r="F555" s="1"/>
      <c r="G555" s="9"/>
      <c r="H555" s="9"/>
      <c r="I555" s="5"/>
      <c r="J555" s="1"/>
      <c r="K555" s="1"/>
      <c r="L555" s="1"/>
      <c r="M555" s="1"/>
      <c r="O555" s="16"/>
      <c r="P555" s="1"/>
    </row>
    <row r="556" spans="1:16">
      <c r="A556" s="6"/>
      <c r="B556" s="7"/>
      <c r="C556" s="6"/>
      <c r="D556" s="6"/>
      <c r="E556" s="6"/>
      <c r="F556" s="1"/>
      <c r="G556" s="1"/>
      <c r="H556" s="1"/>
      <c r="I556" s="5"/>
      <c r="J556" s="1"/>
      <c r="K556" s="1"/>
      <c r="L556" s="1"/>
      <c r="M556" s="1"/>
      <c r="O556" s="16"/>
      <c r="P556" s="1"/>
    </row>
    <row r="557" spans="1:16">
      <c r="A557" s="6"/>
      <c r="B557" s="7"/>
      <c r="C557" s="6"/>
      <c r="D557" s="6"/>
      <c r="E557" s="6"/>
      <c r="F557" s="1"/>
      <c r="G557" s="1"/>
      <c r="H557" s="1"/>
      <c r="I557" s="5"/>
      <c r="J557" s="1"/>
      <c r="K557" s="1"/>
      <c r="L557" s="1"/>
      <c r="M557" s="1"/>
      <c r="O557" s="16"/>
      <c r="P557" s="1"/>
    </row>
    <row r="558" spans="1:16">
      <c r="A558" s="6"/>
      <c r="B558" s="7"/>
      <c r="C558" s="6"/>
      <c r="D558" s="6"/>
      <c r="E558" s="6"/>
      <c r="F558" s="1"/>
      <c r="G558" s="1"/>
      <c r="H558" s="1"/>
      <c r="I558" s="5"/>
      <c r="J558" s="1"/>
      <c r="K558" s="1"/>
      <c r="L558" s="1"/>
      <c r="M558" s="1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O559" s="16"/>
      <c r="P559" s="1"/>
    </row>
    <row r="560" spans="1:16">
      <c r="A560" s="6"/>
      <c r="B560" s="7"/>
      <c r="C560" s="6"/>
      <c r="D560" s="6"/>
      <c r="E560" s="6"/>
      <c r="F560" s="1"/>
      <c r="G560" s="1"/>
      <c r="H560" s="1"/>
      <c r="I560" s="5"/>
      <c r="J560" s="1"/>
      <c r="K560" s="1"/>
      <c r="L560" s="1"/>
      <c r="M560" s="1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M561" s="1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O562" s="16"/>
      <c r="P562" s="1"/>
    </row>
    <row r="563" spans="1:16">
      <c r="A563" s="6"/>
      <c r="B563" s="7"/>
      <c r="C563" s="6"/>
      <c r="D563" s="6"/>
      <c r="E563" s="6"/>
      <c r="F563" s="1"/>
      <c r="G563" s="1"/>
      <c r="H563" s="1"/>
      <c r="I563" s="5"/>
      <c r="J563" s="1"/>
      <c r="K563" s="1"/>
      <c r="L563" s="1"/>
      <c r="M563" s="1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5"/>
      <c r="J564" s="1"/>
      <c r="K564" s="1"/>
      <c r="L564" s="1"/>
      <c r="M564" s="1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M566" s="1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5"/>
      <c r="J567" s="1"/>
      <c r="K567" s="1"/>
      <c r="L567" s="1"/>
      <c r="M567" s="1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M568" s="1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5"/>
      <c r="J569" s="1"/>
      <c r="K569" s="1"/>
      <c r="L569" s="1"/>
      <c r="M569" s="1"/>
      <c r="O569" s="16"/>
      <c r="P569" s="1"/>
    </row>
    <row r="570" spans="1:16">
      <c r="A570" s="6"/>
      <c r="B570" s="7"/>
      <c r="C570" s="6"/>
      <c r="D570" s="6"/>
      <c r="E570" s="6"/>
      <c r="F570" s="1"/>
      <c r="G570" s="1"/>
      <c r="H570" s="1"/>
      <c r="I570" s="5"/>
      <c r="J570" s="1"/>
      <c r="K570" s="1"/>
      <c r="L570" s="1"/>
      <c r="M570" s="1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M572" s="1"/>
      <c r="O572" s="16"/>
      <c r="P572" s="1"/>
    </row>
    <row r="573" spans="1:16">
      <c r="A573" s="6"/>
      <c r="B573" s="7"/>
      <c r="C573" s="6"/>
      <c r="D573" s="6"/>
      <c r="E573" s="6"/>
      <c r="F573" s="1"/>
      <c r="G573" s="9"/>
      <c r="H573" s="9"/>
      <c r="I573" s="5"/>
      <c r="J573" s="1"/>
      <c r="K573" s="1"/>
      <c r="L573" s="1"/>
      <c r="M573" s="1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5"/>
      <c r="J574" s="1"/>
      <c r="K574" s="1"/>
      <c r="L574" s="1"/>
      <c r="M574" s="1"/>
      <c r="O574" s="16"/>
      <c r="P574" s="1"/>
    </row>
    <row r="575" spans="1:16">
      <c r="A575" s="6"/>
      <c r="B575" s="7"/>
      <c r="C575" s="6"/>
      <c r="D575" s="6"/>
      <c r="E575" s="6"/>
      <c r="F575" s="1"/>
      <c r="G575" s="1"/>
      <c r="H575" s="1"/>
      <c r="I575" s="5"/>
      <c r="J575" s="1"/>
      <c r="K575" s="1"/>
      <c r="L575" s="1"/>
      <c r="M575" s="1"/>
      <c r="O575" s="16"/>
      <c r="P575" s="1"/>
    </row>
    <row r="576" spans="1:16">
      <c r="A576" s="6"/>
      <c r="B576" s="7"/>
      <c r="C576" s="6"/>
      <c r="D576" s="6"/>
      <c r="E576" s="6"/>
      <c r="F576" s="1"/>
      <c r="G576" s="9"/>
      <c r="H576" s="9"/>
      <c r="I576" s="5"/>
      <c r="J576" s="1"/>
      <c r="K576" s="1"/>
      <c r="L576" s="1"/>
      <c r="M576" s="1"/>
      <c r="O576" s="16"/>
      <c r="P576" s="1"/>
    </row>
    <row r="577" spans="1:16">
      <c r="A577" s="6"/>
      <c r="B577" s="7"/>
      <c r="C577" s="6"/>
      <c r="D577" s="6"/>
      <c r="E577" s="6"/>
      <c r="F577" s="1"/>
      <c r="G577" s="9"/>
      <c r="H577" s="9"/>
      <c r="I577" s="5"/>
      <c r="J577" s="1"/>
      <c r="K577" s="1"/>
      <c r="L577" s="1"/>
      <c r="M577" s="1"/>
      <c r="O577" s="16"/>
      <c r="P577" s="1"/>
    </row>
    <row r="578" spans="1:16">
      <c r="A578" s="6"/>
      <c r="B578" s="7"/>
      <c r="C578" s="6"/>
      <c r="D578" s="6"/>
      <c r="E578" s="6"/>
      <c r="F578" s="1"/>
      <c r="G578" s="1"/>
      <c r="H578" s="1"/>
      <c r="I578" s="5"/>
      <c r="J578" s="1"/>
      <c r="K578" s="1"/>
      <c r="L578" s="1"/>
      <c r="M578" s="1"/>
      <c r="O578" s="16"/>
      <c r="P578" s="1"/>
    </row>
    <row r="579" spans="1:16">
      <c r="A579" s="6"/>
      <c r="B579" s="7"/>
      <c r="C579" s="6"/>
      <c r="D579" s="6"/>
      <c r="E579" s="6"/>
      <c r="F579" s="1"/>
      <c r="G579" s="1"/>
      <c r="H579" s="1"/>
      <c r="I579" s="5"/>
      <c r="J579" s="1"/>
      <c r="K579" s="1"/>
      <c r="L579" s="1"/>
      <c r="M579" s="1"/>
      <c r="O579" s="16"/>
      <c r="P579" s="1"/>
    </row>
    <row r="580" spans="1:16">
      <c r="A580" s="6"/>
      <c r="B580" s="7"/>
      <c r="C580" s="6"/>
      <c r="D580" s="6"/>
      <c r="E580" s="6"/>
      <c r="F580" s="1"/>
      <c r="G580" s="1"/>
      <c r="H580" s="1"/>
      <c r="I580" s="5"/>
      <c r="J580" s="1"/>
      <c r="K580" s="1"/>
      <c r="L580" s="1"/>
      <c r="M580" s="1"/>
      <c r="O580" s="16"/>
      <c r="P580" s="1"/>
    </row>
    <row r="581" spans="1:16">
      <c r="B581" s="7"/>
      <c r="C581" s="6" t="e">
        <f>IF(#REF!="","",VLOOKUP(#REF!,'[1]Ativos Agregados'!#REF!,2,0))</f>
        <v>#REF!</v>
      </c>
      <c r="D581" s="6"/>
      <c r="E581" s="6"/>
      <c r="F581" s="1"/>
      <c r="G581" s="9"/>
      <c r="H581" s="9"/>
      <c r="I581" s="5"/>
      <c r="J581" s="1"/>
      <c r="K581" s="1"/>
      <c r="L581" s="1"/>
      <c r="M581" s="1"/>
      <c r="O581" s="16">
        <f t="shared" ref="O581:O606" si="1">IFERROR(I581-N581,0)</f>
        <v>0</v>
      </c>
      <c r="P581" s="1"/>
    </row>
    <row r="582" spans="1:16">
      <c r="B582" s="7"/>
      <c r="C582" s="59" t="e">
        <f>IF(#REF!="","",VLOOKUP(#REF!,'[1]Ativos Agregados'!#REF!,2,0))</f>
        <v>#REF!</v>
      </c>
      <c r="D582" s="6"/>
      <c r="E582" s="6"/>
      <c r="F582" s="1"/>
      <c r="G582" s="1"/>
      <c r="H582" s="1"/>
      <c r="I582" s="5"/>
      <c r="J582" s="1"/>
      <c r="K582" s="1"/>
      <c r="L582" s="1"/>
      <c r="M582" s="1"/>
      <c r="O582" s="16">
        <f t="shared" si="1"/>
        <v>0</v>
      </c>
      <c r="P582" s="1"/>
    </row>
    <row r="583" spans="1:16">
      <c r="B583" s="7"/>
      <c r="C583" s="59" t="e">
        <f>IF(#REF!="","",VLOOKUP(#REF!,'[1]Ativos Agregados'!#REF!,2,0))</f>
        <v>#REF!</v>
      </c>
      <c r="D583" s="6"/>
      <c r="E583" s="6"/>
      <c r="F583" s="1"/>
      <c r="G583" s="9"/>
      <c r="H583" s="9"/>
      <c r="I583" s="5"/>
      <c r="J583" s="1"/>
      <c r="K583" s="1"/>
      <c r="L583" s="1"/>
      <c r="M583" s="1"/>
      <c r="O583" s="16">
        <f t="shared" si="1"/>
        <v>0</v>
      </c>
      <c r="P583" s="1"/>
    </row>
    <row r="584" spans="1:16">
      <c r="B584" s="7"/>
      <c r="C584" s="59" t="e">
        <f>IF(#REF!="","",VLOOKUP(#REF!,'[1]Ativos Agregados'!#REF!,2,0))</f>
        <v>#REF!</v>
      </c>
      <c r="D584" s="6"/>
      <c r="E584" s="62"/>
      <c r="F584" s="1"/>
      <c r="G584" s="9"/>
      <c r="H584" s="9"/>
      <c r="I584" s="5"/>
      <c r="J584" s="1"/>
      <c r="K584" s="1"/>
      <c r="L584" s="1"/>
      <c r="M584" s="1"/>
      <c r="O584" s="16">
        <f t="shared" si="1"/>
        <v>0</v>
      </c>
      <c r="P584" s="1"/>
    </row>
    <row r="585" spans="1:16">
      <c r="B585" s="7"/>
      <c r="C585" s="59" t="e">
        <f>IF(#REF!="","",VLOOKUP(#REF!,'[1]Ativos Agregados'!#REF!,2,0))</f>
        <v>#REF!</v>
      </c>
      <c r="D585" s="6"/>
      <c r="E585" s="6"/>
      <c r="F585" s="1"/>
      <c r="G585" s="9"/>
      <c r="H585" s="1"/>
      <c r="I585" s="5"/>
      <c r="J585" s="1"/>
      <c r="K585" s="1"/>
      <c r="L585" s="1"/>
      <c r="M585" s="1"/>
      <c r="O585" s="16">
        <f t="shared" si="1"/>
        <v>0</v>
      </c>
      <c r="P585" s="1"/>
    </row>
    <row r="586" spans="1:16">
      <c r="B586" s="7"/>
      <c r="C586" s="59" t="e">
        <f>IF(#REF!="","",VLOOKUP(#REF!,'[1]Ativos Agregados'!#REF!,2,0))</f>
        <v>#REF!</v>
      </c>
      <c r="D586" s="6"/>
      <c r="E586" s="6"/>
      <c r="F586" s="1"/>
      <c r="G586" s="9"/>
      <c r="H586" s="9"/>
      <c r="I586" s="5"/>
      <c r="J586" s="1"/>
      <c r="K586" s="1"/>
      <c r="L586" s="1"/>
      <c r="M586" s="1"/>
      <c r="O586" s="16">
        <f t="shared" si="1"/>
        <v>0</v>
      </c>
      <c r="P586" s="1"/>
    </row>
    <row r="587" spans="1:16">
      <c r="B587" s="7"/>
      <c r="C587" s="59" t="e">
        <f>IF(#REF!="","",VLOOKUP(#REF!,'[1]Ativos Agregados'!#REF!,2,0))</f>
        <v>#REF!</v>
      </c>
      <c r="D587" s="6"/>
      <c r="E587" s="6"/>
      <c r="F587" s="1"/>
      <c r="G587" s="9"/>
      <c r="H587" s="9"/>
      <c r="I587" s="5"/>
      <c r="J587" s="1"/>
      <c r="K587" s="1"/>
      <c r="L587" s="1"/>
      <c r="M587" s="1"/>
      <c r="O587" s="16">
        <f t="shared" si="1"/>
        <v>0</v>
      </c>
      <c r="P587" s="1"/>
    </row>
    <row r="588" spans="1:16">
      <c r="B588" s="7"/>
      <c r="C588" s="59" t="e">
        <f>IF(#REF!="","",VLOOKUP(#REF!,'[1]Ativos Agregados'!#REF!,2,0))</f>
        <v>#REF!</v>
      </c>
      <c r="D588" s="6"/>
      <c r="E588" s="6"/>
      <c r="F588" s="1"/>
      <c r="G588" s="9"/>
      <c r="H588" s="9"/>
      <c r="I588" s="5"/>
      <c r="J588" s="1"/>
      <c r="K588" s="1"/>
      <c r="L588" s="1"/>
      <c r="M588" s="1"/>
      <c r="O588" s="16">
        <f t="shared" si="1"/>
        <v>0</v>
      </c>
      <c r="P588" s="1"/>
    </row>
    <row r="589" spans="1:16">
      <c r="A589" s="63"/>
      <c r="B589" s="9"/>
      <c r="C589" t="e">
        <f>IF(#REF!="","",VLOOKUP(#REF!,'[1]Ativos Agregados'!#REF!,2,0))</f>
        <v>#REF!</v>
      </c>
      <c r="D589" s="1"/>
      <c r="F589" s="1"/>
      <c r="G589" s="9"/>
      <c r="H589" s="9"/>
      <c r="I589" s="5"/>
      <c r="J589" s="1"/>
      <c r="K589" s="1"/>
      <c r="L589" s="1"/>
      <c r="M589" s="1"/>
      <c r="N589" s="145"/>
      <c r="O589" s="16">
        <f t="shared" si="1"/>
        <v>0</v>
      </c>
      <c r="P589" s="1"/>
    </row>
    <row r="590" spans="1:16">
      <c r="B590" s="7"/>
      <c r="C590" s="59" t="e">
        <f>IF(#REF!="","",VLOOKUP(#REF!,'[1]Ativos Agregados'!#REF!,2,0))</f>
        <v>#REF!</v>
      </c>
      <c r="D590" s="6"/>
      <c r="E590" s="64"/>
      <c r="F590" s="1"/>
      <c r="G590" s="9"/>
      <c r="H590" s="9"/>
      <c r="I590" s="5"/>
      <c r="J590" s="1"/>
      <c r="K590" s="1"/>
      <c r="L590" s="1"/>
      <c r="M590" s="1"/>
      <c r="O590" s="16">
        <f t="shared" si="1"/>
        <v>0</v>
      </c>
      <c r="P590" s="1"/>
    </row>
    <row r="591" spans="1:16">
      <c r="B591" s="7"/>
      <c r="C591" s="59" t="e">
        <f>IF(#REF!="","",VLOOKUP(#REF!,'[1]Ativos Agregados'!#REF!,2,0))</f>
        <v>#REF!</v>
      </c>
      <c r="D591" s="6"/>
      <c r="E591" s="6"/>
      <c r="F591" s="1"/>
      <c r="G591" s="9"/>
      <c r="H591" s="9"/>
      <c r="I591" s="5"/>
      <c r="J591" s="1"/>
      <c r="K591" s="1"/>
      <c r="L591" s="1"/>
      <c r="M591" s="1"/>
      <c r="N591" s="145"/>
      <c r="O591" s="16">
        <f t="shared" si="1"/>
        <v>0</v>
      </c>
      <c r="P591" s="1"/>
    </row>
    <row r="592" spans="1:16">
      <c r="A592" s="65"/>
      <c r="B592" s="9"/>
      <c r="C592" t="e">
        <f>IF(#REF!="","",VLOOKUP(#REF!,'[1]Ativos Agregados'!#REF!,2,0))</f>
        <v>#REF!</v>
      </c>
      <c r="D592" s="1"/>
      <c r="F592" s="1"/>
      <c r="G592" s="9"/>
      <c r="H592" s="9"/>
      <c r="I592" s="5"/>
      <c r="J592" s="1"/>
      <c r="K592" s="1"/>
      <c r="L592" s="1"/>
      <c r="M592" s="1"/>
      <c r="N592" s="145"/>
      <c r="O592" s="16">
        <f t="shared" si="1"/>
        <v>0</v>
      </c>
      <c r="P592" s="1"/>
    </row>
    <row r="593" spans="2:16">
      <c r="B593" s="7"/>
      <c r="C593" s="59" t="e">
        <f>IF(#REF!="","",VLOOKUP(#REF!,'[1]Ativos Agregados'!#REF!,2,0))</f>
        <v>#REF!</v>
      </c>
      <c r="D593" s="6"/>
      <c r="E593" s="6"/>
      <c r="F593" s="1"/>
      <c r="G593" s="9"/>
      <c r="H593" s="9"/>
      <c r="I593" s="5"/>
      <c r="J593" s="1"/>
      <c r="K593" s="1"/>
      <c r="L593" s="1"/>
      <c r="M593" s="1"/>
      <c r="O593" s="16">
        <f t="shared" si="1"/>
        <v>0</v>
      </c>
      <c r="P593" s="1"/>
    </row>
    <row r="594" spans="2:16">
      <c r="B594" s="7"/>
      <c r="C594" s="59" t="e">
        <f>IF(#REF!="","",VLOOKUP(#REF!,'[1]Ativos Agregados'!#REF!,2,0))</f>
        <v>#REF!</v>
      </c>
      <c r="D594" s="59"/>
      <c r="E594" s="6"/>
      <c r="F594" s="1"/>
      <c r="G594" s="9"/>
      <c r="H594" s="9"/>
      <c r="I594" s="5"/>
      <c r="J594" s="1"/>
      <c r="K594" s="1"/>
      <c r="L594" s="1"/>
      <c r="M594" s="1"/>
      <c r="O594" s="16">
        <f t="shared" si="1"/>
        <v>0</v>
      </c>
      <c r="P594" s="1"/>
    </row>
    <row r="595" spans="2:16">
      <c r="B595" s="7"/>
      <c r="C595" s="59" t="e">
        <f>IF(#REF!="","",VLOOKUP(#REF!,'[1]Ativos Agregados'!#REF!,2,0))</f>
        <v>#REF!</v>
      </c>
      <c r="D595" s="6"/>
      <c r="E595" s="6"/>
      <c r="F595" s="1"/>
      <c r="G595" s="9"/>
      <c r="H595" s="9"/>
      <c r="I595" s="5"/>
      <c r="J595" s="1"/>
      <c r="K595" s="1"/>
      <c r="L595" s="1"/>
      <c r="M595" s="1"/>
      <c r="O595" s="16">
        <f t="shared" si="1"/>
        <v>0</v>
      </c>
      <c r="P595" s="1"/>
    </row>
    <row r="596" spans="2:16">
      <c r="B596" s="7"/>
      <c r="C596" s="59" t="e">
        <f>IF(#REF!="","",VLOOKUP(#REF!,'[1]Ativos Agregados'!#REF!,2,0))</f>
        <v>#REF!</v>
      </c>
      <c r="D596" s="6"/>
      <c r="E596" s="6"/>
      <c r="F596" s="1"/>
      <c r="G596" s="9"/>
      <c r="H596" s="9"/>
      <c r="I596" s="5"/>
      <c r="J596" s="1"/>
      <c r="K596" s="1"/>
      <c r="L596" s="1"/>
      <c r="M596" s="1"/>
      <c r="O596" s="16">
        <f t="shared" si="1"/>
        <v>0</v>
      </c>
      <c r="P596" s="1"/>
    </row>
    <row r="597" spans="2:16">
      <c r="B597" s="7"/>
      <c r="C597" s="59" t="e">
        <f>IF(#REF!="","",VLOOKUP(#REF!,'[1]Ativos Agregados'!#REF!,2,0))</f>
        <v>#REF!</v>
      </c>
      <c r="D597" s="59"/>
      <c r="E597" s="59"/>
      <c r="F597" s="1"/>
      <c r="G597" s="9"/>
      <c r="H597" s="9"/>
      <c r="I597" s="5"/>
      <c r="J597" s="1"/>
      <c r="K597" s="1"/>
      <c r="L597" s="1"/>
      <c r="M597" s="1"/>
      <c r="O597" s="16">
        <f t="shared" si="1"/>
        <v>0</v>
      </c>
      <c r="P597" s="1"/>
    </row>
    <row r="598" spans="2:16">
      <c r="B598" s="7"/>
      <c r="C598" s="59" t="e">
        <f>IF(#REF!="","",VLOOKUP(#REF!,'[1]Ativos Agregados'!#REF!,2,0))</f>
        <v>#REF!</v>
      </c>
      <c r="D598" s="6"/>
      <c r="E598" s="6"/>
      <c r="F598" s="1"/>
      <c r="G598" s="9"/>
      <c r="H598" s="9"/>
      <c r="I598" s="5"/>
      <c r="J598" s="1"/>
      <c r="K598" s="1"/>
      <c r="L598" s="1"/>
      <c r="M598" s="1"/>
      <c r="O598" s="16">
        <f t="shared" si="1"/>
        <v>0</v>
      </c>
      <c r="P598" s="1"/>
    </row>
    <row r="599" spans="2:16">
      <c r="B599" s="7"/>
      <c r="C599" s="59" t="e">
        <f>IF(#REF!="","",VLOOKUP(#REF!,'[1]Ativos Agregados'!#REF!,2,0))</f>
        <v>#REF!</v>
      </c>
      <c r="D599" s="6"/>
      <c r="E599" s="6"/>
      <c r="F599" s="1"/>
      <c r="G599" s="9"/>
      <c r="H599" s="9"/>
      <c r="I599" s="5"/>
      <c r="J599" s="1"/>
      <c r="K599" s="1"/>
      <c r="L599" s="1"/>
      <c r="M599" s="1"/>
      <c r="O599" s="16">
        <f t="shared" si="1"/>
        <v>0</v>
      </c>
      <c r="P599" s="1"/>
    </row>
    <row r="600" spans="2:16">
      <c r="B600" s="7"/>
      <c r="C600" s="59" t="e">
        <f>IF(#REF!="","",VLOOKUP(#REF!,'[1]Ativos Agregados'!#REF!,2,0))</f>
        <v>#REF!</v>
      </c>
      <c r="D600" s="59"/>
      <c r="E600" s="6"/>
      <c r="F600" s="1"/>
      <c r="G600" s="9"/>
      <c r="H600" s="9"/>
      <c r="I600" s="5"/>
      <c r="J600" s="1"/>
      <c r="K600" s="1"/>
      <c r="L600" s="1"/>
      <c r="M600" s="1"/>
      <c r="O600" s="16">
        <f t="shared" si="1"/>
        <v>0</v>
      </c>
      <c r="P600" s="1"/>
    </row>
    <row r="601" spans="2:16">
      <c r="B601" s="7"/>
      <c r="C601" s="59" t="e">
        <f>IF(#REF!="","",VLOOKUP(#REF!,'[1]Ativos Agregados'!#REF!,2,0))</f>
        <v>#REF!</v>
      </c>
      <c r="D601" s="6"/>
      <c r="E601" s="6"/>
      <c r="F601" s="1"/>
      <c r="G601" s="9"/>
      <c r="H601" s="9"/>
      <c r="I601" s="5"/>
      <c r="J601" s="1"/>
      <c r="K601" s="1"/>
      <c r="L601" s="1"/>
      <c r="M601" s="1"/>
      <c r="O601" s="16">
        <f t="shared" si="1"/>
        <v>0</v>
      </c>
      <c r="P601" s="1"/>
    </row>
    <row r="602" spans="2:16">
      <c r="B602" s="7"/>
      <c r="C602" s="59" t="e">
        <f>IF(#REF!="","",VLOOKUP(#REF!,'[1]Ativos Agregados'!#REF!,2,0))</f>
        <v>#REF!</v>
      </c>
      <c r="D602" s="59"/>
      <c r="E602" s="59"/>
      <c r="F602" s="1"/>
      <c r="G602" s="9"/>
      <c r="H602" s="9"/>
      <c r="I602" s="5"/>
      <c r="J602" s="1"/>
      <c r="K602" s="1"/>
      <c r="L602" s="1"/>
      <c r="M602" s="1"/>
      <c r="O602" s="16">
        <f t="shared" si="1"/>
        <v>0</v>
      </c>
      <c r="P602" s="1"/>
    </row>
    <row r="603" spans="2:16">
      <c r="B603" s="7"/>
      <c r="C603" s="59" t="e">
        <f>IF(#REF!="","",VLOOKUP(#REF!,'[1]Ativos Agregados'!#REF!,2,0))</f>
        <v>#REF!</v>
      </c>
      <c r="D603" s="59"/>
      <c r="E603" s="59"/>
      <c r="F603" s="1"/>
      <c r="G603" s="1"/>
      <c r="H603" s="1"/>
      <c r="I603" s="5"/>
      <c r="J603" s="1"/>
      <c r="K603" s="1"/>
      <c r="L603" s="1"/>
      <c r="M603" s="1"/>
      <c r="O603" s="16">
        <f t="shared" si="1"/>
        <v>0</v>
      </c>
      <c r="P603" s="1"/>
    </row>
    <row r="604" spans="2:16">
      <c r="B604" s="7"/>
      <c r="C604" s="59" t="e">
        <f>IF(#REF!="","",VLOOKUP(#REF!,'[1]Ativos Agregados'!#REF!,2,0))</f>
        <v>#REF!</v>
      </c>
      <c r="D604" s="59"/>
      <c r="E604" s="59"/>
      <c r="F604" s="1"/>
      <c r="G604" s="1"/>
      <c r="H604" s="1"/>
      <c r="I604" s="5"/>
      <c r="J604" s="1"/>
      <c r="K604" s="1"/>
      <c r="L604" s="1"/>
      <c r="M604" s="1"/>
      <c r="O604" s="16">
        <f t="shared" si="1"/>
        <v>0</v>
      </c>
    </row>
    <row r="605" spans="2:16">
      <c r="B605" s="7"/>
      <c r="C605" s="59" t="e">
        <f>IF(#REF!="","",VLOOKUP(#REF!,'[1]Ativos Agregados'!#REF!,2,0))</f>
        <v>#REF!</v>
      </c>
      <c r="D605" s="59"/>
      <c r="E605" s="59"/>
      <c r="F605" s="1"/>
      <c r="G605" s="1"/>
      <c r="H605" s="1"/>
      <c r="I605" s="5"/>
      <c r="J605" s="1"/>
      <c r="K605" s="1"/>
      <c r="L605" s="1"/>
      <c r="M605" s="1"/>
      <c r="O605" s="16">
        <f t="shared" si="1"/>
        <v>0</v>
      </c>
      <c r="P605" s="1"/>
    </row>
    <row r="606" spans="2:16">
      <c r="B606" s="7"/>
      <c r="C606" s="59" t="e">
        <f>IF(#REF!="","",VLOOKUP(#REF!,'[1]Ativos Agregados'!#REF!,2,0))</f>
        <v>#REF!</v>
      </c>
      <c r="D606" s="59"/>
      <c r="E606" s="59"/>
      <c r="F606" s="1"/>
      <c r="G606" s="1"/>
      <c r="H606" s="1"/>
      <c r="I606" s="5"/>
      <c r="J606" s="1"/>
      <c r="K606" s="1"/>
      <c r="L606" s="1"/>
      <c r="M606" s="10"/>
      <c r="O606" s="16">
        <f t="shared" si="1"/>
        <v>0</v>
      </c>
      <c r="P606" s="1"/>
    </row>
    <row r="607" spans="2:16">
      <c r="G607" s="10"/>
      <c r="H607" s="10"/>
    </row>
  </sheetData>
  <conditionalFormatting sqref="A91">
    <cfRule type="cellIs" dxfId="489" priority="327" operator="equal">
      <formula>"CANCELADO"</formula>
    </cfRule>
  </conditionalFormatting>
  <conditionalFormatting sqref="A589">
    <cfRule type="duplicateValues" dxfId="488" priority="339"/>
  </conditionalFormatting>
  <conditionalFormatting sqref="A592">
    <cfRule type="duplicateValues" dxfId="487" priority="338"/>
  </conditionalFormatting>
  <conditionalFormatting sqref="C3">
    <cfRule type="cellIs" dxfId="486" priority="336" operator="equal">
      <formula>"CANCELADO"</formula>
    </cfRule>
  </conditionalFormatting>
  <conditionalFormatting sqref="C26">
    <cfRule type="cellIs" dxfId="485" priority="335" operator="equal">
      <formula>"CANCELADO"</formula>
    </cfRule>
  </conditionalFormatting>
  <conditionalFormatting sqref="C55">
    <cfRule type="cellIs" dxfId="484" priority="333" operator="equal">
      <formula>"CANCELADO"</formula>
    </cfRule>
  </conditionalFormatting>
  <conditionalFormatting sqref="C85">
    <cfRule type="cellIs" dxfId="483" priority="328" operator="equal">
      <formula>"CANCELADO"</formula>
    </cfRule>
  </conditionalFormatting>
  <conditionalFormatting sqref="C386">
    <cfRule type="cellIs" dxfId="482" priority="297" operator="equal">
      <formula>"CANCELADO"</formula>
    </cfRule>
  </conditionalFormatting>
  <conditionalFormatting sqref="C439">
    <cfRule type="cellIs" dxfId="481" priority="134" operator="equal">
      <formula>"LANÇADO"</formula>
    </cfRule>
    <cfRule type="cellIs" dxfId="480" priority="135" operator="equal">
      <formula>"PENDENTE"</formula>
    </cfRule>
  </conditionalFormatting>
  <conditionalFormatting sqref="E379:E416">
    <cfRule type="cellIs" dxfId="479" priority="205" operator="equal">
      <formula>"Interior"</formula>
    </cfRule>
  </conditionalFormatting>
  <conditionalFormatting sqref="E418:E423">
    <cfRule type="cellIs" dxfId="478" priority="185" operator="equal">
      <formula>"Interior"</formula>
    </cfRule>
  </conditionalFormatting>
  <conditionalFormatting sqref="E425:E460">
    <cfRule type="cellIs" dxfId="477" priority="60" operator="equal">
      <formula>"Interior"</formula>
    </cfRule>
  </conditionalFormatting>
  <conditionalFormatting sqref="E462:E469">
    <cfRule type="cellIs" dxfId="476" priority="46" operator="equal">
      <formula>"Interior"</formula>
    </cfRule>
  </conditionalFormatting>
  <conditionalFormatting sqref="E471:E500">
    <cfRule type="cellIs" dxfId="475" priority="10" operator="equal">
      <formula>"Interior"</formula>
    </cfRule>
  </conditionalFormatting>
  <conditionalFormatting sqref="E502:E505">
    <cfRule type="cellIs" dxfId="474" priority="1" operator="equal">
      <formula>"Interior"</formula>
    </cfRule>
  </conditionalFormatting>
  <conditionalFormatting sqref="L3:L380">
    <cfRule type="cellIs" dxfId="473" priority="311" operator="equal">
      <formula>"LANÇADO"</formula>
    </cfRule>
    <cfRule type="cellIs" dxfId="472" priority="312" operator="equal">
      <formula>"PENDENTE"</formula>
    </cfRule>
  </conditionalFormatting>
  <conditionalFormatting sqref="L397:L606">
    <cfRule type="cellIs" dxfId="471" priority="3" operator="equal">
      <formula>"LANÇADO"</formula>
    </cfRule>
    <cfRule type="cellIs" dxfId="470" priority="4" operator="equal">
      <formula>"PENDENTE"</formula>
    </cfRule>
  </conditionalFormatting>
  <conditionalFormatting sqref="L381:M454">
    <cfRule type="cellIs" dxfId="469" priority="83" operator="equal">
      <formula>"LANÇADO"</formula>
    </cfRule>
    <cfRule type="cellIs" dxfId="468" priority="84" operator="equal">
      <formula>"PENDENTE"</formula>
    </cfRule>
  </conditionalFormatting>
  <conditionalFormatting sqref="N386:N389">
    <cfRule type="cellIs" dxfId="467" priority="281" operator="lessThan">
      <formula>0</formula>
    </cfRule>
  </conditionalFormatting>
  <conditionalFormatting sqref="O1:O324 O505:O1048576">
    <cfRule type="cellIs" dxfId="466" priority="342" operator="lessThan">
      <formula>0</formula>
    </cfRule>
  </conditionalFormatting>
  <conditionalFormatting sqref="O3">
    <cfRule type="cellIs" dxfId="465" priority="343" operator="lessThan">
      <formula>0</formula>
    </cfRule>
  </conditionalFormatting>
  <conditionalFormatting sqref="O325:O504">
    <cfRule type="cellIs" dxfId="464" priority="7" operator="lessThan">
      <formula>0</formula>
    </cfRule>
  </conditionalFormatting>
  <dataValidations count="6">
    <dataValidation type="list" allowBlank="1" showInputMessage="1" showErrorMessage="1" sqref="C439 L3:L606" xr:uid="{E0E305A9-59C5-49A2-A4BD-75D75E815420}">
      <formula1>"LANÇADO,PENDENTE"</formula1>
    </dataValidation>
    <dataValidation type="list" allowBlank="1" showInputMessage="1" showErrorMessage="1" sqref="J11:J70 J73:J79 J118:J324" xr:uid="{74679094-B580-497B-A7ED-F594661A196C}">
      <formula1>"PENDENTE,OK"</formula1>
    </dataValidation>
    <dataValidation type="list" allowBlank="1" showInputMessage="1" showErrorMessage="1" sqref="K16:K70 K73:K79 K118:K324" xr:uid="{1FA5770F-71E0-4BA1-8387-81FBBD277CDB}">
      <formula1>"PENDENTE,ANEXADO"</formula1>
    </dataValidation>
    <dataValidation type="list" allowBlank="1" showInputMessage="1" showErrorMessage="1" sqref="J3:J10 J71:J72 J80:J117 J606 J325:J380 J455:J505" xr:uid="{3BE28FA8-24EC-4D74-BBF9-B62A84E0A152}">
      <formula1>"PENDENTE,OK,ISENTO"</formula1>
    </dataValidation>
    <dataValidation type="list" allowBlank="1" showInputMessage="1" showErrorMessage="1" sqref="K3:K15 K71:K72 K80:K117 K325:K380 K606 K455:K505" xr:uid="{F62C46DE-EFAE-4980-90A6-25F104846DDE}">
      <formula1>"PENDENTE,ANEXADO,ISENTO"</formula1>
    </dataValidation>
    <dataValidation allowBlank="1" showInputMessage="1" showErrorMessage="1" sqref="M381:M454 D439" xr:uid="{C2AF1403-D95E-4924-BEA0-409124DB5D5D}"/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98E7-CD01-43E8-AADD-51648C1CF53C}">
  <dimension ref="A1:P605"/>
  <sheetViews>
    <sheetView showGridLines="0" topLeftCell="D1" zoomScale="80" zoomScaleNormal="80" workbookViewId="0">
      <pane ySplit="2" topLeftCell="A247" activePane="bottomLeft" state="frozen"/>
      <selection pane="bottomLeft" activeCell="I284" sqref="I284"/>
    </sheetView>
  </sheetViews>
  <sheetFormatPr defaultRowHeight="15"/>
  <cols>
    <col min="1" max="1" width="16.42578125" style="1" customWidth="1"/>
    <col min="2" max="2" width="13.42578125" customWidth="1"/>
    <col min="3" max="3" width="30.5703125" bestFit="1" customWidth="1"/>
    <col min="4" max="4" width="34.85546875" bestFit="1" customWidth="1"/>
    <col min="5" max="5" width="22" bestFit="1" customWidth="1"/>
    <col min="6" max="6" width="52.85546875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 hidden="1">
      <c r="N1" s="15">
        <f>SUBTOTAL(9,Tabela1389[Match_Planilha])</f>
        <v>0</v>
      </c>
      <c r="O1" s="15">
        <f>SUBTOTAL(9,O3:O604)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116"/>
      <c r="B3" s="7"/>
      <c r="C3" s="148"/>
      <c r="D3" s="140"/>
      <c r="E3" s="157"/>
      <c r="F3" s="1"/>
      <c r="G3" s="9"/>
      <c r="H3" s="9"/>
      <c r="I3" s="5"/>
      <c r="J3" s="1"/>
      <c r="K3" s="1"/>
      <c r="L3" s="1"/>
      <c r="M3" s="10"/>
      <c r="N3" s="5"/>
      <c r="O3" s="16"/>
      <c r="P3" s="1"/>
    </row>
    <row r="4" spans="1:16">
      <c r="A4" s="6"/>
      <c r="B4" s="7"/>
      <c r="C4" s="6"/>
      <c r="D4" s="140"/>
      <c r="E4" s="157"/>
      <c r="F4" s="1"/>
      <c r="G4" s="9"/>
      <c r="H4" s="9"/>
      <c r="I4" s="5"/>
      <c r="J4" s="1"/>
      <c r="K4" s="1"/>
      <c r="L4" s="1"/>
      <c r="M4" s="10"/>
      <c r="N4" s="5"/>
      <c r="O4" s="16"/>
      <c r="P4" s="1"/>
    </row>
    <row r="5" spans="1:16">
      <c r="A5" s="6"/>
      <c r="B5" s="7"/>
      <c r="C5" s="6"/>
      <c r="D5" s="140"/>
      <c r="E5" s="157"/>
      <c r="F5" s="1"/>
      <c r="G5" s="9"/>
      <c r="H5" s="9"/>
      <c r="I5" s="5"/>
      <c r="J5" s="1"/>
      <c r="K5" s="1"/>
      <c r="L5" s="1"/>
      <c r="M5" s="10"/>
      <c r="N5" s="5"/>
      <c r="O5" s="16"/>
      <c r="P5" s="1"/>
    </row>
    <row r="6" spans="1:16">
      <c r="A6" s="6"/>
      <c r="B6" s="7"/>
      <c r="C6" s="6"/>
      <c r="D6" s="140"/>
      <c r="E6" s="157"/>
      <c r="F6" s="1"/>
      <c r="G6" s="9"/>
      <c r="H6" s="9"/>
      <c r="I6" s="5"/>
      <c r="J6" s="1"/>
      <c r="K6" s="1"/>
      <c r="L6" s="1"/>
      <c r="M6" s="10"/>
      <c r="N6" s="5"/>
      <c r="O6" s="16"/>
      <c r="P6" s="1"/>
    </row>
    <row r="7" spans="1:16">
      <c r="A7" s="6"/>
      <c r="B7" s="7"/>
      <c r="C7" s="6"/>
      <c r="D7" s="140"/>
      <c r="E7" s="157"/>
      <c r="F7" s="1"/>
      <c r="G7" s="9"/>
      <c r="H7" s="9"/>
      <c r="I7" s="5"/>
      <c r="J7" s="1"/>
      <c r="K7" s="1"/>
      <c r="L7" s="1"/>
      <c r="M7" s="10"/>
      <c r="N7" s="5"/>
      <c r="O7" s="16"/>
      <c r="P7" s="1"/>
    </row>
    <row r="8" spans="1:16">
      <c r="A8" s="116"/>
      <c r="B8" s="7"/>
      <c r="C8" s="6"/>
      <c r="D8" s="140"/>
      <c r="E8" s="157"/>
      <c r="F8" s="1"/>
      <c r="G8" s="9"/>
      <c r="H8" s="9"/>
      <c r="I8" s="5"/>
      <c r="J8" s="1"/>
      <c r="K8" s="1"/>
      <c r="L8" s="1"/>
      <c r="M8" s="10"/>
      <c r="N8" s="5"/>
      <c r="O8" s="16"/>
      <c r="P8" s="1"/>
    </row>
    <row r="9" spans="1:16">
      <c r="A9" s="6"/>
      <c r="B9" s="7"/>
      <c r="C9" s="6"/>
      <c r="D9" s="158"/>
      <c r="E9" s="157"/>
      <c r="F9" s="1"/>
      <c r="G9" s="9"/>
      <c r="H9" s="9"/>
      <c r="I9" s="5"/>
      <c r="J9" s="1"/>
      <c r="K9" s="1"/>
      <c r="L9" s="1"/>
      <c r="M9" s="10"/>
      <c r="N9" s="5"/>
      <c r="O9" s="16"/>
      <c r="P9" s="1"/>
    </row>
    <row r="10" spans="1:16">
      <c r="A10" s="6"/>
      <c r="B10" s="7"/>
      <c r="C10" s="6"/>
      <c r="D10" s="140"/>
      <c r="E10" s="157"/>
      <c r="F10" s="1"/>
      <c r="G10" s="9"/>
      <c r="H10" s="9"/>
      <c r="I10" s="5"/>
      <c r="J10" s="1"/>
      <c r="K10" s="1"/>
      <c r="L10" s="1"/>
      <c r="M10" s="10"/>
      <c r="N10" s="5"/>
      <c r="O10" s="16"/>
      <c r="P10" s="1"/>
    </row>
    <row r="11" spans="1:16">
      <c r="A11" s="6"/>
      <c r="B11" s="7"/>
      <c r="C11" s="6"/>
      <c r="D11" s="140"/>
      <c r="E11" s="157"/>
      <c r="F11" s="1"/>
      <c r="G11" s="9"/>
      <c r="H11" s="9"/>
      <c r="I11" s="5"/>
      <c r="J11" s="1"/>
      <c r="K11" s="1"/>
      <c r="L11" s="1"/>
      <c r="M11" s="10"/>
      <c r="N11" s="5"/>
      <c r="O11" s="16"/>
      <c r="P11" s="1"/>
    </row>
    <row r="12" spans="1:16">
      <c r="A12" s="6"/>
      <c r="B12" s="7"/>
      <c r="C12" s="6"/>
      <c r="D12" s="140"/>
      <c r="E12" s="157"/>
      <c r="F12" s="1"/>
      <c r="G12" s="9"/>
      <c r="H12" s="9"/>
      <c r="I12" s="5"/>
      <c r="J12" s="1"/>
      <c r="K12" s="1"/>
      <c r="L12" s="1"/>
      <c r="M12" s="10"/>
      <c r="N12" s="5"/>
      <c r="O12" s="16"/>
      <c r="P12" s="1"/>
    </row>
    <row r="13" spans="1:16">
      <c r="A13" s="6"/>
      <c r="B13" s="7"/>
      <c r="C13" s="6"/>
      <c r="D13" s="140"/>
      <c r="E13" s="157"/>
      <c r="F13" s="1"/>
      <c r="G13" s="9"/>
      <c r="H13" s="9"/>
      <c r="I13" s="5"/>
      <c r="J13" s="1"/>
      <c r="K13" s="1"/>
      <c r="L13" s="1"/>
      <c r="M13" s="10"/>
      <c r="N13" s="5"/>
      <c r="O13" s="16"/>
      <c r="P13" s="1"/>
    </row>
    <row r="14" spans="1:16">
      <c r="A14" s="6"/>
      <c r="B14" s="7"/>
      <c r="C14" s="6"/>
      <c r="D14" s="140"/>
      <c r="E14" s="157"/>
      <c r="F14" s="1"/>
      <c r="G14" s="9"/>
      <c r="H14" s="9"/>
      <c r="I14" s="5"/>
      <c r="J14" s="1"/>
      <c r="K14" s="1"/>
      <c r="L14" s="1"/>
      <c r="M14" s="10"/>
      <c r="N14" s="5"/>
      <c r="O14" s="16"/>
      <c r="P14" s="1"/>
    </row>
    <row r="15" spans="1:16">
      <c r="A15" s="6"/>
      <c r="B15" s="161"/>
      <c r="C15" s="6"/>
      <c r="D15" s="140"/>
      <c r="E15" s="157"/>
      <c r="F15" s="1"/>
      <c r="G15" s="9"/>
      <c r="H15" s="9"/>
      <c r="I15" s="5"/>
      <c r="J15" s="1"/>
      <c r="K15" s="1"/>
      <c r="L15" s="1"/>
      <c r="M15" s="10"/>
      <c r="N15" s="5"/>
      <c r="O15" s="16"/>
      <c r="P15" s="1"/>
    </row>
    <row r="16" spans="1:16">
      <c r="A16" s="6"/>
      <c r="B16" s="161"/>
      <c r="C16" s="6"/>
      <c r="D16" s="140"/>
      <c r="E16" s="157"/>
      <c r="F16" s="1"/>
      <c r="G16" s="9"/>
      <c r="H16" s="9"/>
      <c r="I16" s="5"/>
      <c r="J16" s="1"/>
      <c r="K16" s="1"/>
      <c r="L16" s="1"/>
      <c r="M16" s="10"/>
      <c r="N16" s="5"/>
      <c r="O16" s="16"/>
      <c r="P16" s="1"/>
    </row>
    <row r="17" spans="1:16">
      <c r="A17" s="6"/>
      <c r="B17" s="7"/>
      <c r="C17" s="6"/>
      <c r="D17" s="140"/>
      <c r="E17" s="157"/>
      <c r="F17" s="1"/>
      <c r="G17" s="9"/>
      <c r="H17" s="9"/>
      <c r="I17" s="5"/>
      <c r="J17" s="1"/>
      <c r="K17" s="1"/>
      <c r="L17" s="1"/>
      <c r="M17" s="10"/>
      <c r="N17" s="5"/>
      <c r="O17" s="16"/>
      <c r="P17" s="1"/>
    </row>
    <row r="18" spans="1:16">
      <c r="A18" s="6"/>
      <c r="B18" s="161"/>
      <c r="C18" s="6"/>
      <c r="D18" s="140"/>
      <c r="E18" s="157"/>
      <c r="F18" s="1"/>
      <c r="G18" s="9"/>
      <c r="H18" s="9"/>
      <c r="I18" s="5"/>
      <c r="J18" s="1"/>
      <c r="K18" s="1"/>
      <c r="L18" s="1"/>
      <c r="M18" s="10"/>
      <c r="N18" s="5"/>
      <c r="O18" s="16"/>
      <c r="P18" s="1"/>
    </row>
    <row r="19" spans="1:16">
      <c r="A19" s="6"/>
      <c r="B19" s="161"/>
      <c r="C19" s="6"/>
      <c r="D19" s="140"/>
      <c r="E19" s="157"/>
      <c r="F19" s="1"/>
      <c r="G19" s="9"/>
      <c r="H19" s="9"/>
      <c r="I19" s="5"/>
      <c r="J19" s="1"/>
      <c r="K19" s="1"/>
      <c r="L19" s="1"/>
      <c r="M19" s="10"/>
      <c r="N19" s="5"/>
      <c r="O19" s="16"/>
      <c r="P19" s="1"/>
    </row>
    <row r="20" spans="1:16">
      <c r="A20" s="6"/>
      <c r="B20" s="161"/>
      <c r="C20" s="6"/>
      <c r="D20" s="140"/>
      <c r="E20" s="157"/>
      <c r="F20" s="1"/>
      <c r="G20" s="9"/>
      <c r="H20" s="9"/>
      <c r="I20" s="5"/>
      <c r="J20" s="1"/>
      <c r="K20" s="1"/>
      <c r="L20" s="1"/>
      <c r="M20" s="10"/>
      <c r="N20" s="5"/>
      <c r="O20" s="16"/>
      <c r="P20" s="1"/>
    </row>
    <row r="21" spans="1:16">
      <c r="A21" s="6"/>
      <c r="B21" s="7"/>
      <c r="C21" s="6"/>
      <c r="D21" s="140"/>
      <c r="E21" s="157"/>
      <c r="F21" s="1"/>
      <c r="G21" s="9"/>
      <c r="H21" s="9"/>
      <c r="I21" s="5"/>
      <c r="J21" s="1"/>
      <c r="K21" s="1"/>
      <c r="L21" s="1"/>
      <c r="M21" s="10"/>
      <c r="N21" s="5"/>
      <c r="O21" s="16"/>
      <c r="P21" s="1"/>
    </row>
    <row r="22" spans="1:16">
      <c r="A22" s="6"/>
      <c r="B22" s="161"/>
      <c r="C22" s="6"/>
      <c r="D22" s="140"/>
      <c r="E22" s="157"/>
      <c r="F22" s="1"/>
      <c r="G22" s="9"/>
      <c r="H22" s="9"/>
      <c r="I22" s="5"/>
      <c r="J22" s="1"/>
      <c r="K22" s="1"/>
      <c r="L22" s="1"/>
      <c r="M22" s="10"/>
      <c r="N22" s="5"/>
      <c r="O22" s="16"/>
      <c r="P22" s="1"/>
    </row>
    <row r="23" spans="1:16">
      <c r="A23" s="6"/>
      <c r="B23" s="161"/>
      <c r="C23" s="6"/>
      <c r="D23" s="140"/>
      <c r="E23" s="157"/>
      <c r="F23" s="1"/>
      <c r="G23" s="9"/>
      <c r="H23" s="9"/>
      <c r="I23" s="5"/>
      <c r="J23" s="1"/>
      <c r="K23" s="1"/>
      <c r="L23" s="1"/>
      <c r="M23" s="10"/>
      <c r="N23" s="5"/>
      <c r="O23" s="16"/>
      <c r="P23" s="1"/>
    </row>
    <row r="24" spans="1:16">
      <c r="A24" s="6"/>
      <c r="B24" s="161"/>
      <c r="C24" s="6"/>
      <c r="D24" s="140"/>
      <c r="E24" s="157"/>
      <c r="F24" s="1"/>
      <c r="G24" s="9"/>
      <c r="H24" s="9"/>
      <c r="I24" s="5"/>
      <c r="J24" s="1"/>
      <c r="K24" s="1"/>
      <c r="L24" s="1"/>
      <c r="M24" s="10"/>
      <c r="N24" s="5"/>
      <c r="O24" s="16"/>
      <c r="P24" s="1"/>
    </row>
    <row r="25" spans="1:16">
      <c r="A25" s="6"/>
      <c r="B25" s="7"/>
      <c r="C25" s="6"/>
      <c r="D25" s="140"/>
      <c r="E25" s="157"/>
      <c r="F25" s="1"/>
      <c r="G25" s="9"/>
      <c r="H25" s="9"/>
      <c r="I25" s="5"/>
      <c r="J25" s="1"/>
      <c r="K25" s="1"/>
      <c r="L25" s="1"/>
      <c r="M25" s="10"/>
      <c r="N25" s="5"/>
      <c r="O25" s="16"/>
      <c r="P25" s="1"/>
    </row>
    <row r="26" spans="1:16">
      <c r="A26" s="6"/>
      <c r="B26" s="7"/>
      <c r="C26" s="122"/>
      <c r="D26" s="162"/>
      <c r="E26" s="163"/>
      <c r="F26" s="1"/>
      <c r="G26" s="9"/>
      <c r="H26" s="9"/>
      <c r="I26" s="5"/>
      <c r="J26" s="1"/>
      <c r="K26" s="1"/>
      <c r="L26" s="1"/>
      <c r="M26" s="10"/>
      <c r="N26" s="5"/>
      <c r="O26" s="16"/>
      <c r="P26" s="1"/>
    </row>
    <row r="27" spans="1:16">
      <c r="A27" s="6"/>
      <c r="B27" s="7"/>
      <c r="C27" s="6"/>
      <c r="D27" s="140"/>
      <c r="E27" s="157"/>
      <c r="F27" s="1"/>
      <c r="G27" s="9"/>
      <c r="H27" s="9"/>
      <c r="I27" s="5"/>
      <c r="J27" s="1"/>
      <c r="K27" s="1"/>
      <c r="L27" s="1"/>
      <c r="M27" s="10"/>
      <c r="N27" s="5"/>
      <c r="O27" s="16"/>
      <c r="P27" s="1"/>
    </row>
    <row r="28" spans="1:16">
      <c r="A28" s="6"/>
      <c r="B28" s="7"/>
      <c r="C28" s="6"/>
      <c r="D28" s="140"/>
      <c r="E28" s="157"/>
      <c r="F28" s="1"/>
      <c r="G28" s="9"/>
      <c r="H28" s="9"/>
      <c r="I28" s="5"/>
      <c r="J28" s="1"/>
      <c r="K28" s="1"/>
      <c r="L28" s="1"/>
      <c r="M28" s="10"/>
      <c r="N28" s="5"/>
      <c r="O28" s="16"/>
      <c r="P28" s="1"/>
    </row>
    <row r="29" spans="1:16">
      <c r="A29" s="6"/>
      <c r="B29" s="7"/>
      <c r="C29" s="6"/>
      <c r="D29" s="140"/>
      <c r="E29" s="157"/>
      <c r="F29" s="1"/>
      <c r="G29" s="9"/>
      <c r="H29" s="9"/>
      <c r="I29" s="5"/>
      <c r="J29" s="1"/>
      <c r="K29" s="1"/>
      <c r="L29" s="1"/>
      <c r="M29" s="10"/>
      <c r="N29" s="5"/>
      <c r="O29" s="16"/>
      <c r="P29" s="1"/>
    </row>
    <row r="30" spans="1:16">
      <c r="A30" s="6"/>
      <c r="B30" s="7"/>
      <c r="C30" s="6"/>
      <c r="D30" s="140"/>
      <c r="E30" s="157"/>
      <c r="F30" s="1"/>
      <c r="G30" s="9"/>
      <c r="H30" s="9"/>
      <c r="I30" s="5"/>
      <c r="J30" s="1"/>
      <c r="K30" s="1"/>
      <c r="L30" s="1"/>
      <c r="M30" s="10"/>
      <c r="N30" s="5"/>
      <c r="O30" s="16"/>
      <c r="P30" s="1"/>
    </row>
    <row r="31" spans="1:16">
      <c r="A31" s="6"/>
      <c r="B31" s="7"/>
      <c r="C31" s="6"/>
      <c r="D31" s="140"/>
      <c r="E31" s="157"/>
      <c r="F31" s="1"/>
      <c r="G31" s="9"/>
      <c r="H31" s="9"/>
      <c r="I31" s="5"/>
      <c r="J31" s="1"/>
      <c r="K31" s="1"/>
      <c r="L31" s="1"/>
      <c r="M31" s="10"/>
      <c r="N31" s="5"/>
      <c r="O31" s="16"/>
      <c r="P31" s="1"/>
    </row>
    <row r="32" spans="1:16">
      <c r="A32" s="6"/>
      <c r="B32" s="7"/>
      <c r="C32" s="6"/>
      <c r="D32" s="158"/>
      <c r="E32" s="157"/>
      <c r="F32" s="1"/>
      <c r="G32" s="9"/>
      <c r="H32" s="9"/>
      <c r="I32" s="5"/>
      <c r="J32" s="1"/>
      <c r="K32" s="1"/>
      <c r="L32" s="1"/>
      <c r="M32" s="10"/>
      <c r="N32" s="5"/>
      <c r="O32" s="16"/>
      <c r="P32" s="1"/>
    </row>
    <row r="33" spans="1:16">
      <c r="A33" s="6"/>
      <c r="B33" s="7"/>
      <c r="C33" s="6"/>
      <c r="D33" s="140"/>
      <c r="E33" s="157"/>
      <c r="F33" s="1"/>
      <c r="G33" s="9"/>
      <c r="H33" s="9"/>
      <c r="I33" s="5"/>
      <c r="J33" s="1"/>
      <c r="K33" s="1"/>
      <c r="L33" s="1"/>
      <c r="M33" s="10"/>
      <c r="N33" s="5"/>
      <c r="O33" s="16"/>
      <c r="P33" s="1"/>
    </row>
    <row r="34" spans="1:16">
      <c r="A34" s="6"/>
      <c r="B34" s="7"/>
      <c r="C34" s="6"/>
      <c r="D34" s="140"/>
      <c r="E34" s="157"/>
      <c r="F34" s="1"/>
      <c r="G34" s="9"/>
      <c r="H34" s="9"/>
      <c r="I34" s="5"/>
      <c r="J34" s="1"/>
      <c r="K34" s="1"/>
      <c r="L34" s="1"/>
      <c r="M34" s="10"/>
      <c r="N34" s="5"/>
      <c r="O34" s="16"/>
      <c r="P34" s="1"/>
    </row>
    <row r="35" spans="1:16">
      <c r="A35" s="6"/>
      <c r="B35" s="7"/>
      <c r="C35" s="6"/>
      <c r="D35" s="140"/>
      <c r="E35" s="157"/>
      <c r="F35" s="1"/>
      <c r="G35" s="9"/>
      <c r="H35" s="9"/>
      <c r="I35" s="5"/>
      <c r="J35" s="1"/>
      <c r="K35" s="1"/>
      <c r="L35" s="1"/>
      <c r="M35" s="10"/>
      <c r="N35" s="5"/>
      <c r="O35" s="16"/>
      <c r="P35" s="1"/>
    </row>
    <row r="36" spans="1:16">
      <c r="A36" s="6"/>
      <c r="B36" s="7"/>
      <c r="C36" s="6"/>
      <c r="D36" s="158"/>
      <c r="E36" s="157"/>
      <c r="F36" s="1"/>
      <c r="G36" s="9"/>
      <c r="H36" s="9"/>
      <c r="I36" s="5"/>
      <c r="J36" s="1"/>
      <c r="K36" s="1"/>
      <c r="L36" s="1"/>
      <c r="M36" s="10"/>
      <c r="N36" s="5"/>
      <c r="O36" s="16"/>
      <c r="P36" s="1"/>
    </row>
    <row r="37" spans="1:16">
      <c r="A37" s="6"/>
      <c r="B37" s="7"/>
      <c r="C37" s="6"/>
      <c r="D37" s="158"/>
      <c r="E37" s="157"/>
      <c r="F37" s="1"/>
      <c r="G37" s="9"/>
      <c r="H37" s="9"/>
      <c r="I37" s="5"/>
      <c r="J37" s="1"/>
      <c r="K37" s="1"/>
      <c r="L37" s="1"/>
      <c r="M37" s="10"/>
      <c r="N37" s="5"/>
      <c r="O37" s="16"/>
      <c r="P37" s="1"/>
    </row>
    <row r="38" spans="1:16">
      <c r="A38" s="6"/>
      <c r="B38" s="7"/>
      <c r="C38" s="6"/>
      <c r="D38" s="140"/>
      <c r="E38" s="157"/>
      <c r="F38" s="1"/>
      <c r="G38" s="9"/>
      <c r="H38" s="9"/>
      <c r="I38" s="5"/>
      <c r="J38" s="1"/>
      <c r="K38" s="1"/>
      <c r="L38" s="1"/>
      <c r="M38" s="10"/>
      <c r="N38" s="5"/>
      <c r="O38" s="16"/>
      <c r="P38" s="1"/>
    </row>
    <row r="39" spans="1:16">
      <c r="A39" s="6"/>
      <c r="B39" s="7"/>
      <c r="C39" s="6"/>
      <c r="D39" s="140"/>
      <c r="E39" s="157"/>
      <c r="F39" s="1"/>
      <c r="G39" s="9"/>
      <c r="H39" s="9"/>
      <c r="I39" s="5"/>
      <c r="J39" s="1"/>
      <c r="K39" s="1"/>
      <c r="L39" s="1"/>
      <c r="M39" s="10"/>
      <c r="N39" s="5"/>
      <c r="O39" s="16"/>
      <c r="P39" s="1"/>
    </row>
    <row r="40" spans="1:16">
      <c r="A40" s="6"/>
      <c r="B40" s="7"/>
      <c r="C40" s="6"/>
      <c r="D40" s="158"/>
      <c r="E40" s="157"/>
      <c r="F40" s="1"/>
      <c r="G40" s="9"/>
      <c r="H40" s="9"/>
      <c r="I40" s="5"/>
      <c r="J40" s="1"/>
      <c r="K40" s="1"/>
      <c r="L40" s="1"/>
      <c r="M40" s="10"/>
      <c r="N40" s="5"/>
      <c r="O40" s="16"/>
      <c r="P40" s="1"/>
    </row>
    <row r="41" spans="1:16">
      <c r="A41" s="6"/>
      <c r="B41" s="7"/>
      <c r="C41" s="6"/>
      <c r="D41" s="158"/>
      <c r="E41" s="157"/>
      <c r="F41" s="1"/>
      <c r="G41" s="9"/>
      <c r="H41" s="9"/>
      <c r="I41" s="5"/>
      <c r="J41" s="1"/>
      <c r="K41" s="1"/>
      <c r="L41" s="1"/>
      <c r="M41" s="10"/>
      <c r="N41" s="5"/>
      <c r="O41" s="16"/>
      <c r="P41" s="1"/>
    </row>
    <row r="42" spans="1:16">
      <c r="A42" s="6"/>
      <c r="B42" s="7"/>
      <c r="C42" s="6"/>
      <c r="D42" s="140"/>
      <c r="E42" s="157"/>
      <c r="F42" s="1"/>
      <c r="G42" s="9"/>
      <c r="H42" s="9"/>
      <c r="I42" s="5"/>
      <c r="J42" s="1"/>
      <c r="K42" s="1"/>
      <c r="L42" s="1"/>
      <c r="M42" s="10"/>
      <c r="N42" s="5"/>
      <c r="O42" s="16"/>
      <c r="P42" s="1"/>
    </row>
    <row r="43" spans="1:16">
      <c r="A43" s="6"/>
      <c r="B43" s="7"/>
      <c r="C43" s="6"/>
      <c r="D43" s="158"/>
      <c r="E43" s="157"/>
      <c r="F43" s="1"/>
      <c r="G43" s="9"/>
      <c r="H43" s="9"/>
      <c r="I43" s="5"/>
      <c r="J43" s="1"/>
      <c r="K43" s="1"/>
      <c r="L43" s="1"/>
      <c r="M43" s="10"/>
      <c r="N43" s="5"/>
      <c r="O43" s="16"/>
      <c r="P43" s="1"/>
    </row>
    <row r="44" spans="1:16">
      <c r="A44" s="6"/>
      <c r="B44" s="7"/>
      <c r="C44" s="6"/>
      <c r="D44" s="158"/>
      <c r="E44" s="157"/>
      <c r="F44" s="1"/>
      <c r="G44" s="9"/>
      <c r="H44" s="9"/>
      <c r="I44" s="5"/>
      <c r="J44" s="1"/>
      <c r="K44" s="1"/>
      <c r="L44" s="1"/>
      <c r="M44" s="10"/>
      <c r="N44" s="5"/>
      <c r="O44" s="16"/>
      <c r="P44" s="1"/>
    </row>
    <row r="45" spans="1:16">
      <c r="A45" s="6"/>
      <c r="B45" s="7"/>
      <c r="C45" s="6"/>
      <c r="D45" s="158"/>
      <c r="E45" s="157"/>
      <c r="F45" s="1"/>
      <c r="G45" s="9"/>
      <c r="H45" s="9"/>
      <c r="I45" s="5"/>
      <c r="J45" s="1"/>
      <c r="K45" s="1"/>
      <c r="L45" s="1"/>
      <c r="M45" s="10"/>
      <c r="N45" s="5"/>
      <c r="O45" s="16"/>
      <c r="P45" s="1"/>
    </row>
    <row r="46" spans="1:16">
      <c r="A46" s="6"/>
      <c r="B46" s="7"/>
      <c r="C46" s="6"/>
      <c r="D46" s="158"/>
      <c r="E46" s="157"/>
      <c r="F46" s="1"/>
      <c r="G46" s="9"/>
      <c r="H46" s="9"/>
      <c r="I46" s="5"/>
      <c r="J46" s="1"/>
      <c r="K46" s="1"/>
      <c r="L46" s="1"/>
      <c r="M46" s="10"/>
      <c r="N46" s="5"/>
      <c r="O46" s="16"/>
      <c r="P46" s="1"/>
    </row>
    <row r="47" spans="1:16">
      <c r="A47" s="6"/>
      <c r="B47" s="7"/>
      <c r="C47" s="6"/>
      <c r="D47" s="158"/>
      <c r="E47" s="157"/>
      <c r="F47" s="1"/>
      <c r="G47" s="9"/>
      <c r="H47" s="9"/>
      <c r="I47" s="5"/>
      <c r="J47" s="1"/>
      <c r="K47" s="1"/>
      <c r="L47" s="1"/>
      <c r="M47" s="10"/>
      <c r="N47" s="5"/>
      <c r="O47" s="16"/>
      <c r="P47" s="1"/>
    </row>
    <row r="48" spans="1:16">
      <c r="A48" s="6"/>
      <c r="B48" s="7"/>
      <c r="C48" s="6"/>
      <c r="D48" s="158"/>
      <c r="E48" s="157"/>
      <c r="F48" s="1"/>
      <c r="G48" s="9"/>
      <c r="H48" s="9"/>
      <c r="I48" s="5"/>
      <c r="J48" s="1"/>
      <c r="K48" s="1"/>
      <c r="L48" s="1"/>
      <c r="M48" s="10"/>
      <c r="N48" s="5"/>
      <c r="O48" s="16"/>
      <c r="P48" s="1"/>
    </row>
    <row r="49" spans="1:16">
      <c r="A49" s="6"/>
      <c r="B49" s="7"/>
      <c r="C49" s="6"/>
      <c r="D49" s="158"/>
      <c r="E49" s="157"/>
      <c r="F49" s="1"/>
      <c r="G49" s="9"/>
      <c r="H49" s="9"/>
      <c r="I49" s="5"/>
      <c r="J49" s="1"/>
      <c r="K49" s="1"/>
      <c r="L49" s="1"/>
      <c r="M49" s="10"/>
      <c r="N49" s="5"/>
      <c r="O49" s="16"/>
      <c r="P49" s="1"/>
    </row>
    <row r="50" spans="1:16">
      <c r="A50" s="6"/>
      <c r="B50" s="7"/>
      <c r="C50" s="6"/>
      <c r="D50" s="140"/>
      <c r="E50" s="157"/>
      <c r="F50" s="1"/>
      <c r="G50" s="9"/>
      <c r="H50" s="9"/>
      <c r="I50" s="5"/>
      <c r="J50" s="1"/>
      <c r="K50" s="1"/>
      <c r="L50" s="1"/>
      <c r="M50" s="10"/>
      <c r="N50" s="5"/>
      <c r="O50" s="16"/>
      <c r="P50" s="1"/>
    </row>
    <row r="51" spans="1:16">
      <c r="A51" s="6"/>
      <c r="B51" s="7"/>
      <c r="C51" s="6"/>
      <c r="D51" s="140"/>
      <c r="E51" s="157"/>
      <c r="F51" s="1"/>
      <c r="G51" s="9"/>
      <c r="H51" s="9"/>
      <c r="I51" s="5"/>
      <c r="J51" s="1"/>
      <c r="K51" s="1"/>
      <c r="L51" s="1"/>
      <c r="M51" s="10"/>
      <c r="N51" s="5"/>
      <c r="O51" s="16"/>
      <c r="P51" s="1"/>
    </row>
    <row r="52" spans="1:16">
      <c r="A52" s="6"/>
      <c r="B52" s="7"/>
      <c r="C52" s="6"/>
      <c r="D52" s="140"/>
      <c r="E52" s="157"/>
      <c r="F52" s="1"/>
      <c r="G52" s="9"/>
      <c r="H52" s="9"/>
      <c r="I52" s="5"/>
      <c r="J52" s="1"/>
      <c r="K52" s="1"/>
      <c r="L52" s="1"/>
      <c r="M52" s="10"/>
      <c r="N52" s="5"/>
      <c r="O52" s="16"/>
      <c r="P52" s="1"/>
    </row>
    <row r="53" spans="1:16">
      <c r="A53" s="6"/>
      <c r="B53" s="7"/>
      <c r="C53" s="6"/>
      <c r="D53" s="140"/>
      <c r="E53" s="157"/>
      <c r="F53" s="1"/>
      <c r="G53" s="9"/>
      <c r="H53" s="9"/>
      <c r="I53" s="5"/>
      <c r="J53" s="1"/>
      <c r="K53" s="1"/>
      <c r="L53" s="1"/>
      <c r="M53" s="10"/>
      <c r="N53" s="5"/>
      <c r="O53" s="16"/>
      <c r="P53" s="1"/>
    </row>
    <row r="54" spans="1:16">
      <c r="A54" s="6"/>
      <c r="B54" s="7"/>
      <c r="C54" s="122"/>
      <c r="D54" s="140"/>
      <c r="E54" s="157"/>
      <c r="F54" s="1"/>
      <c r="G54" s="9"/>
      <c r="H54" s="9"/>
      <c r="I54" s="5"/>
      <c r="J54" s="1"/>
      <c r="K54" s="1"/>
      <c r="L54" s="1"/>
      <c r="M54" s="10"/>
      <c r="N54" s="5"/>
      <c r="O54" s="16"/>
      <c r="P54" s="1"/>
    </row>
    <row r="55" spans="1:16">
      <c r="A55" s="164"/>
      <c r="B55" s="7"/>
      <c r="C55" s="6"/>
      <c r="D55" s="140"/>
      <c r="E55" s="157"/>
      <c r="F55" s="1"/>
      <c r="G55" s="9"/>
      <c r="H55" s="9"/>
      <c r="I55" s="5"/>
      <c r="J55" s="1"/>
      <c r="K55" s="1"/>
      <c r="L55" s="1"/>
      <c r="M55" s="10"/>
      <c r="N55" s="5"/>
      <c r="O55" s="16"/>
      <c r="P55" s="1"/>
    </row>
    <row r="56" spans="1:16">
      <c r="A56" s="6"/>
      <c r="B56" s="7"/>
      <c r="C56" s="6"/>
      <c r="D56" s="158"/>
      <c r="E56" s="157"/>
      <c r="F56" s="1"/>
      <c r="G56" s="9"/>
      <c r="H56" s="9"/>
      <c r="I56" s="5"/>
      <c r="J56" s="1"/>
      <c r="K56" s="1"/>
      <c r="L56" s="1"/>
      <c r="M56" s="10"/>
      <c r="N56" s="5"/>
      <c r="O56" s="16"/>
      <c r="P56" s="1"/>
    </row>
    <row r="57" spans="1:16">
      <c r="A57" s="6"/>
      <c r="B57" s="7"/>
      <c r="C57" s="6"/>
      <c r="D57" s="140"/>
      <c r="E57" s="157"/>
      <c r="F57" s="1"/>
      <c r="G57" s="9"/>
      <c r="H57" s="9"/>
      <c r="I57" s="5"/>
      <c r="J57" s="1"/>
      <c r="K57" s="1"/>
      <c r="L57" s="1"/>
      <c r="M57" s="10"/>
      <c r="N57" s="5"/>
      <c r="O57" s="16"/>
      <c r="P57" s="1"/>
    </row>
    <row r="58" spans="1:16">
      <c r="A58" s="6"/>
      <c r="B58" s="7"/>
      <c r="C58" s="6"/>
      <c r="D58" s="140"/>
      <c r="E58" s="157"/>
      <c r="F58" s="1"/>
      <c r="G58" s="9"/>
      <c r="H58" s="9"/>
      <c r="I58" s="5"/>
      <c r="J58" s="1"/>
      <c r="K58" s="1"/>
      <c r="L58" s="1"/>
      <c r="M58" s="10"/>
      <c r="N58" s="5"/>
      <c r="O58" s="16"/>
      <c r="P58" s="1"/>
    </row>
    <row r="59" spans="1:16">
      <c r="A59" s="6"/>
      <c r="B59" s="7"/>
      <c r="C59" s="6"/>
      <c r="D59" s="140"/>
      <c r="E59" s="157"/>
      <c r="F59" s="1"/>
      <c r="G59" s="9"/>
      <c r="H59" s="9"/>
      <c r="I59" s="5"/>
      <c r="J59" s="1"/>
      <c r="K59" s="1"/>
      <c r="L59" s="1"/>
      <c r="M59" s="10"/>
      <c r="N59" s="5"/>
      <c r="O59" s="16"/>
      <c r="P59" s="1"/>
    </row>
    <row r="60" spans="1:16">
      <c r="A60" s="6"/>
      <c r="B60" s="7"/>
      <c r="C60" s="6"/>
      <c r="D60" s="140"/>
      <c r="E60" s="157"/>
      <c r="F60" s="1"/>
      <c r="G60" s="9"/>
      <c r="H60" s="9"/>
      <c r="I60" s="5"/>
      <c r="J60" s="1"/>
      <c r="K60" s="1"/>
      <c r="L60" s="1"/>
      <c r="M60" s="10"/>
      <c r="N60" s="5"/>
      <c r="O60" s="16"/>
      <c r="P60" s="1"/>
    </row>
    <row r="61" spans="1:16">
      <c r="A61" s="6"/>
      <c r="B61" s="7"/>
      <c r="C61" s="6"/>
      <c r="D61" s="140"/>
      <c r="E61" s="157"/>
      <c r="F61" s="1"/>
      <c r="G61" s="9"/>
      <c r="H61" s="9"/>
      <c r="I61" s="5"/>
      <c r="J61" s="1"/>
      <c r="K61" s="1"/>
      <c r="L61" s="1"/>
      <c r="M61" s="10"/>
      <c r="N61" s="5"/>
      <c r="O61" s="16"/>
      <c r="P61" s="1"/>
    </row>
    <row r="62" spans="1:16">
      <c r="A62" s="6"/>
      <c r="B62" s="7"/>
      <c r="C62" s="6"/>
      <c r="D62" s="140"/>
      <c r="E62" s="157"/>
      <c r="F62" s="1"/>
      <c r="G62" s="9"/>
      <c r="H62" s="9"/>
      <c r="I62" s="5"/>
      <c r="J62" s="1"/>
      <c r="K62" s="1"/>
      <c r="L62" s="1"/>
      <c r="M62" s="10"/>
      <c r="N62" s="5"/>
      <c r="O62" s="16"/>
      <c r="P62" s="1"/>
    </row>
    <row r="63" spans="1:16">
      <c r="A63" s="6"/>
      <c r="B63" s="7"/>
      <c r="C63" s="6"/>
      <c r="D63" s="140"/>
      <c r="E63" s="157"/>
      <c r="F63" s="1"/>
      <c r="G63" s="9"/>
      <c r="H63" s="9"/>
      <c r="I63" s="5"/>
      <c r="J63" s="1"/>
      <c r="K63" s="1"/>
      <c r="L63" s="1"/>
      <c r="M63" s="10"/>
      <c r="N63" s="5"/>
      <c r="O63" s="16"/>
      <c r="P63" s="1"/>
    </row>
    <row r="64" spans="1:16">
      <c r="A64" s="6"/>
      <c r="B64" s="7"/>
      <c r="C64" s="6"/>
      <c r="D64" s="140"/>
      <c r="E64" s="157"/>
      <c r="F64" s="1"/>
      <c r="G64" s="9"/>
      <c r="H64" s="9"/>
      <c r="I64" s="5"/>
      <c r="J64" s="1"/>
      <c r="K64" s="1"/>
      <c r="L64" s="1"/>
      <c r="M64" s="10"/>
      <c r="N64" s="5"/>
      <c r="O64" s="16"/>
      <c r="P64" s="1"/>
    </row>
    <row r="65" spans="1:16">
      <c r="A65" s="6"/>
      <c r="B65" s="7"/>
      <c r="C65" s="6"/>
      <c r="D65" s="158"/>
      <c r="E65" s="157"/>
      <c r="F65" s="1"/>
      <c r="G65" s="9"/>
      <c r="H65" s="9"/>
      <c r="I65" s="5"/>
      <c r="J65" s="1"/>
      <c r="K65" s="1"/>
      <c r="L65" s="1"/>
      <c r="M65" s="10"/>
      <c r="N65" s="5"/>
      <c r="O65" s="16"/>
      <c r="P65" s="1"/>
    </row>
    <row r="66" spans="1:16">
      <c r="A66" s="6"/>
      <c r="B66" s="7"/>
      <c r="C66" s="6"/>
      <c r="D66" s="158"/>
      <c r="E66" s="157"/>
      <c r="F66" s="1"/>
      <c r="G66" s="9"/>
      <c r="H66" s="9"/>
      <c r="I66" s="5"/>
      <c r="J66" s="1"/>
      <c r="K66" s="1"/>
      <c r="L66" s="1"/>
      <c r="M66" s="10"/>
      <c r="N66" s="5"/>
      <c r="O66" s="16"/>
      <c r="P66" s="1"/>
    </row>
    <row r="67" spans="1:16">
      <c r="A67" s="6"/>
      <c r="B67" s="7"/>
      <c r="C67" s="6"/>
      <c r="D67" s="158"/>
      <c r="E67" s="157"/>
      <c r="F67" s="1"/>
      <c r="G67" s="9"/>
      <c r="H67" s="9"/>
      <c r="I67" s="5"/>
      <c r="J67" s="1"/>
      <c r="K67" s="1"/>
      <c r="L67" s="1"/>
      <c r="M67" s="10"/>
      <c r="N67" s="5"/>
      <c r="O67" s="16"/>
      <c r="P67" s="1"/>
    </row>
    <row r="68" spans="1:16">
      <c r="A68" s="6"/>
      <c r="B68" s="7"/>
      <c r="C68" s="6"/>
      <c r="D68" s="140"/>
      <c r="E68" s="157"/>
      <c r="F68" s="1"/>
      <c r="G68" s="9"/>
      <c r="H68" s="9"/>
      <c r="I68" s="5"/>
      <c r="J68" s="1"/>
      <c r="K68" s="1"/>
      <c r="L68" s="1"/>
      <c r="M68" s="10"/>
      <c r="N68" s="5"/>
      <c r="O68" s="16"/>
      <c r="P68" s="1"/>
    </row>
    <row r="69" spans="1:16">
      <c r="A69" s="6"/>
      <c r="B69" s="7"/>
      <c r="C69" s="6"/>
      <c r="D69" s="158"/>
      <c r="E69" s="157"/>
      <c r="F69" s="1"/>
      <c r="G69" s="9"/>
      <c r="H69" s="9"/>
      <c r="I69" s="5"/>
      <c r="J69" s="1"/>
      <c r="K69" s="1"/>
      <c r="L69" s="1"/>
      <c r="M69" s="10"/>
      <c r="N69" s="5"/>
      <c r="O69" s="16"/>
      <c r="P69" s="1"/>
    </row>
    <row r="70" spans="1:16">
      <c r="B70" s="7"/>
      <c r="C70" s="6"/>
      <c r="D70" s="140"/>
      <c r="E70" s="157"/>
      <c r="F70" s="1"/>
      <c r="G70" s="9"/>
      <c r="H70" s="9"/>
      <c r="I70" s="5"/>
      <c r="J70" s="1"/>
      <c r="K70" s="1"/>
      <c r="L70" s="1"/>
      <c r="M70" s="10"/>
      <c r="N70" s="16"/>
      <c r="O70" s="16"/>
      <c r="P70" s="1"/>
    </row>
    <row r="71" spans="1:16">
      <c r="B71" s="7"/>
      <c r="C71" s="6"/>
      <c r="D71" s="140"/>
      <c r="E71" s="157"/>
      <c r="F71" s="1"/>
      <c r="G71" s="9"/>
      <c r="H71" s="9"/>
      <c r="I71" s="5"/>
      <c r="J71" s="1"/>
      <c r="K71" s="1"/>
      <c r="L71" s="1"/>
      <c r="M71" s="10"/>
      <c r="N71" s="16"/>
      <c r="O71" s="16"/>
      <c r="P71" s="1"/>
    </row>
    <row r="72" spans="1:16">
      <c r="A72" s="6"/>
      <c r="B72" s="7"/>
      <c r="C72" s="6"/>
      <c r="D72" s="140"/>
      <c r="E72" s="157"/>
      <c r="F72" s="1"/>
      <c r="G72" s="9"/>
      <c r="H72" s="9"/>
      <c r="I72" s="5"/>
      <c r="J72" s="1"/>
      <c r="K72" s="1"/>
      <c r="L72" s="1"/>
      <c r="M72" s="10"/>
      <c r="N72" s="5"/>
      <c r="O72" s="16"/>
      <c r="P72" s="1"/>
    </row>
    <row r="73" spans="1:16">
      <c r="A73" s="6"/>
      <c r="B73" s="7"/>
      <c r="C73" s="6"/>
      <c r="D73" s="140"/>
      <c r="E73" s="157"/>
      <c r="F73" s="1"/>
      <c r="G73" s="9"/>
      <c r="H73" s="9"/>
      <c r="I73" s="5"/>
      <c r="J73" s="1"/>
      <c r="K73" s="1"/>
      <c r="L73" s="1"/>
      <c r="M73" s="10"/>
      <c r="N73" s="5"/>
      <c r="O73" s="16"/>
      <c r="P73" s="1"/>
    </row>
    <row r="74" spans="1:16">
      <c r="A74" s="6"/>
      <c r="B74" s="7"/>
      <c r="C74" s="6"/>
      <c r="D74" s="140"/>
      <c r="E74" s="157"/>
      <c r="F74" s="1"/>
      <c r="G74" s="9"/>
      <c r="H74" s="9"/>
      <c r="I74" s="5"/>
      <c r="J74" s="1"/>
      <c r="K74" s="1"/>
      <c r="L74" s="1"/>
      <c r="M74" s="10"/>
      <c r="N74" s="5"/>
      <c r="O74" s="16"/>
      <c r="P74" s="1"/>
    </row>
    <row r="75" spans="1:16">
      <c r="A75" s="6"/>
      <c r="B75" s="7"/>
      <c r="C75" s="6"/>
      <c r="D75" s="140"/>
      <c r="E75" s="157"/>
      <c r="F75" s="1"/>
      <c r="G75" s="9"/>
      <c r="H75" s="9"/>
      <c r="I75" s="5"/>
      <c r="J75" s="1"/>
      <c r="K75" s="1"/>
      <c r="L75" s="1"/>
      <c r="M75" s="10"/>
      <c r="N75" s="5"/>
      <c r="O75" s="16"/>
      <c r="P75" s="1"/>
    </row>
    <row r="76" spans="1:16">
      <c r="A76" s="6"/>
      <c r="B76" s="7"/>
      <c r="C76" s="6"/>
      <c r="D76" s="140"/>
      <c r="E76" s="157"/>
      <c r="F76" s="1"/>
      <c r="G76" s="9"/>
      <c r="H76" s="9"/>
      <c r="I76" s="5"/>
      <c r="J76" s="1"/>
      <c r="K76" s="1"/>
      <c r="L76" s="1"/>
      <c r="M76" s="10"/>
      <c r="N76" s="5"/>
      <c r="O76" s="16"/>
      <c r="P76" s="1"/>
    </row>
    <row r="77" spans="1:16">
      <c r="A77" s="6"/>
      <c r="B77" s="7"/>
      <c r="C77" s="148"/>
      <c r="D77" s="140"/>
      <c r="E77" s="157"/>
      <c r="F77" s="1"/>
      <c r="G77" s="9"/>
      <c r="H77" s="9"/>
      <c r="I77" s="5"/>
      <c r="J77" s="1"/>
      <c r="K77" s="1"/>
      <c r="L77" s="1"/>
      <c r="M77" s="10"/>
      <c r="N77" s="5"/>
      <c r="O77" s="16"/>
      <c r="P77" s="1"/>
    </row>
    <row r="78" spans="1:16">
      <c r="A78" s="6"/>
      <c r="B78" s="7"/>
      <c r="C78" s="6"/>
      <c r="D78" s="140"/>
      <c r="E78" s="157"/>
      <c r="F78" s="1"/>
      <c r="G78" s="9"/>
      <c r="H78" s="9"/>
      <c r="I78" s="5"/>
      <c r="J78" s="1"/>
      <c r="K78" s="1"/>
      <c r="L78" s="1"/>
      <c r="M78" s="10"/>
      <c r="N78" s="145"/>
      <c r="O78" s="16"/>
      <c r="P78" s="1"/>
    </row>
    <row r="79" spans="1:16">
      <c r="B79" s="7"/>
      <c r="C79" s="6"/>
      <c r="D79" s="140"/>
      <c r="E79" s="157"/>
      <c r="F79" s="1"/>
      <c r="G79" s="9"/>
      <c r="H79" s="9"/>
      <c r="I79" s="5"/>
      <c r="J79" s="1"/>
      <c r="K79" s="1"/>
      <c r="L79" s="1"/>
      <c r="M79" s="10"/>
      <c r="N79" s="146"/>
      <c r="O79" s="16"/>
      <c r="P79" s="1"/>
    </row>
    <row r="80" spans="1:16">
      <c r="A80" s="6"/>
      <c r="B80" s="7"/>
      <c r="C80" s="6"/>
      <c r="D80" s="140"/>
      <c r="E80" s="157"/>
      <c r="F80" s="1"/>
      <c r="G80" s="9"/>
      <c r="H80" s="9"/>
      <c r="I80" s="5"/>
      <c r="J80" s="1"/>
      <c r="K80" s="1"/>
      <c r="L80" s="1"/>
      <c r="M80" s="10"/>
      <c r="N80" s="145"/>
      <c r="O80" s="16"/>
      <c r="P80" s="1"/>
    </row>
    <row r="81" spans="1:16">
      <c r="A81" s="6"/>
      <c r="B81" s="7"/>
      <c r="C81" s="6"/>
      <c r="D81" s="140"/>
      <c r="E81" s="157"/>
      <c r="F81" s="1"/>
      <c r="G81" s="9"/>
      <c r="H81" s="9"/>
      <c r="I81" s="5"/>
      <c r="J81" s="1"/>
      <c r="K81" s="1"/>
      <c r="L81" s="1"/>
      <c r="M81" s="10"/>
      <c r="N81" s="5"/>
      <c r="O81" s="16"/>
      <c r="P81" s="1"/>
    </row>
    <row r="82" spans="1:16">
      <c r="A82" s="6"/>
      <c r="B82" s="7"/>
      <c r="C82" s="6"/>
      <c r="D82" s="140"/>
      <c r="E82" s="157"/>
      <c r="F82" s="1"/>
      <c r="G82" s="9"/>
      <c r="H82" s="9"/>
      <c r="I82" s="5"/>
      <c r="J82" s="1"/>
      <c r="K82" s="1"/>
      <c r="L82" s="1"/>
      <c r="M82" s="10"/>
      <c r="N82" s="5"/>
      <c r="O82" s="16"/>
      <c r="P82" s="1"/>
    </row>
    <row r="83" spans="1:16">
      <c r="A83" s="6"/>
      <c r="B83" s="7"/>
      <c r="C83" s="6"/>
      <c r="D83" s="140"/>
      <c r="E83" s="157"/>
      <c r="F83" s="1"/>
      <c r="G83" s="9"/>
      <c r="H83" s="9"/>
      <c r="I83" s="5"/>
      <c r="J83" s="1"/>
      <c r="K83" s="1"/>
      <c r="L83" s="1"/>
      <c r="M83" s="10"/>
      <c r="N83" s="5"/>
      <c r="O83" s="16"/>
      <c r="P83" s="1"/>
    </row>
    <row r="84" spans="1:16">
      <c r="A84" s="6"/>
      <c r="B84" s="7"/>
      <c r="C84" s="122"/>
      <c r="D84" s="140"/>
      <c r="E84" s="157"/>
      <c r="F84" s="1"/>
      <c r="G84" s="9"/>
      <c r="H84" s="9"/>
      <c r="I84" s="5"/>
      <c r="J84" s="1"/>
      <c r="K84" s="1"/>
      <c r="L84" s="1"/>
      <c r="M84" s="10"/>
      <c r="N84" s="5"/>
      <c r="O84" s="16"/>
      <c r="P84" s="1"/>
    </row>
    <row r="85" spans="1:16">
      <c r="A85" s="6"/>
      <c r="B85" s="7"/>
      <c r="C85" s="6"/>
      <c r="D85" s="140"/>
      <c r="E85" s="157"/>
      <c r="F85" s="1"/>
      <c r="G85" s="9"/>
      <c r="H85" s="9"/>
      <c r="I85" s="5"/>
      <c r="J85" s="1"/>
      <c r="K85" s="1"/>
      <c r="L85" s="1"/>
      <c r="M85" s="10"/>
      <c r="N85" s="5"/>
      <c r="O85" s="16"/>
      <c r="P85" s="1"/>
    </row>
    <row r="86" spans="1:16">
      <c r="A86" s="6"/>
      <c r="B86" s="7"/>
      <c r="C86" s="6"/>
      <c r="D86" s="140"/>
      <c r="E86" s="157"/>
      <c r="F86" s="1"/>
      <c r="G86" s="9"/>
      <c r="H86" s="9"/>
      <c r="I86" s="5"/>
      <c r="J86" s="1"/>
      <c r="K86" s="1"/>
      <c r="L86" s="1"/>
      <c r="M86" s="10"/>
      <c r="N86" s="5"/>
      <c r="O86" s="16"/>
      <c r="P86" s="1"/>
    </row>
    <row r="87" spans="1:16">
      <c r="A87" s="6"/>
      <c r="B87" s="7"/>
      <c r="C87" s="6"/>
      <c r="D87" s="165"/>
      <c r="E87" s="157"/>
      <c r="F87" s="1"/>
      <c r="G87" s="9"/>
      <c r="H87" s="9"/>
      <c r="I87" s="5"/>
      <c r="J87" s="1"/>
      <c r="K87" s="1"/>
      <c r="L87" s="1"/>
      <c r="M87" s="10"/>
      <c r="N87" s="5"/>
      <c r="O87" s="16"/>
      <c r="P87" s="1"/>
    </row>
    <row r="88" spans="1:16">
      <c r="A88" s="6"/>
      <c r="B88" s="7"/>
      <c r="C88" s="6"/>
      <c r="D88" s="158"/>
      <c r="E88" s="157"/>
      <c r="F88" s="1"/>
      <c r="G88" s="9"/>
      <c r="H88" s="9"/>
      <c r="I88" s="5"/>
      <c r="J88" s="1"/>
      <c r="K88" s="1"/>
      <c r="L88" s="1"/>
      <c r="M88" s="10"/>
      <c r="N88" s="5"/>
      <c r="O88" s="16"/>
      <c r="P88" s="1"/>
    </row>
    <row r="89" spans="1:16">
      <c r="A89" s="6"/>
      <c r="B89" s="7"/>
      <c r="C89" s="6"/>
      <c r="D89" s="140"/>
      <c r="E89" s="157"/>
      <c r="F89" s="1"/>
      <c r="G89" s="9"/>
      <c r="H89" s="9"/>
      <c r="I89" s="5"/>
      <c r="J89" s="1"/>
      <c r="K89" s="1"/>
      <c r="L89" s="1"/>
      <c r="M89" s="10"/>
      <c r="N89" s="5"/>
      <c r="O89" s="16"/>
      <c r="P89" s="1"/>
    </row>
    <row r="90" spans="1:16">
      <c r="A90" s="122"/>
      <c r="B90" s="7"/>
      <c r="C90" s="6"/>
      <c r="D90" s="165"/>
      <c r="E90" s="157"/>
      <c r="F90" s="1"/>
      <c r="G90" s="9"/>
      <c r="H90" s="9"/>
      <c r="I90" s="5"/>
      <c r="J90" s="1"/>
      <c r="K90" s="1"/>
      <c r="L90" s="1"/>
      <c r="M90" s="10"/>
      <c r="N90" s="5"/>
      <c r="O90" s="16"/>
      <c r="P90" s="1"/>
    </row>
    <row r="91" spans="1:16">
      <c r="A91" s="6"/>
      <c r="B91" s="7"/>
      <c r="C91" s="6"/>
      <c r="D91" s="140"/>
      <c r="E91" s="157"/>
      <c r="F91" s="1"/>
      <c r="G91" s="9"/>
      <c r="H91" s="9"/>
      <c r="I91" s="5"/>
      <c r="J91" s="1"/>
      <c r="K91" s="1"/>
      <c r="L91" s="1"/>
      <c r="M91" s="10"/>
      <c r="N91" s="5"/>
      <c r="O91" s="16"/>
      <c r="P91" s="1"/>
    </row>
    <row r="92" spans="1:16">
      <c r="A92" s="6"/>
      <c r="B92" s="7"/>
      <c r="C92" s="6"/>
      <c r="D92" s="165"/>
      <c r="E92" s="157"/>
      <c r="F92" s="1"/>
      <c r="G92" s="9"/>
      <c r="H92" s="9"/>
      <c r="I92" s="5"/>
      <c r="J92" s="1"/>
      <c r="K92" s="1"/>
      <c r="L92" s="1"/>
      <c r="M92" s="10"/>
      <c r="N92" s="5"/>
      <c r="O92" s="16"/>
      <c r="P92" s="1"/>
    </row>
    <row r="93" spans="1:16">
      <c r="A93" s="6"/>
      <c r="B93" s="7"/>
      <c r="C93" s="6"/>
      <c r="D93" s="165"/>
      <c r="E93" s="157"/>
      <c r="F93" s="1"/>
      <c r="G93" s="9"/>
      <c r="H93" s="9"/>
      <c r="I93" s="5"/>
      <c r="J93" s="1"/>
      <c r="K93" s="1"/>
      <c r="L93" s="1"/>
      <c r="M93" s="10"/>
      <c r="N93" s="5"/>
      <c r="O93" s="16"/>
      <c r="P93" s="1"/>
    </row>
    <row r="94" spans="1:16">
      <c r="A94" s="6"/>
      <c r="B94" s="7"/>
      <c r="C94" s="6"/>
      <c r="D94" s="165"/>
      <c r="E94" s="157"/>
      <c r="F94" s="124"/>
      <c r="G94" s="9"/>
      <c r="H94" s="9"/>
      <c r="I94" s="5"/>
      <c r="J94" s="1"/>
      <c r="K94" s="1"/>
      <c r="L94" s="1"/>
      <c r="M94" s="10"/>
      <c r="N94" s="5"/>
      <c r="O94" s="16"/>
      <c r="P94" s="1"/>
    </row>
    <row r="95" spans="1:16">
      <c r="A95" s="6"/>
      <c r="B95" s="7"/>
      <c r="C95" s="6"/>
      <c r="D95" s="140"/>
      <c r="E95" s="157"/>
      <c r="F95" s="1"/>
      <c r="G95" s="9"/>
      <c r="H95" s="9"/>
      <c r="I95" s="5"/>
      <c r="J95" s="1"/>
      <c r="K95" s="1"/>
      <c r="L95" s="1"/>
      <c r="M95" s="10"/>
      <c r="N95" s="5"/>
      <c r="O95" s="16"/>
      <c r="P95" s="1"/>
    </row>
    <row r="96" spans="1:16">
      <c r="A96" s="6"/>
      <c r="B96" s="7"/>
      <c r="C96" s="6"/>
      <c r="D96" s="140"/>
      <c r="E96" s="157"/>
      <c r="F96" s="1"/>
      <c r="G96" s="9"/>
      <c r="H96" s="9"/>
      <c r="I96" s="5"/>
      <c r="J96" s="1"/>
      <c r="K96" s="1"/>
      <c r="L96" s="1"/>
      <c r="M96" s="10"/>
      <c r="N96" s="5"/>
      <c r="O96" s="16"/>
      <c r="P96" s="1"/>
    </row>
    <row r="97" spans="1:16">
      <c r="A97" s="6"/>
      <c r="B97" s="7"/>
      <c r="C97" s="6"/>
      <c r="D97" s="165"/>
      <c r="E97" s="157"/>
      <c r="F97" s="1"/>
      <c r="G97" s="9"/>
      <c r="H97" s="9"/>
      <c r="I97" s="5"/>
      <c r="J97" s="1"/>
      <c r="K97" s="1"/>
      <c r="L97" s="1"/>
      <c r="M97" s="10"/>
      <c r="N97" s="5"/>
      <c r="O97" s="16"/>
      <c r="P97" s="1"/>
    </row>
    <row r="98" spans="1:16">
      <c r="A98" s="6"/>
      <c r="B98" s="7"/>
      <c r="C98" s="6"/>
      <c r="D98" s="165"/>
      <c r="E98" s="157"/>
      <c r="F98" s="1"/>
      <c r="G98" s="9"/>
      <c r="H98" s="9"/>
      <c r="I98" s="5"/>
      <c r="J98" s="1"/>
      <c r="K98" s="1"/>
      <c r="L98" s="1"/>
      <c r="M98" s="10"/>
      <c r="N98" s="5"/>
      <c r="O98" s="16"/>
      <c r="P98" s="1"/>
    </row>
    <row r="99" spans="1:16">
      <c r="A99" s="6"/>
      <c r="B99" s="7"/>
      <c r="C99" s="6"/>
      <c r="D99" s="140"/>
      <c r="E99" s="157"/>
      <c r="F99" s="1"/>
      <c r="G99" s="9"/>
      <c r="H99" s="9"/>
      <c r="I99" s="5"/>
      <c r="J99" s="1"/>
      <c r="K99" s="1"/>
      <c r="L99" s="1"/>
      <c r="M99" s="10"/>
      <c r="N99" s="5"/>
      <c r="O99" s="16"/>
      <c r="P99" s="1"/>
    </row>
    <row r="100" spans="1:16">
      <c r="A100" s="6"/>
      <c r="B100" s="7"/>
      <c r="C100" s="6"/>
      <c r="D100" s="158"/>
      <c r="E100" s="157"/>
      <c r="F100" s="1"/>
      <c r="G100" s="9"/>
      <c r="H100" s="9"/>
      <c r="I100" s="5"/>
      <c r="J100" s="1"/>
      <c r="K100" s="1"/>
      <c r="L100" s="1"/>
      <c r="M100" s="10"/>
      <c r="N100" s="5"/>
      <c r="O100" s="16"/>
      <c r="P100" s="1"/>
    </row>
    <row r="101" spans="1:16">
      <c r="A101" s="6"/>
      <c r="B101" s="7"/>
      <c r="C101" s="6"/>
      <c r="D101" s="140"/>
      <c r="E101" s="157"/>
      <c r="F101" s="1"/>
      <c r="G101" s="9"/>
      <c r="H101" s="9"/>
      <c r="I101" s="5"/>
      <c r="J101" s="1"/>
      <c r="K101" s="1"/>
      <c r="L101" s="1"/>
      <c r="M101" s="10"/>
      <c r="N101" s="5"/>
      <c r="O101" s="16"/>
      <c r="P101" s="1"/>
    </row>
    <row r="102" spans="1:16">
      <c r="A102" s="6"/>
      <c r="B102" s="7"/>
      <c r="C102" s="6"/>
      <c r="D102" s="140"/>
      <c r="E102" s="157"/>
      <c r="F102" s="1"/>
      <c r="G102" s="9"/>
      <c r="H102" s="9"/>
      <c r="I102" s="5"/>
      <c r="J102" s="1"/>
      <c r="K102" s="1"/>
      <c r="L102" s="1"/>
      <c r="M102" s="10"/>
      <c r="N102" s="5"/>
      <c r="O102" s="16"/>
      <c r="P102" s="1"/>
    </row>
    <row r="103" spans="1:16">
      <c r="A103" s="6"/>
      <c r="B103" s="7"/>
      <c r="C103" s="6"/>
      <c r="D103" s="158"/>
      <c r="E103" s="157"/>
      <c r="F103" s="1"/>
      <c r="G103" s="9"/>
      <c r="H103" s="9"/>
      <c r="I103" s="5"/>
      <c r="J103" s="1"/>
      <c r="K103" s="1"/>
      <c r="L103" s="1"/>
      <c r="M103" s="10"/>
      <c r="N103" s="5"/>
      <c r="O103" s="16"/>
      <c r="P103" s="1"/>
    </row>
    <row r="104" spans="1:16">
      <c r="A104" s="6"/>
      <c r="B104" s="7"/>
      <c r="C104" s="6"/>
      <c r="D104" s="140"/>
      <c r="E104" s="157"/>
      <c r="F104" s="1"/>
      <c r="G104" s="9"/>
      <c r="H104" s="9"/>
      <c r="I104" s="5"/>
      <c r="J104" s="1"/>
      <c r="K104" s="1"/>
      <c r="L104" s="1"/>
      <c r="M104" s="10"/>
      <c r="N104" s="5"/>
      <c r="O104" s="16"/>
      <c r="P104" s="1"/>
    </row>
    <row r="105" spans="1:16">
      <c r="A105" s="6"/>
      <c r="B105" s="7"/>
      <c r="C105" s="6"/>
      <c r="D105" s="140"/>
      <c r="E105" s="157"/>
      <c r="F105" s="1"/>
      <c r="G105" s="9"/>
      <c r="H105" s="9"/>
      <c r="I105" s="5"/>
      <c r="J105" s="1"/>
      <c r="K105" s="1"/>
      <c r="L105" s="1"/>
      <c r="M105" s="10"/>
      <c r="N105" s="5"/>
      <c r="O105" s="16"/>
      <c r="P105" s="1"/>
    </row>
    <row r="106" spans="1:16">
      <c r="A106" s="6"/>
      <c r="B106" s="7"/>
      <c r="C106" s="6"/>
      <c r="D106" s="140"/>
      <c r="E106" s="157"/>
      <c r="F106" s="1"/>
      <c r="G106" s="9"/>
      <c r="H106" s="9"/>
      <c r="I106" s="5"/>
      <c r="J106" s="1"/>
      <c r="K106" s="1"/>
      <c r="L106" s="1"/>
      <c r="M106" s="10"/>
      <c r="N106" s="5"/>
      <c r="O106" s="16"/>
      <c r="P106" s="1"/>
    </row>
    <row r="107" spans="1:16">
      <c r="A107" s="6"/>
      <c r="B107" s="7"/>
      <c r="C107" s="6"/>
      <c r="D107" s="157"/>
      <c r="E107" s="140"/>
      <c r="F107" s="1"/>
      <c r="G107" s="9"/>
      <c r="H107" s="9"/>
      <c r="I107" s="5"/>
      <c r="J107" s="1"/>
      <c r="K107" s="1"/>
      <c r="L107" s="1"/>
      <c r="M107" s="10"/>
      <c r="N107" s="5"/>
      <c r="O107" s="16"/>
      <c r="P107" s="1"/>
    </row>
    <row r="108" spans="1:16">
      <c r="A108" s="6"/>
      <c r="B108" s="7"/>
      <c r="C108" s="6"/>
      <c r="D108" s="140"/>
      <c r="E108" s="157"/>
      <c r="F108" s="1"/>
      <c r="G108" s="9"/>
      <c r="H108" s="9"/>
      <c r="I108" s="5"/>
      <c r="J108" s="1"/>
      <c r="K108" s="1"/>
      <c r="L108" s="1"/>
      <c r="M108" s="10"/>
      <c r="N108" s="5"/>
      <c r="O108" s="16"/>
      <c r="P108" s="1"/>
    </row>
    <row r="109" spans="1:16">
      <c r="A109" s="6"/>
      <c r="B109" s="7"/>
      <c r="C109" s="6"/>
      <c r="D109" s="140"/>
      <c r="E109" s="157"/>
      <c r="F109" s="1"/>
      <c r="G109" s="9"/>
      <c r="H109" s="9"/>
      <c r="I109" s="5"/>
      <c r="J109" s="1"/>
      <c r="K109" s="1"/>
      <c r="L109" s="1"/>
      <c r="M109" s="10"/>
      <c r="N109" s="5"/>
      <c r="O109" s="16"/>
      <c r="P109" s="1"/>
    </row>
    <row r="110" spans="1:16">
      <c r="A110" s="6"/>
      <c r="B110" s="7"/>
      <c r="C110" s="6"/>
      <c r="D110" s="140"/>
      <c r="E110" s="157"/>
      <c r="F110" s="1"/>
      <c r="G110" s="9"/>
      <c r="H110" s="9"/>
      <c r="I110" s="5"/>
      <c r="J110" s="1"/>
      <c r="K110" s="1"/>
      <c r="L110" s="1"/>
      <c r="M110" s="10"/>
      <c r="N110" s="5"/>
      <c r="O110" s="16"/>
      <c r="P110" s="1"/>
    </row>
    <row r="111" spans="1:16">
      <c r="A111" s="6"/>
      <c r="B111" s="7"/>
      <c r="C111" s="6"/>
      <c r="D111" s="140"/>
      <c r="E111" s="157"/>
      <c r="F111" s="1"/>
      <c r="G111" s="9"/>
      <c r="H111" s="9"/>
      <c r="I111" s="5"/>
      <c r="J111" s="1"/>
      <c r="K111" s="1"/>
      <c r="L111" s="1"/>
      <c r="M111" s="10"/>
      <c r="N111" s="5"/>
      <c r="O111" s="16"/>
      <c r="P111" s="1"/>
    </row>
    <row r="112" spans="1:16">
      <c r="A112" s="6"/>
      <c r="B112" s="7"/>
      <c r="C112" s="6"/>
      <c r="D112" s="140"/>
      <c r="E112" s="157"/>
      <c r="F112" s="1"/>
      <c r="G112" s="9"/>
      <c r="H112" s="9"/>
      <c r="I112" s="5"/>
      <c r="J112" s="1"/>
      <c r="K112" s="1"/>
      <c r="L112" s="1"/>
      <c r="M112" s="10"/>
      <c r="N112" s="5"/>
      <c r="O112" s="16"/>
      <c r="P112" s="1"/>
    </row>
    <row r="113" spans="1:16">
      <c r="A113" s="6"/>
      <c r="B113" s="7"/>
      <c r="C113" s="6"/>
      <c r="D113" s="140"/>
      <c r="E113" s="157"/>
      <c r="F113" s="1"/>
      <c r="G113" s="9"/>
      <c r="H113" s="9"/>
      <c r="I113" s="5"/>
      <c r="J113" s="1"/>
      <c r="K113" s="1"/>
      <c r="L113" s="1"/>
      <c r="M113" s="10"/>
      <c r="N113" s="5"/>
      <c r="O113" s="16"/>
      <c r="P113" s="1"/>
    </row>
    <row r="114" spans="1:16">
      <c r="A114" s="6"/>
      <c r="B114" s="7"/>
      <c r="C114" s="6"/>
      <c r="D114" s="140"/>
      <c r="E114" s="157"/>
      <c r="F114" s="1"/>
      <c r="G114" s="9"/>
      <c r="H114" s="9"/>
      <c r="I114" s="5"/>
      <c r="J114" s="1"/>
      <c r="K114" s="1"/>
      <c r="L114" s="1"/>
      <c r="M114" s="10"/>
      <c r="N114" s="5"/>
      <c r="O114" s="16"/>
      <c r="P114" s="1"/>
    </row>
    <row r="115" spans="1:16">
      <c r="A115" s="6"/>
      <c r="B115" s="7"/>
      <c r="C115" s="6"/>
      <c r="D115" s="140"/>
      <c r="E115" s="157"/>
      <c r="F115" s="1"/>
      <c r="G115" s="9"/>
      <c r="H115" s="9"/>
      <c r="I115" s="5"/>
      <c r="J115" s="1"/>
      <c r="K115" s="1"/>
      <c r="L115" s="1"/>
      <c r="M115" s="10"/>
      <c r="N115" s="5"/>
      <c r="O115" s="16"/>
      <c r="P115" s="1"/>
    </row>
    <row r="116" spans="1:16">
      <c r="A116" s="6"/>
      <c r="B116" s="7"/>
      <c r="C116" s="6"/>
      <c r="D116" s="140"/>
      <c r="E116" s="157"/>
      <c r="F116" s="1"/>
      <c r="G116" s="9"/>
      <c r="H116" s="9"/>
      <c r="I116" s="5"/>
      <c r="J116" s="1"/>
      <c r="K116" s="1"/>
      <c r="L116" s="1"/>
      <c r="M116" s="10"/>
      <c r="N116" s="5"/>
      <c r="O116" s="16"/>
      <c r="P116" s="1"/>
    </row>
    <row r="117" spans="1:16">
      <c r="A117" s="6"/>
      <c r="B117" s="7"/>
      <c r="C117" s="6"/>
      <c r="D117" s="140"/>
      <c r="E117" s="157"/>
      <c r="F117" s="1"/>
      <c r="G117" s="9"/>
      <c r="H117" s="9"/>
      <c r="I117" s="5"/>
      <c r="J117" s="1"/>
      <c r="K117" s="1"/>
      <c r="L117" s="1"/>
      <c r="M117" s="10"/>
      <c r="N117" s="5"/>
      <c r="O117" s="16"/>
      <c r="P117" s="1"/>
    </row>
    <row r="118" spans="1:16">
      <c r="A118" s="6"/>
      <c r="B118" s="7"/>
      <c r="C118" s="6"/>
      <c r="D118" s="140"/>
      <c r="E118" s="157"/>
      <c r="F118" s="1"/>
      <c r="G118" s="9"/>
      <c r="H118" s="9"/>
      <c r="I118" s="5"/>
      <c r="J118" s="1"/>
      <c r="K118" s="1"/>
      <c r="L118" s="1"/>
      <c r="M118" s="10"/>
      <c r="N118" s="5"/>
      <c r="O118" s="16"/>
      <c r="P118" s="1"/>
    </row>
    <row r="119" spans="1:16">
      <c r="A119" s="6"/>
      <c r="B119" s="7"/>
      <c r="C119" s="6"/>
      <c r="D119" s="140"/>
      <c r="E119" s="157"/>
      <c r="F119" s="1"/>
      <c r="G119" s="9"/>
      <c r="H119" s="9"/>
      <c r="I119" s="5"/>
      <c r="J119" s="1"/>
      <c r="K119" s="1"/>
      <c r="L119" s="1"/>
      <c r="M119" s="10"/>
      <c r="N119" s="5"/>
      <c r="O119" s="16"/>
      <c r="P119" s="1"/>
    </row>
    <row r="120" spans="1:16">
      <c r="A120" s="6"/>
      <c r="B120" s="7"/>
      <c r="C120" s="6"/>
      <c r="D120" s="160"/>
      <c r="E120" s="157"/>
      <c r="F120" s="1"/>
      <c r="G120" s="9"/>
      <c r="H120" s="9"/>
      <c r="I120" s="5"/>
      <c r="J120" s="1"/>
      <c r="K120" s="1"/>
      <c r="L120" s="1"/>
      <c r="M120" s="10"/>
      <c r="N120" s="5"/>
      <c r="O120" s="16"/>
      <c r="P120" s="1"/>
    </row>
    <row r="121" spans="1:16">
      <c r="A121" s="6"/>
      <c r="B121" s="7"/>
      <c r="C121" s="6"/>
      <c r="D121" s="160"/>
      <c r="E121" s="157"/>
      <c r="F121" s="1"/>
      <c r="G121" s="9"/>
      <c r="H121" s="9"/>
      <c r="I121" s="5"/>
      <c r="J121" s="1"/>
      <c r="K121" s="1"/>
      <c r="L121" s="1"/>
      <c r="M121" s="10"/>
      <c r="N121" s="5"/>
      <c r="O121" s="16"/>
      <c r="P121" s="1"/>
    </row>
    <row r="122" spans="1:16">
      <c r="A122" s="6"/>
      <c r="B122" s="7"/>
      <c r="C122" s="6"/>
      <c r="D122" s="140"/>
      <c r="E122" s="157"/>
      <c r="F122" s="1"/>
      <c r="G122" s="9"/>
      <c r="H122" s="9"/>
      <c r="I122" s="5"/>
      <c r="J122" s="1"/>
      <c r="K122" s="1"/>
      <c r="L122" s="1"/>
      <c r="M122" s="10"/>
      <c r="N122" s="5"/>
      <c r="O122" s="16"/>
      <c r="P122" s="1"/>
    </row>
    <row r="123" spans="1:16">
      <c r="A123" s="6"/>
      <c r="B123" s="7"/>
      <c r="C123" s="67"/>
      <c r="D123" s="140"/>
      <c r="E123" s="157"/>
      <c r="F123" s="71"/>
      <c r="G123" s="9"/>
      <c r="H123" s="9"/>
      <c r="I123" s="5"/>
      <c r="J123" s="1"/>
      <c r="K123" s="1"/>
      <c r="L123" s="1"/>
      <c r="M123" s="10"/>
      <c r="N123" s="5"/>
      <c r="O123" s="16"/>
      <c r="P123" s="1"/>
    </row>
    <row r="124" spans="1:16">
      <c r="A124" s="6"/>
      <c r="B124" s="7"/>
      <c r="C124" s="67"/>
      <c r="D124" s="140"/>
      <c r="E124" s="157"/>
      <c r="F124" s="71"/>
      <c r="G124" s="9"/>
      <c r="H124" s="9"/>
      <c r="I124" s="5"/>
      <c r="J124" s="1"/>
      <c r="K124" s="1"/>
      <c r="L124" s="1"/>
      <c r="M124" s="10"/>
      <c r="N124" s="5"/>
      <c r="O124" s="16"/>
      <c r="P124" s="1"/>
    </row>
    <row r="125" spans="1:16">
      <c r="A125" s="6"/>
      <c r="B125" s="7"/>
      <c r="C125" s="67"/>
      <c r="D125" s="157"/>
      <c r="E125" s="141"/>
      <c r="F125" s="71"/>
      <c r="G125" s="9"/>
      <c r="H125" s="9"/>
      <c r="I125" s="5"/>
      <c r="J125" s="1"/>
      <c r="K125" s="1"/>
      <c r="L125" s="1"/>
      <c r="M125" s="10"/>
      <c r="N125" s="5"/>
      <c r="O125" s="16"/>
      <c r="P125" s="1"/>
    </row>
    <row r="126" spans="1:16">
      <c r="A126" s="6"/>
      <c r="B126" s="7"/>
      <c r="C126" s="67"/>
      <c r="D126" s="140"/>
      <c r="E126" s="157"/>
      <c r="F126" s="71"/>
      <c r="G126" s="9"/>
      <c r="H126" s="9"/>
      <c r="I126" s="5"/>
      <c r="J126" s="1"/>
      <c r="K126" s="1"/>
      <c r="L126" s="1"/>
      <c r="M126" s="10"/>
      <c r="N126" s="5"/>
      <c r="O126" s="16"/>
      <c r="P126" s="1"/>
    </row>
    <row r="127" spans="1:16">
      <c r="A127" s="6"/>
      <c r="B127" s="7"/>
      <c r="C127" s="67"/>
      <c r="D127" s="166"/>
      <c r="E127" s="167"/>
      <c r="F127" s="71"/>
      <c r="G127" s="9"/>
      <c r="H127" s="9"/>
      <c r="I127" s="5"/>
      <c r="J127" s="1"/>
      <c r="K127" s="1"/>
      <c r="L127" s="1"/>
      <c r="M127" s="10"/>
      <c r="N127" s="5"/>
      <c r="O127" s="16"/>
      <c r="P127" s="1"/>
    </row>
    <row r="128" spans="1:16">
      <c r="A128" s="6"/>
      <c r="B128" s="7"/>
      <c r="C128" s="148"/>
      <c r="D128" s="157"/>
      <c r="E128" s="141"/>
      <c r="F128" s="71"/>
      <c r="G128" s="9"/>
      <c r="H128" s="9"/>
      <c r="I128" s="5"/>
      <c r="J128" s="1"/>
      <c r="K128" s="1"/>
      <c r="L128" s="1"/>
      <c r="M128" s="10"/>
      <c r="N128" s="5"/>
      <c r="O128" s="16"/>
      <c r="P128" s="1"/>
    </row>
    <row r="129" spans="1:16">
      <c r="A129" s="143"/>
      <c r="B129" s="7"/>
      <c r="C129" s="67"/>
      <c r="D129" s="166"/>
      <c r="E129" s="167"/>
      <c r="F129" s="71"/>
      <c r="G129" s="9"/>
      <c r="H129" s="9"/>
      <c r="I129" s="5"/>
      <c r="J129" s="1"/>
      <c r="K129" s="1"/>
      <c r="L129" s="1"/>
      <c r="M129" s="10"/>
      <c r="N129" s="5"/>
      <c r="O129" s="16"/>
      <c r="P129" s="1"/>
    </row>
    <row r="130" spans="1:16">
      <c r="A130" s="6"/>
      <c r="B130" s="7"/>
      <c r="C130" s="67"/>
      <c r="D130" s="140"/>
      <c r="E130" s="157"/>
      <c r="F130" s="71"/>
      <c r="G130" s="9"/>
      <c r="H130" s="9"/>
      <c r="I130" s="5"/>
      <c r="J130" s="1"/>
      <c r="K130" s="1"/>
      <c r="L130" s="1"/>
      <c r="M130" s="10"/>
      <c r="N130" s="5"/>
      <c r="O130" s="16"/>
      <c r="P130" s="1"/>
    </row>
    <row r="131" spans="1:16">
      <c r="A131" s="6"/>
      <c r="B131" s="7"/>
      <c r="C131" s="67"/>
      <c r="D131" s="140"/>
      <c r="E131" s="157"/>
      <c r="F131" s="71"/>
      <c r="G131" s="9"/>
      <c r="H131" s="9"/>
      <c r="I131" s="5"/>
      <c r="J131" s="1"/>
      <c r="K131" s="1"/>
      <c r="L131" s="1"/>
      <c r="M131" s="10"/>
      <c r="N131" s="5"/>
      <c r="O131" s="16"/>
      <c r="P131" s="1"/>
    </row>
    <row r="132" spans="1:16">
      <c r="A132" s="6"/>
      <c r="B132" s="7"/>
      <c r="C132" s="67"/>
      <c r="D132" s="140"/>
      <c r="E132" s="157"/>
      <c r="F132" s="71"/>
      <c r="G132" s="9"/>
      <c r="H132" s="9"/>
      <c r="I132" s="5"/>
      <c r="J132" s="1"/>
      <c r="K132" s="1"/>
      <c r="L132" s="1"/>
      <c r="M132" s="10"/>
      <c r="N132" s="5"/>
      <c r="O132" s="16"/>
      <c r="P132" s="1"/>
    </row>
    <row r="133" spans="1:16">
      <c r="A133" s="6"/>
      <c r="B133" s="7"/>
      <c r="C133" s="67"/>
      <c r="D133" s="140"/>
      <c r="E133" s="157"/>
      <c r="F133" s="71"/>
      <c r="G133" s="9"/>
      <c r="H133" s="9"/>
      <c r="I133" s="5"/>
      <c r="J133" s="1"/>
      <c r="K133" s="1"/>
      <c r="L133" s="1"/>
      <c r="M133" s="10"/>
      <c r="N133" s="5"/>
      <c r="O133" s="16"/>
      <c r="P133" s="1"/>
    </row>
    <row r="134" spans="1:16">
      <c r="A134" s="6"/>
      <c r="B134" s="7"/>
      <c r="C134" s="67"/>
      <c r="D134" s="140"/>
      <c r="E134" s="157"/>
      <c r="F134" s="71"/>
      <c r="G134" s="9"/>
      <c r="H134" s="9"/>
      <c r="I134" s="5"/>
      <c r="J134" s="1"/>
      <c r="K134" s="1"/>
      <c r="L134" s="1"/>
      <c r="M134" s="10"/>
      <c r="N134" s="5"/>
      <c r="O134" s="16"/>
      <c r="P134" s="1"/>
    </row>
    <row r="135" spans="1:16">
      <c r="A135" s="6"/>
      <c r="B135" s="7"/>
      <c r="C135" s="67"/>
      <c r="D135" s="140"/>
      <c r="E135" s="157"/>
      <c r="F135" s="71"/>
      <c r="G135" s="9"/>
      <c r="H135" s="9"/>
      <c r="I135" s="5"/>
      <c r="J135" s="1"/>
      <c r="K135" s="1"/>
      <c r="L135" s="1"/>
      <c r="M135" s="10"/>
      <c r="N135" s="5"/>
      <c r="O135" s="16"/>
      <c r="P135" s="1"/>
    </row>
    <row r="136" spans="1:16">
      <c r="A136" s="6"/>
      <c r="B136" s="7"/>
      <c r="C136" s="67"/>
      <c r="D136" s="160"/>
      <c r="E136" s="157"/>
      <c r="F136" s="71"/>
      <c r="G136" s="9"/>
      <c r="H136" s="9"/>
      <c r="I136" s="5"/>
      <c r="J136" s="1"/>
      <c r="K136" s="1"/>
      <c r="L136" s="1"/>
      <c r="M136" s="10"/>
      <c r="N136" s="5"/>
      <c r="O136" s="16"/>
      <c r="P136" s="1"/>
    </row>
    <row r="137" spans="1:16">
      <c r="A137" s="6"/>
      <c r="B137" s="7"/>
      <c r="C137" s="130"/>
      <c r="D137" s="160"/>
      <c r="E137" s="157"/>
      <c r="F137" s="71"/>
      <c r="G137" s="9"/>
      <c r="H137" s="9"/>
      <c r="I137" s="5"/>
      <c r="J137" s="1"/>
      <c r="K137" s="1"/>
      <c r="L137" s="1"/>
      <c r="M137" s="10"/>
      <c r="N137" s="5"/>
      <c r="O137" s="16"/>
      <c r="P137" s="1"/>
    </row>
    <row r="138" spans="1:16">
      <c r="A138" s="6"/>
      <c r="B138" s="7"/>
      <c r="C138" s="6"/>
      <c r="D138" s="140"/>
      <c r="E138" s="157"/>
      <c r="F138" s="1"/>
      <c r="G138" s="9"/>
      <c r="H138" s="9"/>
      <c r="I138" s="5"/>
      <c r="J138" s="1"/>
      <c r="K138" s="1"/>
      <c r="L138" s="1"/>
      <c r="M138" s="10"/>
      <c r="N138" s="5"/>
      <c r="O138" s="16"/>
      <c r="P138" s="1"/>
    </row>
    <row r="139" spans="1:16">
      <c r="A139" s="6"/>
      <c r="B139" s="7"/>
      <c r="C139" s="6"/>
      <c r="D139" s="166"/>
      <c r="E139" s="167"/>
      <c r="F139" s="1"/>
      <c r="G139" s="9"/>
      <c r="H139" s="9"/>
      <c r="I139" s="5"/>
      <c r="J139" s="1"/>
      <c r="K139" s="1"/>
      <c r="L139" s="1"/>
      <c r="M139" s="10"/>
      <c r="N139" s="5"/>
      <c r="O139" s="16"/>
      <c r="P139" s="1"/>
    </row>
    <row r="140" spans="1:16">
      <c r="A140" s="6"/>
      <c r="B140" s="7"/>
      <c r="C140" s="168"/>
      <c r="D140" s="166"/>
      <c r="E140" s="167"/>
      <c r="F140" s="1"/>
      <c r="G140" s="9"/>
      <c r="H140" s="9"/>
      <c r="I140" s="5"/>
      <c r="J140" s="1"/>
      <c r="K140" s="1"/>
      <c r="L140" s="1"/>
      <c r="M140" s="10"/>
      <c r="N140" s="5"/>
      <c r="O140" s="16"/>
      <c r="P140" s="1"/>
    </row>
    <row r="141" spans="1:16">
      <c r="A141" s="6"/>
      <c r="B141" s="7"/>
      <c r="C141" s="6"/>
      <c r="D141" s="140"/>
      <c r="E141" s="157"/>
      <c r="F141" s="1"/>
      <c r="G141" s="9"/>
      <c r="H141" s="9"/>
      <c r="I141" s="5"/>
      <c r="J141" s="1"/>
      <c r="K141" s="1"/>
      <c r="L141" s="1"/>
      <c r="M141" s="10"/>
      <c r="N141" s="5"/>
      <c r="O141" s="16"/>
      <c r="P141" s="1"/>
    </row>
    <row r="142" spans="1:16">
      <c r="A142" s="6"/>
      <c r="B142" s="7"/>
      <c r="C142" s="132"/>
      <c r="D142" s="140"/>
      <c r="E142" s="157"/>
      <c r="F142" s="1"/>
      <c r="G142" s="9"/>
      <c r="H142" s="9"/>
      <c r="I142" s="5"/>
      <c r="J142" s="1"/>
      <c r="K142" s="1"/>
      <c r="L142" s="1"/>
      <c r="M142" s="10"/>
      <c r="N142" s="5"/>
      <c r="O142" s="16"/>
      <c r="P142" s="1"/>
    </row>
    <row r="143" spans="1:16">
      <c r="A143" s="6"/>
      <c r="B143" s="7"/>
      <c r="C143" s="6"/>
      <c r="D143" s="140"/>
      <c r="E143" s="157"/>
      <c r="F143" s="1"/>
      <c r="G143" s="9"/>
      <c r="H143" s="9"/>
      <c r="I143" s="5"/>
      <c r="J143" s="1"/>
      <c r="K143" s="1"/>
      <c r="L143" s="1"/>
      <c r="M143" s="10"/>
      <c r="N143" s="5"/>
      <c r="O143" s="16"/>
      <c r="P143" s="1"/>
    </row>
    <row r="144" spans="1:16">
      <c r="A144" s="6"/>
      <c r="B144" s="7"/>
      <c r="C144" s="6"/>
      <c r="D144" s="140"/>
      <c r="E144" s="157"/>
      <c r="F144" s="1"/>
      <c r="G144" s="9"/>
      <c r="H144" s="9"/>
      <c r="I144" s="5"/>
      <c r="J144" s="1"/>
      <c r="K144" s="1"/>
      <c r="L144" s="1"/>
      <c r="M144" s="10"/>
      <c r="N144" s="5"/>
      <c r="O144" s="16"/>
      <c r="P144" s="1"/>
    </row>
    <row r="145" spans="1:16">
      <c r="A145" s="6"/>
      <c r="B145" s="7"/>
      <c r="C145" s="6"/>
      <c r="D145" s="140"/>
      <c r="E145" s="157"/>
      <c r="F145" s="1"/>
      <c r="G145" s="9"/>
      <c r="H145" s="9"/>
      <c r="I145" s="5"/>
      <c r="J145" s="1"/>
      <c r="K145" s="1"/>
      <c r="L145" s="1"/>
      <c r="M145" s="10"/>
      <c r="N145" s="5"/>
      <c r="O145" s="16"/>
      <c r="P145" s="1"/>
    </row>
    <row r="146" spans="1:16">
      <c r="A146" s="6"/>
      <c r="B146" s="7"/>
      <c r="C146" s="6"/>
      <c r="D146" s="166"/>
      <c r="E146" s="167"/>
      <c r="F146" s="1"/>
      <c r="G146" s="9"/>
      <c r="H146" s="9"/>
      <c r="I146" s="5"/>
      <c r="J146" s="1"/>
      <c r="K146" s="1"/>
      <c r="L146" s="1"/>
      <c r="M146" s="10"/>
      <c r="N146" s="5"/>
      <c r="O146" s="16"/>
      <c r="P146" s="1"/>
    </row>
    <row r="147" spans="1:16">
      <c r="A147" s="6"/>
      <c r="B147" s="7"/>
      <c r="C147" s="6"/>
      <c r="D147" s="140"/>
      <c r="E147" s="157"/>
      <c r="F147" s="1"/>
      <c r="G147" s="9"/>
      <c r="H147" s="9"/>
      <c r="I147" s="5"/>
      <c r="J147" s="1"/>
      <c r="K147" s="1"/>
      <c r="L147" s="1"/>
      <c r="M147" s="10"/>
      <c r="N147" s="5"/>
      <c r="O147" s="16"/>
      <c r="P147" s="1"/>
    </row>
    <row r="148" spans="1:16">
      <c r="A148" s="6"/>
      <c r="B148" s="7"/>
      <c r="C148" s="6"/>
      <c r="D148" s="140"/>
      <c r="E148" s="157"/>
      <c r="F148" s="1"/>
      <c r="G148" s="9"/>
      <c r="H148" s="9"/>
      <c r="I148" s="5"/>
      <c r="J148" s="1"/>
      <c r="K148" s="1"/>
      <c r="L148" s="1"/>
      <c r="M148" s="10"/>
      <c r="N148" s="5"/>
      <c r="O148" s="16"/>
      <c r="P148" s="1"/>
    </row>
    <row r="149" spans="1:16">
      <c r="A149" s="6"/>
      <c r="B149" s="7"/>
      <c r="C149" s="6"/>
      <c r="D149" s="140"/>
      <c r="E149" s="157"/>
      <c r="F149" s="1"/>
      <c r="G149" s="9"/>
      <c r="H149" s="9"/>
      <c r="I149" s="5"/>
      <c r="J149" s="1"/>
      <c r="K149" s="1"/>
      <c r="L149" s="1"/>
      <c r="M149" s="10"/>
      <c r="N149" s="5"/>
      <c r="O149" s="16"/>
      <c r="P149" s="1"/>
    </row>
    <row r="150" spans="1:16">
      <c r="A150" s="6"/>
      <c r="B150" s="7"/>
      <c r="C150" s="6"/>
      <c r="D150" s="140"/>
      <c r="E150" s="157"/>
      <c r="F150" s="1"/>
      <c r="G150" s="9"/>
      <c r="H150" s="9"/>
      <c r="I150" s="5"/>
      <c r="J150" s="1"/>
      <c r="K150" s="1"/>
      <c r="L150" s="1"/>
      <c r="M150" s="10"/>
      <c r="N150" s="5"/>
      <c r="O150" s="16"/>
      <c r="P150" s="1"/>
    </row>
    <row r="151" spans="1:16">
      <c r="A151" s="6"/>
      <c r="B151" s="7"/>
      <c r="C151" s="6"/>
      <c r="D151" s="140"/>
      <c r="E151" s="157"/>
      <c r="F151" s="1"/>
      <c r="G151" s="9"/>
      <c r="H151" s="9"/>
      <c r="I151" s="5"/>
      <c r="J151" s="1"/>
      <c r="K151" s="1"/>
      <c r="L151" s="1"/>
      <c r="M151" s="10"/>
      <c r="N151" s="5"/>
      <c r="O151" s="16"/>
      <c r="P151" s="1"/>
    </row>
    <row r="152" spans="1:16">
      <c r="A152" s="6"/>
      <c r="B152" s="7"/>
      <c r="C152" s="6"/>
      <c r="D152" s="140"/>
      <c r="E152" s="157"/>
      <c r="F152" s="1"/>
      <c r="G152" s="9"/>
      <c r="H152" s="9"/>
      <c r="I152" s="5"/>
      <c r="J152" s="1"/>
      <c r="K152" s="1"/>
      <c r="L152" s="1"/>
      <c r="M152" s="10"/>
      <c r="N152" s="5"/>
      <c r="O152" s="16"/>
      <c r="P152" s="1"/>
    </row>
    <row r="153" spans="1:16">
      <c r="A153" s="6"/>
      <c r="B153" s="7"/>
      <c r="C153" s="6"/>
      <c r="D153" s="140"/>
      <c r="E153" s="157"/>
      <c r="F153" s="1"/>
      <c r="G153" s="9"/>
      <c r="H153" s="9"/>
      <c r="I153" s="5"/>
      <c r="J153" s="1"/>
      <c r="K153" s="1"/>
      <c r="L153" s="1"/>
      <c r="M153" s="10"/>
      <c r="N153" s="5"/>
      <c r="O153" s="16"/>
      <c r="P153" s="1"/>
    </row>
    <row r="154" spans="1:16">
      <c r="A154" s="6"/>
      <c r="B154" s="7"/>
      <c r="C154" s="6"/>
      <c r="D154" s="140"/>
      <c r="E154" s="157"/>
      <c r="F154" s="1"/>
      <c r="G154" s="9"/>
      <c r="H154" s="9"/>
      <c r="I154" s="5"/>
      <c r="J154" s="1"/>
      <c r="K154" s="1"/>
      <c r="L154" s="1"/>
      <c r="M154" s="10"/>
      <c r="N154" s="5"/>
      <c r="O154" s="16"/>
      <c r="P154" s="1"/>
    </row>
    <row r="155" spans="1:16">
      <c r="A155" s="6"/>
      <c r="B155" s="7"/>
      <c r="C155" s="6"/>
      <c r="D155" s="140"/>
      <c r="E155" s="157"/>
      <c r="F155" s="1"/>
      <c r="G155" s="9"/>
      <c r="H155" s="9"/>
      <c r="I155" s="5"/>
      <c r="J155" s="1"/>
      <c r="K155" s="1"/>
      <c r="L155" s="1"/>
      <c r="M155" s="10"/>
      <c r="N155" s="5"/>
      <c r="O155" s="16"/>
      <c r="P155" s="1"/>
    </row>
    <row r="156" spans="1:16">
      <c r="A156" s="6"/>
      <c r="B156" s="7"/>
      <c r="C156" s="6"/>
      <c r="D156" s="140"/>
      <c r="E156" s="157"/>
      <c r="F156" s="1"/>
      <c r="G156" s="9"/>
      <c r="H156" s="9"/>
      <c r="I156" s="5"/>
      <c r="J156" s="1"/>
      <c r="K156" s="1"/>
      <c r="L156" s="1"/>
      <c r="M156" s="10"/>
      <c r="N156" s="5"/>
      <c r="O156" s="16"/>
      <c r="P156" s="1"/>
    </row>
    <row r="157" spans="1:16">
      <c r="A157" s="6"/>
      <c r="B157" s="7"/>
      <c r="C157" s="6"/>
      <c r="D157" s="140"/>
      <c r="E157" s="157"/>
      <c r="F157" s="1"/>
      <c r="G157" s="9"/>
      <c r="H157" s="9"/>
      <c r="I157" s="5"/>
      <c r="J157" s="1"/>
      <c r="K157" s="1"/>
      <c r="L157" s="1"/>
      <c r="M157" s="10"/>
      <c r="N157" s="5"/>
      <c r="O157" s="16"/>
      <c r="P157" s="1"/>
    </row>
    <row r="158" spans="1:16">
      <c r="A158" s="6"/>
      <c r="B158" s="7"/>
      <c r="C158" s="6"/>
      <c r="D158" s="140"/>
      <c r="E158" s="157"/>
      <c r="F158" s="1"/>
      <c r="G158" s="9"/>
      <c r="H158" s="9"/>
      <c r="I158" s="5"/>
      <c r="J158" s="1"/>
      <c r="K158" s="1"/>
      <c r="L158" s="1"/>
      <c r="M158" s="10"/>
      <c r="N158" s="5"/>
      <c r="O158" s="16"/>
      <c r="P158" s="1"/>
    </row>
    <row r="159" spans="1:16">
      <c r="A159" s="6"/>
      <c r="B159" s="7"/>
      <c r="C159" s="6"/>
      <c r="D159" s="140"/>
      <c r="E159" s="157"/>
      <c r="F159" s="1"/>
      <c r="G159" s="9"/>
      <c r="H159" s="9"/>
      <c r="I159" s="5"/>
      <c r="J159" s="1"/>
      <c r="K159" s="1"/>
      <c r="L159" s="1"/>
      <c r="M159" s="10"/>
      <c r="N159" s="5"/>
      <c r="O159" s="16"/>
      <c r="P159" s="1"/>
    </row>
    <row r="160" spans="1:16">
      <c r="A160" s="6"/>
      <c r="B160" s="7"/>
      <c r="C160" s="6"/>
      <c r="D160" s="166"/>
      <c r="E160" s="167"/>
      <c r="F160" s="1"/>
      <c r="G160" s="9"/>
      <c r="H160" s="9"/>
      <c r="I160" s="5"/>
      <c r="J160" s="1"/>
      <c r="K160" s="1"/>
      <c r="L160" s="1"/>
      <c r="M160" s="10"/>
      <c r="N160" s="5"/>
      <c r="O160" s="16"/>
      <c r="P160" s="1"/>
    </row>
    <row r="161" spans="1:16">
      <c r="A161" s="6"/>
      <c r="B161" s="7"/>
      <c r="C161" s="6"/>
      <c r="D161" s="166"/>
      <c r="E161" s="167"/>
      <c r="F161" s="1"/>
      <c r="G161" s="9"/>
      <c r="H161" s="9"/>
      <c r="I161" s="5"/>
      <c r="J161" s="1"/>
      <c r="K161" s="1"/>
      <c r="L161" s="1"/>
      <c r="M161" s="10"/>
      <c r="N161" s="5"/>
      <c r="O161" s="16"/>
      <c r="P161" s="1"/>
    </row>
    <row r="162" spans="1:16">
      <c r="A162" s="6"/>
      <c r="B162" s="7"/>
      <c r="C162" s="6"/>
      <c r="D162" s="166"/>
      <c r="E162" s="167"/>
      <c r="F162" s="1"/>
      <c r="G162" s="9"/>
      <c r="H162" s="9"/>
      <c r="I162" s="5"/>
      <c r="J162" s="1"/>
      <c r="K162" s="1"/>
      <c r="L162" s="1"/>
      <c r="M162" s="10"/>
      <c r="N162" s="5"/>
      <c r="O162" s="16"/>
      <c r="P162" s="1"/>
    </row>
    <row r="163" spans="1:16">
      <c r="A163" s="6"/>
      <c r="B163" s="7"/>
      <c r="C163" s="6"/>
      <c r="D163" s="140"/>
      <c r="E163" s="157"/>
      <c r="F163" s="1"/>
      <c r="G163" s="9"/>
      <c r="H163" s="9"/>
      <c r="I163" s="5"/>
      <c r="J163" s="1"/>
      <c r="K163" s="1"/>
      <c r="L163" s="1"/>
      <c r="M163" s="10"/>
      <c r="N163" s="5"/>
      <c r="O163" s="16"/>
      <c r="P163" s="1"/>
    </row>
    <row r="164" spans="1:16">
      <c r="A164" s="6"/>
      <c r="B164" s="7"/>
      <c r="C164" s="6"/>
      <c r="D164" s="166"/>
      <c r="E164" s="167"/>
      <c r="F164" s="1"/>
      <c r="G164" s="9"/>
      <c r="H164" s="9"/>
      <c r="I164" s="5"/>
      <c r="J164" s="1"/>
      <c r="K164" s="1"/>
      <c r="L164" s="1"/>
      <c r="M164" s="10"/>
      <c r="N164" s="5"/>
      <c r="O164" s="16"/>
      <c r="P164" s="1"/>
    </row>
    <row r="165" spans="1:16">
      <c r="A165" s="6"/>
      <c r="B165" s="7"/>
      <c r="C165" s="6"/>
      <c r="D165" s="140"/>
      <c r="E165" s="157"/>
      <c r="F165" s="1"/>
      <c r="G165" s="9"/>
      <c r="H165" s="9"/>
      <c r="I165" s="5"/>
      <c r="J165" s="1"/>
      <c r="K165" s="1"/>
      <c r="L165" s="1"/>
      <c r="M165" s="10"/>
      <c r="N165" s="5"/>
      <c r="O165" s="16"/>
      <c r="P165" s="1"/>
    </row>
    <row r="166" spans="1:16">
      <c r="A166" s="6"/>
      <c r="B166" s="7"/>
      <c r="C166" s="6"/>
      <c r="D166" s="140"/>
      <c r="E166" s="157"/>
      <c r="F166" s="1"/>
      <c r="G166" s="9"/>
      <c r="H166" s="9"/>
      <c r="I166" s="5"/>
      <c r="J166" s="1"/>
      <c r="K166" s="1"/>
      <c r="L166" s="1"/>
      <c r="M166" s="10"/>
      <c r="N166" s="5"/>
      <c r="O166" s="16"/>
      <c r="P166" s="1"/>
    </row>
    <row r="167" spans="1:16">
      <c r="A167" s="6"/>
      <c r="B167" s="7"/>
      <c r="C167" s="6"/>
      <c r="D167" s="140"/>
      <c r="E167" s="157"/>
      <c r="F167" s="1"/>
      <c r="G167" s="9"/>
      <c r="H167" s="9"/>
      <c r="I167" s="5"/>
      <c r="J167" s="1"/>
      <c r="K167" s="1"/>
      <c r="L167" s="1"/>
      <c r="M167" s="10"/>
      <c r="N167" s="5"/>
      <c r="O167" s="16"/>
      <c r="P167" s="1"/>
    </row>
    <row r="168" spans="1:16">
      <c r="A168" s="6"/>
      <c r="B168" s="7"/>
      <c r="C168" s="6"/>
      <c r="D168" s="140"/>
      <c r="E168" s="157"/>
      <c r="F168" s="1"/>
      <c r="G168" s="9"/>
      <c r="H168" s="9"/>
      <c r="I168" s="5"/>
      <c r="J168" s="1"/>
      <c r="K168" s="1"/>
      <c r="L168" s="1"/>
      <c r="M168" s="10"/>
      <c r="N168" s="147"/>
      <c r="O168" s="16"/>
      <c r="P168" s="1"/>
    </row>
    <row r="169" spans="1:16">
      <c r="A169" s="6"/>
      <c r="B169" s="7"/>
      <c r="C169" s="6"/>
      <c r="D169" s="140"/>
      <c r="E169" s="140"/>
      <c r="F169" s="1"/>
      <c r="G169" s="9"/>
      <c r="H169" s="9"/>
      <c r="I169" s="5"/>
      <c r="J169" s="1"/>
      <c r="K169" s="1"/>
      <c r="L169" s="1"/>
      <c r="M169" s="10"/>
      <c r="N169" s="5"/>
      <c r="O169" s="16"/>
      <c r="P169" s="1"/>
    </row>
    <row r="170" spans="1:16">
      <c r="A170" s="6"/>
      <c r="B170" s="7"/>
      <c r="C170" s="6"/>
      <c r="D170" s="160"/>
      <c r="E170" s="157"/>
      <c r="F170" s="1"/>
      <c r="G170" s="9"/>
      <c r="H170" s="9"/>
      <c r="I170" s="5"/>
      <c r="J170" s="1"/>
      <c r="K170" s="1"/>
      <c r="L170" s="1"/>
      <c r="M170" s="10"/>
      <c r="N170" s="5"/>
      <c r="O170" s="16"/>
      <c r="P170" s="1"/>
    </row>
    <row r="171" spans="1:16">
      <c r="A171" s="6"/>
      <c r="B171" s="7"/>
      <c r="C171" s="6"/>
      <c r="D171" s="140"/>
      <c r="E171" s="157"/>
      <c r="F171" s="1"/>
      <c r="G171" s="9"/>
      <c r="H171" s="9"/>
      <c r="I171" s="5"/>
      <c r="J171" s="1"/>
      <c r="K171" s="1"/>
      <c r="L171" s="1"/>
      <c r="M171" s="10"/>
      <c r="N171" s="5"/>
      <c r="O171" s="16"/>
      <c r="P171" s="1"/>
    </row>
    <row r="172" spans="1:16">
      <c r="A172" s="6"/>
      <c r="B172" s="7"/>
      <c r="C172" s="6"/>
      <c r="D172" s="140"/>
      <c r="E172" s="140"/>
      <c r="F172" s="1"/>
      <c r="G172" s="9"/>
      <c r="H172" s="9"/>
      <c r="I172" s="5"/>
      <c r="J172" s="1"/>
      <c r="K172" s="1"/>
      <c r="L172" s="1"/>
      <c r="M172" s="10"/>
      <c r="N172" s="5"/>
      <c r="O172" s="16"/>
      <c r="P172" s="1"/>
    </row>
    <row r="173" spans="1:16">
      <c r="A173" s="6"/>
      <c r="B173" s="7"/>
      <c r="C173" s="6"/>
      <c r="D173" s="140"/>
      <c r="E173" s="157"/>
      <c r="F173" s="1"/>
      <c r="G173" s="9"/>
      <c r="H173" s="9"/>
      <c r="I173" s="5"/>
      <c r="J173" s="1"/>
      <c r="K173" s="1"/>
      <c r="L173" s="1"/>
      <c r="M173" s="10"/>
      <c r="N173" s="5"/>
      <c r="O173" s="16"/>
      <c r="P173" s="1"/>
    </row>
    <row r="174" spans="1:16">
      <c r="A174" s="6"/>
      <c r="B174" s="7"/>
      <c r="C174" s="6"/>
      <c r="D174" s="140"/>
      <c r="E174" s="140"/>
      <c r="F174" s="1"/>
      <c r="G174" s="9"/>
      <c r="H174" s="9"/>
      <c r="I174" s="5"/>
      <c r="J174" s="1"/>
      <c r="K174" s="1"/>
      <c r="L174" s="1"/>
      <c r="M174" s="10"/>
      <c r="N174" s="5"/>
      <c r="O174" s="16"/>
      <c r="P174" s="1"/>
    </row>
    <row r="175" spans="1:16">
      <c r="A175" s="6"/>
      <c r="B175" s="7"/>
      <c r="C175" s="140"/>
      <c r="D175" s="140"/>
      <c r="E175" s="140"/>
      <c r="F175" s="1"/>
      <c r="G175" s="9"/>
      <c r="H175" s="9"/>
      <c r="I175" s="5"/>
      <c r="J175" s="1"/>
      <c r="K175" s="1"/>
      <c r="L175" s="1"/>
      <c r="M175" s="10"/>
      <c r="N175" s="5"/>
      <c r="O175" s="16"/>
      <c r="P175" s="1"/>
    </row>
    <row r="176" spans="1:16">
      <c r="A176" s="6"/>
      <c r="B176" s="7"/>
      <c r="C176" s="140"/>
      <c r="D176" s="140"/>
      <c r="E176" s="157"/>
      <c r="F176" s="1"/>
      <c r="G176" s="9"/>
      <c r="H176" s="9"/>
      <c r="I176" s="5"/>
      <c r="J176" s="1"/>
      <c r="K176" s="1"/>
      <c r="L176" s="1"/>
      <c r="M176" s="10"/>
      <c r="N176" s="5"/>
      <c r="O176" s="16"/>
      <c r="P176" s="1"/>
    </row>
    <row r="177" spans="1:16">
      <c r="A177" s="6"/>
      <c r="B177" s="7"/>
      <c r="C177" s="140"/>
      <c r="D177" s="140"/>
      <c r="E177" s="140"/>
      <c r="F177" s="1"/>
      <c r="G177" s="9"/>
      <c r="H177" s="9"/>
      <c r="I177" s="5"/>
      <c r="J177" s="1"/>
      <c r="K177" s="1"/>
      <c r="L177" s="1"/>
      <c r="M177" s="10"/>
      <c r="N177" s="5"/>
      <c r="O177" s="16"/>
      <c r="P177" s="1"/>
    </row>
    <row r="178" spans="1:16">
      <c r="A178" s="6"/>
      <c r="B178" s="7"/>
      <c r="C178" s="140"/>
      <c r="D178" s="140"/>
      <c r="E178" s="157"/>
      <c r="F178" s="1"/>
      <c r="G178" s="9"/>
      <c r="H178" s="9"/>
      <c r="I178" s="5"/>
      <c r="J178" s="1"/>
      <c r="K178" s="1"/>
      <c r="L178" s="1"/>
      <c r="M178" s="10"/>
      <c r="N178" s="169"/>
      <c r="O178" s="16"/>
      <c r="P178" s="1"/>
    </row>
    <row r="179" spans="1:16">
      <c r="A179" s="6"/>
      <c r="B179" s="7"/>
      <c r="C179" s="6"/>
      <c r="D179" s="140"/>
      <c r="E179" s="157"/>
      <c r="F179" s="1"/>
      <c r="G179" s="9"/>
      <c r="H179" s="9"/>
      <c r="I179" s="5"/>
      <c r="J179" s="1"/>
      <c r="K179" s="1"/>
      <c r="L179" s="1"/>
      <c r="M179" s="9"/>
      <c r="N179" s="147"/>
      <c r="O179" s="16"/>
      <c r="P179" s="1"/>
    </row>
    <row r="180" spans="1:16">
      <c r="A180" s="6"/>
      <c r="B180" s="7"/>
      <c r="C180" s="6"/>
      <c r="D180" s="140"/>
      <c r="E180" s="157"/>
      <c r="F180" s="1"/>
      <c r="G180" s="9"/>
      <c r="H180" s="9"/>
      <c r="I180" s="5"/>
      <c r="J180" s="1"/>
      <c r="K180" s="1"/>
      <c r="L180" s="1"/>
      <c r="M180" s="9"/>
      <c r="N180" s="5"/>
      <c r="O180" s="16"/>
      <c r="P180" s="1"/>
    </row>
    <row r="181" spans="1:16">
      <c r="A181" s="6"/>
      <c r="B181" s="7"/>
      <c r="C181" s="6"/>
      <c r="D181" s="140"/>
      <c r="E181" s="157"/>
      <c r="F181" s="1"/>
      <c r="G181" s="9"/>
      <c r="H181" s="9"/>
      <c r="I181" s="5"/>
      <c r="J181" s="1"/>
      <c r="K181" s="1"/>
      <c r="L181" s="1"/>
      <c r="M181" s="9"/>
      <c r="N181" s="5"/>
      <c r="O181" s="16"/>
      <c r="P181" s="1"/>
    </row>
    <row r="182" spans="1:16">
      <c r="A182" s="6"/>
      <c r="B182" s="7"/>
      <c r="C182" s="6"/>
      <c r="D182" s="140"/>
      <c r="E182" s="157"/>
      <c r="F182" s="1"/>
      <c r="G182" s="9"/>
      <c r="H182" s="9"/>
      <c r="I182" s="5"/>
      <c r="J182" s="1"/>
      <c r="K182" s="1"/>
      <c r="L182" s="1"/>
      <c r="M182" s="9"/>
      <c r="N182" s="5"/>
      <c r="O182" s="16"/>
      <c r="P182" s="1"/>
    </row>
    <row r="183" spans="1:16">
      <c r="A183" s="6"/>
      <c r="B183" s="7"/>
      <c r="C183" s="6"/>
      <c r="D183" s="140"/>
      <c r="E183" s="157"/>
      <c r="F183" s="1"/>
      <c r="G183" s="9"/>
      <c r="H183" s="9"/>
      <c r="I183" s="5"/>
      <c r="J183" s="1"/>
      <c r="K183" s="1"/>
      <c r="L183" s="1"/>
      <c r="M183" s="9"/>
      <c r="N183" s="5"/>
      <c r="O183" s="16"/>
      <c r="P183" s="1"/>
    </row>
    <row r="184" spans="1:16">
      <c r="A184" s="6"/>
      <c r="B184" s="7"/>
      <c r="C184" s="6"/>
      <c r="D184" s="140"/>
      <c r="E184" s="157"/>
      <c r="F184" s="1"/>
      <c r="G184" s="9"/>
      <c r="H184" s="9"/>
      <c r="I184" s="5"/>
      <c r="J184" s="1"/>
      <c r="K184" s="1"/>
      <c r="L184" s="1"/>
      <c r="M184" s="9"/>
      <c r="N184" s="5"/>
      <c r="O184" s="16"/>
      <c r="P184" s="1"/>
    </row>
    <row r="185" spans="1:16">
      <c r="A185" s="6"/>
      <c r="B185" s="7"/>
      <c r="C185" s="6"/>
      <c r="D185" s="140"/>
      <c r="E185" s="157"/>
      <c r="F185" s="1"/>
      <c r="G185" s="9"/>
      <c r="H185" s="9"/>
      <c r="I185" s="5"/>
      <c r="J185" s="1"/>
      <c r="K185" s="1"/>
      <c r="L185" s="1"/>
      <c r="M185" s="9"/>
      <c r="N185" s="5"/>
      <c r="O185" s="16"/>
      <c r="P185" s="1"/>
    </row>
    <row r="186" spans="1:16">
      <c r="A186" s="6"/>
      <c r="B186" s="7"/>
      <c r="C186" s="6"/>
      <c r="D186" s="140"/>
      <c r="E186" s="157"/>
      <c r="F186" s="1"/>
      <c r="G186" s="9"/>
      <c r="H186" s="9"/>
      <c r="I186" s="5"/>
      <c r="J186" s="1"/>
      <c r="K186" s="1"/>
      <c r="L186" s="1"/>
      <c r="M186" s="9"/>
      <c r="N186" s="5"/>
      <c r="O186" s="16"/>
      <c r="P186" s="1"/>
    </row>
    <row r="187" spans="1:16">
      <c r="A187" s="6"/>
      <c r="B187" s="7"/>
      <c r="C187" s="6"/>
      <c r="D187" s="140"/>
      <c r="E187" s="157"/>
      <c r="F187" s="1"/>
      <c r="G187" s="9"/>
      <c r="H187" s="9"/>
      <c r="I187" s="5"/>
      <c r="J187" s="1"/>
      <c r="K187" s="1"/>
      <c r="L187" s="1"/>
      <c r="M187" s="9"/>
      <c r="N187" s="5"/>
      <c r="O187" s="16"/>
      <c r="P187" s="1"/>
    </row>
    <row r="188" spans="1:16">
      <c r="A188" s="6"/>
      <c r="B188" s="7"/>
      <c r="C188" s="6"/>
      <c r="D188" s="140"/>
      <c r="E188" s="157"/>
      <c r="F188" s="1"/>
      <c r="G188" s="9"/>
      <c r="H188" s="9"/>
      <c r="I188" s="5"/>
      <c r="J188" s="1"/>
      <c r="K188" s="1"/>
      <c r="L188" s="1"/>
      <c r="M188" s="9"/>
      <c r="N188" s="5"/>
      <c r="O188" s="16"/>
      <c r="P188" s="1"/>
    </row>
    <row r="189" spans="1:16">
      <c r="A189" s="6"/>
      <c r="B189" s="7"/>
      <c r="C189" s="6"/>
      <c r="D189" s="140"/>
      <c r="E189" s="157"/>
      <c r="F189" s="1"/>
      <c r="G189" s="9"/>
      <c r="H189" s="9"/>
      <c r="I189" s="5"/>
      <c r="J189" s="1"/>
      <c r="K189" s="1"/>
      <c r="L189" s="1"/>
      <c r="M189" s="9"/>
      <c r="N189" s="5"/>
      <c r="O189" s="16"/>
      <c r="P189" s="1"/>
    </row>
    <row r="190" spans="1:16">
      <c r="A190" s="6"/>
      <c r="B190" s="7"/>
      <c r="C190" s="6"/>
      <c r="D190" s="140"/>
      <c r="E190" s="157"/>
      <c r="F190" s="1"/>
      <c r="G190" s="9"/>
      <c r="H190" s="9"/>
      <c r="I190" s="5"/>
      <c r="J190" s="1"/>
      <c r="K190" s="1"/>
      <c r="L190" s="1"/>
      <c r="M190" s="9"/>
      <c r="N190" s="5"/>
      <c r="O190" s="16"/>
      <c r="P190" s="1"/>
    </row>
    <row r="191" spans="1:16">
      <c r="A191" s="6"/>
      <c r="B191" s="7"/>
      <c r="C191" s="6"/>
      <c r="D191" s="140"/>
      <c r="E191" s="157"/>
      <c r="F191" s="1"/>
      <c r="G191" s="9"/>
      <c r="H191" s="9"/>
      <c r="I191" s="5"/>
      <c r="J191" s="1"/>
      <c r="K191" s="1"/>
      <c r="L191" s="1"/>
      <c r="M191" s="9"/>
      <c r="N191" s="5"/>
      <c r="O191" s="16"/>
      <c r="P191" s="1"/>
    </row>
    <row r="192" spans="1:16">
      <c r="A192" s="6"/>
      <c r="B192" s="7"/>
      <c r="C192" s="6"/>
      <c r="D192" s="140"/>
      <c r="E192" s="140"/>
      <c r="F192" s="1"/>
      <c r="G192" s="9"/>
      <c r="H192" s="9"/>
      <c r="I192" s="5"/>
      <c r="J192" s="1"/>
      <c r="K192" s="1"/>
      <c r="L192" s="1"/>
      <c r="M192" s="9"/>
      <c r="N192" s="5"/>
      <c r="O192" s="16"/>
      <c r="P192" s="1"/>
    </row>
    <row r="193" spans="1:16">
      <c r="A193" s="6"/>
      <c r="B193" s="7"/>
      <c r="C193" s="6"/>
      <c r="D193" s="123"/>
      <c r="E193" s="124"/>
      <c r="F193" s="1"/>
      <c r="G193" s="9"/>
      <c r="H193" s="9"/>
      <c r="I193" s="5"/>
      <c r="J193" s="1"/>
      <c r="K193" s="1"/>
      <c r="L193" s="1"/>
      <c r="M193" s="9"/>
      <c r="N193" s="5"/>
      <c r="O193" s="16"/>
      <c r="P193" s="1"/>
    </row>
    <row r="194" spans="1:16">
      <c r="A194" s="6"/>
      <c r="B194" s="7"/>
      <c r="C194" s="6"/>
      <c r="D194" s="140"/>
      <c r="E194" s="140"/>
      <c r="F194" s="1"/>
      <c r="G194" s="9"/>
      <c r="H194" s="9"/>
      <c r="I194" s="5"/>
      <c r="J194" s="1"/>
      <c r="K194" s="1"/>
      <c r="L194" s="1"/>
      <c r="M194" s="9"/>
      <c r="N194" s="5"/>
      <c r="O194" s="16"/>
      <c r="P194" s="1"/>
    </row>
    <row r="195" spans="1:16">
      <c r="A195" s="6"/>
      <c r="B195" s="7"/>
      <c r="C195" s="6"/>
      <c r="D195" s="140"/>
      <c r="E195" s="157"/>
      <c r="F195" s="1"/>
      <c r="G195" s="9"/>
      <c r="H195" s="9"/>
      <c r="I195" s="5"/>
      <c r="J195" s="1"/>
      <c r="K195" s="1"/>
      <c r="L195" s="1"/>
      <c r="M195" s="9"/>
      <c r="N195" s="5"/>
      <c r="O195" s="16"/>
      <c r="P195" s="1"/>
    </row>
    <row r="196" spans="1:16">
      <c r="A196" s="6"/>
      <c r="B196" s="7"/>
      <c r="C196" s="6"/>
      <c r="D196" s="140"/>
      <c r="E196" s="157"/>
      <c r="F196" s="1"/>
      <c r="G196" s="9"/>
      <c r="H196" s="9"/>
      <c r="I196" s="5"/>
      <c r="J196" s="1"/>
      <c r="K196" s="1"/>
      <c r="L196" s="1"/>
      <c r="M196" s="9"/>
      <c r="N196" s="16"/>
      <c r="O196" s="16"/>
      <c r="P196" s="1"/>
    </row>
    <row r="197" spans="1:16">
      <c r="A197" s="6"/>
      <c r="B197" s="7"/>
      <c r="C197" s="6"/>
      <c r="D197" s="140"/>
      <c r="E197" s="157"/>
      <c r="F197" s="1"/>
      <c r="G197" s="9"/>
      <c r="H197" s="9"/>
      <c r="I197" s="5"/>
      <c r="J197" s="1"/>
      <c r="K197" s="1"/>
      <c r="L197" s="1"/>
      <c r="M197" s="9"/>
      <c r="N197" s="5"/>
      <c r="O197" s="16"/>
      <c r="P197" s="1"/>
    </row>
    <row r="198" spans="1:16">
      <c r="A198" s="6"/>
      <c r="B198" s="7"/>
      <c r="C198" s="6"/>
      <c r="D198" s="140"/>
      <c r="E198" s="157"/>
      <c r="F198" s="1"/>
      <c r="G198" s="9"/>
      <c r="H198" s="9"/>
      <c r="I198" s="5"/>
      <c r="J198" s="1"/>
      <c r="K198" s="1"/>
      <c r="L198" s="1"/>
      <c r="M198" s="9"/>
      <c r="N198" s="5"/>
      <c r="O198" s="16"/>
      <c r="P198" s="1"/>
    </row>
    <row r="199" spans="1:16">
      <c r="A199" s="6"/>
      <c r="B199" s="7"/>
      <c r="C199" s="6"/>
      <c r="D199" s="140"/>
      <c r="E199" s="157"/>
      <c r="F199" s="1"/>
      <c r="G199" s="9"/>
      <c r="H199" s="9"/>
      <c r="I199" s="5"/>
      <c r="J199" s="1"/>
      <c r="K199" s="1"/>
      <c r="L199" s="1"/>
      <c r="M199" s="9"/>
      <c r="N199" s="5"/>
      <c r="O199" s="16"/>
      <c r="P199" s="1"/>
    </row>
    <row r="200" spans="1:16">
      <c r="A200" s="6"/>
      <c r="B200" s="7"/>
      <c r="C200" s="6"/>
      <c r="D200" s="140"/>
      <c r="E200" s="157"/>
      <c r="F200" s="1"/>
      <c r="G200" s="9"/>
      <c r="H200" s="9"/>
      <c r="I200" s="5"/>
      <c r="J200" s="1"/>
      <c r="K200" s="1"/>
      <c r="L200" s="1"/>
      <c r="M200" s="9"/>
      <c r="N200" s="5"/>
      <c r="O200" s="16"/>
      <c r="P200" s="1"/>
    </row>
    <row r="201" spans="1:16">
      <c r="A201" s="6"/>
      <c r="B201" s="7"/>
      <c r="C201" s="6"/>
      <c r="D201" s="140"/>
      <c r="E201" s="157"/>
      <c r="F201" s="1"/>
      <c r="G201" s="9"/>
      <c r="H201" s="9"/>
      <c r="I201" s="5"/>
      <c r="J201" s="1"/>
      <c r="K201" s="1"/>
      <c r="L201" s="1"/>
      <c r="M201" s="9"/>
      <c r="N201" s="5"/>
      <c r="O201" s="16"/>
      <c r="P201" s="1"/>
    </row>
    <row r="202" spans="1:16">
      <c r="A202" s="6"/>
      <c r="B202" s="7"/>
      <c r="C202" s="6"/>
      <c r="D202" s="140"/>
      <c r="E202" s="157"/>
      <c r="F202" s="1"/>
      <c r="G202" s="9"/>
      <c r="H202" s="9"/>
      <c r="I202" s="5"/>
      <c r="J202" s="1"/>
      <c r="K202" s="1"/>
      <c r="L202" s="1"/>
      <c r="M202" s="9"/>
      <c r="N202" s="5"/>
      <c r="O202" s="16"/>
      <c r="P202" s="1"/>
    </row>
    <row r="203" spans="1:16">
      <c r="A203" s="6"/>
      <c r="B203" s="7"/>
      <c r="C203" s="6"/>
      <c r="D203" s="140"/>
      <c r="E203" s="157"/>
      <c r="F203" s="1"/>
      <c r="G203" s="9"/>
      <c r="H203" s="9"/>
      <c r="I203" s="5"/>
      <c r="J203" s="1"/>
      <c r="K203" s="1"/>
      <c r="L203" s="1"/>
      <c r="M203" s="9"/>
      <c r="N203" s="5"/>
      <c r="O203" s="16"/>
      <c r="P203" s="1"/>
    </row>
    <row r="204" spans="1:16">
      <c r="A204" s="6"/>
      <c r="B204" s="7"/>
      <c r="C204" s="6"/>
      <c r="D204" s="140"/>
      <c r="E204" s="157"/>
      <c r="F204" s="1"/>
      <c r="G204" s="9"/>
      <c r="H204" s="9"/>
      <c r="I204" s="5"/>
      <c r="J204" s="1"/>
      <c r="K204" s="1"/>
      <c r="L204" s="1"/>
      <c r="M204" s="9"/>
      <c r="N204" s="5"/>
      <c r="O204" s="16"/>
      <c r="P204" s="1"/>
    </row>
    <row r="205" spans="1:16">
      <c r="A205" s="6"/>
      <c r="B205" s="7"/>
      <c r="C205" s="144"/>
      <c r="D205" s="140"/>
      <c r="E205" s="157"/>
      <c r="F205" s="1"/>
      <c r="G205" s="9"/>
      <c r="H205" s="9"/>
      <c r="I205" s="5"/>
      <c r="J205" s="1"/>
      <c r="K205" s="1"/>
      <c r="L205" s="1"/>
      <c r="M205" s="9"/>
      <c r="N205" s="5"/>
      <c r="O205" s="16"/>
      <c r="P205" s="1"/>
    </row>
    <row r="206" spans="1:16">
      <c r="A206" s="6"/>
      <c r="B206" s="7"/>
      <c r="C206" s="6"/>
      <c r="D206" s="140"/>
      <c r="E206" s="157"/>
      <c r="F206" s="1"/>
      <c r="G206" s="9"/>
      <c r="H206" s="9"/>
      <c r="I206" s="5"/>
      <c r="J206" s="1"/>
      <c r="K206" s="1"/>
      <c r="L206" s="1"/>
      <c r="M206" s="9"/>
      <c r="N206" s="5"/>
      <c r="O206" s="16"/>
      <c r="P206" s="1"/>
    </row>
    <row r="207" spans="1:16">
      <c r="A207" s="6"/>
      <c r="B207" s="7"/>
      <c r="C207" s="134"/>
      <c r="D207" s="140"/>
      <c r="E207" s="140"/>
      <c r="F207" s="1"/>
      <c r="G207" s="9"/>
      <c r="H207" s="9"/>
      <c r="I207" s="5"/>
      <c r="J207" s="1"/>
      <c r="K207" s="1"/>
      <c r="L207" s="1"/>
      <c r="M207" s="9"/>
      <c r="N207" s="5"/>
      <c r="O207" s="16"/>
      <c r="P207" s="1"/>
    </row>
    <row r="208" spans="1:16">
      <c r="A208" s="6"/>
      <c r="B208" s="7"/>
      <c r="C208" s="6"/>
      <c r="D208" s="140"/>
      <c r="E208" s="140"/>
      <c r="F208" s="1"/>
      <c r="G208" s="9"/>
      <c r="H208" s="9"/>
      <c r="I208" s="5"/>
      <c r="J208" s="1"/>
      <c r="K208" s="1"/>
      <c r="L208" s="1"/>
      <c r="M208" s="9"/>
      <c r="N208" s="5"/>
      <c r="O208" s="16"/>
      <c r="P208" s="1"/>
    </row>
    <row r="209" spans="1:16">
      <c r="A209" s="6"/>
      <c r="B209" s="7"/>
      <c r="C209" s="6"/>
      <c r="D209" s="140"/>
      <c r="E209" s="140"/>
      <c r="F209" s="1"/>
      <c r="G209" s="9"/>
      <c r="H209" s="9"/>
      <c r="I209" s="5"/>
      <c r="J209" s="1"/>
      <c r="K209" s="1"/>
      <c r="L209" s="1"/>
      <c r="M209" s="9"/>
      <c r="N209" s="5"/>
      <c r="O209" s="16"/>
      <c r="P209" s="1"/>
    </row>
    <row r="210" spans="1:16">
      <c r="A210" s="6"/>
      <c r="B210" s="7"/>
      <c r="C210" s="6"/>
      <c r="D210" s="140"/>
      <c r="E210" s="157"/>
      <c r="F210" s="1"/>
      <c r="G210" s="9"/>
      <c r="H210" s="9"/>
      <c r="I210" s="5"/>
      <c r="J210" s="1"/>
      <c r="K210" s="1"/>
      <c r="L210" s="1"/>
      <c r="M210" s="9"/>
      <c r="N210" s="5"/>
      <c r="O210" s="16"/>
      <c r="P210" s="1"/>
    </row>
    <row r="211" spans="1:16">
      <c r="A211" s="6"/>
      <c r="B211" s="7"/>
      <c r="C211" s="6"/>
      <c r="D211" s="140"/>
      <c r="E211" s="157"/>
      <c r="F211" s="1"/>
      <c r="G211" s="9"/>
      <c r="H211" s="9"/>
      <c r="I211" s="5"/>
      <c r="J211" s="1"/>
      <c r="K211" s="1"/>
      <c r="L211" s="1"/>
      <c r="M211" s="9"/>
      <c r="N211" s="5"/>
      <c r="O211" s="16"/>
      <c r="P211" s="1"/>
    </row>
    <row r="212" spans="1:16">
      <c r="A212" s="6"/>
      <c r="B212" s="7"/>
      <c r="C212" s="6"/>
      <c r="D212" s="140"/>
      <c r="E212" s="157"/>
      <c r="F212" s="1"/>
      <c r="G212" s="9"/>
      <c r="H212" s="9"/>
      <c r="I212" s="5"/>
      <c r="J212" s="1"/>
      <c r="K212" s="1"/>
      <c r="L212" s="1"/>
      <c r="M212" s="9"/>
      <c r="N212" s="5"/>
      <c r="O212" s="16"/>
      <c r="P212" s="1"/>
    </row>
    <row r="213" spans="1:16">
      <c r="A213" s="6"/>
      <c r="B213" s="7"/>
      <c r="C213" s="6"/>
      <c r="D213" s="140"/>
      <c r="E213" s="157"/>
      <c r="F213" s="1"/>
      <c r="G213" s="9"/>
      <c r="H213" s="9"/>
      <c r="I213" s="5"/>
      <c r="J213" s="1"/>
      <c r="K213" s="1"/>
      <c r="L213" s="1"/>
      <c r="M213" s="9"/>
      <c r="N213" s="5"/>
      <c r="O213" s="16"/>
      <c r="P213" s="1"/>
    </row>
    <row r="214" spans="1:16">
      <c r="A214" s="6"/>
      <c r="B214" s="7"/>
      <c r="C214" s="6"/>
      <c r="D214" s="140"/>
      <c r="E214" s="157"/>
      <c r="F214" s="1"/>
      <c r="G214" s="9"/>
      <c r="H214" s="9"/>
      <c r="I214" s="5"/>
      <c r="J214" s="1"/>
      <c r="K214" s="1"/>
      <c r="L214" s="1"/>
      <c r="M214" s="9"/>
      <c r="N214" s="5"/>
      <c r="O214" s="16"/>
      <c r="P214" s="1"/>
    </row>
    <row r="215" spans="1:16">
      <c r="B215" s="7"/>
      <c r="C215" s="1"/>
      <c r="D215" s="140"/>
      <c r="E215" s="157"/>
      <c r="F215" s="1"/>
      <c r="G215" s="9"/>
      <c r="H215" s="9"/>
      <c r="I215" s="5"/>
      <c r="J215" s="1"/>
      <c r="K215" s="1"/>
      <c r="L215" s="1"/>
      <c r="M215" s="9"/>
      <c r="N215" s="5"/>
      <c r="O215" s="16"/>
      <c r="P215" s="1"/>
    </row>
    <row r="216" spans="1:16">
      <c r="A216" s="6"/>
      <c r="B216" s="7"/>
      <c r="C216" s="6"/>
      <c r="D216" s="140"/>
      <c r="E216" s="157"/>
      <c r="F216" s="1"/>
      <c r="G216" s="9"/>
      <c r="H216" s="9"/>
      <c r="I216" s="5"/>
      <c r="J216" s="1"/>
      <c r="K216" s="1"/>
      <c r="L216" s="1"/>
      <c r="M216" s="9"/>
      <c r="N216" s="5"/>
      <c r="O216" s="16"/>
      <c r="P216" s="1"/>
    </row>
    <row r="217" spans="1:16">
      <c r="A217" s="6"/>
      <c r="B217" s="7"/>
      <c r="C217" s="6"/>
      <c r="D217" s="140"/>
      <c r="E217" s="157"/>
      <c r="F217" s="1"/>
      <c r="G217" s="9"/>
      <c r="H217" s="9"/>
      <c r="I217" s="5"/>
      <c r="J217" s="1"/>
      <c r="K217" s="1"/>
      <c r="L217" s="1"/>
      <c r="M217" s="9"/>
      <c r="N217" s="5"/>
      <c r="O217" s="16"/>
      <c r="P217" s="1"/>
    </row>
    <row r="218" spans="1:16">
      <c r="A218" s="6"/>
      <c r="B218" s="7"/>
      <c r="C218" s="6"/>
      <c r="D218" s="140"/>
      <c r="E218" s="157"/>
      <c r="F218" s="1"/>
      <c r="G218" s="9"/>
      <c r="H218" s="9"/>
      <c r="I218" s="5"/>
      <c r="J218" s="1"/>
      <c r="K218" s="1"/>
      <c r="L218" s="1"/>
      <c r="M218" s="9"/>
      <c r="N218" s="5"/>
      <c r="O218" s="16"/>
      <c r="P218" s="1"/>
    </row>
    <row r="219" spans="1:16">
      <c r="A219" s="6"/>
      <c r="B219" s="7"/>
      <c r="C219" s="6"/>
      <c r="D219" s="140"/>
      <c r="E219" s="157"/>
      <c r="F219" s="1"/>
      <c r="G219" s="9"/>
      <c r="H219" s="9"/>
      <c r="I219" s="5"/>
      <c r="J219" s="1"/>
      <c r="K219" s="1"/>
      <c r="L219" s="1"/>
      <c r="M219" s="9"/>
      <c r="N219" s="5"/>
      <c r="O219" s="16"/>
      <c r="P219" s="1"/>
    </row>
    <row r="220" spans="1:16">
      <c r="A220" s="6"/>
      <c r="B220" s="7"/>
      <c r="C220" s="6"/>
      <c r="D220" s="140"/>
      <c r="E220" s="157"/>
      <c r="F220" s="1"/>
      <c r="G220" s="9"/>
      <c r="H220" s="9"/>
      <c r="I220" s="5"/>
      <c r="J220" s="1"/>
      <c r="K220" s="1"/>
      <c r="L220" s="1"/>
      <c r="M220" s="9"/>
      <c r="N220" s="5"/>
      <c r="O220" s="16"/>
      <c r="P220" s="1"/>
    </row>
    <row r="221" spans="1:16">
      <c r="A221" s="6"/>
      <c r="B221" s="7"/>
      <c r="C221" s="6"/>
      <c r="D221" s="140"/>
      <c r="E221" s="157"/>
      <c r="F221" s="1"/>
      <c r="G221" s="9"/>
      <c r="H221" s="9"/>
      <c r="I221" s="5"/>
      <c r="J221" s="1"/>
      <c r="K221" s="1"/>
      <c r="L221" s="1"/>
      <c r="M221" s="9"/>
      <c r="N221" s="5"/>
      <c r="O221" s="16"/>
      <c r="P221" s="1"/>
    </row>
    <row r="222" spans="1:16">
      <c r="A222" s="6"/>
      <c r="B222" s="7"/>
      <c r="C222" s="6"/>
      <c r="D222" s="140"/>
      <c r="E222" s="157"/>
      <c r="F222" s="1"/>
      <c r="G222" s="9"/>
      <c r="H222" s="9"/>
      <c r="I222" s="5"/>
      <c r="J222" s="1"/>
      <c r="K222" s="1"/>
      <c r="L222" s="1"/>
      <c r="M222" s="9"/>
      <c r="N222" s="5"/>
      <c r="O222" s="16"/>
      <c r="P222" s="1"/>
    </row>
    <row r="223" spans="1:16">
      <c r="A223" s="6"/>
      <c r="B223" s="7"/>
      <c r="C223" s="6"/>
      <c r="D223" s="140"/>
      <c r="E223" s="157"/>
      <c r="F223" s="1"/>
      <c r="G223" s="9"/>
      <c r="H223" s="9"/>
      <c r="I223" s="5"/>
      <c r="J223" s="1"/>
      <c r="K223" s="1"/>
      <c r="L223" s="1"/>
      <c r="M223" s="9"/>
      <c r="N223" s="5"/>
      <c r="O223" s="16"/>
      <c r="P223" s="1"/>
    </row>
    <row r="224" spans="1:16">
      <c r="A224" s="6"/>
      <c r="B224" s="7"/>
      <c r="C224" s="6"/>
      <c r="D224" s="140"/>
      <c r="E224" s="140"/>
      <c r="F224" s="1"/>
      <c r="G224" s="9"/>
      <c r="H224" s="9"/>
      <c r="I224" s="5"/>
      <c r="J224" s="1"/>
      <c r="K224" s="1"/>
      <c r="L224" s="1"/>
      <c r="M224" s="9"/>
      <c r="N224" s="5"/>
      <c r="O224" s="16"/>
      <c r="P224" s="1"/>
    </row>
    <row r="225" spans="1:16">
      <c r="A225" s="6"/>
      <c r="B225" s="7"/>
      <c r="C225" s="6"/>
      <c r="D225" s="140"/>
      <c r="E225" s="157"/>
      <c r="F225" s="1"/>
      <c r="G225" s="9"/>
      <c r="H225" s="9"/>
      <c r="I225" s="5"/>
      <c r="J225" s="1"/>
      <c r="K225" s="1"/>
      <c r="L225" s="1"/>
      <c r="M225" s="9"/>
      <c r="N225" s="5"/>
      <c r="O225" s="16"/>
      <c r="P225" s="1"/>
    </row>
    <row r="226" spans="1:16">
      <c r="A226" s="6"/>
      <c r="B226" s="7"/>
      <c r="C226" s="6"/>
      <c r="D226" s="140"/>
      <c r="E226" s="157"/>
      <c r="F226" s="1"/>
      <c r="G226" s="9"/>
      <c r="H226" s="9"/>
      <c r="I226" s="5"/>
      <c r="J226" s="1"/>
      <c r="K226" s="1"/>
      <c r="L226" s="1"/>
      <c r="M226" s="9"/>
      <c r="N226" s="5"/>
      <c r="O226" s="16"/>
      <c r="P226" s="1"/>
    </row>
    <row r="227" spans="1:16">
      <c r="A227" s="6"/>
      <c r="B227" s="7"/>
      <c r="C227" s="6"/>
      <c r="D227" s="158"/>
      <c r="E227" s="157"/>
      <c r="F227" s="1"/>
      <c r="G227" s="9"/>
      <c r="H227" s="9"/>
      <c r="I227" s="5"/>
      <c r="J227" s="1"/>
      <c r="K227" s="1"/>
      <c r="L227" s="1"/>
      <c r="M227" s="9"/>
      <c r="N227" s="5"/>
      <c r="O227" s="16"/>
      <c r="P227" s="1"/>
    </row>
    <row r="228" spans="1:16">
      <c r="A228" s="6"/>
      <c r="B228" s="7"/>
      <c r="C228" s="6"/>
      <c r="D228" s="140"/>
      <c r="E228" s="157"/>
      <c r="F228" s="1"/>
      <c r="G228" s="9"/>
      <c r="H228" s="9"/>
      <c r="I228" s="5"/>
      <c r="J228" s="1"/>
      <c r="K228" s="1"/>
      <c r="L228" s="1"/>
      <c r="M228" s="9"/>
      <c r="N228" s="5"/>
      <c r="O228" s="16"/>
      <c r="P228" s="1"/>
    </row>
    <row r="229" spans="1:16">
      <c r="A229" s="6"/>
      <c r="B229" s="7"/>
      <c r="C229" s="6"/>
      <c r="D229" s="140"/>
      <c r="E229" s="157"/>
      <c r="F229" s="1"/>
      <c r="G229" s="9"/>
      <c r="H229" s="9"/>
      <c r="I229" s="5"/>
      <c r="J229" s="1"/>
      <c r="K229" s="1"/>
      <c r="L229" s="1"/>
      <c r="M229" s="9"/>
      <c r="N229" s="5"/>
      <c r="O229" s="16"/>
      <c r="P229" s="1"/>
    </row>
    <row r="230" spans="1:16">
      <c r="A230" s="6"/>
      <c r="B230" s="7"/>
      <c r="C230" s="6"/>
      <c r="D230" s="140"/>
      <c r="E230" s="157"/>
      <c r="F230" s="1"/>
      <c r="G230" s="9"/>
      <c r="H230" s="9"/>
      <c r="I230" s="5"/>
      <c r="J230" s="1"/>
      <c r="K230" s="1"/>
      <c r="L230" s="1"/>
      <c r="M230" s="9"/>
      <c r="N230" s="5"/>
      <c r="O230" s="16"/>
      <c r="P230" s="1"/>
    </row>
    <row r="231" spans="1:16">
      <c r="A231" s="6"/>
      <c r="B231" s="7"/>
      <c r="C231" s="6"/>
      <c r="D231" s="140"/>
      <c r="E231" s="157"/>
      <c r="F231" s="1"/>
      <c r="G231" s="9"/>
      <c r="H231" s="9"/>
      <c r="I231" s="5"/>
      <c r="J231" s="1"/>
      <c r="K231" s="1"/>
      <c r="L231" s="1"/>
      <c r="M231" s="9"/>
      <c r="N231" s="5"/>
      <c r="O231" s="16"/>
      <c r="P231" s="1"/>
    </row>
    <row r="232" spans="1:16">
      <c r="A232" s="6"/>
      <c r="B232" s="7"/>
      <c r="C232" s="6"/>
      <c r="D232" s="140"/>
      <c r="E232" s="157"/>
      <c r="F232" s="1"/>
      <c r="G232" s="9"/>
      <c r="H232" s="9"/>
      <c r="I232" s="5"/>
      <c r="J232" s="1"/>
      <c r="K232" s="1"/>
      <c r="L232" s="1"/>
      <c r="M232" s="9"/>
      <c r="N232" s="5"/>
      <c r="O232" s="16"/>
      <c r="P232" s="1"/>
    </row>
    <row r="233" spans="1:16">
      <c r="A233" s="6"/>
      <c r="B233" s="7"/>
      <c r="C233" s="6"/>
      <c r="D233" s="140"/>
      <c r="E233" s="157"/>
      <c r="F233" s="1"/>
      <c r="G233" s="9"/>
      <c r="H233" s="9"/>
      <c r="I233" s="5"/>
      <c r="J233" s="1"/>
      <c r="K233" s="1"/>
      <c r="L233" s="1"/>
      <c r="M233" s="9"/>
      <c r="N233" s="5"/>
      <c r="O233" s="16"/>
      <c r="P233" s="1"/>
    </row>
    <row r="234" spans="1:16">
      <c r="A234" s="6"/>
      <c r="B234" s="7"/>
      <c r="C234" s="6"/>
      <c r="D234" s="158"/>
      <c r="E234" s="157"/>
      <c r="F234" s="1"/>
      <c r="G234" s="9"/>
      <c r="H234" s="9"/>
      <c r="I234" s="5"/>
      <c r="J234" s="1"/>
      <c r="K234" s="1"/>
      <c r="L234" s="1"/>
      <c r="M234" s="9"/>
      <c r="N234" s="5"/>
      <c r="O234" s="16"/>
      <c r="P234" s="1"/>
    </row>
    <row r="235" spans="1:16">
      <c r="A235" s="6"/>
      <c r="B235" s="7"/>
      <c r="C235" s="6"/>
      <c r="D235" s="140"/>
      <c r="E235" s="157"/>
      <c r="F235" s="1"/>
      <c r="G235" s="9"/>
      <c r="H235" s="9"/>
      <c r="I235" s="5"/>
      <c r="J235" s="1"/>
      <c r="K235" s="1"/>
      <c r="L235" s="1"/>
      <c r="M235" s="9"/>
      <c r="N235" s="5"/>
      <c r="O235" s="16"/>
      <c r="P235" s="1"/>
    </row>
    <row r="236" spans="1:16">
      <c r="A236" s="6"/>
      <c r="B236" s="7"/>
      <c r="C236" s="6"/>
      <c r="D236" s="140"/>
      <c r="E236" s="157"/>
      <c r="F236" s="1"/>
      <c r="G236" s="9"/>
      <c r="H236" s="9"/>
      <c r="I236" s="5"/>
      <c r="J236" s="1"/>
      <c r="K236" s="1"/>
      <c r="L236" s="1"/>
      <c r="M236" s="9"/>
      <c r="N236" s="5"/>
      <c r="O236" s="16"/>
      <c r="P236" s="1"/>
    </row>
    <row r="237" spans="1:16">
      <c r="A237" s="6"/>
      <c r="B237" s="7"/>
      <c r="C237" s="6"/>
      <c r="D237" s="140"/>
      <c r="E237" s="157"/>
      <c r="F237" s="1"/>
      <c r="G237" s="9"/>
      <c r="H237" s="9"/>
      <c r="I237" s="5"/>
      <c r="J237" s="1"/>
      <c r="K237" s="1"/>
      <c r="L237" s="1"/>
      <c r="M237" s="9"/>
      <c r="N237" s="5"/>
      <c r="O237" s="16"/>
      <c r="P237" s="1"/>
    </row>
    <row r="238" spans="1:16">
      <c r="A238" s="6"/>
      <c r="B238" s="7"/>
      <c r="C238" s="6"/>
      <c r="D238" s="140"/>
      <c r="E238" s="157"/>
      <c r="F238" s="1"/>
      <c r="G238" s="9"/>
      <c r="H238" s="9"/>
      <c r="I238" s="5"/>
      <c r="J238" s="1"/>
      <c r="K238" s="1"/>
      <c r="L238" s="1"/>
      <c r="M238" s="9"/>
      <c r="N238" s="5"/>
      <c r="O238" s="16"/>
      <c r="P238" s="1"/>
    </row>
    <row r="239" spans="1:16">
      <c r="A239" s="6"/>
      <c r="B239" s="7"/>
      <c r="C239" s="6"/>
      <c r="D239" s="140"/>
      <c r="E239" s="157"/>
      <c r="F239" s="1"/>
      <c r="G239" s="9"/>
      <c r="H239" s="9"/>
      <c r="I239" s="5"/>
      <c r="J239" s="1"/>
      <c r="K239" s="1"/>
      <c r="L239" s="1"/>
      <c r="M239" s="9"/>
      <c r="N239" s="5"/>
      <c r="O239" s="16"/>
      <c r="P239" s="1"/>
    </row>
    <row r="240" spans="1:16">
      <c r="A240" s="6"/>
      <c r="B240" s="7"/>
      <c r="C240" s="6"/>
      <c r="D240" s="140"/>
      <c r="E240" s="157"/>
      <c r="F240" s="1"/>
      <c r="G240" s="9"/>
      <c r="H240" s="9"/>
      <c r="I240" s="5"/>
      <c r="J240" s="1"/>
      <c r="K240" s="1"/>
      <c r="L240" s="1"/>
      <c r="M240" s="9"/>
      <c r="N240" s="5"/>
      <c r="O240" s="16"/>
      <c r="P240" s="1"/>
    </row>
    <row r="241" spans="1:16">
      <c r="A241" s="6"/>
      <c r="B241" s="7"/>
      <c r="C241" s="6"/>
      <c r="D241" s="140"/>
      <c r="E241" s="157"/>
      <c r="F241" s="1"/>
      <c r="G241" s="9"/>
      <c r="H241" s="9"/>
      <c r="I241" s="5"/>
      <c r="J241" s="1"/>
      <c r="K241" s="1"/>
      <c r="L241" s="1"/>
      <c r="M241" s="9"/>
      <c r="N241" s="5"/>
      <c r="O241" s="16"/>
      <c r="P241" s="1"/>
    </row>
    <row r="242" spans="1:16">
      <c r="A242" s="6"/>
      <c r="B242" s="7"/>
      <c r="C242" s="6"/>
      <c r="D242" s="158"/>
      <c r="E242" s="157"/>
      <c r="F242" s="1"/>
      <c r="G242" s="9"/>
      <c r="H242" s="9"/>
      <c r="I242" s="5"/>
      <c r="J242" s="1"/>
      <c r="K242" s="1"/>
      <c r="L242" s="1"/>
      <c r="M242" s="9"/>
      <c r="N242" s="5"/>
      <c r="O242" s="16"/>
      <c r="P242" s="1"/>
    </row>
    <row r="243" spans="1:16">
      <c r="A243" s="6"/>
      <c r="B243" s="7"/>
      <c r="C243" s="6"/>
      <c r="D243" s="140"/>
      <c r="E243" s="157"/>
      <c r="F243" s="1"/>
      <c r="G243" s="9"/>
      <c r="H243" s="9"/>
      <c r="I243" s="5"/>
      <c r="J243" s="1"/>
      <c r="K243" s="1"/>
      <c r="L243" s="1"/>
      <c r="M243" s="9"/>
      <c r="N243" s="5"/>
      <c r="O243" s="16"/>
      <c r="P243" s="1"/>
    </row>
    <row r="244" spans="1:16">
      <c r="A244" s="6"/>
      <c r="B244" s="7"/>
      <c r="C244" s="6"/>
      <c r="D244" s="140"/>
      <c r="E244" s="157"/>
      <c r="F244" s="1"/>
      <c r="G244" s="9"/>
      <c r="H244" s="9"/>
      <c r="I244" s="5"/>
      <c r="J244" s="1"/>
      <c r="K244" s="1"/>
      <c r="L244" s="1"/>
      <c r="M244" s="9"/>
      <c r="N244" s="5"/>
      <c r="O244" s="16"/>
      <c r="P244" s="1"/>
    </row>
    <row r="245" spans="1:16">
      <c r="A245" s="6"/>
      <c r="B245" s="7"/>
      <c r="C245" s="6"/>
      <c r="D245" s="140"/>
      <c r="E245" s="157"/>
      <c r="F245" s="1"/>
      <c r="G245" s="9"/>
      <c r="H245" s="9"/>
      <c r="I245" s="5"/>
      <c r="J245" s="1"/>
      <c r="K245" s="1"/>
      <c r="L245" s="1"/>
      <c r="M245" s="9"/>
      <c r="N245" s="147"/>
      <c r="O245" s="16"/>
      <c r="P245" s="1"/>
    </row>
    <row r="246" spans="1:16">
      <c r="A246" s="6"/>
      <c r="B246" s="7"/>
      <c r="C246" s="6"/>
      <c r="D246" s="140"/>
      <c r="E246" s="157"/>
      <c r="F246" s="1"/>
      <c r="G246" s="9"/>
      <c r="H246" s="9"/>
      <c r="I246" s="5"/>
      <c r="J246" s="1"/>
      <c r="K246" s="1"/>
      <c r="L246" s="1"/>
      <c r="M246" s="9"/>
      <c r="N246" s="147"/>
      <c r="O246" s="16"/>
      <c r="P246" s="1"/>
    </row>
    <row r="247" spans="1:16">
      <c r="A247" s="6"/>
      <c r="B247" s="7"/>
      <c r="C247" s="6"/>
      <c r="D247" s="140"/>
      <c r="E247" s="157"/>
      <c r="F247" s="1"/>
      <c r="G247" s="9"/>
      <c r="H247" s="9"/>
      <c r="I247" s="5"/>
      <c r="J247" s="1"/>
      <c r="K247" s="1"/>
      <c r="L247" s="1"/>
      <c r="M247" s="9"/>
      <c r="N247" s="5"/>
      <c r="O247" s="16"/>
      <c r="P247" s="1"/>
    </row>
    <row r="248" spans="1:16">
      <c r="A248" s="6"/>
      <c r="B248" s="7"/>
      <c r="C248" s="6"/>
      <c r="D248" s="140"/>
      <c r="E248" s="157"/>
      <c r="F248" s="1"/>
      <c r="G248" s="9"/>
      <c r="H248" s="9"/>
      <c r="I248" s="5"/>
      <c r="J248" s="1"/>
      <c r="K248" s="1"/>
      <c r="L248" s="1"/>
      <c r="M248" s="9"/>
      <c r="N248" s="5"/>
      <c r="O248" s="16"/>
      <c r="P248" s="1"/>
    </row>
    <row r="249" spans="1:16">
      <c r="A249" s="6"/>
      <c r="B249" s="7"/>
      <c r="C249" s="6"/>
      <c r="D249" s="140"/>
      <c r="E249" s="157"/>
      <c r="F249" s="1"/>
      <c r="G249" s="9"/>
      <c r="H249" s="9"/>
      <c r="I249" s="5"/>
      <c r="J249" s="1"/>
      <c r="K249" s="1"/>
      <c r="L249" s="1"/>
      <c r="M249" s="9"/>
      <c r="N249" s="5"/>
      <c r="O249" s="16"/>
      <c r="P249" s="1"/>
    </row>
    <row r="250" spans="1:16">
      <c r="A250" s="6"/>
      <c r="B250" s="7"/>
      <c r="C250" s="6"/>
      <c r="D250" s="140"/>
      <c r="E250" s="157"/>
      <c r="F250" s="1"/>
      <c r="G250" s="9"/>
      <c r="H250" s="9"/>
      <c r="I250" s="5"/>
      <c r="J250" s="1"/>
      <c r="K250" s="1"/>
      <c r="L250" s="1"/>
      <c r="M250" s="9"/>
      <c r="N250" s="5"/>
      <c r="O250" s="16"/>
      <c r="P250" s="1"/>
    </row>
    <row r="251" spans="1:16">
      <c r="A251" s="6"/>
      <c r="B251" s="7"/>
      <c r="C251" s="6"/>
      <c r="D251" s="140"/>
      <c r="E251" s="157"/>
      <c r="F251" s="1"/>
      <c r="G251" s="9"/>
      <c r="H251" s="9"/>
      <c r="I251" s="5"/>
      <c r="J251" s="1"/>
      <c r="K251" s="1"/>
      <c r="L251" s="1"/>
      <c r="M251" s="9"/>
      <c r="N251" s="5"/>
      <c r="O251" s="16"/>
      <c r="P251" s="1"/>
    </row>
    <row r="252" spans="1:16">
      <c r="A252" s="6"/>
      <c r="B252" s="7"/>
      <c r="C252" s="6"/>
      <c r="D252" s="140"/>
      <c r="E252" s="157"/>
      <c r="F252" s="1"/>
      <c r="G252" s="9"/>
      <c r="H252" s="9"/>
      <c r="I252" s="5"/>
      <c r="J252" s="1"/>
      <c r="K252" s="1"/>
      <c r="L252" s="1"/>
      <c r="M252" s="9"/>
      <c r="N252" s="5"/>
      <c r="O252" s="16"/>
      <c r="P252" s="1"/>
    </row>
    <row r="253" spans="1:16">
      <c r="A253" s="6"/>
      <c r="B253" s="7"/>
      <c r="C253" s="6"/>
      <c r="D253" s="140"/>
      <c r="E253" s="157"/>
      <c r="F253" s="1"/>
      <c r="G253" s="9"/>
      <c r="H253" s="9"/>
      <c r="I253" s="5"/>
      <c r="J253" s="1"/>
      <c r="K253" s="1"/>
      <c r="L253" s="1"/>
      <c r="M253" s="9"/>
      <c r="N253" s="5"/>
      <c r="O253" s="16"/>
      <c r="P253" s="1"/>
    </row>
    <row r="254" spans="1:16">
      <c r="A254" s="6"/>
      <c r="B254" s="7"/>
      <c r="C254" s="6"/>
      <c r="D254" s="140"/>
      <c r="E254" s="157"/>
      <c r="F254" s="1"/>
      <c r="G254" s="9"/>
      <c r="H254" s="9"/>
      <c r="I254" s="5"/>
      <c r="J254" s="1"/>
      <c r="K254" s="1"/>
      <c r="L254" s="1"/>
      <c r="M254" s="9"/>
      <c r="N254" s="5"/>
      <c r="O254" s="16"/>
      <c r="P254" s="1"/>
    </row>
    <row r="255" spans="1:16">
      <c r="A255" s="6"/>
      <c r="B255" s="7"/>
      <c r="C255" s="6"/>
      <c r="D255" s="140"/>
      <c r="E255" s="157"/>
      <c r="F255" s="1"/>
      <c r="G255" s="9"/>
      <c r="H255" s="9"/>
      <c r="I255" s="5"/>
      <c r="J255" s="1"/>
      <c r="K255" s="1"/>
      <c r="L255" s="1"/>
      <c r="M255" s="9"/>
      <c r="N255" s="5"/>
      <c r="O255" s="16"/>
      <c r="P255" s="1"/>
    </row>
    <row r="256" spans="1:16">
      <c r="A256" s="6"/>
      <c r="B256" s="7"/>
      <c r="C256" s="6"/>
      <c r="D256" s="140"/>
      <c r="E256" s="157"/>
      <c r="F256" s="1"/>
      <c r="G256" s="9"/>
      <c r="H256" s="9"/>
      <c r="I256" s="5"/>
      <c r="J256" s="1"/>
      <c r="K256" s="1"/>
      <c r="L256" s="1"/>
      <c r="M256" s="9"/>
      <c r="N256" s="5"/>
      <c r="O256" s="16"/>
      <c r="P256" s="1"/>
    </row>
    <row r="257" spans="1:16">
      <c r="A257" s="6"/>
      <c r="B257" s="7"/>
      <c r="C257" s="6"/>
      <c r="D257" s="140"/>
      <c r="E257" s="157"/>
      <c r="F257" s="1"/>
      <c r="G257" s="9"/>
      <c r="H257" s="9"/>
      <c r="I257" s="5"/>
      <c r="J257" s="1"/>
      <c r="K257" s="1"/>
      <c r="L257" s="1"/>
      <c r="M257" s="9"/>
      <c r="N257" s="5"/>
      <c r="O257" s="16"/>
      <c r="P257" s="1"/>
    </row>
    <row r="258" spans="1:16">
      <c r="A258" s="6"/>
      <c r="B258" s="7"/>
      <c r="C258" s="6"/>
      <c r="D258" s="140"/>
      <c r="E258" s="157"/>
      <c r="F258" s="1"/>
      <c r="G258" s="9"/>
      <c r="H258" s="9"/>
      <c r="I258" s="5"/>
      <c r="J258" s="1"/>
      <c r="K258" s="1"/>
      <c r="L258" s="1"/>
      <c r="M258" s="9"/>
      <c r="N258" s="5"/>
      <c r="O258" s="16"/>
      <c r="P258" s="1"/>
    </row>
    <row r="259" spans="1:16">
      <c r="A259" s="6"/>
      <c r="B259" s="7"/>
      <c r="C259" s="6"/>
      <c r="D259" s="140"/>
      <c r="E259" s="157"/>
      <c r="F259" s="1"/>
      <c r="G259" s="9"/>
      <c r="H259" s="9"/>
      <c r="I259" s="5"/>
      <c r="J259" s="1"/>
      <c r="K259" s="1"/>
      <c r="L259" s="1"/>
      <c r="M259" s="9"/>
      <c r="N259" s="147"/>
      <c r="O259" s="16"/>
      <c r="P259" s="1"/>
    </row>
    <row r="260" spans="1:16">
      <c r="A260" s="6"/>
      <c r="B260" s="7"/>
      <c r="C260" s="6"/>
      <c r="D260" s="140"/>
      <c r="E260" s="157"/>
      <c r="F260" s="1"/>
      <c r="G260" s="9"/>
      <c r="H260" s="9"/>
      <c r="I260" s="5"/>
      <c r="J260" s="1"/>
      <c r="K260" s="1"/>
      <c r="L260" s="1"/>
      <c r="M260" s="9"/>
      <c r="N260" s="5"/>
      <c r="O260" s="16"/>
      <c r="P260" s="1"/>
    </row>
    <row r="261" spans="1:16">
      <c r="A261" s="6"/>
      <c r="B261" s="7"/>
      <c r="C261" s="122"/>
      <c r="D261" s="140"/>
      <c r="E261" s="157"/>
      <c r="F261" s="1"/>
      <c r="G261" s="9"/>
      <c r="H261" s="9"/>
      <c r="I261" s="5"/>
      <c r="J261" s="1"/>
      <c r="K261" s="1"/>
      <c r="L261" s="1"/>
      <c r="M261" s="9"/>
      <c r="N261" s="5"/>
      <c r="O261" s="16"/>
      <c r="P261" s="1"/>
    </row>
    <row r="262" spans="1:16">
      <c r="A262" s="6"/>
      <c r="B262" s="7"/>
      <c r="C262" s="6"/>
      <c r="D262" s="140"/>
      <c r="E262" s="157"/>
      <c r="F262" s="1"/>
      <c r="G262" s="9"/>
      <c r="H262" s="9"/>
      <c r="I262" s="5"/>
      <c r="J262" s="1"/>
      <c r="K262" s="1"/>
      <c r="L262" s="1"/>
      <c r="M262" s="9"/>
      <c r="N262" s="5"/>
      <c r="O262" s="16"/>
      <c r="P262" s="1"/>
    </row>
    <row r="263" spans="1:16">
      <c r="A263" s="6"/>
      <c r="B263" s="7"/>
      <c r="C263" s="6"/>
      <c r="D263" s="140"/>
      <c r="E263" s="157"/>
      <c r="F263" s="1"/>
      <c r="G263" s="9"/>
      <c r="H263" s="9"/>
      <c r="I263" s="5"/>
      <c r="J263" s="1"/>
      <c r="K263" s="1"/>
      <c r="L263" s="1"/>
      <c r="M263" s="9"/>
      <c r="N263" s="5"/>
      <c r="O263" s="16"/>
      <c r="P263" s="1"/>
    </row>
    <row r="264" spans="1:16">
      <c r="A264" s="6"/>
      <c r="B264" s="7"/>
      <c r="C264" s="6"/>
      <c r="D264" s="125"/>
      <c r="E264" s="126"/>
      <c r="F264" s="1"/>
      <c r="G264" s="9"/>
      <c r="H264" s="9"/>
      <c r="I264" s="5"/>
      <c r="J264" s="1"/>
      <c r="K264" s="1"/>
      <c r="L264" s="1"/>
      <c r="M264" s="9"/>
      <c r="N264" s="5"/>
      <c r="O264" s="16"/>
      <c r="P264" s="1"/>
    </row>
    <row r="265" spans="1:16">
      <c r="A265" s="6"/>
      <c r="B265" s="7"/>
      <c r="C265" s="6"/>
      <c r="D265" s="140"/>
      <c r="E265" s="157"/>
      <c r="F265" s="1"/>
      <c r="G265" s="9"/>
      <c r="H265" s="9"/>
      <c r="I265" s="5"/>
      <c r="J265" s="1"/>
      <c r="K265" s="1"/>
      <c r="L265" s="1"/>
      <c r="M265" s="9"/>
      <c r="N265" s="5"/>
      <c r="O265" s="16"/>
      <c r="P265" s="1"/>
    </row>
    <row r="266" spans="1:16">
      <c r="A266" s="6"/>
      <c r="B266" s="7"/>
      <c r="C266" s="6"/>
      <c r="D266" s="140"/>
      <c r="E266" s="140"/>
      <c r="F266" s="1"/>
      <c r="G266" s="9"/>
      <c r="H266" s="9"/>
      <c r="I266" s="5"/>
      <c r="J266" s="1"/>
      <c r="K266" s="1"/>
      <c r="L266" s="1"/>
      <c r="M266" s="9"/>
      <c r="N266" s="5"/>
      <c r="O266" s="16"/>
      <c r="P266" s="1"/>
    </row>
    <row r="267" spans="1:16">
      <c r="A267" s="6"/>
      <c r="B267" s="7"/>
      <c r="C267" s="6"/>
      <c r="D267" s="140"/>
      <c r="E267" s="157"/>
      <c r="F267" s="1"/>
      <c r="G267" s="9"/>
      <c r="H267" s="9"/>
      <c r="I267" s="5"/>
      <c r="J267" s="1"/>
      <c r="K267" s="1"/>
      <c r="L267" s="1"/>
      <c r="M267" s="9"/>
      <c r="N267" s="5"/>
      <c r="O267" s="16"/>
      <c r="P267" s="1"/>
    </row>
    <row r="268" spans="1:16">
      <c r="A268" s="6"/>
      <c r="B268" s="7"/>
      <c r="C268" s="6"/>
      <c r="D268" s="140"/>
      <c r="E268" s="140"/>
      <c r="F268" s="1"/>
      <c r="G268" s="9"/>
      <c r="H268" s="9"/>
      <c r="I268" s="5"/>
      <c r="J268" s="1"/>
      <c r="K268" s="1"/>
      <c r="L268" s="1"/>
      <c r="M268" s="9"/>
      <c r="N268" s="5"/>
      <c r="O268" s="16"/>
      <c r="P268" s="1"/>
    </row>
    <row r="269" spans="1:16">
      <c r="A269" s="6"/>
      <c r="B269" s="7"/>
      <c r="C269" s="6"/>
      <c r="D269" s="140"/>
      <c r="E269" s="157"/>
      <c r="F269" s="1"/>
      <c r="G269" s="9"/>
      <c r="H269" s="9"/>
      <c r="I269" s="5"/>
      <c r="J269" s="1"/>
      <c r="K269" s="1"/>
      <c r="L269" s="1"/>
      <c r="M269" s="9"/>
      <c r="N269" s="5"/>
      <c r="O269" s="16"/>
      <c r="P269" s="1"/>
    </row>
    <row r="270" spans="1:16">
      <c r="A270" s="6"/>
      <c r="B270" s="7"/>
      <c r="C270" s="6"/>
      <c r="D270" s="140"/>
      <c r="E270" s="157"/>
      <c r="F270" s="1"/>
      <c r="G270" s="9"/>
      <c r="H270" s="9"/>
      <c r="I270" s="5"/>
      <c r="J270" s="1"/>
      <c r="K270" s="1"/>
      <c r="L270" s="1"/>
      <c r="M270" s="9"/>
      <c r="N270" s="5"/>
      <c r="O270" s="16"/>
      <c r="P270" s="1"/>
    </row>
    <row r="271" spans="1:16">
      <c r="A271" s="6"/>
      <c r="B271" s="7"/>
      <c r="C271" s="6"/>
      <c r="D271" s="140"/>
      <c r="E271" s="157"/>
      <c r="F271" s="1"/>
      <c r="G271" s="9"/>
      <c r="H271" s="9"/>
      <c r="I271" s="5"/>
      <c r="J271" s="1"/>
      <c r="K271" s="1"/>
      <c r="L271" s="1"/>
      <c r="M271" s="9"/>
      <c r="N271" s="5"/>
      <c r="O271" s="16"/>
      <c r="P271" s="1"/>
    </row>
    <row r="272" spans="1:16">
      <c r="A272" s="6"/>
      <c r="B272" s="7"/>
      <c r="C272" s="6"/>
      <c r="D272" s="140"/>
      <c r="E272" s="140"/>
      <c r="F272" s="1"/>
      <c r="G272" s="9"/>
      <c r="H272" s="9"/>
      <c r="I272" s="5"/>
      <c r="J272" s="1"/>
      <c r="K272" s="1"/>
      <c r="L272" s="1"/>
      <c r="M272" s="9"/>
      <c r="N272" s="14"/>
      <c r="O272" s="16"/>
      <c r="P272" s="1"/>
    </row>
    <row r="273" spans="1:16">
      <c r="A273" s="6"/>
      <c r="B273" s="7"/>
      <c r="C273" s="172"/>
      <c r="D273" s="140"/>
      <c r="E273" s="157"/>
      <c r="F273" s="1"/>
      <c r="G273" s="9"/>
      <c r="H273" s="9"/>
      <c r="I273" s="5"/>
      <c r="J273" s="1"/>
      <c r="K273" s="1"/>
      <c r="L273" s="1"/>
      <c r="M273" s="9"/>
      <c r="N273" s="5"/>
      <c r="O273" s="16"/>
      <c r="P273" s="1"/>
    </row>
    <row r="274" spans="1:16">
      <c r="A274" s="6"/>
      <c r="B274" s="7"/>
      <c r="C274" s="6"/>
      <c r="D274" s="140"/>
      <c r="E274" s="157"/>
      <c r="F274" s="1"/>
      <c r="G274" s="9"/>
      <c r="H274" s="9"/>
      <c r="I274" s="5"/>
      <c r="J274" s="1"/>
      <c r="K274" s="1"/>
      <c r="L274" s="1"/>
      <c r="M274" s="9"/>
      <c r="N274" s="5"/>
      <c r="O274" s="16"/>
      <c r="P274" s="1"/>
    </row>
    <row r="275" spans="1:16">
      <c r="A275" s="6"/>
      <c r="B275" s="7"/>
      <c r="C275" s="6"/>
      <c r="D275" s="140"/>
      <c r="E275" s="157"/>
      <c r="F275" s="1"/>
      <c r="G275" s="9"/>
      <c r="H275" s="9"/>
      <c r="I275" s="5"/>
      <c r="J275" s="1"/>
      <c r="K275" s="1"/>
      <c r="L275" s="1"/>
      <c r="M275" s="9"/>
      <c r="N275" s="5"/>
      <c r="O275" s="16"/>
      <c r="P275" s="1"/>
    </row>
    <row r="276" spans="1:16">
      <c r="A276" s="6"/>
      <c r="B276" s="7"/>
      <c r="C276" s="6"/>
      <c r="D276" s="140"/>
      <c r="E276" s="157"/>
      <c r="F276" s="1"/>
      <c r="G276" s="9"/>
      <c r="H276" s="9"/>
      <c r="I276" s="5"/>
      <c r="J276" s="1"/>
      <c r="K276" s="1"/>
      <c r="L276" s="1"/>
      <c r="M276" s="9"/>
      <c r="N276" s="14"/>
      <c r="O276" s="16"/>
      <c r="P276" s="1"/>
    </row>
    <row r="277" spans="1:16">
      <c r="A277" s="6"/>
      <c r="B277" s="7"/>
      <c r="C277" s="6"/>
      <c r="D277" s="140"/>
      <c r="E277" s="157"/>
      <c r="F277" s="1"/>
      <c r="G277" s="9"/>
      <c r="H277" s="9"/>
      <c r="I277" s="5"/>
      <c r="J277" s="1"/>
      <c r="K277" s="1"/>
      <c r="L277" s="1"/>
      <c r="M277" s="9"/>
      <c r="N277" s="14"/>
      <c r="O277" s="16"/>
      <c r="P277" s="1"/>
    </row>
    <row r="278" spans="1:16">
      <c r="A278" s="6"/>
      <c r="B278" s="7"/>
      <c r="C278" s="6"/>
      <c r="D278" s="140"/>
      <c r="E278" s="157"/>
      <c r="F278" s="1"/>
      <c r="G278" s="9"/>
      <c r="H278" s="9"/>
      <c r="I278" s="5"/>
      <c r="J278" s="1"/>
      <c r="K278" s="1"/>
      <c r="L278" s="1"/>
      <c r="M278" s="9"/>
      <c r="N278" s="14"/>
      <c r="O278" s="16"/>
      <c r="P278" s="1"/>
    </row>
    <row r="279" spans="1:16">
      <c r="A279" s="6"/>
      <c r="B279" s="7"/>
      <c r="C279" s="6"/>
      <c r="D279" s="140"/>
      <c r="E279" s="157"/>
      <c r="F279" s="1"/>
      <c r="G279" s="9"/>
      <c r="H279" s="9"/>
      <c r="I279" s="5"/>
      <c r="J279" s="1"/>
      <c r="K279" s="1"/>
      <c r="L279" s="1"/>
      <c r="M279" s="9"/>
      <c r="N279" s="5"/>
      <c r="O279" s="16"/>
      <c r="P279" s="1"/>
    </row>
    <row r="280" spans="1:16">
      <c r="A280" s="6"/>
      <c r="B280" s="7"/>
      <c r="C280" s="6"/>
      <c r="D280" s="140"/>
      <c r="E280" s="157"/>
      <c r="F280" s="1"/>
      <c r="G280" s="9"/>
      <c r="H280" s="9"/>
      <c r="I280" s="5"/>
      <c r="J280" s="1"/>
      <c r="K280" s="1"/>
      <c r="L280" s="1"/>
      <c r="M280" s="9"/>
      <c r="N280" s="5"/>
      <c r="O280" s="16"/>
      <c r="P280" s="1"/>
    </row>
    <row r="281" spans="1:16">
      <c r="A281" s="6"/>
      <c r="B281" s="7"/>
      <c r="C281" s="6"/>
      <c r="D281" s="141"/>
      <c r="E281" s="142"/>
      <c r="F281" s="1"/>
      <c r="G281" s="9"/>
      <c r="H281" s="9"/>
      <c r="I281" s="5"/>
      <c r="J281" s="1"/>
      <c r="K281" s="1"/>
      <c r="L281" s="1"/>
      <c r="M281" s="9"/>
      <c r="N281" s="5"/>
      <c r="O281" s="16"/>
      <c r="P281" s="1"/>
    </row>
    <row r="282" spans="1:16">
      <c r="A282" s="6"/>
      <c r="B282" s="7"/>
      <c r="C282" s="6"/>
      <c r="D282" s="140"/>
      <c r="E282" s="157"/>
      <c r="F282" s="1"/>
      <c r="G282" s="9"/>
      <c r="H282" s="9"/>
      <c r="I282" s="5"/>
      <c r="J282" s="1"/>
      <c r="K282" s="1"/>
      <c r="L282" s="1"/>
      <c r="M282" s="9"/>
      <c r="N282" s="5"/>
      <c r="O282" s="16"/>
      <c r="P282" s="1"/>
    </row>
    <row r="283" spans="1:16">
      <c r="A283" s="6"/>
      <c r="B283" s="7"/>
      <c r="C283" s="6"/>
      <c r="D283" s="140"/>
      <c r="E283" s="157"/>
      <c r="F283" s="1"/>
      <c r="G283" s="9"/>
      <c r="H283" s="9"/>
      <c r="I283" s="5"/>
      <c r="J283" s="1"/>
      <c r="K283" s="1"/>
      <c r="L283" s="1"/>
      <c r="M283" s="9"/>
      <c r="N283" s="5"/>
      <c r="O283" s="16"/>
      <c r="P283" s="1"/>
    </row>
    <row r="284" spans="1:16">
      <c r="A284" s="6"/>
      <c r="B284" s="7"/>
      <c r="C284" s="6"/>
      <c r="D284" s="140"/>
      <c r="E284" s="157"/>
      <c r="F284" s="1"/>
      <c r="G284" s="9"/>
      <c r="H284" s="9"/>
      <c r="I284" s="5"/>
      <c r="J284" s="1"/>
      <c r="K284" s="1"/>
      <c r="L284" s="1"/>
      <c r="M284" s="9"/>
      <c r="N284" s="5"/>
      <c r="O284" s="16"/>
      <c r="P284" s="1"/>
    </row>
    <row r="285" spans="1:16">
      <c r="A285" s="6"/>
      <c r="B285" s="7"/>
      <c r="C285" s="6"/>
      <c r="D285" s="140"/>
      <c r="E285" s="157"/>
      <c r="F285" s="1"/>
      <c r="G285" s="9"/>
      <c r="H285" s="9"/>
      <c r="I285" s="5"/>
      <c r="J285" s="1"/>
      <c r="K285" s="1"/>
      <c r="L285" s="1"/>
      <c r="M285" s="9"/>
      <c r="N285" s="14"/>
      <c r="O285" s="16"/>
      <c r="P285" s="1"/>
    </row>
    <row r="286" spans="1:16">
      <c r="A286" s="6"/>
      <c r="B286" s="7"/>
      <c r="C286" s="6"/>
      <c r="D286" s="140"/>
      <c r="E286" s="157"/>
      <c r="F286" s="1"/>
      <c r="G286" s="9"/>
      <c r="H286" s="9"/>
      <c r="I286" s="5"/>
      <c r="J286" s="1"/>
      <c r="K286" s="1"/>
      <c r="L286" s="1"/>
      <c r="M286" s="9"/>
      <c r="N286" s="14"/>
      <c r="O286" s="16"/>
      <c r="P286" s="1"/>
    </row>
    <row r="287" spans="1:16">
      <c r="A287" s="6"/>
      <c r="B287" s="7"/>
      <c r="C287" s="6"/>
      <c r="D287" s="140"/>
      <c r="E287" s="157"/>
      <c r="F287" s="1"/>
      <c r="G287" s="9"/>
      <c r="H287" s="9"/>
      <c r="I287" s="5"/>
      <c r="J287" s="1"/>
      <c r="K287" s="1"/>
      <c r="L287" s="1"/>
      <c r="M287" s="9"/>
      <c r="N287" s="5"/>
      <c r="O287" s="16"/>
      <c r="P287" s="1"/>
    </row>
    <row r="288" spans="1:16">
      <c r="A288" s="6"/>
      <c r="B288" s="7"/>
      <c r="C288" s="6"/>
      <c r="D288" s="140"/>
      <c r="E288" s="157"/>
      <c r="F288" s="1"/>
      <c r="G288" s="9"/>
      <c r="H288" s="9"/>
      <c r="I288" s="5"/>
      <c r="J288" s="1"/>
      <c r="K288" s="1"/>
      <c r="L288" s="1"/>
      <c r="M288" s="9"/>
      <c r="N288" s="5"/>
      <c r="O288" s="16"/>
      <c r="P288" s="1"/>
    </row>
    <row r="289" spans="1:16">
      <c r="A289" s="6"/>
      <c r="B289" s="7"/>
      <c r="C289" s="6"/>
      <c r="D289" s="140"/>
      <c r="E289" s="140"/>
      <c r="F289" s="1"/>
      <c r="G289" s="9"/>
      <c r="H289" s="9"/>
      <c r="I289" s="5"/>
      <c r="J289" s="1"/>
      <c r="K289" s="1"/>
      <c r="L289" s="1"/>
      <c r="M289" s="9"/>
      <c r="N289" s="14"/>
      <c r="O289" s="16"/>
      <c r="P289" s="1"/>
    </row>
    <row r="290" spans="1:16">
      <c r="A290" s="6"/>
      <c r="B290" s="7"/>
      <c r="C290" s="122"/>
      <c r="D290" s="125"/>
      <c r="E290" s="126"/>
      <c r="F290" s="1"/>
      <c r="G290" s="9"/>
      <c r="H290" s="9"/>
      <c r="I290" s="5"/>
      <c r="J290" s="1"/>
      <c r="K290" s="1"/>
      <c r="L290" s="1"/>
      <c r="M290" s="9"/>
      <c r="N290" s="5"/>
      <c r="O290" s="16"/>
      <c r="P290" s="1"/>
    </row>
    <row r="291" spans="1:16">
      <c r="A291" s="6"/>
      <c r="B291" s="7"/>
      <c r="C291" s="6"/>
      <c r="D291" s="140"/>
      <c r="E291" s="157"/>
      <c r="F291" s="1"/>
      <c r="G291" s="9"/>
      <c r="H291" s="9"/>
      <c r="I291" s="5"/>
      <c r="J291" s="1"/>
      <c r="K291" s="1"/>
      <c r="L291" s="1"/>
      <c r="M291" s="9"/>
      <c r="N291" s="14"/>
      <c r="O291" s="16"/>
      <c r="P291" s="1"/>
    </row>
    <row r="292" spans="1:16">
      <c r="A292" s="6"/>
      <c r="B292" s="7"/>
      <c r="C292" s="6"/>
      <c r="D292" s="140"/>
      <c r="E292" s="157"/>
      <c r="F292" s="1"/>
      <c r="G292" s="9"/>
      <c r="H292" s="9"/>
      <c r="I292" s="5"/>
      <c r="J292" s="1"/>
      <c r="K292" s="1"/>
      <c r="L292" s="1"/>
      <c r="M292" s="9"/>
      <c r="N292" s="14"/>
      <c r="O292" s="16"/>
      <c r="P292" s="9"/>
    </row>
    <row r="293" spans="1:16">
      <c r="A293" s="6"/>
      <c r="B293" s="7"/>
      <c r="C293" s="6"/>
      <c r="D293" s="140"/>
      <c r="E293" s="157"/>
      <c r="F293" s="1"/>
      <c r="G293" s="9"/>
      <c r="H293" s="9"/>
      <c r="I293" s="5"/>
      <c r="J293" s="1"/>
      <c r="K293" s="1"/>
      <c r="L293" s="1"/>
      <c r="M293" s="9"/>
      <c r="N293" s="14"/>
      <c r="O293" s="16"/>
      <c r="P293" s="1"/>
    </row>
    <row r="294" spans="1:16">
      <c r="A294" s="6"/>
      <c r="B294" s="7"/>
      <c r="C294" s="6"/>
      <c r="D294" s="140"/>
      <c r="E294" s="157"/>
      <c r="F294" s="1"/>
      <c r="G294" s="9"/>
      <c r="H294" s="9"/>
      <c r="I294" s="5"/>
      <c r="J294" s="1"/>
      <c r="K294" s="1"/>
      <c r="L294" s="1"/>
      <c r="M294" s="9"/>
      <c r="N294" s="14"/>
      <c r="O294" s="16"/>
      <c r="P294" s="1"/>
    </row>
    <row r="295" spans="1:16">
      <c r="A295" s="6"/>
      <c r="B295" s="7"/>
      <c r="C295" s="6"/>
      <c r="D295" s="140"/>
      <c r="E295" s="157"/>
      <c r="F295" s="1"/>
      <c r="G295" s="9"/>
      <c r="H295" s="9"/>
      <c r="I295" s="5"/>
      <c r="J295" s="1"/>
      <c r="K295" s="1"/>
      <c r="L295" s="1"/>
      <c r="M295" s="9"/>
      <c r="N295" s="14"/>
      <c r="O295" s="16"/>
      <c r="P295" s="1"/>
    </row>
    <row r="296" spans="1:16">
      <c r="A296" s="6"/>
      <c r="B296" s="7"/>
      <c r="C296" s="6"/>
      <c r="D296" s="140"/>
      <c r="E296" s="157"/>
      <c r="F296" s="1"/>
      <c r="G296" s="9"/>
      <c r="H296" s="9"/>
      <c r="I296" s="5"/>
      <c r="J296" s="1"/>
      <c r="K296" s="1"/>
      <c r="L296" s="1"/>
      <c r="M296" s="9"/>
      <c r="N296" s="14"/>
      <c r="O296" s="16"/>
      <c r="P296" s="1"/>
    </row>
    <row r="297" spans="1:16">
      <c r="A297" s="6"/>
      <c r="B297" s="7"/>
      <c r="C297" s="6"/>
      <c r="D297" s="6"/>
      <c r="E297" s="6"/>
      <c r="F297" s="1"/>
      <c r="G297" s="9"/>
      <c r="H297" s="9"/>
      <c r="I297" s="5"/>
      <c r="J297" s="1"/>
      <c r="K297" s="1"/>
      <c r="L297" s="1"/>
      <c r="M297" s="9"/>
      <c r="N297" s="14"/>
      <c r="O297" s="16"/>
      <c r="P297" s="1"/>
    </row>
    <row r="298" spans="1:16">
      <c r="A298" s="6"/>
      <c r="B298" s="7"/>
      <c r="C298" s="6"/>
      <c r="D298" s="140"/>
      <c r="E298" s="140"/>
      <c r="F298" s="1"/>
      <c r="G298" s="9"/>
      <c r="H298" s="9"/>
      <c r="I298" s="5"/>
      <c r="J298" s="1"/>
      <c r="K298" s="1"/>
      <c r="L298" s="1"/>
      <c r="M298" s="9"/>
      <c r="N298" s="14"/>
      <c r="O298" s="16"/>
      <c r="P298" s="1"/>
    </row>
    <row r="299" spans="1:16">
      <c r="A299" s="6"/>
      <c r="B299" s="7"/>
      <c r="C299" s="6"/>
      <c r="D299" s="140"/>
      <c r="E299" s="157"/>
      <c r="F299" s="1"/>
      <c r="G299" s="9"/>
      <c r="H299" s="9"/>
      <c r="I299" s="5"/>
      <c r="J299" s="1"/>
      <c r="K299" s="1"/>
      <c r="L299" s="1"/>
      <c r="M299" s="9"/>
      <c r="N299" s="14"/>
      <c r="O299" s="16"/>
      <c r="P299" s="1"/>
    </row>
    <row r="300" spans="1:16">
      <c r="A300" s="6"/>
      <c r="B300" s="7"/>
      <c r="C300" s="6"/>
      <c r="D300" s="140"/>
      <c r="E300" s="157"/>
      <c r="F300" s="1"/>
      <c r="G300" s="9"/>
      <c r="H300" s="9"/>
      <c r="I300" s="5"/>
      <c r="J300" s="1"/>
      <c r="K300" s="1"/>
      <c r="L300" s="1"/>
      <c r="M300" s="9"/>
      <c r="N300" s="14"/>
      <c r="O300" s="16"/>
      <c r="P300" s="1"/>
    </row>
    <row r="301" spans="1:16">
      <c r="A301" s="6"/>
      <c r="B301" s="7"/>
      <c r="C301" s="6"/>
      <c r="D301" s="140"/>
      <c r="E301" s="158"/>
      <c r="F301" s="1"/>
      <c r="G301" s="9"/>
      <c r="H301" s="9"/>
      <c r="I301" s="5"/>
      <c r="J301" s="1"/>
      <c r="K301" s="1"/>
      <c r="L301" s="1"/>
      <c r="M301" s="9"/>
      <c r="N301" s="14"/>
      <c r="O301" s="16"/>
      <c r="P301" s="1"/>
    </row>
    <row r="302" spans="1:16">
      <c r="A302" s="6"/>
      <c r="B302" s="7"/>
      <c r="C302" s="6"/>
      <c r="D302" s="140"/>
      <c r="E302" s="157"/>
      <c r="F302" s="1"/>
      <c r="G302" s="9"/>
      <c r="H302" s="9"/>
      <c r="I302" s="5"/>
      <c r="J302" s="1"/>
      <c r="K302" s="1"/>
      <c r="L302" s="1"/>
      <c r="M302" s="9"/>
      <c r="N302" s="14"/>
      <c r="O302" s="16"/>
      <c r="P302" s="1"/>
    </row>
    <row r="303" spans="1:16">
      <c r="A303" s="6"/>
      <c r="B303" s="7"/>
      <c r="C303" s="6"/>
      <c r="D303" s="140"/>
      <c r="E303" s="157"/>
      <c r="F303" s="1"/>
      <c r="G303" s="9"/>
      <c r="H303" s="9"/>
      <c r="I303" s="5"/>
      <c r="J303" s="1"/>
      <c r="K303" s="1"/>
      <c r="L303" s="1"/>
      <c r="M303" s="9"/>
      <c r="N303" s="14"/>
      <c r="O303" s="16"/>
      <c r="P303" s="1"/>
    </row>
    <row r="304" spans="1:16">
      <c r="A304" s="6"/>
      <c r="B304" s="7"/>
      <c r="C304" s="6"/>
      <c r="D304" s="140"/>
      <c r="E304" s="157"/>
      <c r="F304" s="1"/>
      <c r="G304" s="9"/>
      <c r="H304" s="9"/>
      <c r="I304" s="5"/>
      <c r="J304" s="1"/>
      <c r="K304" s="1"/>
      <c r="L304" s="1"/>
      <c r="M304" s="9"/>
      <c r="N304" s="14"/>
      <c r="O304" s="16"/>
      <c r="P304" s="1"/>
    </row>
    <row r="305" spans="1:16">
      <c r="A305" s="6"/>
      <c r="B305" s="7"/>
      <c r="C305" s="6"/>
      <c r="D305" s="140"/>
      <c r="E305" s="157"/>
      <c r="F305" s="1"/>
      <c r="G305" s="9"/>
      <c r="H305" s="9"/>
      <c r="I305" s="5"/>
      <c r="J305" s="1"/>
      <c r="K305" s="1"/>
      <c r="L305" s="1"/>
      <c r="M305" s="9"/>
      <c r="N305" s="14"/>
      <c r="O305" s="16"/>
      <c r="P305" s="1"/>
    </row>
    <row r="306" spans="1:16">
      <c r="A306" s="6"/>
      <c r="B306" s="7"/>
      <c r="C306" s="6"/>
      <c r="D306" s="140"/>
      <c r="E306" s="157"/>
      <c r="F306" s="1"/>
      <c r="G306" s="9"/>
      <c r="H306" s="9"/>
      <c r="I306" s="5"/>
      <c r="J306" s="1"/>
      <c r="K306" s="1"/>
      <c r="L306" s="1"/>
      <c r="M306" s="9"/>
      <c r="N306" s="14"/>
      <c r="O306" s="16"/>
      <c r="P306" s="1"/>
    </row>
    <row r="307" spans="1:16">
      <c r="A307" s="6"/>
      <c r="B307" s="7"/>
      <c r="C307" s="6"/>
      <c r="D307" s="140"/>
      <c r="E307" s="157"/>
      <c r="F307" s="1"/>
      <c r="G307" s="9"/>
      <c r="H307" s="9"/>
      <c r="I307" s="5"/>
      <c r="J307" s="1"/>
      <c r="K307" s="1"/>
      <c r="L307" s="1"/>
      <c r="M307" s="9"/>
      <c r="N307" s="14"/>
      <c r="O307" s="16"/>
      <c r="P307" s="1"/>
    </row>
    <row r="308" spans="1:16">
      <c r="A308" s="6"/>
      <c r="B308" s="7"/>
      <c r="C308" s="6"/>
      <c r="D308" s="140"/>
      <c r="E308" s="157"/>
      <c r="F308" s="1"/>
      <c r="G308" s="9"/>
      <c r="H308" s="9"/>
      <c r="I308" s="5"/>
      <c r="J308" s="1"/>
      <c r="K308" s="1"/>
      <c r="L308" s="1"/>
      <c r="M308" s="9"/>
      <c r="N308" s="14"/>
      <c r="O308" s="16"/>
      <c r="P308" s="1"/>
    </row>
    <row r="309" spans="1:16">
      <c r="A309" s="6"/>
      <c r="B309" s="7"/>
      <c r="C309" s="6"/>
      <c r="D309" s="140"/>
      <c r="E309" s="157"/>
      <c r="F309" s="1"/>
      <c r="G309" s="9"/>
      <c r="H309" s="9"/>
      <c r="I309" s="5"/>
      <c r="J309" s="1"/>
      <c r="K309" s="1"/>
      <c r="L309" s="1"/>
      <c r="M309" s="9"/>
      <c r="N309" s="14"/>
      <c r="O309" s="16"/>
      <c r="P309" s="1"/>
    </row>
    <row r="310" spans="1:16">
      <c r="A310" s="6"/>
      <c r="B310" s="7"/>
      <c r="C310" s="6"/>
      <c r="D310" s="140"/>
      <c r="E310" s="157"/>
      <c r="F310" s="1"/>
      <c r="G310" s="9"/>
      <c r="H310" s="9"/>
      <c r="I310" s="5"/>
      <c r="J310" s="1"/>
      <c r="K310" s="1"/>
      <c r="L310" s="1"/>
      <c r="M310" s="9"/>
      <c r="N310" s="14"/>
      <c r="O310" s="16"/>
      <c r="P310" s="1"/>
    </row>
    <row r="311" spans="1:16">
      <c r="A311" s="6"/>
      <c r="B311" s="7"/>
      <c r="C311" s="6"/>
      <c r="D311" s="140"/>
      <c r="E311" s="157"/>
      <c r="F311" s="1"/>
      <c r="G311" s="9"/>
      <c r="H311" s="9"/>
      <c r="I311" s="5"/>
      <c r="J311" s="1"/>
      <c r="K311" s="1"/>
      <c r="L311" s="1"/>
      <c r="M311" s="9"/>
      <c r="N311" s="14"/>
      <c r="O311" s="16"/>
      <c r="P311" s="1"/>
    </row>
    <row r="312" spans="1:16">
      <c r="A312" s="6"/>
      <c r="B312" s="7"/>
      <c r="C312" s="6"/>
      <c r="D312" s="140"/>
      <c r="E312" s="157"/>
      <c r="F312" s="1"/>
      <c r="G312" s="9"/>
      <c r="H312" s="9"/>
      <c r="I312" s="5"/>
      <c r="J312" s="1"/>
      <c r="K312" s="1"/>
      <c r="L312" s="1"/>
      <c r="M312" s="9"/>
      <c r="N312" s="14"/>
      <c r="O312" s="16"/>
      <c r="P312" s="1"/>
    </row>
    <row r="313" spans="1:16">
      <c r="A313" s="6"/>
      <c r="B313" s="7"/>
      <c r="C313" s="6"/>
      <c r="D313" s="140"/>
      <c r="E313" s="157"/>
      <c r="F313" s="1"/>
      <c r="G313" s="9"/>
      <c r="H313" s="9"/>
      <c r="I313" s="5"/>
      <c r="J313" s="1"/>
      <c r="K313" s="1"/>
      <c r="L313" s="1"/>
      <c r="M313" s="9"/>
      <c r="N313" s="14"/>
      <c r="O313" s="16"/>
      <c r="P313" s="1"/>
    </row>
    <row r="314" spans="1:16">
      <c r="A314" s="6"/>
      <c r="B314" s="7"/>
      <c r="C314" s="6"/>
      <c r="D314" s="140"/>
      <c r="E314" s="157"/>
      <c r="F314" s="1"/>
      <c r="G314" s="9"/>
      <c r="H314" s="9"/>
      <c r="I314" s="5"/>
      <c r="J314" s="1"/>
      <c r="K314" s="1"/>
      <c r="L314" s="1"/>
      <c r="M314" s="9"/>
      <c r="N314" s="14"/>
      <c r="O314" s="16"/>
      <c r="P314" s="1"/>
    </row>
    <row r="315" spans="1:16">
      <c r="A315" s="6"/>
      <c r="B315" s="7"/>
      <c r="C315" s="6"/>
      <c r="D315" s="140"/>
      <c r="E315" s="157"/>
      <c r="F315" s="1"/>
      <c r="G315" s="9"/>
      <c r="H315" s="9"/>
      <c r="I315" s="5"/>
      <c r="J315" s="1"/>
      <c r="K315" s="1"/>
      <c r="L315" s="1"/>
      <c r="M315" s="9"/>
      <c r="N315" s="14"/>
      <c r="O315" s="16"/>
      <c r="P315" s="1"/>
    </row>
    <row r="316" spans="1:16">
      <c r="A316" s="6"/>
      <c r="B316" s="7"/>
      <c r="C316" s="6"/>
      <c r="D316" s="140"/>
      <c r="E316" s="157"/>
      <c r="F316" s="1"/>
      <c r="G316" s="9"/>
      <c r="H316" s="9"/>
      <c r="I316" s="5"/>
      <c r="J316" s="1"/>
      <c r="K316" s="1"/>
      <c r="L316" s="1"/>
      <c r="M316" s="9"/>
      <c r="N316" s="14"/>
      <c r="O316" s="16"/>
      <c r="P316" s="1"/>
    </row>
    <row r="317" spans="1:16">
      <c r="A317" s="6"/>
      <c r="B317" s="7"/>
      <c r="C317" s="6"/>
      <c r="D317" s="140"/>
      <c r="E317" s="157"/>
      <c r="F317" s="1"/>
      <c r="G317" s="9"/>
      <c r="H317" s="9"/>
      <c r="I317" s="5"/>
      <c r="J317" s="1"/>
      <c r="K317" s="1"/>
      <c r="L317" s="1"/>
      <c r="M317" s="9"/>
      <c r="N317" s="14"/>
      <c r="O317" s="16"/>
      <c r="P317" s="1"/>
    </row>
    <row r="318" spans="1:16">
      <c r="A318" s="6"/>
      <c r="B318" s="7"/>
      <c r="C318" s="6"/>
      <c r="D318" s="140"/>
      <c r="E318" s="157"/>
      <c r="F318" s="1"/>
      <c r="G318" s="9"/>
      <c r="H318" s="9"/>
      <c r="I318" s="5"/>
      <c r="J318" s="1"/>
      <c r="K318" s="1"/>
      <c r="L318" s="1"/>
      <c r="M318" s="9"/>
      <c r="N318" s="14"/>
      <c r="O318" s="16"/>
      <c r="P318" s="1"/>
    </row>
    <row r="319" spans="1:16">
      <c r="A319" s="6"/>
      <c r="B319" s="7"/>
      <c r="C319" s="6"/>
      <c r="D319" s="140"/>
      <c r="E319" s="157"/>
      <c r="F319" s="1"/>
      <c r="G319" s="9"/>
      <c r="H319" s="9"/>
      <c r="I319" s="5"/>
      <c r="J319" s="1"/>
      <c r="K319" s="1"/>
      <c r="L319" s="1"/>
      <c r="M319" s="9"/>
      <c r="N319" s="14"/>
      <c r="O319" s="16"/>
      <c r="P319" s="1"/>
    </row>
    <row r="320" spans="1:16">
      <c r="A320" s="6"/>
      <c r="B320" s="7"/>
      <c r="C320" s="6"/>
      <c r="D320" s="140"/>
      <c r="E320" s="157"/>
      <c r="F320" s="1"/>
      <c r="G320" s="9"/>
      <c r="H320" s="9"/>
      <c r="I320" s="5"/>
      <c r="J320" s="1"/>
      <c r="K320" s="1"/>
      <c r="L320" s="1"/>
      <c r="M320" s="9"/>
      <c r="N320" s="14"/>
      <c r="O320" s="16"/>
      <c r="P320" s="1"/>
    </row>
    <row r="321" spans="1:16">
      <c r="A321" s="6"/>
      <c r="B321" s="7"/>
      <c r="C321" s="6"/>
      <c r="D321" s="140"/>
      <c r="E321" s="157"/>
      <c r="F321" s="1"/>
      <c r="G321" s="9"/>
      <c r="H321" s="9"/>
      <c r="I321" s="5"/>
      <c r="J321" s="1"/>
      <c r="K321" s="1"/>
      <c r="L321" s="1"/>
      <c r="M321" s="9"/>
      <c r="N321" s="14"/>
      <c r="O321" s="16"/>
      <c r="P321" s="1"/>
    </row>
    <row r="322" spans="1:16">
      <c r="A322" s="6"/>
      <c r="B322" s="7"/>
      <c r="C322" s="6"/>
      <c r="D322" s="140"/>
      <c r="E322" s="157"/>
      <c r="F322" s="1"/>
      <c r="G322" s="9"/>
      <c r="H322" s="9"/>
      <c r="I322" s="5"/>
      <c r="J322" s="1"/>
      <c r="K322" s="1"/>
      <c r="L322" s="1"/>
      <c r="M322" s="9"/>
      <c r="N322" s="14"/>
      <c r="O322" s="16"/>
      <c r="P322" s="1"/>
    </row>
    <row r="323" spans="1:16">
      <c r="A323" s="6"/>
      <c r="B323" s="7"/>
      <c r="C323" s="6"/>
      <c r="D323" s="140"/>
      <c r="E323" s="157"/>
      <c r="F323" s="1"/>
      <c r="G323" s="9"/>
      <c r="H323" s="9"/>
      <c r="I323" s="5"/>
      <c r="J323" s="1"/>
      <c r="K323" s="1"/>
      <c r="L323" s="1"/>
      <c r="M323" s="9"/>
      <c r="N323" s="14"/>
      <c r="O323" s="16"/>
      <c r="P323" s="1"/>
    </row>
    <row r="324" spans="1:16">
      <c r="B324" s="7"/>
      <c r="C324" s="1"/>
      <c r="D324" s="140"/>
      <c r="E324" s="157"/>
      <c r="F324" s="1"/>
      <c r="G324" s="9"/>
      <c r="H324" s="9"/>
      <c r="I324" s="5"/>
      <c r="J324" s="1"/>
      <c r="K324" s="1"/>
      <c r="L324" s="1"/>
      <c r="M324" s="9"/>
      <c r="N324" s="14"/>
      <c r="O324" s="16"/>
      <c r="P324" s="1"/>
    </row>
    <row r="325" spans="1:16">
      <c r="A325" s="6"/>
      <c r="B325" s="7"/>
      <c r="C325" s="6"/>
      <c r="D325" s="140"/>
      <c r="E325" s="157"/>
      <c r="F325" s="1"/>
      <c r="G325" s="9"/>
      <c r="H325" s="9"/>
      <c r="I325" s="5"/>
      <c r="J325" s="1"/>
      <c r="K325" s="1"/>
      <c r="L325" s="1"/>
      <c r="M325" s="9"/>
      <c r="N325" s="14"/>
      <c r="O325" s="16"/>
      <c r="P325" s="1"/>
    </row>
    <row r="326" spans="1:16">
      <c r="A326" s="6"/>
      <c r="B326" s="7"/>
      <c r="C326" s="6"/>
      <c r="D326" s="140"/>
      <c r="E326" s="157"/>
      <c r="F326" s="1"/>
      <c r="G326" s="9"/>
      <c r="H326" s="9"/>
      <c r="I326" s="5"/>
      <c r="J326" s="1"/>
      <c r="K326" s="1"/>
      <c r="L326" s="1"/>
      <c r="M326" s="9"/>
      <c r="N326" s="14"/>
      <c r="O326" s="16"/>
      <c r="P326" s="1"/>
    </row>
    <row r="327" spans="1:16">
      <c r="A327" s="6"/>
      <c r="B327" s="7"/>
      <c r="C327" s="6"/>
      <c r="D327" s="140"/>
      <c r="E327" s="157"/>
      <c r="F327" s="1"/>
      <c r="G327" s="9"/>
      <c r="H327" s="9"/>
      <c r="I327" s="5"/>
      <c r="J327" s="1"/>
      <c r="K327" s="1"/>
      <c r="L327" s="1"/>
      <c r="M327" s="9"/>
      <c r="N327" s="14"/>
      <c r="O327" s="16"/>
      <c r="P327" s="1"/>
    </row>
    <row r="328" spans="1:16">
      <c r="A328" s="6"/>
      <c r="B328" s="7"/>
      <c r="C328" s="6"/>
      <c r="D328" s="140"/>
      <c r="E328" s="157"/>
      <c r="F328" s="1"/>
      <c r="G328" s="9"/>
      <c r="H328" s="9"/>
      <c r="I328" s="5"/>
      <c r="J328" s="1"/>
      <c r="K328" s="1"/>
      <c r="L328" s="1"/>
      <c r="M328" s="9"/>
      <c r="N328" s="14"/>
      <c r="O328" s="16"/>
      <c r="P328" s="1"/>
    </row>
    <row r="329" spans="1:16">
      <c r="A329" s="6"/>
      <c r="B329" s="7"/>
      <c r="C329" s="6"/>
      <c r="D329" s="140"/>
      <c r="E329" s="173"/>
      <c r="F329" s="1"/>
      <c r="G329" s="9"/>
      <c r="H329" s="9"/>
      <c r="I329" s="5"/>
      <c r="J329" s="1"/>
      <c r="K329" s="1"/>
      <c r="L329" s="1"/>
      <c r="M329" s="9"/>
      <c r="N329" s="14"/>
      <c r="O329" s="16"/>
      <c r="P329" s="1"/>
    </row>
    <row r="330" spans="1:16">
      <c r="A330" s="6"/>
      <c r="B330" s="7"/>
      <c r="C330" s="6"/>
      <c r="D330" s="140"/>
      <c r="E330" s="157"/>
      <c r="F330" s="1"/>
      <c r="G330" s="9"/>
      <c r="H330" s="9"/>
      <c r="I330" s="5"/>
      <c r="J330" s="1"/>
      <c r="K330" s="1"/>
      <c r="L330" s="1"/>
      <c r="M330" s="9"/>
      <c r="N330" s="14"/>
      <c r="O330" s="16"/>
      <c r="P330" s="1"/>
    </row>
    <row r="331" spans="1:16">
      <c r="A331" s="6"/>
      <c r="B331" s="7"/>
      <c r="C331" s="6"/>
      <c r="D331" s="158"/>
      <c r="E331" s="157"/>
      <c r="F331" s="1"/>
      <c r="G331" s="9"/>
      <c r="H331" s="9"/>
      <c r="I331" s="5"/>
      <c r="J331" s="1"/>
      <c r="K331" s="1"/>
      <c r="L331" s="1"/>
      <c r="M331" s="9"/>
      <c r="N331" s="14"/>
      <c r="O331" s="16"/>
      <c r="P331" s="1"/>
    </row>
    <row r="332" spans="1:16">
      <c r="A332" s="6"/>
      <c r="B332" s="7"/>
      <c r="C332" s="6"/>
      <c r="D332" s="140"/>
      <c r="E332" s="157"/>
      <c r="F332" s="1"/>
      <c r="G332" s="9"/>
      <c r="H332" s="9"/>
      <c r="I332" s="5"/>
      <c r="J332" s="1"/>
      <c r="K332" s="1"/>
      <c r="L332" s="1"/>
      <c r="M332" s="9"/>
      <c r="N332" s="14"/>
      <c r="O332" s="16"/>
      <c r="P332" s="1"/>
    </row>
    <row r="333" spans="1:16">
      <c r="A333" s="6"/>
      <c r="B333" s="7"/>
      <c r="C333" s="6"/>
      <c r="D333" s="140"/>
      <c r="E333" s="158"/>
      <c r="F333" s="1"/>
      <c r="G333" s="9"/>
      <c r="H333" s="9"/>
      <c r="I333" s="5"/>
      <c r="J333" s="1"/>
      <c r="K333" s="1"/>
      <c r="L333" s="1"/>
      <c r="M333" s="9"/>
      <c r="N333" s="14"/>
      <c r="O333" s="16"/>
      <c r="P333" s="1"/>
    </row>
    <row r="334" spans="1:16">
      <c r="A334" s="6"/>
      <c r="B334" s="7"/>
      <c r="C334" s="6"/>
      <c r="D334" s="140"/>
      <c r="E334" s="157"/>
      <c r="F334" s="1"/>
      <c r="G334" s="9"/>
      <c r="H334" s="9"/>
      <c r="I334" s="5"/>
      <c r="J334" s="1"/>
      <c r="K334" s="1"/>
      <c r="L334" s="1"/>
      <c r="M334" s="9"/>
      <c r="N334" s="14"/>
      <c r="O334" s="16"/>
      <c r="P334" s="1"/>
    </row>
    <row r="335" spans="1:16">
      <c r="A335" s="6"/>
      <c r="B335" s="7"/>
      <c r="C335" s="6"/>
      <c r="D335" s="140"/>
      <c r="E335" s="157"/>
      <c r="F335" s="1"/>
      <c r="G335" s="9"/>
      <c r="H335" s="9"/>
      <c r="I335" s="5"/>
      <c r="J335" s="1"/>
      <c r="K335" s="1"/>
      <c r="L335" s="1"/>
      <c r="M335" s="9"/>
      <c r="N335" s="14"/>
      <c r="O335" s="16"/>
      <c r="P335" s="1"/>
    </row>
    <row r="336" spans="1:16">
      <c r="A336" s="6"/>
      <c r="B336" s="7"/>
      <c r="C336" s="6"/>
      <c r="D336" s="140"/>
      <c r="E336" s="157"/>
      <c r="F336" s="1"/>
      <c r="G336" s="9"/>
      <c r="H336" s="9"/>
      <c r="I336" s="5"/>
      <c r="J336" s="1"/>
      <c r="K336" s="1"/>
      <c r="L336" s="1"/>
      <c r="M336" s="9"/>
      <c r="N336" s="14"/>
      <c r="O336" s="16"/>
      <c r="P336" s="1"/>
    </row>
    <row r="337" spans="1:16">
      <c r="A337" s="6"/>
      <c r="B337" s="7"/>
      <c r="C337" s="6"/>
      <c r="D337" s="140"/>
      <c r="E337" s="157"/>
      <c r="F337" s="1"/>
      <c r="G337" s="9"/>
      <c r="H337" s="9"/>
      <c r="I337" s="5"/>
      <c r="J337" s="1"/>
      <c r="K337" s="1"/>
      <c r="L337" s="1"/>
      <c r="M337" s="9"/>
      <c r="N337" s="14"/>
      <c r="O337" s="16"/>
      <c r="P337" s="1"/>
    </row>
    <row r="338" spans="1:16">
      <c r="A338" s="6"/>
      <c r="B338" s="7"/>
      <c r="C338" s="6"/>
      <c r="D338" s="140"/>
      <c r="E338" s="157"/>
      <c r="F338" s="1"/>
      <c r="G338" s="9"/>
      <c r="H338" s="9"/>
      <c r="I338" s="5"/>
      <c r="J338" s="1"/>
      <c r="K338" s="1"/>
      <c r="L338" s="1"/>
      <c r="M338" s="9"/>
      <c r="N338" s="14"/>
      <c r="O338" s="16"/>
      <c r="P338" s="1"/>
    </row>
    <row r="339" spans="1:16">
      <c r="A339" s="6"/>
      <c r="B339" s="7"/>
      <c r="C339" s="6"/>
      <c r="D339" s="140"/>
      <c r="E339" s="157"/>
      <c r="F339" s="1"/>
      <c r="G339" s="9"/>
      <c r="H339" s="9"/>
      <c r="I339" s="5"/>
      <c r="J339" s="1"/>
      <c r="K339" s="1"/>
      <c r="L339" s="1"/>
      <c r="M339" s="9"/>
      <c r="N339" s="14"/>
      <c r="O339" s="16"/>
      <c r="P339" s="1"/>
    </row>
    <row r="340" spans="1:16">
      <c r="A340" s="6"/>
      <c r="B340" s="7"/>
      <c r="C340" s="6"/>
      <c r="D340" s="140"/>
      <c r="E340" s="157"/>
      <c r="F340" s="1"/>
      <c r="G340" s="9"/>
      <c r="H340" s="9"/>
      <c r="I340" s="5"/>
      <c r="J340" s="1"/>
      <c r="K340" s="1"/>
      <c r="L340" s="1"/>
      <c r="M340" s="9"/>
      <c r="N340" s="14"/>
      <c r="O340" s="16"/>
      <c r="P340" s="1"/>
    </row>
    <row r="341" spans="1:16">
      <c r="A341" s="6"/>
      <c r="B341" s="7"/>
      <c r="C341" s="6"/>
      <c r="D341" s="140"/>
      <c r="E341" s="157"/>
      <c r="F341" s="1"/>
      <c r="G341" s="9"/>
      <c r="H341" s="9"/>
      <c r="I341" s="5"/>
      <c r="J341" s="1"/>
      <c r="K341" s="1"/>
      <c r="L341" s="1"/>
      <c r="M341" s="9"/>
      <c r="N341" s="14"/>
      <c r="O341" s="16"/>
      <c r="P341" s="1"/>
    </row>
    <row r="342" spans="1:16">
      <c r="A342" s="6"/>
      <c r="B342" s="7"/>
      <c r="C342" s="6"/>
      <c r="D342" s="140"/>
      <c r="E342" s="157"/>
      <c r="F342" s="1"/>
      <c r="G342" s="9"/>
      <c r="H342" s="9"/>
      <c r="I342" s="5"/>
      <c r="J342" s="1"/>
      <c r="K342" s="1"/>
      <c r="L342" s="1"/>
      <c r="M342" s="9"/>
      <c r="N342" s="14"/>
      <c r="O342" s="16"/>
      <c r="P342" s="1"/>
    </row>
    <row r="343" spans="1:16">
      <c r="A343" s="6"/>
      <c r="B343" s="7"/>
      <c r="C343" s="6"/>
      <c r="D343" s="140"/>
      <c r="E343" s="157"/>
      <c r="F343" s="1"/>
      <c r="G343" s="9"/>
      <c r="H343" s="9"/>
      <c r="I343" s="5"/>
      <c r="J343" s="1"/>
      <c r="K343" s="1"/>
      <c r="L343" s="1"/>
      <c r="M343" s="9"/>
      <c r="N343" s="14"/>
      <c r="O343" s="16"/>
      <c r="P343" s="1"/>
    </row>
    <row r="344" spans="1:16">
      <c r="A344" s="6"/>
      <c r="B344" s="7"/>
      <c r="C344" s="6"/>
      <c r="D344" s="6"/>
      <c r="E344" s="6"/>
      <c r="F344" s="1"/>
      <c r="G344" s="9"/>
      <c r="H344" s="9"/>
      <c r="I344" s="5"/>
      <c r="J344" s="1"/>
      <c r="K344" s="1"/>
      <c r="L344" s="1"/>
      <c r="M344" s="9"/>
      <c r="N344" s="14"/>
      <c r="O344" s="16"/>
      <c r="P344" s="1"/>
    </row>
    <row r="345" spans="1:16">
      <c r="A345" s="6"/>
      <c r="B345" s="7"/>
      <c r="C345" s="6"/>
      <c r="D345" s="140"/>
      <c r="E345" s="157"/>
      <c r="F345" s="1"/>
      <c r="G345" s="9"/>
      <c r="H345" s="9"/>
      <c r="I345" s="5"/>
      <c r="J345" s="1"/>
      <c r="K345" s="1"/>
      <c r="L345" s="1"/>
      <c r="M345" s="9"/>
      <c r="N345" s="14"/>
      <c r="O345" s="16"/>
      <c r="P345" s="1"/>
    </row>
    <row r="346" spans="1:16">
      <c r="A346" s="6"/>
      <c r="B346" s="7"/>
      <c r="C346" s="6"/>
      <c r="D346" s="140"/>
      <c r="E346" s="157"/>
      <c r="F346" s="1"/>
      <c r="G346" s="9"/>
      <c r="H346" s="9"/>
      <c r="I346" s="5"/>
      <c r="J346" s="1"/>
      <c r="K346" s="1"/>
      <c r="L346" s="1"/>
      <c r="M346" s="9"/>
      <c r="N346" s="14"/>
      <c r="O346" s="16"/>
      <c r="P346" s="1"/>
    </row>
    <row r="347" spans="1:16">
      <c r="A347" s="6"/>
      <c r="B347" s="7"/>
      <c r="C347" s="6"/>
      <c r="D347" s="140"/>
      <c r="E347" s="157"/>
      <c r="F347" s="1"/>
      <c r="G347" s="9"/>
      <c r="H347" s="9"/>
      <c r="I347" s="5"/>
      <c r="J347" s="1"/>
      <c r="K347" s="1"/>
      <c r="L347" s="1"/>
      <c r="M347" s="9"/>
      <c r="N347" s="14"/>
      <c r="O347" s="16"/>
      <c r="P347" s="1"/>
    </row>
    <row r="348" spans="1:16">
      <c r="A348" s="6"/>
      <c r="B348" s="7"/>
      <c r="C348" s="6"/>
      <c r="D348" s="140"/>
      <c r="E348" s="157"/>
      <c r="F348" s="1"/>
      <c r="G348" s="9"/>
      <c r="H348" s="9"/>
      <c r="I348" s="5"/>
      <c r="J348" s="1"/>
      <c r="K348" s="1"/>
      <c r="L348" s="1"/>
      <c r="M348" s="9"/>
      <c r="N348" s="14"/>
      <c r="O348" s="16"/>
      <c r="P348" s="1"/>
    </row>
    <row r="349" spans="1:16">
      <c r="A349" s="6"/>
      <c r="B349" s="7"/>
      <c r="C349" s="6"/>
      <c r="D349" s="140"/>
      <c r="E349" s="157"/>
      <c r="F349" s="1"/>
      <c r="G349" s="9"/>
      <c r="H349" s="9"/>
      <c r="I349" s="5"/>
      <c r="J349" s="1"/>
      <c r="K349" s="1"/>
      <c r="L349" s="1"/>
      <c r="M349" s="9"/>
      <c r="N349" s="14"/>
      <c r="O349" s="16"/>
      <c r="P349" s="1"/>
    </row>
    <row r="350" spans="1:16">
      <c r="A350" s="6"/>
      <c r="B350" s="7"/>
      <c r="C350" s="6"/>
      <c r="D350" s="140"/>
      <c r="E350" s="140"/>
      <c r="F350" s="1"/>
      <c r="G350" s="9"/>
      <c r="H350" s="9"/>
      <c r="I350" s="5"/>
      <c r="J350" s="1"/>
      <c r="K350" s="1"/>
      <c r="L350" s="1"/>
      <c r="M350" s="9"/>
      <c r="N350" s="14"/>
      <c r="O350" s="16"/>
      <c r="P350" s="1"/>
    </row>
    <row r="351" spans="1:16">
      <c r="A351" s="6"/>
      <c r="B351" s="7"/>
      <c r="C351" s="6"/>
      <c r="D351" s="140"/>
      <c r="E351" s="157"/>
      <c r="F351" s="1"/>
      <c r="G351" s="9"/>
      <c r="H351" s="9"/>
      <c r="I351" s="5"/>
      <c r="J351" s="1"/>
      <c r="K351" s="1"/>
      <c r="L351" s="1"/>
      <c r="M351" s="9"/>
      <c r="N351" s="14"/>
      <c r="O351" s="16"/>
      <c r="P351" s="1"/>
    </row>
    <row r="352" spans="1:16">
      <c r="A352" s="6"/>
      <c r="B352" s="7"/>
      <c r="C352" s="6"/>
      <c r="D352" s="140"/>
      <c r="E352" s="157"/>
      <c r="F352" s="1"/>
      <c r="G352" s="9"/>
      <c r="H352" s="9"/>
      <c r="I352" s="5"/>
      <c r="J352" s="1"/>
      <c r="K352" s="1"/>
      <c r="L352" s="1"/>
      <c r="M352" s="9"/>
      <c r="N352" s="14"/>
      <c r="O352" s="16"/>
      <c r="P352" s="1"/>
    </row>
    <row r="353" spans="1:16">
      <c r="A353" s="6"/>
      <c r="B353" s="7"/>
      <c r="C353" s="6"/>
      <c r="D353" s="140"/>
      <c r="E353" s="157"/>
      <c r="F353" s="1"/>
      <c r="G353" s="9"/>
      <c r="H353" s="9"/>
      <c r="I353" s="5"/>
      <c r="J353" s="1"/>
      <c r="K353" s="1"/>
      <c r="L353" s="1"/>
      <c r="M353" s="9"/>
      <c r="N353" s="14"/>
      <c r="O353" s="16"/>
      <c r="P353" s="1"/>
    </row>
    <row r="354" spans="1:16">
      <c r="A354" s="6"/>
      <c r="B354" s="7"/>
      <c r="C354" s="6"/>
      <c r="D354" s="140"/>
      <c r="E354" s="174"/>
      <c r="F354" s="1"/>
      <c r="G354" s="9"/>
      <c r="H354" s="9"/>
      <c r="I354" s="5"/>
      <c r="J354" s="1"/>
      <c r="K354" s="1"/>
      <c r="L354" s="1"/>
      <c r="M354" s="9"/>
      <c r="N354" s="14"/>
      <c r="O354" s="16"/>
      <c r="P354" s="1"/>
    </row>
    <row r="355" spans="1:16">
      <c r="A355" s="6"/>
      <c r="B355" s="7"/>
      <c r="C355" s="6"/>
      <c r="D355" s="176"/>
      <c r="E355" s="157"/>
      <c r="F355" s="1"/>
      <c r="G355" s="9"/>
      <c r="H355" s="9"/>
      <c r="I355" s="5"/>
      <c r="J355" s="1"/>
      <c r="K355" s="1"/>
      <c r="L355" s="1"/>
      <c r="M355" s="9"/>
      <c r="N355" s="5"/>
      <c r="O355" s="16"/>
      <c r="P355" s="1"/>
    </row>
    <row r="356" spans="1:16">
      <c r="A356" s="6"/>
      <c r="B356" s="7"/>
      <c r="C356" s="6"/>
      <c r="D356" s="176"/>
      <c r="E356" s="157"/>
      <c r="F356" s="1"/>
      <c r="G356" s="9"/>
      <c r="H356" s="9"/>
      <c r="I356" s="5"/>
      <c r="J356" s="1"/>
      <c r="K356" s="1"/>
      <c r="L356" s="1"/>
      <c r="M356" s="9"/>
      <c r="N356" s="5"/>
      <c r="O356" s="16"/>
      <c r="P356" s="1"/>
    </row>
    <row r="357" spans="1:16">
      <c r="A357" s="6"/>
      <c r="B357" s="178"/>
      <c r="C357" s="6"/>
      <c r="D357" s="176"/>
      <c r="E357" s="157"/>
      <c r="F357" s="1"/>
      <c r="G357" s="9"/>
      <c r="H357" s="9"/>
      <c r="I357" s="5"/>
      <c r="J357" s="1"/>
      <c r="K357" s="1"/>
      <c r="L357" s="1"/>
      <c r="M357" s="9"/>
      <c r="N357" s="5"/>
      <c r="O357" s="16"/>
      <c r="P357" s="1"/>
    </row>
    <row r="358" spans="1:16">
      <c r="A358" s="6"/>
      <c r="B358" s="7"/>
      <c r="C358" s="6"/>
      <c r="D358" s="176"/>
      <c r="E358" s="157"/>
      <c r="F358" s="1"/>
      <c r="G358" s="9"/>
      <c r="H358" s="9"/>
      <c r="I358" s="5"/>
      <c r="J358" s="1"/>
      <c r="K358" s="1"/>
      <c r="L358" s="1"/>
      <c r="M358" s="9"/>
      <c r="N358" s="14"/>
      <c r="O358" s="16"/>
      <c r="P358" s="1"/>
    </row>
    <row r="359" spans="1:16">
      <c r="A359" s="6"/>
      <c r="B359" s="7"/>
      <c r="C359" s="6"/>
      <c r="D359" s="176"/>
      <c r="E359" s="157"/>
      <c r="F359" s="1"/>
      <c r="G359" s="9"/>
      <c r="H359" s="9"/>
      <c r="I359" s="5"/>
      <c r="J359" s="1"/>
      <c r="K359" s="1"/>
      <c r="L359" s="1"/>
      <c r="M359" s="9"/>
      <c r="N359" s="14"/>
      <c r="O359" s="16"/>
      <c r="P359" s="1"/>
    </row>
    <row r="360" spans="1:16">
      <c r="A360" s="6"/>
      <c r="B360" s="7"/>
      <c r="C360" s="6"/>
      <c r="D360" s="176"/>
      <c r="E360" s="157"/>
      <c r="F360" s="1"/>
      <c r="G360" s="9"/>
      <c r="H360" s="9"/>
      <c r="I360" s="5"/>
      <c r="J360" s="1"/>
      <c r="K360" s="1"/>
      <c r="L360" s="1"/>
      <c r="M360" s="9"/>
      <c r="N360" s="14"/>
      <c r="O360" s="16"/>
      <c r="P360" s="1"/>
    </row>
    <row r="361" spans="1:16">
      <c r="A361" s="6"/>
      <c r="B361" s="7"/>
      <c r="C361" s="6"/>
      <c r="D361" s="177"/>
      <c r="E361" s="157"/>
      <c r="F361" s="179"/>
      <c r="G361" s="9"/>
      <c r="H361" s="9"/>
      <c r="I361" s="5"/>
      <c r="J361" s="1"/>
      <c r="K361" s="1"/>
      <c r="L361" s="1"/>
      <c r="M361" s="9"/>
      <c r="N361" s="14"/>
      <c r="O361" s="16"/>
      <c r="P361" s="1"/>
    </row>
    <row r="362" spans="1:16">
      <c r="A362" s="116"/>
      <c r="B362" s="7"/>
      <c r="C362" s="6"/>
      <c r="D362" s="176"/>
      <c r="E362" s="157"/>
      <c r="F362" s="1"/>
      <c r="G362" s="9"/>
      <c r="H362" s="9"/>
      <c r="I362" s="5"/>
      <c r="J362" s="1"/>
      <c r="K362" s="1"/>
      <c r="L362" s="1"/>
      <c r="M362" s="9"/>
      <c r="N362" s="5"/>
      <c r="O362" s="16"/>
      <c r="P362" s="1"/>
    </row>
    <row r="363" spans="1:16">
      <c r="A363" s="6"/>
      <c r="B363" s="7"/>
      <c r="C363" s="6"/>
      <c r="D363" s="176"/>
      <c r="E363" s="157"/>
      <c r="F363" s="1"/>
      <c r="G363" s="9"/>
      <c r="H363" s="9"/>
      <c r="I363" s="5"/>
      <c r="J363" s="1"/>
      <c r="K363" s="1"/>
      <c r="L363" s="1"/>
      <c r="M363" s="9"/>
      <c r="N363" s="14"/>
      <c r="O363" s="16"/>
      <c r="P363" s="1"/>
    </row>
    <row r="364" spans="1:16">
      <c r="A364" s="116"/>
      <c r="B364" s="7"/>
      <c r="C364" s="172"/>
      <c r="D364" s="176"/>
      <c r="E364" s="157"/>
      <c r="F364" s="1"/>
      <c r="G364" s="9"/>
      <c r="H364" s="9"/>
      <c r="I364" s="5"/>
      <c r="J364" s="1"/>
      <c r="K364" s="1"/>
      <c r="L364" s="1"/>
      <c r="M364" s="9"/>
      <c r="N364" s="5"/>
      <c r="O364" s="16"/>
      <c r="P364" s="1"/>
    </row>
    <row r="365" spans="1:16">
      <c r="A365" s="6"/>
      <c r="B365" s="7"/>
      <c r="C365" s="6"/>
      <c r="D365" s="176"/>
      <c r="E365" s="157"/>
      <c r="F365" s="1"/>
      <c r="G365" s="9"/>
      <c r="H365" s="9"/>
      <c r="I365" s="5"/>
      <c r="J365" s="1"/>
      <c r="K365" s="1"/>
      <c r="L365" s="1"/>
      <c r="M365" s="9"/>
      <c r="N365" s="5"/>
      <c r="O365" s="16"/>
      <c r="P365" s="1"/>
    </row>
    <row r="366" spans="1:16">
      <c r="A366" s="6"/>
      <c r="B366" s="7"/>
      <c r="C366" s="6"/>
      <c r="D366" s="176"/>
      <c r="E366" s="157"/>
      <c r="F366" s="1"/>
      <c r="G366" s="9"/>
      <c r="H366" s="9"/>
      <c r="I366" s="5"/>
      <c r="J366" s="1"/>
      <c r="K366" s="1"/>
      <c r="L366" s="1"/>
      <c r="M366" s="9"/>
      <c r="N366" s="14"/>
      <c r="O366" s="16"/>
      <c r="P366" s="1"/>
    </row>
    <row r="367" spans="1:16">
      <c r="A367" s="6"/>
      <c r="B367" s="7"/>
      <c r="C367" s="6"/>
      <c r="D367" s="176"/>
      <c r="E367" s="157"/>
      <c r="F367" s="1"/>
      <c r="G367" s="9"/>
      <c r="H367" s="9"/>
      <c r="I367" s="5"/>
      <c r="J367" s="1"/>
      <c r="K367" s="1"/>
      <c r="L367" s="1"/>
      <c r="M367" s="9"/>
      <c r="N367" s="14"/>
      <c r="O367" s="16"/>
      <c r="P367" s="1"/>
    </row>
    <row r="368" spans="1:16">
      <c r="A368" s="6"/>
      <c r="B368" s="7"/>
      <c r="C368" s="6"/>
      <c r="D368" s="176"/>
      <c r="E368" s="157"/>
      <c r="F368" s="1"/>
      <c r="G368" s="9"/>
      <c r="H368" s="9"/>
      <c r="I368" s="5"/>
      <c r="J368" s="1"/>
      <c r="K368" s="1"/>
      <c r="L368" s="1"/>
      <c r="M368" s="9"/>
      <c r="N368" s="14"/>
      <c r="O368" s="16"/>
      <c r="P368" s="1"/>
    </row>
    <row r="369" spans="1:16">
      <c r="A369" s="6"/>
      <c r="B369" s="178"/>
      <c r="C369" s="6"/>
      <c r="D369" s="176"/>
      <c r="E369" s="157"/>
      <c r="F369" s="1"/>
      <c r="G369" s="9"/>
      <c r="H369" s="9"/>
      <c r="I369" s="5"/>
      <c r="J369" s="1"/>
      <c r="K369" s="1"/>
      <c r="L369" s="1"/>
      <c r="M369" s="9"/>
      <c r="N369" s="14"/>
      <c r="O369" s="16"/>
      <c r="P369" s="1"/>
    </row>
    <row r="370" spans="1:16">
      <c r="A370" s="6"/>
      <c r="B370" s="178"/>
      <c r="C370" s="6"/>
      <c r="D370" s="176"/>
      <c r="E370" s="157"/>
      <c r="F370" s="1"/>
      <c r="G370" s="9"/>
      <c r="H370" s="9"/>
      <c r="I370" s="5"/>
      <c r="J370" s="1"/>
      <c r="K370" s="1"/>
      <c r="L370" s="1"/>
      <c r="M370" s="9"/>
      <c r="N370" s="14"/>
      <c r="O370" s="16"/>
      <c r="P370" s="1"/>
    </row>
    <row r="371" spans="1:16">
      <c r="A371" s="6"/>
      <c r="B371" s="7"/>
      <c r="C371" s="6"/>
      <c r="D371" s="176"/>
      <c r="E371" s="157"/>
      <c r="F371" s="1"/>
      <c r="G371" s="9"/>
      <c r="H371" s="9"/>
      <c r="I371" s="5"/>
      <c r="J371" s="1"/>
      <c r="K371" s="1"/>
      <c r="L371" s="1"/>
      <c r="M371" s="9"/>
      <c r="N371" s="14"/>
      <c r="O371" s="16"/>
      <c r="P371" s="1"/>
    </row>
    <row r="372" spans="1:16">
      <c r="A372" s="6"/>
      <c r="B372" s="7"/>
      <c r="C372" s="6"/>
      <c r="D372" s="176"/>
      <c r="E372" s="157"/>
      <c r="F372" s="1"/>
      <c r="G372" s="9"/>
      <c r="H372" s="9"/>
      <c r="I372" s="5"/>
      <c r="J372" s="1"/>
      <c r="K372" s="1"/>
      <c r="L372" s="1"/>
      <c r="M372" s="9"/>
      <c r="N372" s="14"/>
      <c r="O372" s="16"/>
      <c r="P372" s="1"/>
    </row>
    <row r="373" spans="1:16">
      <c r="A373" s="6"/>
      <c r="B373" s="7"/>
      <c r="C373" s="6"/>
      <c r="D373" s="176"/>
      <c r="E373" s="157"/>
      <c r="F373" s="1"/>
      <c r="G373" s="9"/>
      <c r="H373" s="9"/>
      <c r="I373" s="5"/>
      <c r="J373" s="1"/>
      <c r="K373" s="1"/>
      <c r="L373" s="1"/>
      <c r="M373" s="9"/>
      <c r="N373" s="14"/>
      <c r="O373" s="16"/>
      <c r="P373" s="1"/>
    </row>
    <row r="374" spans="1:16">
      <c r="A374" s="6"/>
      <c r="B374" s="7"/>
      <c r="C374" s="177"/>
      <c r="D374" s="176"/>
      <c r="E374" s="157"/>
      <c r="F374" s="1"/>
      <c r="G374" s="9"/>
      <c r="H374" s="9"/>
      <c r="I374" s="5"/>
      <c r="J374" s="1"/>
      <c r="K374" s="1"/>
      <c r="L374" s="1"/>
      <c r="M374" s="9"/>
      <c r="N374" s="14"/>
      <c r="O374" s="16"/>
      <c r="P374" s="1"/>
    </row>
    <row r="375" spans="1:16">
      <c r="A375" s="6"/>
      <c r="B375" s="178"/>
      <c r="C375" s="157"/>
      <c r="D375" s="176"/>
      <c r="E375" s="157"/>
      <c r="F375" s="1"/>
      <c r="G375" s="9"/>
      <c r="H375" s="9"/>
      <c r="I375" s="5"/>
      <c r="J375" s="1"/>
      <c r="K375" s="1"/>
      <c r="L375" s="1"/>
      <c r="M375" s="9"/>
      <c r="N375" s="14"/>
      <c r="O375" s="16"/>
      <c r="P375" s="1"/>
    </row>
    <row r="376" spans="1:16">
      <c r="A376" s="6"/>
      <c r="B376" s="178"/>
      <c r="C376" s="6"/>
      <c r="D376" s="176"/>
      <c r="E376" s="157"/>
      <c r="F376" s="1"/>
      <c r="G376" s="9"/>
      <c r="H376" s="9"/>
      <c r="I376" s="5"/>
      <c r="J376" s="1"/>
      <c r="K376" s="1"/>
      <c r="L376" s="1"/>
      <c r="M376" s="9"/>
      <c r="N376" s="14"/>
      <c r="O376" s="16"/>
      <c r="P376" s="1"/>
    </row>
    <row r="377" spans="1:16">
      <c r="A377" s="6"/>
      <c r="B377" s="178"/>
      <c r="C377" s="6"/>
      <c r="D377" s="176"/>
      <c r="E377" s="157"/>
      <c r="F377" s="1"/>
      <c r="G377" s="9"/>
      <c r="H377" s="9"/>
      <c r="I377" s="5"/>
      <c r="J377" s="1"/>
      <c r="K377" s="1"/>
      <c r="L377" s="1"/>
      <c r="M377" s="9"/>
      <c r="N377" s="14"/>
      <c r="O377" s="16"/>
      <c r="P377" s="1"/>
    </row>
    <row r="378" spans="1:16">
      <c r="A378" s="6"/>
      <c r="B378" s="161"/>
      <c r="C378" s="176"/>
      <c r="D378" s="176"/>
      <c r="E378" s="157"/>
      <c r="F378" s="1"/>
      <c r="G378" s="9"/>
      <c r="H378" s="9"/>
      <c r="I378" s="5"/>
      <c r="J378" s="1"/>
      <c r="K378" s="1"/>
      <c r="L378" s="1"/>
      <c r="M378" s="9"/>
      <c r="N378" s="14"/>
      <c r="O378" s="16"/>
      <c r="P378" s="1"/>
    </row>
    <row r="379" spans="1:16">
      <c r="A379" s="6"/>
      <c r="B379" s="7"/>
      <c r="C379" s="6"/>
      <c r="D379" s="176"/>
      <c r="E379" s="157"/>
      <c r="F379" s="1"/>
      <c r="G379" s="9"/>
      <c r="H379" s="9"/>
      <c r="I379" s="5"/>
      <c r="J379" s="1"/>
      <c r="K379" s="1"/>
      <c r="L379" s="1"/>
      <c r="M379" s="9"/>
      <c r="N379" s="14"/>
      <c r="O379" s="16"/>
      <c r="P379" s="1"/>
    </row>
    <row r="380" spans="1:16">
      <c r="A380" s="6"/>
      <c r="B380" s="7"/>
      <c r="C380" s="6"/>
      <c r="D380" s="176"/>
      <c r="E380" s="157"/>
      <c r="F380" s="1"/>
      <c r="G380" s="9"/>
      <c r="H380" s="9"/>
      <c r="I380" s="5"/>
      <c r="J380" s="1"/>
      <c r="K380" s="1"/>
      <c r="L380" s="1"/>
      <c r="M380" s="9"/>
      <c r="N380" s="14"/>
      <c r="O380" s="16"/>
      <c r="P380" s="1"/>
    </row>
    <row r="381" spans="1:16">
      <c r="A381" s="6"/>
      <c r="B381" s="7"/>
      <c r="C381" s="6"/>
      <c r="D381" s="176"/>
      <c r="E381" s="157"/>
      <c r="F381" s="1"/>
      <c r="G381" s="9"/>
      <c r="H381" s="9"/>
      <c r="I381" s="5"/>
      <c r="J381" s="1"/>
      <c r="K381" s="1"/>
      <c r="L381" s="1"/>
      <c r="M381" s="9"/>
      <c r="N381" s="14"/>
      <c r="O381" s="16"/>
      <c r="P381" s="1"/>
    </row>
    <row r="382" spans="1:16">
      <c r="A382" s="6"/>
      <c r="B382" s="7"/>
      <c r="C382" s="6"/>
      <c r="D382" s="176"/>
      <c r="E382" s="157"/>
      <c r="F382" s="1"/>
      <c r="G382" s="9"/>
      <c r="H382" s="9"/>
      <c r="I382" s="5"/>
      <c r="J382" s="1"/>
      <c r="K382" s="1"/>
      <c r="L382" s="1"/>
      <c r="M382" s="9"/>
      <c r="N382" s="14"/>
      <c r="O382" s="16"/>
      <c r="P382" s="1"/>
    </row>
    <row r="383" spans="1:16">
      <c r="A383" s="6"/>
      <c r="B383" s="7"/>
      <c r="C383" s="6"/>
      <c r="D383" s="176"/>
      <c r="E383" s="157"/>
      <c r="F383" s="1"/>
      <c r="G383" s="9"/>
      <c r="H383" s="9"/>
      <c r="I383" s="5"/>
      <c r="J383" s="1"/>
      <c r="K383" s="1"/>
      <c r="L383" s="1"/>
      <c r="M383" s="9"/>
      <c r="N383" s="14"/>
      <c r="O383" s="16"/>
      <c r="P383" s="1"/>
    </row>
    <row r="384" spans="1:16">
      <c r="A384" s="6"/>
      <c r="B384" s="7"/>
      <c r="C384" s="6"/>
      <c r="D384" s="176"/>
      <c r="E384" s="140"/>
      <c r="F384" s="1"/>
      <c r="G384" s="9"/>
      <c r="H384" s="9"/>
      <c r="I384" s="5"/>
      <c r="J384" s="1"/>
      <c r="K384" s="1"/>
      <c r="L384" s="1"/>
      <c r="M384" s="9"/>
      <c r="N384" s="14"/>
      <c r="O384" s="16"/>
      <c r="P384" s="1"/>
    </row>
    <row r="385" spans="1:16">
      <c r="A385" s="6"/>
      <c r="B385" s="178"/>
      <c r="C385" s="6"/>
      <c r="D385" s="176"/>
      <c r="E385" s="157"/>
      <c r="F385" s="1"/>
      <c r="G385" s="9"/>
      <c r="H385" s="9"/>
      <c r="I385" s="5"/>
      <c r="J385" s="1"/>
      <c r="K385" s="1"/>
      <c r="L385" s="1"/>
      <c r="M385" s="9"/>
      <c r="N385" s="14"/>
      <c r="O385" s="16"/>
      <c r="P385" s="1"/>
    </row>
    <row r="386" spans="1:16">
      <c r="A386" s="6"/>
      <c r="B386" s="7"/>
      <c r="C386" s="6"/>
      <c r="D386" s="176"/>
      <c r="E386" s="157"/>
      <c r="F386" s="1"/>
      <c r="G386" s="9"/>
      <c r="H386" s="9"/>
      <c r="I386" s="5"/>
      <c r="J386" s="1"/>
      <c r="K386" s="1"/>
      <c r="L386" s="1"/>
      <c r="M386" s="9"/>
      <c r="N386" s="14"/>
      <c r="O386" s="16"/>
      <c r="P386" s="1"/>
    </row>
    <row r="387" spans="1:16">
      <c r="A387" s="6"/>
      <c r="B387" s="7"/>
      <c r="C387" s="6"/>
      <c r="D387" s="176"/>
      <c r="E387" s="140"/>
      <c r="F387" s="1"/>
      <c r="G387" s="9"/>
      <c r="H387" s="9"/>
      <c r="I387" s="5"/>
      <c r="J387" s="1"/>
      <c r="K387" s="1"/>
      <c r="L387" s="1"/>
      <c r="M387" s="9"/>
      <c r="N387" s="14"/>
      <c r="O387" s="16"/>
      <c r="P387" s="1"/>
    </row>
    <row r="388" spans="1:16">
      <c r="A388" s="6"/>
      <c r="B388" s="178"/>
      <c r="C388" s="6"/>
      <c r="D388" s="176"/>
      <c r="E388" s="157"/>
      <c r="F388" s="1"/>
      <c r="G388" s="9"/>
      <c r="H388" s="9"/>
      <c r="I388" s="5"/>
      <c r="J388" s="1"/>
      <c r="K388" s="1"/>
      <c r="L388" s="1"/>
      <c r="M388" s="9"/>
      <c r="N388" s="14"/>
      <c r="O388" s="16"/>
      <c r="P388" s="1"/>
    </row>
    <row r="389" spans="1:16">
      <c r="A389" s="6"/>
      <c r="B389" s="178"/>
      <c r="C389" s="6"/>
      <c r="D389" s="176"/>
      <c r="E389" s="157"/>
      <c r="F389" s="1"/>
      <c r="G389" s="9"/>
      <c r="H389" s="9"/>
      <c r="I389" s="5"/>
      <c r="J389" s="1"/>
      <c r="K389" s="1"/>
      <c r="L389" s="1"/>
      <c r="M389" s="9"/>
      <c r="N389" s="14"/>
      <c r="O389" s="16"/>
      <c r="P389" s="1"/>
    </row>
    <row r="390" spans="1:16">
      <c r="A390" s="6"/>
      <c r="B390" s="178"/>
      <c r="C390" s="6"/>
      <c r="D390" s="176"/>
      <c r="E390" s="157"/>
      <c r="F390" s="1"/>
      <c r="G390" s="9"/>
      <c r="H390" s="9"/>
      <c r="I390" s="5"/>
      <c r="J390" s="1"/>
      <c r="K390" s="1"/>
      <c r="L390" s="1"/>
      <c r="M390" s="9"/>
      <c r="N390" s="14"/>
      <c r="O390" s="16"/>
      <c r="P390" s="1"/>
    </row>
    <row r="391" spans="1:16">
      <c r="A391" s="6"/>
      <c r="B391" s="178"/>
      <c r="C391" s="6"/>
      <c r="D391" s="176"/>
      <c r="E391" s="157"/>
      <c r="F391" s="1"/>
      <c r="G391" s="9"/>
      <c r="H391" s="9"/>
      <c r="I391" s="5"/>
      <c r="J391" s="1"/>
      <c r="K391" s="1"/>
      <c r="L391" s="1"/>
      <c r="M391" s="9"/>
      <c r="N391" s="14"/>
      <c r="O391" s="16"/>
      <c r="P391" s="1"/>
    </row>
    <row r="392" spans="1:16">
      <c r="A392" s="6"/>
      <c r="B392" s="178"/>
      <c r="C392" s="6"/>
      <c r="D392" s="176"/>
      <c r="E392" s="157"/>
      <c r="F392" s="1"/>
      <c r="G392" s="9"/>
      <c r="H392" s="9"/>
      <c r="I392" s="5"/>
      <c r="J392" s="1"/>
      <c r="K392" s="1"/>
      <c r="L392" s="1"/>
      <c r="M392" s="9"/>
      <c r="N392" s="14"/>
      <c r="O392" s="16"/>
      <c r="P392" s="1"/>
    </row>
    <row r="393" spans="1:16">
      <c r="A393" s="156"/>
      <c r="B393" s="178"/>
      <c r="C393" s="148"/>
      <c r="D393" s="176"/>
      <c r="E393" s="157"/>
      <c r="F393" s="1"/>
      <c r="G393" s="9"/>
      <c r="H393" s="9"/>
      <c r="I393" s="5"/>
      <c r="J393" s="1"/>
      <c r="K393" s="1"/>
      <c r="L393" s="1"/>
      <c r="M393" s="9"/>
      <c r="N393" s="14"/>
      <c r="O393" s="16"/>
      <c r="P393" s="1"/>
    </row>
    <row r="394" spans="1:16">
      <c r="A394" s="6"/>
      <c r="B394" s="178"/>
      <c r="C394" s="6"/>
      <c r="D394" s="176"/>
      <c r="E394" s="157"/>
      <c r="F394" s="1"/>
      <c r="G394" s="9"/>
      <c r="H394" s="9"/>
      <c r="I394" s="5"/>
      <c r="J394" s="1"/>
      <c r="K394" s="1"/>
      <c r="L394" s="1"/>
      <c r="M394" s="9"/>
      <c r="N394" s="14"/>
      <c r="O394" s="16"/>
      <c r="P394" s="1"/>
    </row>
    <row r="395" spans="1:16">
      <c r="A395" s="6"/>
      <c r="B395" s="7"/>
      <c r="C395" s="6"/>
      <c r="D395" s="176"/>
      <c r="E395" s="157"/>
      <c r="F395" s="1"/>
      <c r="G395" s="9"/>
      <c r="H395" s="9"/>
      <c r="I395" s="5"/>
      <c r="J395" s="1"/>
      <c r="K395" s="1"/>
      <c r="L395" s="1"/>
      <c r="M395" s="9"/>
      <c r="N395" s="14"/>
      <c r="O395" s="16"/>
      <c r="P395" s="1"/>
    </row>
    <row r="396" spans="1:16">
      <c r="A396" s="6"/>
      <c r="B396" s="178"/>
      <c r="C396" s="6"/>
      <c r="D396" s="176"/>
      <c r="E396" s="157"/>
      <c r="F396" s="1"/>
      <c r="G396" s="9"/>
      <c r="H396" s="9"/>
      <c r="I396" s="5"/>
      <c r="J396" s="1"/>
      <c r="K396" s="1"/>
      <c r="L396" s="1"/>
      <c r="M396" s="9"/>
      <c r="N396" s="14"/>
      <c r="O396" s="16"/>
      <c r="P396" s="1"/>
    </row>
    <row r="397" spans="1:16">
      <c r="A397" s="6"/>
      <c r="B397" s="178"/>
      <c r="C397" s="6"/>
      <c r="D397" s="176"/>
      <c r="E397" s="157"/>
      <c r="F397" s="1"/>
      <c r="G397" s="9"/>
      <c r="H397" s="9"/>
      <c r="I397" s="5"/>
      <c r="J397" s="1"/>
      <c r="K397" s="1"/>
      <c r="L397" s="1"/>
      <c r="M397" s="9"/>
      <c r="N397" s="14"/>
      <c r="O397" s="16"/>
      <c r="P397" s="1"/>
    </row>
    <row r="398" spans="1:16">
      <c r="A398" s="6"/>
      <c r="B398" s="7"/>
      <c r="C398" s="6"/>
      <c r="D398" s="176"/>
      <c r="E398" s="157"/>
      <c r="F398" s="1"/>
      <c r="G398" s="9"/>
      <c r="H398" s="9"/>
      <c r="I398" s="5"/>
      <c r="J398" s="1"/>
      <c r="K398" s="1"/>
      <c r="L398" s="1"/>
      <c r="M398" s="9"/>
      <c r="N398" s="14"/>
      <c r="O398" s="16"/>
      <c r="P398" s="1"/>
    </row>
    <row r="399" spans="1:16">
      <c r="A399" s="6"/>
      <c r="B399" s="178"/>
      <c r="C399" s="6"/>
      <c r="D399" s="176"/>
      <c r="E399" s="157"/>
      <c r="F399" s="1"/>
      <c r="G399" s="9"/>
      <c r="H399" s="9"/>
      <c r="I399" s="5"/>
      <c r="J399" s="1"/>
      <c r="K399" s="1"/>
      <c r="L399" s="1"/>
      <c r="M399" s="9"/>
      <c r="N399" s="14"/>
      <c r="O399" s="16"/>
      <c r="P399" s="1"/>
    </row>
    <row r="400" spans="1:16">
      <c r="A400" s="6"/>
      <c r="B400" s="7"/>
      <c r="C400" s="6"/>
      <c r="D400" s="176"/>
      <c r="E400" s="157"/>
      <c r="F400" s="1"/>
      <c r="G400" s="9"/>
      <c r="H400" s="9"/>
      <c r="I400" s="5"/>
      <c r="J400" s="1"/>
      <c r="K400" s="1"/>
      <c r="L400" s="1"/>
      <c r="M400" s="9"/>
      <c r="N400" s="14"/>
      <c r="O400" s="16"/>
      <c r="P400" s="1"/>
    </row>
    <row r="401" spans="1:16">
      <c r="A401" s="6"/>
      <c r="B401" s="7"/>
      <c r="C401" s="6"/>
      <c r="D401" s="176"/>
      <c r="E401" s="157"/>
      <c r="F401" s="1"/>
      <c r="G401" s="9"/>
      <c r="H401" s="9"/>
      <c r="I401" s="5"/>
      <c r="J401" s="1"/>
      <c r="K401" s="1"/>
      <c r="L401" s="1"/>
      <c r="M401" s="9"/>
      <c r="N401" s="14"/>
      <c r="O401" s="16"/>
      <c r="P401" s="1"/>
    </row>
    <row r="402" spans="1:16">
      <c r="A402" s="6"/>
      <c r="B402" s="7"/>
      <c r="C402" s="6"/>
      <c r="D402" s="176"/>
      <c r="E402" s="157"/>
      <c r="F402" s="1"/>
      <c r="G402" s="9"/>
      <c r="H402" s="9"/>
      <c r="I402" s="5"/>
      <c r="J402" s="1"/>
      <c r="K402" s="1"/>
      <c r="L402" s="1"/>
      <c r="M402" s="9"/>
      <c r="N402" s="14"/>
      <c r="O402" s="16"/>
      <c r="P402" s="1"/>
    </row>
    <row r="403" spans="1:16">
      <c r="A403" s="6"/>
      <c r="B403" s="7"/>
      <c r="C403" s="6"/>
      <c r="D403" s="176"/>
      <c r="E403" s="157"/>
      <c r="F403" s="1"/>
      <c r="G403" s="9"/>
      <c r="H403" s="9"/>
      <c r="I403" s="5"/>
      <c r="J403" s="1"/>
      <c r="K403" s="1"/>
      <c r="L403" s="1"/>
      <c r="M403" s="9"/>
      <c r="N403" s="14"/>
      <c r="O403" s="16"/>
      <c r="P403" s="1"/>
    </row>
    <row r="404" spans="1:16">
      <c r="A404" s="6"/>
      <c r="B404" s="7"/>
      <c r="C404" s="6"/>
      <c r="D404" s="176"/>
      <c r="E404" s="157"/>
      <c r="F404" s="1"/>
      <c r="G404" s="9"/>
      <c r="H404" s="9"/>
      <c r="I404" s="5"/>
      <c r="J404" s="1"/>
      <c r="K404" s="1"/>
      <c r="L404" s="1"/>
      <c r="M404" s="9"/>
      <c r="N404" s="14"/>
      <c r="O404" s="16"/>
      <c r="P404" s="1"/>
    </row>
    <row r="405" spans="1:16">
      <c r="A405" s="6"/>
      <c r="B405" s="7"/>
      <c r="C405" s="6"/>
      <c r="D405" s="176"/>
      <c r="E405" s="157"/>
      <c r="F405" s="1"/>
      <c r="G405" s="9"/>
      <c r="H405" s="9"/>
      <c r="I405" s="5"/>
      <c r="J405" s="1"/>
      <c r="K405" s="1"/>
      <c r="L405" s="1"/>
      <c r="M405" s="9"/>
      <c r="N405" s="14"/>
      <c r="O405" s="16"/>
      <c r="P405" s="1"/>
    </row>
    <row r="406" spans="1:16">
      <c r="A406" s="6"/>
      <c r="B406" s="7"/>
      <c r="C406" s="148"/>
      <c r="D406" s="176"/>
      <c r="E406" s="157"/>
      <c r="F406" s="1"/>
      <c r="G406" s="9"/>
      <c r="H406" s="9"/>
      <c r="I406" s="5"/>
      <c r="J406" s="1"/>
      <c r="K406" s="1"/>
      <c r="L406" s="1"/>
      <c r="M406" s="9"/>
      <c r="N406" s="14"/>
      <c r="O406" s="16"/>
      <c r="P406" s="1"/>
    </row>
    <row r="407" spans="1:16">
      <c r="A407" s="6"/>
      <c r="B407" s="7"/>
      <c r="C407" s="6"/>
      <c r="D407" s="176"/>
      <c r="E407" s="157"/>
      <c r="F407" s="1"/>
      <c r="G407" s="9"/>
      <c r="H407" s="9"/>
      <c r="I407" s="5"/>
      <c r="J407" s="1"/>
      <c r="K407" s="1"/>
      <c r="L407" s="1"/>
      <c r="M407" s="9"/>
      <c r="N407" s="14"/>
      <c r="O407" s="16"/>
      <c r="P407" s="1"/>
    </row>
    <row r="408" spans="1:16">
      <c r="A408" s="6"/>
      <c r="B408" s="7"/>
      <c r="C408" s="6"/>
      <c r="D408" s="176"/>
      <c r="E408" s="140"/>
      <c r="F408" s="1"/>
      <c r="G408" s="9"/>
      <c r="H408" s="9"/>
      <c r="I408" s="5"/>
      <c r="J408" s="1"/>
      <c r="K408" s="1"/>
      <c r="L408" s="1"/>
      <c r="M408" s="9"/>
      <c r="N408" s="14"/>
      <c r="O408" s="16"/>
      <c r="P408" s="1"/>
    </row>
    <row r="409" spans="1:16">
      <c r="A409" s="6"/>
      <c r="B409" s="7"/>
      <c r="C409" s="6"/>
      <c r="D409" s="176"/>
      <c r="E409" s="157"/>
      <c r="F409" s="1"/>
      <c r="G409" s="9"/>
      <c r="H409" s="9"/>
      <c r="I409" s="5"/>
      <c r="J409" s="1"/>
      <c r="K409" s="1"/>
      <c r="L409" s="1"/>
      <c r="M409" s="9"/>
      <c r="N409" s="14"/>
      <c r="O409" s="16"/>
      <c r="P409" s="1"/>
    </row>
    <row r="410" spans="1:16">
      <c r="A410" s="6"/>
      <c r="B410" s="7"/>
      <c r="C410" s="6"/>
      <c r="D410" s="176"/>
      <c r="E410" s="157"/>
      <c r="F410" s="1"/>
      <c r="G410" s="9"/>
      <c r="H410" s="9"/>
      <c r="I410" s="5"/>
      <c r="J410" s="1"/>
      <c r="K410" s="1"/>
      <c r="L410" s="1"/>
      <c r="M410" s="9"/>
      <c r="N410" s="14"/>
      <c r="O410" s="16"/>
      <c r="P410" s="1"/>
    </row>
    <row r="411" spans="1:16">
      <c r="A411" s="6"/>
      <c r="B411" s="7"/>
      <c r="C411" s="6"/>
      <c r="D411" s="176"/>
      <c r="E411" s="157"/>
      <c r="F411" s="1"/>
      <c r="G411" s="9"/>
      <c r="H411" s="9"/>
      <c r="I411" s="5"/>
      <c r="J411" s="1"/>
      <c r="K411" s="1"/>
      <c r="L411" s="1"/>
      <c r="M411" s="9"/>
      <c r="N411" s="14"/>
      <c r="O411" s="16"/>
      <c r="P411" s="1"/>
    </row>
    <row r="412" spans="1:16">
      <c r="A412" s="6"/>
      <c r="B412" s="7"/>
      <c r="C412" s="6"/>
      <c r="D412" s="176"/>
      <c r="E412" s="157"/>
      <c r="F412" s="1"/>
      <c r="G412" s="9"/>
      <c r="H412" s="9"/>
      <c r="I412" s="5"/>
      <c r="J412" s="1"/>
      <c r="K412" s="1"/>
      <c r="L412" s="1"/>
      <c r="M412" s="9"/>
      <c r="N412" s="14"/>
      <c r="O412" s="16"/>
      <c r="P412" s="1"/>
    </row>
    <row r="413" spans="1:16">
      <c r="A413" s="6"/>
      <c r="B413" s="7"/>
      <c r="C413" s="6"/>
      <c r="D413" s="176"/>
      <c r="E413" s="140"/>
      <c r="F413" s="1"/>
      <c r="G413" s="9"/>
      <c r="H413" s="9"/>
      <c r="I413" s="5"/>
      <c r="J413" s="1"/>
      <c r="K413" s="1"/>
      <c r="L413" s="1"/>
      <c r="M413" s="9"/>
      <c r="N413" s="14"/>
      <c r="O413" s="16"/>
      <c r="P413" s="1"/>
    </row>
    <row r="414" spans="1:16">
      <c r="A414" s="6"/>
      <c r="B414" s="7"/>
      <c r="C414" s="6"/>
      <c r="D414" s="176"/>
      <c r="E414" s="157"/>
      <c r="F414" s="1"/>
      <c r="G414" s="9"/>
      <c r="H414" s="9"/>
      <c r="I414" s="5"/>
      <c r="J414" s="1"/>
      <c r="K414" s="1"/>
      <c r="L414" s="1"/>
      <c r="M414" s="9"/>
      <c r="N414" s="14"/>
      <c r="O414" s="16"/>
      <c r="P414" s="1"/>
    </row>
    <row r="415" spans="1:16">
      <c r="A415" s="6"/>
      <c r="B415" s="7"/>
      <c r="C415" s="6"/>
      <c r="D415" s="176"/>
      <c r="E415" s="157"/>
      <c r="F415" s="1"/>
      <c r="G415" s="9"/>
      <c r="H415" s="9"/>
      <c r="I415" s="5"/>
      <c r="J415" s="1"/>
      <c r="K415" s="1"/>
      <c r="L415" s="1"/>
      <c r="M415" s="9"/>
      <c r="N415" s="14"/>
      <c r="O415" s="16"/>
      <c r="P415" s="1"/>
    </row>
    <row r="416" spans="1:16">
      <c r="A416" s="6"/>
      <c r="B416" s="7"/>
      <c r="C416" s="6"/>
      <c r="D416" s="176"/>
      <c r="E416" s="174"/>
      <c r="F416" s="1"/>
      <c r="G416" s="9"/>
      <c r="H416" s="9"/>
      <c r="I416" s="5"/>
      <c r="J416" s="1"/>
      <c r="K416" s="1"/>
      <c r="L416" s="1"/>
      <c r="M416" s="9"/>
      <c r="N416" s="14"/>
      <c r="O416" s="16"/>
      <c r="P416" s="1"/>
    </row>
    <row r="417" spans="1:16">
      <c r="A417" s="6"/>
      <c r="B417" s="7"/>
      <c r="C417" s="6"/>
      <c r="D417" s="176"/>
      <c r="E417" s="157"/>
      <c r="F417" s="1"/>
      <c r="G417" s="9"/>
      <c r="H417" s="9"/>
      <c r="I417" s="5"/>
      <c r="J417" s="1"/>
      <c r="K417" s="1"/>
      <c r="L417" s="1"/>
      <c r="M417" s="9"/>
      <c r="N417" s="14"/>
      <c r="O417" s="16"/>
      <c r="P417" s="1"/>
    </row>
    <row r="418" spans="1:16">
      <c r="A418" s="6"/>
      <c r="B418" s="7"/>
      <c r="C418" s="6"/>
      <c r="D418" s="176"/>
      <c r="E418" s="157"/>
      <c r="F418" s="1"/>
      <c r="G418" s="9"/>
      <c r="H418" s="9"/>
      <c r="I418" s="5"/>
      <c r="J418" s="1"/>
      <c r="K418" s="1"/>
      <c r="L418" s="1"/>
      <c r="M418" s="9"/>
      <c r="N418" s="14"/>
      <c r="O418" s="16"/>
      <c r="P418" s="1"/>
    </row>
    <row r="419" spans="1:16">
      <c r="A419" s="6"/>
      <c r="B419" s="7"/>
      <c r="C419" s="6"/>
      <c r="D419" s="176"/>
      <c r="E419" s="158"/>
      <c r="F419" s="1"/>
      <c r="G419" s="9"/>
      <c r="H419" s="9"/>
      <c r="I419" s="5"/>
      <c r="J419" s="1"/>
      <c r="K419" s="1"/>
      <c r="L419" s="1"/>
      <c r="M419" s="9"/>
      <c r="N419" s="14"/>
      <c r="O419" s="16"/>
      <c r="P419" s="1"/>
    </row>
    <row r="420" spans="1:16">
      <c r="A420" s="6"/>
      <c r="B420" s="7"/>
      <c r="C420" s="6"/>
      <c r="D420" s="176"/>
      <c r="E420" s="157"/>
      <c r="F420" s="1"/>
      <c r="G420" s="9"/>
      <c r="H420" s="9"/>
      <c r="I420" s="5"/>
      <c r="J420" s="1"/>
      <c r="K420" s="1"/>
      <c r="L420" s="1"/>
      <c r="M420" s="9"/>
      <c r="N420" s="14"/>
      <c r="O420" s="16"/>
      <c r="P420" s="1"/>
    </row>
    <row r="421" spans="1:16">
      <c r="A421" s="6"/>
      <c r="B421" s="7"/>
      <c r="C421" s="6"/>
      <c r="D421" s="176"/>
      <c r="E421" s="157"/>
      <c r="F421" s="1"/>
      <c r="G421" s="9"/>
      <c r="H421" s="9"/>
      <c r="I421" s="5"/>
      <c r="J421" s="1"/>
      <c r="K421" s="1"/>
      <c r="L421" s="1"/>
      <c r="M421" s="9"/>
      <c r="N421" s="14"/>
      <c r="O421" s="16"/>
      <c r="P421" s="1"/>
    </row>
    <row r="422" spans="1:16">
      <c r="A422" s="6"/>
      <c r="B422" s="7"/>
      <c r="C422" s="6"/>
      <c r="D422" s="176"/>
      <c r="E422" s="157"/>
      <c r="F422" s="1"/>
      <c r="G422" s="9"/>
      <c r="H422" s="9"/>
      <c r="I422" s="5"/>
      <c r="J422" s="1"/>
      <c r="K422" s="1"/>
      <c r="L422" s="1"/>
      <c r="M422" s="9"/>
      <c r="N422" s="14"/>
      <c r="O422" s="16"/>
      <c r="P422" s="1"/>
    </row>
    <row r="423" spans="1:16">
      <c r="A423" s="6"/>
      <c r="B423" s="7"/>
      <c r="C423" s="6"/>
      <c r="D423" s="176"/>
      <c r="E423" s="157"/>
      <c r="F423" s="1"/>
      <c r="G423" s="9"/>
      <c r="H423" s="9"/>
      <c r="I423" s="5"/>
      <c r="J423" s="1"/>
      <c r="K423" s="1"/>
      <c r="L423" s="1"/>
      <c r="M423" s="9"/>
      <c r="N423" s="14"/>
      <c r="O423" s="16"/>
      <c r="P423" s="1"/>
    </row>
    <row r="424" spans="1:16">
      <c r="A424" s="6"/>
      <c r="B424" s="7"/>
      <c r="C424" s="6"/>
      <c r="D424" s="176"/>
      <c r="E424" s="157"/>
      <c r="F424" s="1"/>
      <c r="G424" s="9"/>
      <c r="H424" s="9"/>
      <c r="I424" s="5"/>
      <c r="J424" s="1"/>
      <c r="K424" s="1"/>
      <c r="L424" s="1"/>
      <c r="M424" s="9"/>
      <c r="N424" s="14"/>
      <c r="O424" s="16"/>
      <c r="P424" s="1"/>
    </row>
    <row r="425" spans="1:16">
      <c r="A425" s="6"/>
      <c r="B425" s="7"/>
      <c r="C425" s="6"/>
      <c r="D425" s="176"/>
      <c r="E425" s="180"/>
      <c r="F425" s="1"/>
      <c r="G425" s="9"/>
      <c r="H425" s="9"/>
      <c r="I425" s="5"/>
      <c r="J425" s="1"/>
      <c r="K425" s="1"/>
      <c r="L425" s="1"/>
      <c r="M425" s="9"/>
      <c r="N425" s="14"/>
      <c r="O425" s="16"/>
      <c r="P425" s="1"/>
    </row>
    <row r="426" spans="1:16">
      <c r="A426" s="6"/>
      <c r="B426" s="7"/>
      <c r="C426" s="6"/>
      <c r="D426" s="176"/>
      <c r="E426" s="157"/>
      <c r="F426" s="1"/>
      <c r="G426" s="9"/>
      <c r="H426" s="9"/>
      <c r="I426" s="5"/>
      <c r="J426" s="1"/>
      <c r="K426" s="1"/>
      <c r="L426" s="1"/>
      <c r="M426" s="9"/>
      <c r="N426" s="14"/>
      <c r="O426" s="16"/>
      <c r="P426" s="1"/>
    </row>
    <row r="427" spans="1:16">
      <c r="A427" s="6"/>
      <c r="B427" s="7"/>
      <c r="C427" s="6"/>
      <c r="D427" s="176"/>
      <c r="E427" s="140"/>
      <c r="F427" s="1"/>
      <c r="G427" s="9"/>
      <c r="H427" s="9"/>
      <c r="I427" s="5"/>
      <c r="J427" s="1"/>
      <c r="K427" s="1"/>
      <c r="L427" s="1"/>
      <c r="M427" s="9"/>
      <c r="N427" s="14"/>
      <c r="O427" s="16"/>
      <c r="P427" s="1"/>
    </row>
    <row r="428" spans="1:16">
      <c r="A428" s="6"/>
      <c r="B428" s="7"/>
      <c r="C428" s="6"/>
      <c r="D428" s="176"/>
      <c r="E428" s="157"/>
      <c r="F428" s="1"/>
      <c r="G428" s="9"/>
      <c r="H428" s="9"/>
      <c r="I428" s="5"/>
      <c r="J428" s="1"/>
      <c r="K428" s="1"/>
      <c r="L428" s="1"/>
      <c r="M428" s="9"/>
      <c r="N428" s="14"/>
      <c r="O428" s="16"/>
      <c r="P428" s="1"/>
    </row>
    <row r="429" spans="1:16">
      <c r="A429" s="6"/>
      <c r="B429" s="7"/>
      <c r="C429" s="6"/>
      <c r="D429" s="176"/>
      <c r="E429" s="157"/>
      <c r="F429" s="1"/>
      <c r="G429" s="9"/>
      <c r="H429" s="9"/>
      <c r="I429" s="5"/>
      <c r="J429" s="1"/>
      <c r="K429" s="1"/>
      <c r="L429" s="1"/>
      <c r="M429" s="9"/>
      <c r="N429" s="14"/>
      <c r="O429" s="16"/>
      <c r="P429" s="1"/>
    </row>
    <row r="430" spans="1:16">
      <c r="A430" s="6"/>
      <c r="B430" s="7"/>
      <c r="C430" s="6"/>
      <c r="D430" s="176"/>
      <c r="E430" s="157"/>
      <c r="F430" s="1"/>
      <c r="G430" s="9"/>
      <c r="H430" s="9"/>
      <c r="I430" s="5"/>
      <c r="J430" s="1"/>
      <c r="K430" s="1"/>
      <c r="L430" s="1"/>
      <c r="M430" s="9"/>
      <c r="N430" s="14"/>
      <c r="O430" s="16"/>
      <c r="P430" s="1"/>
    </row>
    <row r="431" spans="1:16">
      <c r="A431" s="6"/>
      <c r="B431" s="7"/>
      <c r="C431" s="6"/>
      <c r="D431" s="176"/>
      <c r="E431" s="157"/>
      <c r="F431" s="1"/>
      <c r="G431" s="9"/>
      <c r="H431" s="9"/>
      <c r="I431" s="5"/>
      <c r="J431" s="1"/>
      <c r="K431" s="1"/>
      <c r="L431" s="1"/>
      <c r="M431" s="9"/>
      <c r="N431" s="14"/>
      <c r="O431" s="16"/>
      <c r="P431" s="1"/>
    </row>
    <row r="432" spans="1:16">
      <c r="A432" s="6"/>
      <c r="B432" s="7"/>
      <c r="C432" s="6"/>
      <c r="D432" s="176"/>
      <c r="E432" s="157"/>
      <c r="F432" s="1"/>
      <c r="G432" s="9"/>
      <c r="H432" s="9"/>
      <c r="I432" s="5"/>
      <c r="J432" s="1"/>
      <c r="K432" s="1"/>
      <c r="L432" s="1"/>
      <c r="M432" s="9"/>
      <c r="N432" s="14"/>
      <c r="O432" s="16"/>
      <c r="P432" s="1"/>
    </row>
    <row r="433" spans="1:16">
      <c r="A433" s="6"/>
      <c r="B433" s="7"/>
      <c r="C433" s="6"/>
      <c r="D433" s="176"/>
      <c r="E433" s="157"/>
      <c r="F433" s="1"/>
      <c r="G433" s="9"/>
      <c r="H433" s="9"/>
      <c r="I433" s="5"/>
      <c r="J433" s="1"/>
      <c r="K433" s="1"/>
      <c r="L433" s="1"/>
      <c r="M433" s="9"/>
      <c r="N433" s="14"/>
      <c r="O433" s="16"/>
      <c r="P433" s="1"/>
    </row>
    <row r="434" spans="1:16">
      <c r="A434" s="6"/>
      <c r="B434" s="7"/>
      <c r="C434" s="6"/>
      <c r="D434" s="176"/>
      <c r="E434" s="157"/>
      <c r="F434" s="1"/>
      <c r="G434" s="9"/>
      <c r="H434" s="9"/>
      <c r="I434" s="5"/>
      <c r="J434" s="1"/>
      <c r="K434" s="1"/>
      <c r="L434" s="1"/>
      <c r="M434" s="9"/>
      <c r="N434" s="14"/>
      <c r="O434" s="16"/>
      <c r="P434" s="1"/>
    </row>
    <row r="435" spans="1:16">
      <c r="A435" s="6"/>
      <c r="B435" s="7"/>
      <c r="C435" s="6"/>
      <c r="D435" s="176"/>
      <c r="E435" s="157"/>
      <c r="F435" s="1"/>
      <c r="G435" s="9"/>
      <c r="H435" s="9"/>
      <c r="I435" s="5"/>
      <c r="J435" s="1"/>
      <c r="K435" s="1"/>
      <c r="L435" s="1"/>
      <c r="M435" s="9"/>
      <c r="N435" s="14"/>
      <c r="O435" s="16"/>
      <c r="P435" s="1"/>
    </row>
    <row r="436" spans="1:16">
      <c r="A436" s="6"/>
      <c r="B436" s="7"/>
      <c r="C436" s="6"/>
      <c r="D436" s="176"/>
      <c r="E436" s="157"/>
      <c r="F436" s="1"/>
      <c r="G436" s="9"/>
      <c r="H436" s="9"/>
      <c r="I436" s="5"/>
      <c r="J436" s="1"/>
      <c r="K436" s="1"/>
      <c r="L436" s="1"/>
      <c r="M436" s="9"/>
      <c r="N436" s="14"/>
      <c r="O436" s="16"/>
      <c r="P436" s="1"/>
    </row>
    <row r="437" spans="1:16">
      <c r="A437" s="6"/>
      <c r="B437" s="7"/>
      <c r="C437" s="172"/>
      <c r="D437" s="176"/>
      <c r="E437" s="157"/>
      <c r="F437" s="1"/>
      <c r="G437" s="9"/>
      <c r="H437" s="9"/>
      <c r="I437" s="5"/>
      <c r="J437" s="1"/>
      <c r="K437" s="1"/>
      <c r="L437" s="1"/>
      <c r="M437" s="9"/>
      <c r="N437" s="14"/>
      <c r="O437" s="16"/>
      <c r="P437" s="1"/>
    </row>
    <row r="438" spans="1:16">
      <c r="A438" s="6"/>
      <c r="B438" s="7"/>
      <c r="C438" s="6"/>
      <c r="D438" s="176"/>
      <c r="E438" s="157"/>
      <c r="F438" s="1"/>
      <c r="G438" s="9"/>
      <c r="H438" s="9"/>
      <c r="I438" s="5"/>
      <c r="J438" s="1"/>
      <c r="K438" s="1"/>
      <c r="L438" s="1"/>
      <c r="M438" s="9"/>
      <c r="N438" s="14"/>
      <c r="O438" s="16"/>
      <c r="P438" s="1"/>
    </row>
    <row r="439" spans="1:16">
      <c r="A439" s="6"/>
      <c r="B439" s="7"/>
      <c r="C439" s="6"/>
      <c r="D439" s="176"/>
      <c r="E439" s="157"/>
      <c r="F439" s="1"/>
      <c r="G439" s="9"/>
      <c r="H439" s="9"/>
      <c r="I439" s="5"/>
      <c r="J439" s="1"/>
      <c r="K439" s="1"/>
      <c r="L439" s="1"/>
      <c r="M439" s="9"/>
      <c r="N439" s="14"/>
      <c r="O439" s="16"/>
      <c r="P439" s="1"/>
    </row>
    <row r="440" spans="1:16">
      <c r="A440" s="6"/>
      <c r="B440" s="7"/>
      <c r="C440" s="6"/>
      <c r="D440" s="176"/>
      <c r="E440" s="157"/>
      <c r="F440" s="1"/>
      <c r="G440" s="9"/>
      <c r="H440" s="9"/>
      <c r="I440" s="5"/>
      <c r="J440" s="1"/>
      <c r="K440" s="1"/>
      <c r="L440" s="1"/>
      <c r="M440" s="9"/>
      <c r="N440" s="14"/>
      <c r="O440" s="16"/>
      <c r="P440" s="1"/>
    </row>
    <row r="441" spans="1:16">
      <c r="A441" s="6"/>
      <c r="B441" s="7"/>
      <c r="C441" s="6"/>
      <c r="D441" s="176"/>
      <c r="E441" s="157"/>
      <c r="F441" s="1"/>
      <c r="G441" s="9"/>
      <c r="H441" s="9"/>
      <c r="I441" s="5"/>
      <c r="J441" s="1"/>
      <c r="K441" s="1"/>
      <c r="L441" s="1"/>
      <c r="M441" s="9"/>
      <c r="N441" s="14"/>
      <c r="O441" s="16"/>
      <c r="P441" s="1"/>
    </row>
    <row r="442" spans="1:16">
      <c r="A442" s="6"/>
      <c r="B442" s="7"/>
      <c r="C442" s="148"/>
      <c r="D442" s="176"/>
      <c r="E442" s="157"/>
      <c r="F442" s="1"/>
      <c r="G442" s="9"/>
      <c r="H442" s="9"/>
      <c r="I442" s="5"/>
      <c r="J442" s="1"/>
      <c r="K442" s="1"/>
      <c r="L442" s="1"/>
      <c r="M442" s="9"/>
      <c r="N442" s="14"/>
      <c r="O442" s="16"/>
      <c r="P442" s="1"/>
    </row>
    <row r="443" spans="1:16">
      <c r="A443" s="6"/>
      <c r="B443" s="7"/>
      <c r="C443" s="6"/>
      <c r="D443" s="176"/>
      <c r="E443" s="157"/>
      <c r="F443" s="1"/>
      <c r="G443" s="9"/>
      <c r="H443" s="9"/>
      <c r="I443" s="5"/>
      <c r="J443" s="1"/>
      <c r="K443" s="1"/>
      <c r="L443" s="1"/>
      <c r="M443" s="9"/>
      <c r="N443" s="14"/>
      <c r="O443" s="16"/>
      <c r="P443" s="1"/>
    </row>
    <row r="444" spans="1:16">
      <c r="A444" s="6"/>
      <c r="B444" s="7"/>
      <c r="C444" s="6"/>
      <c r="D444" s="176"/>
      <c r="E444" s="157"/>
      <c r="F444" s="1"/>
      <c r="G444" s="9"/>
      <c r="H444" s="9"/>
      <c r="I444" s="5"/>
      <c r="J444" s="1"/>
      <c r="K444" s="1"/>
      <c r="L444" s="1"/>
      <c r="M444" s="9"/>
      <c r="N444" s="14"/>
      <c r="O444" s="16"/>
      <c r="P444" s="1"/>
    </row>
    <row r="445" spans="1:16">
      <c r="A445" s="6"/>
      <c r="B445" s="7"/>
      <c r="C445" s="6"/>
      <c r="D445" s="176"/>
      <c r="E445" s="157"/>
      <c r="F445" s="1"/>
      <c r="G445" s="9"/>
      <c r="H445" s="9"/>
      <c r="I445" s="5"/>
      <c r="J445" s="1"/>
      <c r="K445" s="1"/>
      <c r="L445" s="1"/>
      <c r="M445" s="9"/>
      <c r="N445" s="14"/>
      <c r="O445" s="16"/>
      <c r="P445" s="1"/>
    </row>
    <row r="446" spans="1:16">
      <c r="A446" s="6"/>
      <c r="B446" s="7"/>
      <c r="C446" s="6"/>
      <c r="D446" s="176"/>
      <c r="E446" s="157"/>
      <c r="F446" s="1"/>
      <c r="G446" s="9"/>
      <c r="H446" s="9"/>
      <c r="I446" s="5"/>
      <c r="J446" s="1"/>
      <c r="K446" s="1"/>
      <c r="L446" s="1"/>
      <c r="M446" s="9"/>
      <c r="N446" s="14"/>
      <c r="O446" s="16"/>
      <c r="P446" s="1"/>
    </row>
    <row r="447" spans="1:16">
      <c r="A447" s="6"/>
      <c r="B447" s="7"/>
      <c r="C447" s="6"/>
      <c r="D447" s="176"/>
      <c r="E447" s="157"/>
      <c r="F447" s="1"/>
      <c r="G447" s="9"/>
      <c r="H447" s="9"/>
      <c r="I447" s="5"/>
      <c r="J447" s="1"/>
      <c r="K447" s="1"/>
      <c r="L447" s="1"/>
      <c r="M447" s="9"/>
      <c r="N447" s="14"/>
      <c r="O447" s="16"/>
      <c r="P447" s="1"/>
    </row>
    <row r="448" spans="1:16">
      <c r="A448" s="6"/>
      <c r="B448" s="7"/>
      <c r="C448" s="6"/>
      <c r="D448" s="176"/>
      <c r="E448" s="157"/>
      <c r="F448" s="1"/>
      <c r="G448" s="9"/>
      <c r="H448" s="9"/>
      <c r="I448" s="5"/>
      <c r="J448" s="1"/>
      <c r="K448" s="1"/>
      <c r="L448" s="1"/>
      <c r="M448" s="9"/>
      <c r="N448" s="14"/>
      <c r="O448" s="16"/>
      <c r="P448" s="1"/>
    </row>
    <row r="449" spans="1:16">
      <c r="A449" s="6"/>
      <c r="B449" s="7"/>
      <c r="C449" s="6"/>
      <c r="D449" s="176"/>
      <c r="E449" s="157"/>
      <c r="F449" s="1"/>
      <c r="G449" s="9"/>
      <c r="H449" s="9"/>
      <c r="I449" s="5"/>
      <c r="J449" s="1"/>
      <c r="K449" s="1"/>
      <c r="L449" s="1"/>
      <c r="M449" s="9"/>
      <c r="N449" s="14"/>
      <c r="O449" s="16"/>
      <c r="P449" s="1"/>
    </row>
    <row r="450" spans="1:16">
      <c r="A450" s="6"/>
      <c r="B450" s="7"/>
      <c r="C450" s="6"/>
      <c r="D450" s="176"/>
      <c r="E450" s="157"/>
      <c r="F450" s="1"/>
      <c r="G450" s="9"/>
      <c r="H450" s="9"/>
      <c r="I450" s="5"/>
      <c r="J450" s="1"/>
      <c r="K450" s="1"/>
      <c r="L450" s="1"/>
      <c r="M450" s="9"/>
      <c r="N450" s="14"/>
      <c r="O450" s="16"/>
      <c r="P450" s="1"/>
    </row>
    <row r="451" spans="1:16">
      <c r="A451" s="6"/>
      <c r="B451" s="7"/>
      <c r="C451" s="6"/>
      <c r="D451" s="176"/>
      <c r="E451" s="157"/>
      <c r="F451" s="1"/>
      <c r="G451" s="9"/>
      <c r="H451" s="9"/>
      <c r="I451" s="5"/>
      <c r="J451" s="1"/>
      <c r="K451" s="1"/>
      <c r="L451" s="1"/>
      <c r="M451" s="9"/>
      <c r="N451" s="14"/>
      <c r="O451" s="16"/>
      <c r="P451" s="1"/>
    </row>
    <row r="452" spans="1:16">
      <c r="A452" s="6"/>
      <c r="B452" s="7"/>
      <c r="C452" s="6"/>
      <c r="D452" s="176"/>
      <c r="E452" s="157"/>
      <c r="F452" s="1"/>
      <c r="G452" s="9"/>
      <c r="H452" s="9"/>
      <c r="I452" s="5"/>
      <c r="J452" s="1"/>
      <c r="K452" s="1"/>
      <c r="L452" s="1"/>
      <c r="M452" s="9"/>
      <c r="N452" s="14"/>
      <c r="O452" s="16"/>
      <c r="P452" s="1"/>
    </row>
    <row r="453" spans="1:16">
      <c r="A453" s="6"/>
      <c r="B453" s="7"/>
      <c r="C453" s="6"/>
      <c r="D453" s="176"/>
      <c r="E453" s="157"/>
      <c r="F453" s="1"/>
      <c r="G453" s="9"/>
      <c r="H453" s="9"/>
      <c r="I453" s="5"/>
      <c r="J453" s="1"/>
      <c r="K453" s="1"/>
      <c r="L453" s="1"/>
      <c r="M453" s="9"/>
      <c r="N453" s="14"/>
      <c r="O453" s="16"/>
      <c r="P453" s="1"/>
    </row>
    <row r="454" spans="1:16">
      <c r="A454" s="6"/>
      <c r="B454" s="7"/>
      <c r="C454" s="6"/>
      <c r="D454" s="176"/>
      <c r="E454" s="157"/>
      <c r="F454" s="1"/>
      <c r="G454" s="9"/>
      <c r="H454" s="9"/>
      <c r="I454" s="5"/>
      <c r="J454" s="1"/>
      <c r="K454" s="1"/>
      <c r="L454" s="1"/>
      <c r="M454" s="9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5"/>
      <c r="J455" s="1"/>
      <c r="K455" s="1"/>
      <c r="L455" s="1"/>
      <c r="M455" s="9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1"/>
      <c r="I456" s="5"/>
      <c r="J456" s="1"/>
      <c r="K456" s="1"/>
      <c r="L456" s="1"/>
      <c r="M456" s="9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5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1"/>
      <c r="H458" s="1"/>
      <c r="I458" s="5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5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1"/>
      <c r="H462" s="1"/>
      <c r="I462" s="5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5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1"/>
      <c r="H466" s="1"/>
      <c r="I466" s="5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5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9"/>
      <c r="H468" s="9"/>
      <c r="I468" s="5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9"/>
      <c r="I469" s="5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9"/>
      <c r="H471" s="9"/>
      <c r="I471" s="5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1"/>
      <c r="H472" s="1"/>
      <c r="I472" s="5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9"/>
      <c r="H473" s="1"/>
      <c r="I473" s="5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1"/>
      <c r="H474" s="1"/>
      <c r="I474" s="5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1"/>
      <c r="H475" s="1"/>
      <c r="I475" s="5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5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1"/>
      <c r="H477" s="1"/>
      <c r="I477" s="5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1"/>
      <c r="H478" s="1"/>
      <c r="I478" s="5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9"/>
      <c r="H480" s="9"/>
      <c r="I480" s="5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1"/>
      <c r="H481" s="1"/>
      <c r="I481" s="5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5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9"/>
      <c r="H483" s="9"/>
      <c r="I483" s="5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1"/>
      <c r="H484" s="1"/>
      <c r="I484" s="5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5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1"/>
      <c r="H486" s="1"/>
      <c r="I486" s="5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1"/>
      <c r="H487" s="1"/>
      <c r="I487" s="5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5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5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9"/>
      <c r="I490" s="5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5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9"/>
      <c r="I492" s="5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1"/>
      <c r="H493" s="1"/>
      <c r="I493" s="5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1"/>
      <c r="H494" s="1"/>
      <c r="I494" s="5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9"/>
      <c r="I495" s="5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1"/>
      <c r="I496" s="5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9"/>
      <c r="H497" s="1"/>
      <c r="I497" s="5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1"/>
      <c r="I498" s="5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1"/>
      <c r="I499" s="5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9"/>
      <c r="H500" s="1"/>
      <c r="I500" s="5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1"/>
      <c r="H501" s="1"/>
      <c r="I501" s="5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9"/>
      <c r="H502" s="9"/>
      <c r="I502" s="5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1"/>
      <c r="H503" s="1"/>
      <c r="I503" s="5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5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5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1"/>
      <c r="H506" s="1"/>
      <c r="I506" s="5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5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1"/>
      <c r="H508" s="9"/>
      <c r="I508" s="5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5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5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1"/>
      <c r="H512" s="1"/>
      <c r="I512" s="5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1"/>
      <c r="I513" s="5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1"/>
      <c r="I514" s="5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5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9"/>
      <c r="I516" s="5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1"/>
      <c r="H517" s="1"/>
      <c r="I517" s="5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5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1"/>
      <c r="H520" s="1"/>
      <c r="I520" s="5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9"/>
      <c r="I521" s="5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1"/>
      <c r="I522" s="5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1"/>
      <c r="H523" s="1"/>
      <c r="I523" s="5"/>
      <c r="J523" s="1"/>
      <c r="K523" s="1"/>
      <c r="L523" s="1"/>
      <c r="M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5"/>
      <c r="J524" s="1"/>
      <c r="K524" s="1"/>
      <c r="L524" s="1"/>
      <c r="M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1"/>
      <c r="H525" s="1"/>
      <c r="I525" s="5"/>
      <c r="J525" s="1"/>
      <c r="K525" s="1"/>
      <c r="L525" s="1"/>
      <c r="M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9"/>
      <c r="H527" s="9"/>
      <c r="I527" s="5"/>
      <c r="J527" s="1"/>
      <c r="K527" s="1"/>
      <c r="L527" s="1"/>
      <c r="M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M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5"/>
      <c r="J530" s="1"/>
      <c r="K530" s="1"/>
      <c r="L530" s="1"/>
      <c r="M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1"/>
      <c r="H531" s="1"/>
      <c r="I531" s="5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9"/>
      <c r="H532" s="9"/>
      <c r="I532" s="5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1"/>
      <c r="I533" s="5"/>
      <c r="J533" s="1"/>
      <c r="K533" s="1"/>
      <c r="L533" s="1"/>
      <c r="M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1"/>
      <c r="H534" s="1"/>
      <c r="I534" s="5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9"/>
      <c r="I535" s="5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9"/>
      <c r="I536" s="5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5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1"/>
      <c r="H538" s="1"/>
      <c r="I538" s="5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1"/>
      <c r="H539" s="9"/>
      <c r="I539" s="5"/>
      <c r="J539" s="1"/>
      <c r="K539" s="1"/>
      <c r="L539" s="1"/>
      <c r="M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1"/>
      <c r="H540" s="1"/>
      <c r="I540" s="5"/>
      <c r="J540" s="1"/>
      <c r="K540" s="1"/>
      <c r="L540" s="1"/>
      <c r="M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9"/>
      <c r="H541" s="1"/>
      <c r="I541" s="5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1"/>
      <c r="I542" s="5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9"/>
      <c r="H543" s="9"/>
      <c r="I543" s="5"/>
      <c r="J543" s="1"/>
      <c r="K543" s="1"/>
      <c r="L543" s="1"/>
      <c r="M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1"/>
      <c r="H544" s="1"/>
      <c r="I544" s="5"/>
      <c r="J544" s="1"/>
      <c r="K544" s="1"/>
      <c r="L544" s="1"/>
      <c r="M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1"/>
      <c r="H545" s="1"/>
      <c r="I545" s="5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9"/>
      <c r="H546" s="9"/>
      <c r="I546" s="5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1"/>
      <c r="H547" s="1"/>
      <c r="I547" s="5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9"/>
      <c r="H548" s="9"/>
      <c r="I548" s="5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1"/>
      <c r="H549" s="1"/>
      <c r="I549" s="5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9"/>
      <c r="H550" s="9"/>
      <c r="I550" s="5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1"/>
      <c r="H552" s="1"/>
      <c r="I552" s="5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5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1"/>
      <c r="H555" s="1"/>
      <c r="I555" s="5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1"/>
      <c r="H556" s="1"/>
      <c r="I556" s="5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9"/>
      <c r="H557" s="9"/>
      <c r="I557" s="5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1"/>
      <c r="H558" s="1"/>
      <c r="I558" s="5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5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1"/>
      <c r="H561" s="1"/>
      <c r="I561" s="5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5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5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1"/>
      <c r="H568" s="1"/>
      <c r="I568" s="5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5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1"/>
      <c r="H570" s="1"/>
      <c r="I570" s="5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9"/>
      <c r="H572" s="9"/>
      <c r="I572" s="5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1"/>
      <c r="H573" s="1"/>
      <c r="I573" s="5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5"/>
      <c r="J574" s="1"/>
      <c r="K574" s="1"/>
      <c r="L574" s="1"/>
      <c r="M574" s="1"/>
      <c r="N574" s="14"/>
      <c r="O574" s="16"/>
      <c r="P574" s="1"/>
    </row>
    <row r="575" spans="1:16">
      <c r="A575" s="6"/>
      <c r="B575" s="7"/>
      <c r="C575" s="6"/>
      <c r="D575" s="6"/>
      <c r="E575" s="6"/>
      <c r="F575" s="1"/>
      <c r="G575" s="9"/>
      <c r="H575" s="9"/>
      <c r="I575" s="5"/>
      <c r="J575" s="1"/>
      <c r="K575" s="1"/>
      <c r="L575" s="1"/>
      <c r="M575" s="1"/>
      <c r="N575" s="14"/>
      <c r="O575" s="16"/>
      <c r="P575" s="1"/>
    </row>
    <row r="576" spans="1:16">
      <c r="A576" s="6"/>
      <c r="B576" s="7"/>
      <c r="C576" s="6"/>
      <c r="D576" s="6"/>
      <c r="E576" s="6"/>
      <c r="F576" s="1"/>
      <c r="G576" s="1"/>
      <c r="H576" s="1"/>
      <c r="I576" s="5"/>
      <c r="J576" s="1"/>
      <c r="K576" s="1"/>
      <c r="L576" s="1"/>
      <c r="M576" s="1"/>
      <c r="N576" s="14"/>
      <c r="O576" s="16"/>
      <c r="P576" s="1"/>
    </row>
    <row r="577" spans="1:16">
      <c r="A577" s="6"/>
      <c r="B577" s="7"/>
      <c r="C577" s="6"/>
      <c r="D577" s="6"/>
      <c r="E577" s="6"/>
      <c r="F577" s="1"/>
      <c r="G577" s="1"/>
      <c r="H577" s="1"/>
      <c r="I577" s="5"/>
      <c r="J577" s="1"/>
      <c r="K577" s="1"/>
      <c r="L577" s="1"/>
      <c r="M577" s="1"/>
      <c r="N577" s="14"/>
      <c r="O577" s="16"/>
      <c r="P577" s="1"/>
    </row>
    <row r="578" spans="1:16">
      <c r="A578" s="6"/>
      <c r="B578" s="7"/>
      <c r="C578" s="6"/>
      <c r="D578" s="6"/>
      <c r="E578" s="6"/>
      <c r="F578" s="1"/>
      <c r="G578" s="1"/>
      <c r="H578" s="1"/>
      <c r="I578" s="5"/>
      <c r="J578" s="1"/>
      <c r="K578" s="1"/>
      <c r="L578" s="1"/>
      <c r="M578" s="1"/>
      <c r="N578" s="14"/>
      <c r="O578" s="16"/>
      <c r="P578" s="1"/>
    </row>
    <row r="579" spans="1:16">
      <c r="B579" s="7"/>
      <c r="C579" s="6"/>
      <c r="D579" s="6"/>
      <c r="E579" s="6"/>
      <c r="F579" s="1"/>
      <c r="G579" s="9"/>
      <c r="H579" s="9"/>
      <c r="I579" s="5"/>
      <c r="J579" s="1"/>
      <c r="K579" s="1"/>
      <c r="L579" s="1"/>
      <c r="M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1"/>
      <c r="H580" s="1"/>
      <c r="I580" s="5"/>
      <c r="J580" s="1"/>
      <c r="K580" s="1"/>
      <c r="L580" s="1"/>
      <c r="M580" s="1"/>
      <c r="N580" s="14"/>
      <c r="O580" s="16"/>
      <c r="P580" s="1"/>
    </row>
    <row r="581" spans="1:16">
      <c r="B581" s="7"/>
      <c r="C581" s="59"/>
      <c r="D581" s="6"/>
      <c r="E581" s="6"/>
      <c r="F581" s="1"/>
      <c r="G581" s="9"/>
      <c r="H581" s="9"/>
      <c r="I581" s="5"/>
      <c r="J581" s="1"/>
      <c r="K581" s="1"/>
      <c r="L581" s="1"/>
      <c r="M581" s="1"/>
      <c r="N581" s="14"/>
      <c r="O581" s="16"/>
      <c r="P581" s="1"/>
    </row>
    <row r="582" spans="1:16">
      <c r="B582" s="7"/>
      <c r="C582" s="59"/>
      <c r="D582" s="6"/>
      <c r="E582" s="62"/>
      <c r="F582" s="1"/>
      <c r="G582" s="9"/>
      <c r="H582" s="9"/>
      <c r="I582" s="5"/>
      <c r="J582" s="1"/>
      <c r="K582" s="1"/>
      <c r="L582" s="1"/>
      <c r="M582" s="1"/>
      <c r="N582" s="14"/>
      <c r="O582" s="16"/>
      <c r="P582" s="1"/>
    </row>
    <row r="583" spans="1:16">
      <c r="B583" s="7"/>
      <c r="C583" s="59"/>
      <c r="D583" s="6"/>
      <c r="E583" s="6"/>
      <c r="F583" s="1"/>
      <c r="G583" s="9"/>
      <c r="H583" s="1"/>
      <c r="I583" s="5"/>
      <c r="J583" s="1"/>
      <c r="K583" s="1"/>
      <c r="L583" s="1"/>
      <c r="M583" s="1"/>
      <c r="N583" s="14"/>
      <c r="O583" s="16"/>
      <c r="P583" s="1"/>
    </row>
    <row r="584" spans="1:16">
      <c r="B584" s="7"/>
      <c r="C584" s="59"/>
      <c r="D584" s="6"/>
      <c r="E584" s="6"/>
      <c r="F584" s="1"/>
      <c r="G584" s="9"/>
      <c r="H584" s="9"/>
      <c r="I584" s="5"/>
      <c r="J584" s="1"/>
      <c r="K584" s="1"/>
      <c r="L584" s="1"/>
      <c r="M584" s="1"/>
      <c r="N584" s="14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M585" s="1"/>
      <c r="N585" s="14"/>
      <c r="O585" s="16"/>
      <c r="P585" s="1"/>
    </row>
    <row r="586" spans="1:16">
      <c r="B586" s="7"/>
      <c r="C586" s="59"/>
      <c r="D586" s="6"/>
      <c r="E586" s="6"/>
      <c r="F586" s="1"/>
      <c r="G586" s="9"/>
      <c r="H586" s="9"/>
      <c r="I586" s="5"/>
      <c r="J586" s="1"/>
      <c r="K586" s="1"/>
      <c r="L586" s="1"/>
      <c r="M586" s="1"/>
      <c r="N586" s="14"/>
      <c r="O586" s="16"/>
      <c r="P586" s="1"/>
    </row>
    <row r="587" spans="1:16">
      <c r="A587" s="63"/>
      <c r="B587" s="9"/>
      <c r="D587" s="1"/>
      <c r="F587" s="1"/>
      <c r="G587" s="9"/>
      <c r="H587" s="9"/>
      <c r="I587" s="5"/>
      <c r="J587" s="1"/>
      <c r="K587" s="1"/>
      <c r="L587" s="1"/>
      <c r="M587" s="1"/>
      <c r="N587" s="5"/>
      <c r="O587" s="16"/>
      <c r="P587" s="1"/>
    </row>
    <row r="588" spans="1:16">
      <c r="B588" s="7"/>
      <c r="C588" s="59"/>
      <c r="D588" s="6"/>
      <c r="E588" s="64"/>
      <c r="F588" s="1"/>
      <c r="G588" s="9"/>
      <c r="H588" s="9"/>
      <c r="I588" s="5"/>
      <c r="J588" s="1"/>
      <c r="K588" s="1"/>
      <c r="L588" s="1"/>
      <c r="M588" s="1"/>
      <c r="N588" s="14"/>
      <c r="O588" s="16"/>
      <c r="P588" s="1"/>
    </row>
    <row r="589" spans="1:16">
      <c r="B589" s="7"/>
      <c r="C589" s="59"/>
      <c r="D589" s="6"/>
      <c r="E589" s="6"/>
      <c r="F589" s="1"/>
      <c r="G589" s="9"/>
      <c r="H589" s="9"/>
      <c r="I589" s="5"/>
      <c r="J589" s="1"/>
      <c r="K589" s="1"/>
      <c r="L589" s="1"/>
      <c r="M589" s="1"/>
      <c r="N589" s="5"/>
      <c r="O589" s="16"/>
      <c r="P589" s="1"/>
    </row>
    <row r="590" spans="1:16">
      <c r="A590" s="65"/>
      <c r="B590" s="9"/>
      <c r="D590" s="1"/>
      <c r="F590" s="1"/>
      <c r="G590" s="9"/>
      <c r="H590" s="9"/>
      <c r="I590" s="5"/>
      <c r="J590" s="1"/>
      <c r="K590" s="1"/>
      <c r="L590" s="1"/>
      <c r="M590" s="1"/>
      <c r="N590" s="5"/>
      <c r="O590" s="16"/>
      <c r="P590" s="1"/>
    </row>
    <row r="591" spans="1:16">
      <c r="B591" s="7"/>
      <c r="C591" s="59"/>
      <c r="D591" s="6"/>
      <c r="E591" s="6"/>
      <c r="F591" s="1"/>
      <c r="G591" s="9"/>
      <c r="H591" s="9"/>
      <c r="I591" s="5"/>
      <c r="J591" s="1"/>
      <c r="K591" s="1"/>
      <c r="L591" s="1"/>
      <c r="M591" s="1"/>
      <c r="N591" s="14"/>
      <c r="O591" s="16"/>
      <c r="P591" s="1"/>
    </row>
    <row r="592" spans="1:16">
      <c r="B592" s="7"/>
      <c r="C592" s="59"/>
      <c r="D592" s="59"/>
      <c r="E592" s="6"/>
      <c r="F592" s="1"/>
      <c r="G592" s="9"/>
      <c r="H592" s="9"/>
      <c r="I592" s="5"/>
      <c r="J592" s="1"/>
      <c r="K592" s="1"/>
      <c r="L592" s="1"/>
      <c r="M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M593" s="1"/>
      <c r="N593" s="14"/>
      <c r="O593" s="16"/>
      <c r="P593" s="1"/>
    </row>
    <row r="594" spans="2:16">
      <c r="B594" s="7"/>
      <c r="C594" s="59"/>
      <c r="D594" s="6"/>
      <c r="E594" s="6"/>
      <c r="F594" s="1"/>
      <c r="G594" s="9"/>
      <c r="H594" s="9"/>
      <c r="I594" s="5"/>
      <c r="J594" s="1"/>
      <c r="K594" s="1"/>
      <c r="L594" s="1"/>
      <c r="M594" s="1"/>
      <c r="N594" s="14"/>
      <c r="O594" s="16"/>
      <c r="P594" s="1"/>
    </row>
    <row r="595" spans="2:16">
      <c r="B595" s="7"/>
      <c r="C595" s="59"/>
      <c r="D595" s="59"/>
      <c r="E595" s="59"/>
      <c r="F595" s="1"/>
      <c r="G595" s="9"/>
      <c r="H595" s="9"/>
      <c r="I595" s="5"/>
      <c r="J595" s="1"/>
      <c r="K595" s="1"/>
      <c r="L595" s="1"/>
      <c r="M595" s="1"/>
      <c r="N595" s="14"/>
      <c r="O595" s="16"/>
      <c r="P595" s="1"/>
    </row>
    <row r="596" spans="2:16">
      <c r="B596" s="7"/>
      <c r="C596" s="59"/>
      <c r="D596" s="6"/>
      <c r="E596" s="6"/>
      <c r="F596" s="1"/>
      <c r="G596" s="9"/>
      <c r="H596" s="9"/>
      <c r="I596" s="5"/>
      <c r="J596" s="1"/>
      <c r="K596" s="1"/>
      <c r="L596" s="1"/>
      <c r="M596" s="1"/>
      <c r="N596" s="14"/>
      <c r="O596" s="16"/>
      <c r="P596" s="1"/>
    </row>
    <row r="597" spans="2:16">
      <c r="B597" s="7"/>
      <c r="C597" s="59"/>
      <c r="D597" s="6"/>
      <c r="E597" s="6"/>
      <c r="F597" s="1"/>
      <c r="G597" s="9"/>
      <c r="H597" s="9"/>
      <c r="I597" s="5"/>
      <c r="J597" s="1"/>
      <c r="K597" s="1"/>
      <c r="L597" s="1"/>
      <c r="M597" s="1"/>
      <c r="N597" s="14"/>
      <c r="O597" s="16"/>
      <c r="P597" s="1"/>
    </row>
    <row r="598" spans="2:16">
      <c r="B598" s="7"/>
      <c r="C598" s="59"/>
      <c r="D598" s="59"/>
      <c r="E598" s="6"/>
      <c r="F598" s="1"/>
      <c r="G598" s="9"/>
      <c r="H598" s="9"/>
      <c r="I598" s="5"/>
      <c r="J598" s="1"/>
      <c r="K598" s="1"/>
      <c r="L598" s="1"/>
      <c r="M598" s="1"/>
      <c r="N598" s="14"/>
      <c r="O598" s="16"/>
      <c r="P598" s="1"/>
    </row>
    <row r="599" spans="2:16">
      <c r="B599" s="7"/>
      <c r="C599" s="59"/>
      <c r="D599" s="6"/>
      <c r="E599" s="6"/>
      <c r="F599" s="1"/>
      <c r="G599" s="9"/>
      <c r="H599" s="9"/>
      <c r="I599" s="5"/>
      <c r="J599" s="1"/>
      <c r="K599" s="1"/>
      <c r="L599" s="1"/>
      <c r="M599" s="1"/>
      <c r="N599" s="14"/>
      <c r="O599" s="16"/>
      <c r="P599" s="1"/>
    </row>
    <row r="600" spans="2:16">
      <c r="B600" s="7"/>
      <c r="C600" s="59"/>
      <c r="D600" s="59"/>
      <c r="E600" s="59"/>
      <c r="F600" s="1"/>
      <c r="G600" s="9"/>
      <c r="H600" s="9"/>
      <c r="I600" s="5"/>
      <c r="J600" s="1"/>
      <c r="K600" s="1"/>
      <c r="L600" s="1"/>
      <c r="M600" s="1"/>
      <c r="N600" s="14"/>
      <c r="O600" s="16"/>
      <c r="P600" s="1"/>
    </row>
    <row r="601" spans="2:16">
      <c r="B601" s="7"/>
      <c r="C601" s="59"/>
      <c r="D601" s="59"/>
      <c r="E601" s="59"/>
      <c r="F601" s="1"/>
      <c r="G601" s="1"/>
      <c r="H601" s="1"/>
      <c r="I601" s="5"/>
      <c r="J601" s="1"/>
      <c r="K601" s="1"/>
      <c r="L601" s="1"/>
      <c r="M601" s="1"/>
      <c r="N601" s="14"/>
      <c r="O601" s="16"/>
      <c r="P601" s="1"/>
    </row>
    <row r="602" spans="2:16">
      <c r="B602" s="7"/>
      <c r="C602" s="59"/>
      <c r="D602" s="59"/>
      <c r="E602" s="59"/>
      <c r="F602" s="1"/>
      <c r="G602" s="1"/>
      <c r="H602" s="1"/>
      <c r="I602" s="5"/>
      <c r="J602" s="1"/>
      <c r="K602" s="1"/>
      <c r="L602" s="1"/>
      <c r="M602" s="1"/>
      <c r="N602" s="14"/>
      <c r="O602" s="16"/>
    </row>
    <row r="603" spans="2:16">
      <c r="B603" s="7"/>
      <c r="C603" s="59"/>
      <c r="D603" s="59"/>
      <c r="E603" s="59"/>
      <c r="F603" s="1"/>
      <c r="G603" s="1"/>
      <c r="H603" s="1"/>
      <c r="I603" s="5"/>
      <c r="J603" s="1"/>
      <c r="K603" s="1"/>
      <c r="L603" s="1"/>
      <c r="M603" s="1"/>
      <c r="N603" s="14"/>
      <c r="O603" s="16"/>
      <c r="P603" s="1"/>
    </row>
    <row r="604" spans="2:16">
      <c r="B604" s="7"/>
      <c r="C604" s="59"/>
      <c r="D604" s="59"/>
      <c r="E604" s="59"/>
      <c r="F604" s="1"/>
      <c r="G604" s="1"/>
      <c r="H604" s="1"/>
      <c r="I604" s="5"/>
      <c r="J604" s="1"/>
      <c r="K604" s="1"/>
      <c r="L604" s="1"/>
      <c r="M604" s="9"/>
      <c r="N604" s="14"/>
      <c r="O604" s="16"/>
      <c r="P604" s="1"/>
    </row>
    <row r="605" spans="2:16">
      <c r="G605" s="10"/>
      <c r="H605" s="10"/>
    </row>
  </sheetData>
  <conditionalFormatting sqref="A90">
    <cfRule type="cellIs" dxfId="463" priority="425" operator="equal">
      <formula>"CANCELADO"</formula>
    </cfRule>
  </conditionalFormatting>
  <conditionalFormatting sqref="A393">
    <cfRule type="duplicateValues" dxfId="462" priority="65"/>
    <cfRule type="duplicateValues" dxfId="461" priority="66"/>
  </conditionalFormatting>
  <conditionalFormatting sqref="A587">
    <cfRule type="duplicateValues" dxfId="460" priority="431"/>
  </conditionalFormatting>
  <conditionalFormatting sqref="A590">
    <cfRule type="duplicateValues" dxfId="459" priority="430"/>
  </conditionalFormatting>
  <conditionalFormatting sqref="C3">
    <cfRule type="cellIs" dxfId="458" priority="429" operator="equal">
      <formula>"CANCELADO"</formula>
    </cfRule>
  </conditionalFormatting>
  <conditionalFormatting sqref="C26">
    <cfRule type="cellIs" dxfId="457" priority="428" operator="equal">
      <formula>"CANCELADO"</formula>
    </cfRule>
  </conditionalFormatting>
  <conditionalFormatting sqref="C54">
    <cfRule type="cellIs" dxfId="456" priority="427" operator="equal">
      <formula>"CANCELADO"</formula>
    </cfRule>
  </conditionalFormatting>
  <conditionalFormatting sqref="C84">
    <cfRule type="cellIs" dxfId="455" priority="426" operator="equal">
      <formula>"CANCELADO"</formula>
    </cfRule>
  </conditionalFormatting>
  <conditionalFormatting sqref="C215">
    <cfRule type="cellIs" dxfId="454" priority="302" operator="equal">
      <formula>"LANÇADO"</formula>
    </cfRule>
    <cfRule type="cellIs" dxfId="453" priority="303" operator="equal">
      <formula>"PENDENTE"</formula>
    </cfRule>
  </conditionalFormatting>
  <conditionalFormatting sqref="C324">
    <cfRule type="cellIs" dxfId="452" priority="174" operator="equal">
      <formula>"LANÇADO"</formula>
    </cfRule>
    <cfRule type="cellIs" dxfId="451" priority="175" operator="equal">
      <formula>"PENDENTE"</formula>
    </cfRule>
  </conditionalFormatting>
  <conditionalFormatting sqref="C375">
    <cfRule type="cellIs" dxfId="450" priority="89" operator="equal">
      <formula>"Interior"</formula>
    </cfRule>
  </conditionalFormatting>
  <conditionalFormatting sqref="C406">
    <cfRule type="cellIs" dxfId="449" priority="51" operator="equal">
      <formula>"CANCELADO"</formula>
    </cfRule>
  </conditionalFormatting>
  <conditionalFormatting sqref="C437">
    <cfRule type="cellIs" dxfId="448" priority="19" operator="equal">
      <formula>"CANCELADO"</formula>
    </cfRule>
  </conditionalFormatting>
  <conditionalFormatting sqref="D125">
    <cfRule type="cellIs" dxfId="447" priority="404" operator="equal">
      <formula>"Interior"</formula>
    </cfRule>
  </conditionalFormatting>
  <conditionalFormatting sqref="D128">
    <cfRule type="cellIs" dxfId="446" priority="401" operator="equal">
      <formula>"Interior"</formula>
    </cfRule>
  </conditionalFormatting>
  <conditionalFormatting sqref="D375">
    <cfRule type="cellIs" dxfId="445" priority="88" operator="equal">
      <formula>"Interior"</formula>
    </cfRule>
  </conditionalFormatting>
  <conditionalFormatting sqref="E112:E124">
    <cfRule type="cellIs" dxfId="444" priority="405" operator="equal">
      <formula>"Interior"</formula>
    </cfRule>
  </conditionalFormatting>
  <conditionalFormatting sqref="E126:E127">
    <cfRule type="cellIs" dxfId="443" priority="402" operator="equal">
      <formula>"Interior"</formula>
    </cfRule>
  </conditionalFormatting>
  <conditionalFormatting sqref="E129:E192">
    <cfRule type="cellIs" dxfId="442" priority="325" operator="equal">
      <formula>"Interior"</formula>
    </cfRule>
  </conditionalFormatting>
  <conditionalFormatting sqref="E194:E263">
    <cfRule type="cellIs" dxfId="441" priority="236" operator="equal">
      <formula>"Interior"</formula>
    </cfRule>
  </conditionalFormatting>
  <conditionalFormatting sqref="E265:E289">
    <cfRule type="cellIs" dxfId="440" priority="210" operator="equal">
      <formula>"Interior"</formula>
    </cfRule>
  </conditionalFormatting>
  <conditionalFormatting sqref="E291:E296">
    <cfRule type="cellIs" dxfId="439" priority="204" operator="equal">
      <formula>"Interior"</formula>
    </cfRule>
  </conditionalFormatting>
  <conditionalFormatting sqref="E298:E343">
    <cfRule type="cellIs" dxfId="438" priority="152" operator="equal">
      <formula>"Interior"</formula>
    </cfRule>
  </conditionalFormatting>
  <conditionalFormatting sqref="E345:E454">
    <cfRule type="cellIs" dxfId="437" priority="1" operator="equal">
      <formula>"Interior"</formula>
    </cfRule>
  </conditionalFormatting>
  <conditionalFormatting sqref="L3:L604">
    <cfRule type="cellIs" dxfId="436" priority="102" operator="equal">
      <formula>"LANÇADO"</formula>
    </cfRule>
    <cfRule type="cellIs" dxfId="435" priority="103" operator="equal">
      <formula>"PENDENTE"</formula>
    </cfRule>
  </conditionalFormatting>
  <conditionalFormatting sqref="O1:O34 O366:O1048576">
    <cfRule type="cellIs" dxfId="434" priority="432" operator="lessThan">
      <formula>0</formula>
    </cfRule>
  </conditionalFormatting>
  <conditionalFormatting sqref="O3">
    <cfRule type="cellIs" dxfId="433" priority="433" operator="lessThan">
      <formula>0</formula>
    </cfRule>
  </conditionalFormatting>
  <conditionalFormatting sqref="O35:O365">
    <cfRule type="cellIs" dxfId="432" priority="106" operator="lessThan">
      <formula>0</formula>
    </cfRule>
  </conditionalFormatting>
  <dataValidations count="3">
    <dataValidation type="list" allowBlank="1" showInputMessage="1" showErrorMessage="1" sqref="K604 K3:K456" xr:uid="{5C7FBF9A-DBFD-4163-B01F-15C6D799119A}">
      <formula1>"PENDENTE,ANEXADO,ISENTO"</formula1>
    </dataValidation>
    <dataValidation type="list" allowBlank="1" showInputMessage="1" showErrorMessage="1" sqref="C215 C324 L3:L604" xr:uid="{8D7E1A09-F45E-464F-B4EA-4C19D2180521}">
      <formula1>"LANÇADO,PENDENTE"</formula1>
    </dataValidation>
    <dataValidation type="list" allowBlank="1" showInputMessage="1" showErrorMessage="1" sqref="A215 J604 A324 J3:J456" xr:uid="{1749CDEF-D44D-4310-9267-DB8B6FBBF9C5}">
      <formula1>"PENDENTE,OK,ISENTO"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A6EE-A5D8-4CF1-A2FE-9391B0FB1823}">
  <dimension ref="A1:P604"/>
  <sheetViews>
    <sheetView showGridLines="0" topLeftCell="D1" zoomScale="80" zoomScaleNormal="80" workbookViewId="0">
      <pane ySplit="2" topLeftCell="A393" activePane="bottomLeft" state="frozen"/>
      <selection pane="bottomLeft" activeCell="D3" sqref="A3:XFD408"/>
    </sheetView>
  </sheetViews>
  <sheetFormatPr defaultRowHeight="15"/>
  <cols>
    <col min="1" max="1" width="16.42578125" style="1" customWidth="1"/>
    <col min="2" max="2" width="13.42578125" customWidth="1"/>
    <col min="3" max="3" width="30.5703125" bestFit="1" customWidth="1"/>
    <col min="4" max="4" width="41.85546875" customWidth="1"/>
    <col min="5" max="5" width="31.42578125" customWidth="1"/>
    <col min="6" max="6" width="38.85546875" bestFit="1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SUBTOTAL(9,Tabela138910[Match_Planilha])</f>
        <v>0</v>
      </c>
      <c r="O1" s="15">
        <f>SUBTOTAL(9,O3:O603)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116"/>
      <c r="B3" s="7"/>
      <c r="C3" s="148"/>
      <c r="D3" s="6"/>
      <c r="E3" s="6"/>
      <c r="F3" s="1"/>
      <c r="G3" s="9"/>
      <c r="H3" s="9"/>
      <c r="I3" s="5"/>
      <c r="J3" s="1"/>
      <c r="K3" s="1"/>
      <c r="L3" s="1"/>
      <c r="M3" s="9"/>
      <c r="N3" s="5"/>
      <c r="O3" s="16"/>
      <c r="P3" s="1"/>
    </row>
    <row r="4" spans="1:16">
      <c r="A4" s="6"/>
      <c r="B4" s="7"/>
      <c r="C4" s="6"/>
      <c r="D4" s="6"/>
      <c r="E4" s="6"/>
      <c r="F4" s="1"/>
      <c r="G4" s="9"/>
      <c r="H4" s="9"/>
      <c r="I4" s="5"/>
      <c r="J4" s="1"/>
      <c r="K4" s="1"/>
      <c r="L4" s="1"/>
      <c r="M4" s="9"/>
      <c r="N4" s="5"/>
      <c r="O4" s="16"/>
      <c r="P4" s="1"/>
    </row>
    <row r="5" spans="1:16">
      <c r="A5" s="6"/>
      <c r="B5" s="7"/>
      <c r="C5" s="6"/>
      <c r="D5" s="6"/>
      <c r="E5" s="6"/>
      <c r="F5" s="1"/>
      <c r="G5" s="9"/>
      <c r="H5" s="9"/>
      <c r="I5" s="5"/>
      <c r="J5" s="1"/>
      <c r="K5" s="1"/>
      <c r="L5" s="1"/>
      <c r="M5" s="9"/>
      <c r="N5" s="5"/>
      <c r="O5" s="16"/>
      <c r="P5" s="1"/>
    </row>
    <row r="6" spans="1:16">
      <c r="A6" s="6"/>
      <c r="B6" s="7"/>
      <c r="C6" s="6"/>
      <c r="D6" s="6"/>
      <c r="E6" s="6"/>
      <c r="F6" s="1"/>
      <c r="G6" s="9"/>
      <c r="H6" s="9"/>
      <c r="I6" s="5"/>
      <c r="J6" s="1"/>
      <c r="K6" s="1"/>
      <c r="L6" s="1"/>
      <c r="M6" s="9"/>
      <c r="N6" s="5"/>
      <c r="O6" s="16"/>
      <c r="P6" s="1"/>
    </row>
    <row r="7" spans="1:16">
      <c r="A7" s="6"/>
      <c r="B7" s="7"/>
      <c r="C7" s="6"/>
      <c r="D7" s="6"/>
      <c r="E7" s="6"/>
      <c r="F7" s="1"/>
      <c r="G7" s="9"/>
      <c r="H7" s="9"/>
      <c r="I7" s="5"/>
      <c r="J7" s="1"/>
      <c r="K7" s="1"/>
      <c r="L7" s="1"/>
      <c r="M7" s="9"/>
      <c r="N7" s="5"/>
      <c r="O7" s="16"/>
      <c r="P7" s="1"/>
    </row>
    <row r="8" spans="1:16">
      <c r="A8" s="6"/>
      <c r="B8" s="7"/>
      <c r="C8" s="6"/>
      <c r="D8" s="6"/>
      <c r="E8" s="6"/>
      <c r="F8" s="1"/>
      <c r="G8" s="9"/>
      <c r="H8" s="9"/>
      <c r="I8" s="5"/>
      <c r="J8" s="1"/>
      <c r="K8" s="1"/>
      <c r="L8" s="1"/>
      <c r="M8" s="9"/>
      <c r="N8" s="5"/>
      <c r="O8" s="16"/>
      <c r="P8" s="1"/>
    </row>
    <row r="9" spans="1:16">
      <c r="A9" s="6"/>
      <c r="B9" s="7"/>
      <c r="C9" s="6"/>
      <c r="D9" s="6"/>
      <c r="E9" s="6"/>
      <c r="F9" s="1"/>
      <c r="G9" s="9"/>
      <c r="H9" s="9"/>
      <c r="I9" s="5"/>
      <c r="J9" s="1"/>
      <c r="K9" s="1"/>
      <c r="L9" s="1"/>
      <c r="M9" s="9"/>
      <c r="N9" s="5"/>
      <c r="O9" s="16"/>
      <c r="P9" s="1"/>
    </row>
    <row r="10" spans="1:16">
      <c r="A10" s="6"/>
      <c r="B10" s="7"/>
      <c r="C10" s="6"/>
      <c r="D10" s="6"/>
      <c r="E10" s="6"/>
      <c r="F10" s="1"/>
      <c r="G10" s="9"/>
      <c r="H10" s="9"/>
      <c r="I10" s="5"/>
      <c r="J10" s="1"/>
      <c r="K10" s="1"/>
      <c r="L10" s="1"/>
      <c r="M10" s="9"/>
      <c r="N10" s="5"/>
      <c r="O10" s="16"/>
      <c r="P10" s="1"/>
    </row>
    <row r="11" spans="1:16">
      <c r="A11" s="6"/>
      <c r="B11" s="7"/>
      <c r="C11" s="6"/>
      <c r="D11" s="6"/>
      <c r="E11" s="6"/>
      <c r="F11" s="1"/>
      <c r="G11" s="9"/>
      <c r="H11" s="9"/>
      <c r="I11" s="5"/>
      <c r="J11" s="1"/>
      <c r="K11" s="1"/>
      <c r="L11" s="1"/>
      <c r="M11" s="9"/>
      <c r="N11" s="5"/>
      <c r="O11" s="16"/>
      <c r="P11" s="1"/>
    </row>
    <row r="12" spans="1:16">
      <c r="A12" s="6"/>
      <c r="B12" s="7"/>
      <c r="C12" s="6"/>
      <c r="D12" s="6"/>
      <c r="E12" s="6"/>
      <c r="F12" s="1"/>
      <c r="G12" s="9"/>
      <c r="H12" s="9"/>
      <c r="I12" s="5"/>
      <c r="J12" s="1"/>
      <c r="K12" s="1"/>
      <c r="L12" s="1"/>
      <c r="M12" s="9"/>
      <c r="N12" s="5"/>
      <c r="O12" s="16"/>
      <c r="P12" s="1"/>
    </row>
    <row r="13" spans="1:16">
      <c r="A13" s="6"/>
      <c r="B13" s="7"/>
      <c r="C13" s="6"/>
      <c r="D13" s="6"/>
      <c r="E13" s="6"/>
      <c r="F13" s="1"/>
      <c r="G13" s="9"/>
      <c r="H13" s="9"/>
      <c r="I13" s="5"/>
      <c r="J13" s="1"/>
      <c r="K13" s="1"/>
      <c r="L13" s="1"/>
      <c r="M13" s="9"/>
      <c r="N13" s="5"/>
      <c r="O13" s="16"/>
      <c r="P13" s="1"/>
    </row>
    <row r="14" spans="1:16">
      <c r="A14" s="6"/>
      <c r="B14" s="161"/>
      <c r="C14" s="6"/>
      <c r="D14" s="6"/>
      <c r="E14" s="6"/>
      <c r="F14" s="1"/>
      <c r="G14" s="9"/>
      <c r="H14" s="9"/>
      <c r="I14" s="5"/>
      <c r="J14" s="1"/>
      <c r="K14" s="1"/>
      <c r="L14" s="1"/>
      <c r="M14" s="9"/>
      <c r="N14" s="5"/>
      <c r="O14" s="16"/>
      <c r="P14" s="1"/>
    </row>
    <row r="15" spans="1:16">
      <c r="A15" s="6"/>
      <c r="B15" s="161"/>
      <c r="C15" s="6"/>
      <c r="D15" s="6"/>
      <c r="E15" s="6"/>
      <c r="F15" s="1"/>
      <c r="G15" s="9"/>
      <c r="H15" s="9"/>
      <c r="I15" s="5"/>
      <c r="J15" s="1"/>
      <c r="K15" s="1"/>
      <c r="L15" s="1"/>
      <c r="M15" s="9"/>
      <c r="N15" s="5"/>
      <c r="O15" s="16"/>
      <c r="P15" s="1"/>
    </row>
    <row r="16" spans="1:16">
      <c r="A16" s="6"/>
      <c r="B16" s="7"/>
      <c r="C16" s="6"/>
      <c r="D16" s="6"/>
      <c r="E16" s="6"/>
      <c r="F16" s="1"/>
      <c r="G16" s="9"/>
      <c r="H16" s="9"/>
      <c r="I16" s="5"/>
      <c r="J16" s="1"/>
      <c r="K16" s="1"/>
      <c r="L16" s="1"/>
      <c r="M16" s="9"/>
      <c r="N16" s="5"/>
      <c r="O16" s="16"/>
      <c r="P16" s="1"/>
    </row>
    <row r="17" spans="1:16">
      <c r="A17" s="6"/>
      <c r="B17" s="7"/>
      <c r="C17" s="6"/>
      <c r="D17" s="6"/>
      <c r="E17" s="6"/>
      <c r="F17" s="1"/>
      <c r="G17" s="9"/>
      <c r="H17" s="9"/>
      <c r="I17" s="5"/>
      <c r="J17" s="1"/>
      <c r="K17" s="1"/>
      <c r="L17" s="1"/>
      <c r="M17" s="9"/>
      <c r="N17" s="5"/>
      <c r="O17" s="16"/>
      <c r="P17" s="1"/>
    </row>
    <row r="18" spans="1:16">
      <c r="A18" s="6"/>
      <c r="B18" s="161"/>
      <c r="C18" s="148"/>
      <c r="D18" s="6"/>
      <c r="E18" s="6"/>
      <c r="F18" s="1"/>
      <c r="G18" s="9"/>
      <c r="H18" s="9"/>
      <c r="I18" s="5"/>
      <c r="J18" s="1"/>
      <c r="K18" s="1"/>
      <c r="L18" s="1"/>
      <c r="M18" s="9"/>
      <c r="N18" s="5"/>
      <c r="O18" s="16"/>
      <c r="P18" s="1"/>
    </row>
    <row r="19" spans="1:16">
      <c r="A19" s="6"/>
      <c r="B19" s="161"/>
      <c r="C19" s="6"/>
      <c r="D19" s="6"/>
      <c r="E19" s="6"/>
      <c r="F19" s="1"/>
      <c r="G19" s="9"/>
      <c r="H19" s="9"/>
      <c r="I19" s="5"/>
      <c r="J19" s="1"/>
      <c r="K19" s="1"/>
      <c r="L19" s="1"/>
      <c r="M19" s="9"/>
      <c r="N19" s="5"/>
      <c r="O19" s="16"/>
      <c r="P19" s="1"/>
    </row>
    <row r="20" spans="1:16">
      <c r="A20" s="6"/>
      <c r="B20" s="7"/>
      <c r="C20" s="6"/>
      <c r="D20" s="6"/>
      <c r="E20" s="6"/>
      <c r="F20" s="1"/>
      <c r="G20" s="9"/>
      <c r="H20" s="9"/>
      <c r="I20" s="5"/>
      <c r="J20" s="1"/>
      <c r="K20" s="1"/>
      <c r="L20" s="1"/>
      <c r="M20" s="9"/>
      <c r="N20" s="5"/>
      <c r="O20" s="16"/>
      <c r="P20" s="1"/>
    </row>
    <row r="21" spans="1:16">
      <c r="A21" s="6"/>
      <c r="B21" s="161"/>
      <c r="C21" s="6"/>
      <c r="D21" s="6"/>
      <c r="E21" s="6"/>
      <c r="F21" s="1"/>
      <c r="G21" s="9"/>
      <c r="H21" s="9"/>
      <c r="I21" s="5"/>
      <c r="J21" s="1"/>
      <c r="K21" s="1"/>
      <c r="L21" s="1"/>
      <c r="M21" s="9"/>
      <c r="N21" s="5"/>
      <c r="O21" s="16"/>
      <c r="P21" s="1"/>
    </row>
    <row r="22" spans="1:16">
      <c r="A22" s="6"/>
      <c r="B22" s="161"/>
      <c r="C22" s="6"/>
      <c r="D22" s="6"/>
      <c r="E22" s="6"/>
      <c r="F22" s="1"/>
      <c r="G22" s="9"/>
      <c r="H22" s="9"/>
      <c r="I22" s="5"/>
      <c r="J22" s="1"/>
      <c r="K22" s="1"/>
      <c r="L22" s="1"/>
      <c r="M22" s="9"/>
      <c r="N22" s="5"/>
      <c r="O22" s="16"/>
      <c r="P22" s="1"/>
    </row>
    <row r="23" spans="1:16">
      <c r="A23" s="6"/>
      <c r="B23" s="161"/>
      <c r="C23" s="6"/>
      <c r="D23" s="6"/>
      <c r="E23" s="6"/>
      <c r="F23" s="1"/>
      <c r="G23" s="9"/>
      <c r="H23" s="9"/>
      <c r="I23" s="5"/>
      <c r="J23" s="1"/>
      <c r="K23" s="1"/>
      <c r="L23" s="1"/>
      <c r="M23" s="9"/>
      <c r="N23" s="5"/>
      <c r="O23" s="16"/>
      <c r="P23" s="1"/>
    </row>
    <row r="24" spans="1:16">
      <c r="A24" s="6"/>
      <c r="B24" s="7"/>
      <c r="C24" s="6"/>
      <c r="D24" s="6"/>
      <c r="E24" s="6"/>
      <c r="F24" s="1"/>
      <c r="G24" s="9"/>
      <c r="H24" s="9"/>
      <c r="I24" s="5"/>
      <c r="J24" s="1"/>
      <c r="K24" s="1"/>
      <c r="L24" s="1"/>
      <c r="M24" s="9"/>
      <c r="N24" s="5"/>
      <c r="O24" s="16"/>
      <c r="P24" s="1"/>
    </row>
    <row r="25" spans="1:16">
      <c r="A25" s="6"/>
      <c r="B25" s="7"/>
      <c r="C25" s="148"/>
      <c r="D25" s="6"/>
      <c r="E25" s="6"/>
      <c r="F25" s="1"/>
      <c r="G25" s="9"/>
      <c r="H25" s="9"/>
      <c r="I25" s="5"/>
      <c r="J25" s="1"/>
      <c r="K25" s="1"/>
      <c r="L25" s="1"/>
      <c r="M25" s="9"/>
      <c r="N25" s="5"/>
      <c r="O25" s="16"/>
      <c r="P25" s="1"/>
    </row>
    <row r="26" spans="1:16">
      <c r="A26" s="6"/>
      <c r="B26" s="7"/>
      <c r="C26" s="6"/>
      <c r="D26" s="6"/>
      <c r="E26" s="6"/>
      <c r="F26" s="1"/>
      <c r="G26" s="9"/>
      <c r="H26" s="9"/>
      <c r="I26" s="5"/>
      <c r="J26" s="1"/>
      <c r="K26" s="1"/>
      <c r="L26" s="1"/>
      <c r="M26" s="9"/>
      <c r="N26" s="5"/>
      <c r="O26" s="16"/>
      <c r="P26" s="1"/>
    </row>
    <row r="27" spans="1:16">
      <c r="A27" s="6"/>
      <c r="B27" s="7"/>
      <c r="C27" s="6"/>
      <c r="D27" s="6"/>
      <c r="E27" s="6"/>
      <c r="F27" s="1"/>
      <c r="G27" s="9"/>
      <c r="H27" s="9"/>
      <c r="I27" s="5"/>
      <c r="J27" s="1"/>
      <c r="K27" s="1"/>
      <c r="L27" s="1"/>
      <c r="M27" s="9"/>
      <c r="N27" s="5"/>
      <c r="O27" s="16"/>
      <c r="P27" s="1"/>
    </row>
    <row r="28" spans="1:16">
      <c r="A28" s="6"/>
      <c r="B28" s="7"/>
      <c r="C28" s="6"/>
      <c r="D28" s="6"/>
      <c r="E28" s="6"/>
      <c r="F28" s="1"/>
      <c r="G28" s="9"/>
      <c r="H28" s="9"/>
      <c r="I28" s="5"/>
      <c r="J28" s="1"/>
      <c r="K28" s="1"/>
      <c r="L28" s="1"/>
      <c r="M28" s="9"/>
      <c r="N28" s="5"/>
      <c r="O28" s="16"/>
      <c r="P28" s="1"/>
    </row>
    <row r="29" spans="1:16">
      <c r="A29" s="6"/>
      <c r="B29" s="7"/>
      <c r="C29" s="6"/>
      <c r="D29" s="6"/>
      <c r="E29" s="6"/>
      <c r="F29" s="1"/>
      <c r="G29" s="9"/>
      <c r="H29" s="9"/>
      <c r="I29" s="5"/>
      <c r="J29" s="1"/>
      <c r="K29" s="1"/>
      <c r="L29" s="1"/>
      <c r="M29" s="9"/>
      <c r="N29" s="5"/>
      <c r="O29" s="16"/>
      <c r="P29" s="1"/>
    </row>
    <row r="30" spans="1:16">
      <c r="A30" s="6"/>
      <c r="B30" s="7"/>
      <c r="C30" s="148"/>
      <c r="D30" s="6"/>
      <c r="E30" s="6"/>
      <c r="F30" s="1"/>
      <c r="G30" s="9"/>
      <c r="H30" s="9"/>
      <c r="I30" s="5"/>
      <c r="J30" s="1"/>
      <c r="K30" s="1"/>
      <c r="L30" s="1"/>
      <c r="M30" s="9"/>
      <c r="N30" s="5"/>
      <c r="O30" s="16"/>
      <c r="P30" s="1"/>
    </row>
    <row r="31" spans="1:16">
      <c r="A31" s="6"/>
      <c r="B31" s="7"/>
      <c r="C31" s="6"/>
      <c r="D31" s="6"/>
      <c r="E31" s="6"/>
      <c r="F31" s="1"/>
      <c r="G31" s="9"/>
      <c r="H31" s="9"/>
      <c r="I31" s="5"/>
      <c r="J31" s="1"/>
      <c r="K31" s="1"/>
      <c r="L31" s="1"/>
      <c r="M31" s="9"/>
      <c r="N31" s="5"/>
      <c r="O31" s="16"/>
      <c r="P31" s="1"/>
    </row>
    <row r="32" spans="1:16">
      <c r="A32" s="6"/>
      <c r="B32" s="7"/>
      <c r="C32" s="6"/>
      <c r="D32" s="6"/>
      <c r="E32" s="6"/>
      <c r="F32" s="1"/>
      <c r="G32" s="9"/>
      <c r="H32" s="9"/>
      <c r="I32" s="5"/>
      <c r="J32" s="1"/>
      <c r="K32" s="1"/>
      <c r="L32" s="1"/>
      <c r="M32" s="9"/>
      <c r="N32" s="5"/>
      <c r="O32" s="16"/>
      <c r="P32" s="1"/>
    </row>
    <row r="33" spans="1:16">
      <c r="A33" s="6"/>
      <c r="B33" s="7"/>
      <c r="C33" s="6"/>
      <c r="D33" s="6"/>
      <c r="E33" s="6"/>
      <c r="F33" s="1"/>
      <c r="G33" s="9"/>
      <c r="H33" s="9"/>
      <c r="I33" s="5"/>
      <c r="J33" s="1"/>
      <c r="K33" s="1"/>
      <c r="L33" s="1"/>
      <c r="M33" s="9"/>
      <c r="N33" s="5"/>
      <c r="O33" s="16"/>
      <c r="P33" s="1"/>
    </row>
    <row r="34" spans="1:16">
      <c r="A34" s="6"/>
      <c r="B34" s="7"/>
      <c r="C34" s="6"/>
      <c r="D34" s="6"/>
      <c r="E34" s="6"/>
      <c r="F34" s="1"/>
      <c r="G34" s="9"/>
      <c r="H34" s="9"/>
      <c r="I34" s="5"/>
      <c r="J34" s="1"/>
      <c r="K34" s="1"/>
      <c r="L34" s="1"/>
      <c r="M34" s="9"/>
      <c r="N34" s="5"/>
      <c r="O34" s="16"/>
      <c r="P34" s="1"/>
    </row>
    <row r="35" spans="1:16">
      <c r="A35" s="6"/>
      <c r="B35" s="7"/>
      <c r="C35" s="6"/>
      <c r="D35" s="6"/>
      <c r="E35" s="6"/>
      <c r="F35" s="1"/>
      <c r="G35" s="9"/>
      <c r="H35" s="9"/>
      <c r="I35" s="5"/>
      <c r="J35" s="1"/>
      <c r="K35" s="1"/>
      <c r="L35" s="1"/>
      <c r="M35" s="9"/>
      <c r="N35" s="5"/>
      <c r="O35" s="16"/>
      <c r="P35" s="1"/>
    </row>
    <row r="36" spans="1:16">
      <c r="A36" s="6"/>
      <c r="B36" s="7"/>
      <c r="C36" s="6"/>
      <c r="D36" s="6"/>
      <c r="E36" s="6"/>
      <c r="F36" s="1"/>
      <c r="G36" s="9"/>
      <c r="H36" s="9"/>
      <c r="I36" s="5"/>
      <c r="J36" s="1"/>
      <c r="K36" s="1"/>
      <c r="L36" s="1"/>
      <c r="M36" s="9"/>
      <c r="N36" s="5"/>
      <c r="O36" s="16"/>
      <c r="P36" s="1"/>
    </row>
    <row r="37" spans="1:16">
      <c r="A37" s="6"/>
      <c r="B37" s="7"/>
      <c r="C37" s="6"/>
      <c r="D37" s="6"/>
      <c r="E37" s="6"/>
      <c r="F37" s="1"/>
      <c r="G37" s="9"/>
      <c r="H37" s="9"/>
      <c r="I37" s="5"/>
      <c r="J37" s="1"/>
      <c r="K37" s="1"/>
      <c r="L37" s="1"/>
      <c r="M37" s="9"/>
      <c r="N37" s="5"/>
      <c r="O37" s="16"/>
      <c r="P37" s="1"/>
    </row>
    <row r="38" spans="1:16">
      <c r="A38" s="6"/>
      <c r="B38" s="7"/>
      <c r="C38" s="6"/>
      <c r="D38" s="6"/>
      <c r="E38" s="6"/>
      <c r="F38" s="1"/>
      <c r="G38" s="9"/>
      <c r="H38" s="9"/>
      <c r="I38" s="5"/>
      <c r="J38" s="1"/>
      <c r="K38" s="1"/>
      <c r="L38" s="1"/>
      <c r="M38" s="9"/>
      <c r="N38" s="5"/>
      <c r="O38" s="16"/>
      <c r="P38" s="1"/>
    </row>
    <row r="39" spans="1:16">
      <c r="A39" s="6"/>
      <c r="B39" s="7"/>
      <c r="C39" s="6"/>
      <c r="D39" s="6"/>
      <c r="E39" s="6"/>
      <c r="F39" s="1"/>
      <c r="G39" s="9"/>
      <c r="H39" s="9"/>
      <c r="I39" s="5"/>
      <c r="J39" s="1"/>
      <c r="K39" s="1"/>
      <c r="L39" s="1"/>
      <c r="M39" s="9"/>
      <c r="N39" s="5"/>
      <c r="O39" s="16"/>
      <c r="P39" s="1"/>
    </row>
    <row r="40" spans="1:16">
      <c r="A40" s="6"/>
      <c r="B40" s="7"/>
      <c r="C40" s="6"/>
      <c r="D40" s="6"/>
      <c r="E40" s="6"/>
      <c r="F40" s="1"/>
      <c r="G40" s="9"/>
      <c r="H40" s="9"/>
      <c r="I40" s="5"/>
      <c r="J40" s="1"/>
      <c r="K40" s="1"/>
      <c r="L40" s="1"/>
      <c r="M40" s="9"/>
      <c r="N40" s="5"/>
      <c r="O40" s="16"/>
      <c r="P40" s="1"/>
    </row>
    <row r="41" spans="1:16">
      <c r="A41" s="6"/>
      <c r="B41" s="7"/>
      <c r="C41" s="6"/>
      <c r="D41" s="6"/>
      <c r="E41" s="6"/>
      <c r="F41" s="1"/>
      <c r="G41" s="9"/>
      <c r="H41" s="9"/>
      <c r="I41" s="5"/>
      <c r="J41" s="1"/>
      <c r="K41" s="1"/>
      <c r="L41" s="1"/>
      <c r="M41" s="9"/>
      <c r="N41" s="5"/>
      <c r="O41" s="16"/>
      <c r="P41" s="1"/>
    </row>
    <row r="42" spans="1:16">
      <c r="A42" s="6"/>
      <c r="B42" s="7"/>
      <c r="C42" s="6"/>
      <c r="D42" s="6"/>
      <c r="E42" s="6"/>
      <c r="F42" s="1"/>
      <c r="G42" s="9"/>
      <c r="H42" s="9"/>
      <c r="I42" s="5"/>
      <c r="J42" s="1"/>
      <c r="K42" s="1"/>
      <c r="L42" s="1"/>
      <c r="M42" s="9"/>
      <c r="N42" s="5"/>
      <c r="O42" s="16"/>
      <c r="P42" s="1"/>
    </row>
    <row r="43" spans="1:16">
      <c r="A43" s="6"/>
      <c r="B43" s="7"/>
      <c r="C43" s="6"/>
      <c r="D43" s="6"/>
      <c r="E43" s="6"/>
      <c r="F43" s="1"/>
      <c r="G43" s="9"/>
      <c r="H43" s="9"/>
      <c r="I43" s="5"/>
      <c r="J43" s="1"/>
      <c r="K43" s="1"/>
      <c r="L43" s="1"/>
      <c r="M43" s="9"/>
      <c r="N43" s="5"/>
      <c r="O43" s="16"/>
      <c r="P43" s="1"/>
    </row>
    <row r="44" spans="1:16">
      <c r="A44" s="6"/>
      <c r="B44" s="7"/>
      <c r="C44" s="6"/>
      <c r="D44" s="6"/>
      <c r="E44" s="6"/>
      <c r="F44" s="1"/>
      <c r="G44" s="9"/>
      <c r="H44" s="9"/>
      <c r="I44" s="5"/>
      <c r="J44" s="1"/>
      <c r="K44" s="1"/>
      <c r="L44" s="1"/>
      <c r="M44" s="9"/>
      <c r="N44" s="5"/>
      <c r="O44" s="16"/>
      <c r="P44" s="1"/>
    </row>
    <row r="45" spans="1:16">
      <c r="A45" s="6"/>
      <c r="B45" s="7"/>
      <c r="C45" s="6"/>
      <c r="D45" s="6"/>
      <c r="E45" s="6"/>
      <c r="F45" s="1"/>
      <c r="G45" s="9"/>
      <c r="H45" s="9"/>
      <c r="I45" s="5"/>
      <c r="J45" s="1"/>
      <c r="K45" s="1"/>
      <c r="L45" s="1"/>
      <c r="M45" s="9"/>
      <c r="N45" s="5"/>
      <c r="O45" s="16"/>
      <c r="P45" s="1"/>
    </row>
    <row r="46" spans="1:16">
      <c r="A46" s="6"/>
      <c r="B46" s="7"/>
      <c r="C46" s="6"/>
      <c r="D46" s="6"/>
      <c r="E46" s="6"/>
      <c r="F46" s="1"/>
      <c r="G46" s="9"/>
      <c r="H46" s="9"/>
      <c r="I46" s="5"/>
      <c r="J46" s="1"/>
      <c r="K46" s="1"/>
      <c r="L46" s="1"/>
      <c r="M46" s="9"/>
      <c r="N46" s="5"/>
      <c r="O46" s="16"/>
      <c r="P46" s="1"/>
    </row>
    <row r="47" spans="1:16">
      <c r="A47" s="6"/>
      <c r="B47" s="7"/>
      <c r="C47" s="6"/>
      <c r="D47" s="6"/>
      <c r="E47" s="6"/>
      <c r="F47" s="1"/>
      <c r="G47" s="9"/>
      <c r="H47" s="9"/>
      <c r="I47" s="5"/>
      <c r="J47" s="1"/>
      <c r="K47" s="1"/>
      <c r="L47" s="1"/>
      <c r="M47" s="9"/>
      <c r="N47" s="5"/>
      <c r="O47" s="16"/>
      <c r="P47" s="1"/>
    </row>
    <row r="48" spans="1:16">
      <c r="A48" s="6"/>
      <c r="B48" s="7"/>
      <c r="C48" s="148"/>
      <c r="D48" s="6"/>
      <c r="E48" s="6"/>
      <c r="F48" s="1"/>
      <c r="G48" s="9"/>
      <c r="H48" s="9"/>
      <c r="I48" s="5"/>
      <c r="J48" s="1"/>
      <c r="K48" s="1"/>
      <c r="L48" s="1"/>
      <c r="M48" s="9"/>
      <c r="N48" s="5"/>
      <c r="O48" s="16"/>
      <c r="P48" s="1"/>
    </row>
    <row r="49" spans="1:16">
      <c r="A49" s="6"/>
      <c r="B49" s="7"/>
      <c r="C49" s="6"/>
      <c r="D49" s="6"/>
      <c r="E49" s="6"/>
      <c r="F49" s="1"/>
      <c r="G49" s="9"/>
      <c r="H49" s="9"/>
      <c r="I49" s="5"/>
      <c r="J49" s="1"/>
      <c r="K49" s="1"/>
      <c r="L49" s="1"/>
      <c r="M49" s="9"/>
      <c r="N49" s="5"/>
      <c r="O49" s="16"/>
      <c r="P49" s="1"/>
    </row>
    <row r="50" spans="1:16">
      <c r="A50" s="6"/>
      <c r="B50" s="7"/>
      <c r="C50" s="6"/>
      <c r="D50" s="6"/>
      <c r="E50" s="6"/>
      <c r="F50" s="1"/>
      <c r="G50" s="9"/>
      <c r="H50" s="9"/>
      <c r="I50" s="5"/>
      <c r="J50" s="1"/>
      <c r="K50" s="1"/>
      <c r="L50" s="1"/>
      <c r="M50" s="9"/>
      <c r="N50" s="5"/>
      <c r="O50" s="16"/>
      <c r="P50" s="1"/>
    </row>
    <row r="51" spans="1:16">
      <c r="A51" s="6"/>
      <c r="B51" s="7"/>
      <c r="C51" s="6"/>
      <c r="D51" s="6"/>
      <c r="E51" s="6"/>
      <c r="F51" s="1"/>
      <c r="G51" s="9"/>
      <c r="H51" s="9"/>
      <c r="I51" s="5"/>
      <c r="J51" s="1"/>
      <c r="K51" s="1"/>
      <c r="L51" s="1"/>
      <c r="M51" s="9"/>
      <c r="N51" s="5"/>
      <c r="O51" s="16"/>
      <c r="P51" s="1"/>
    </row>
    <row r="52" spans="1:16">
      <c r="A52" s="6"/>
      <c r="B52" s="7"/>
      <c r="C52" s="6"/>
      <c r="D52" s="6"/>
      <c r="E52" s="6"/>
      <c r="F52" s="1"/>
      <c r="G52" s="9"/>
      <c r="H52" s="9"/>
      <c r="I52" s="5"/>
      <c r="J52" s="1"/>
      <c r="K52" s="1"/>
      <c r="L52" s="1"/>
      <c r="M52" s="9"/>
      <c r="N52" s="5"/>
      <c r="O52" s="16"/>
      <c r="P52" s="1"/>
    </row>
    <row r="53" spans="1:16">
      <c r="A53" s="6"/>
      <c r="B53" s="7"/>
      <c r="C53" s="122"/>
      <c r="D53" s="6"/>
      <c r="E53" s="6"/>
      <c r="F53" s="1"/>
      <c r="G53" s="9"/>
      <c r="H53" s="9"/>
      <c r="I53" s="5"/>
      <c r="J53" s="1"/>
      <c r="K53" s="1"/>
      <c r="L53" s="1"/>
      <c r="M53" s="9"/>
      <c r="N53" s="5"/>
      <c r="O53" s="16"/>
      <c r="P53" s="1"/>
    </row>
    <row r="54" spans="1:16">
      <c r="A54" s="164"/>
      <c r="B54" s="7"/>
      <c r="C54" s="6"/>
      <c r="D54" s="6"/>
      <c r="E54" s="6"/>
      <c r="F54" s="1"/>
      <c r="G54" s="9"/>
      <c r="H54" s="9"/>
      <c r="I54" s="5"/>
      <c r="J54" s="1"/>
      <c r="K54" s="1"/>
      <c r="L54" s="1"/>
      <c r="M54" s="10"/>
      <c r="N54" s="5"/>
      <c r="O54" s="16"/>
      <c r="P54" s="1"/>
    </row>
    <row r="55" spans="1:16">
      <c r="A55" s="6"/>
      <c r="B55" s="7"/>
      <c r="C55" s="6"/>
      <c r="D55" s="6"/>
      <c r="E55" s="6"/>
      <c r="F55" s="1"/>
      <c r="G55" s="9"/>
      <c r="H55" s="9"/>
      <c r="I55" s="5"/>
      <c r="J55" s="1"/>
      <c r="K55" s="1"/>
      <c r="L55" s="1"/>
      <c r="M55" s="10"/>
      <c r="N55" s="5"/>
      <c r="O55" s="16"/>
      <c r="P55" s="1"/>
    </row>
    <row r="56" spans="1:16">
      <c r="A56" s="6"/>
      <c r="B56" s="7"/>
      <c r="C56" s="148"/>
      <c r="D56" s="6"/>
      <c r="E56" s="6"/>
      <c r="F56" s="1"/>
      <c r="G56" s="9"/>
      <c r="H56" s="9"/>
      <c r="I56" s="5"/>
      <c r="J56" s="1"/>
      <c r="K56" s="1"/>
      <c r="L56" s="1"/>
      <c r="M56" s="10"/>
      <c r="N56" s="5"/>
      <c r="O56" s="16"/>
      <c r="P56" s="1"/>
    </row>
    <row r="57" spans="1:16">
      <c r="A57" s="6"/>
      <c r="B57" s="7"/>
      <c r="C57" s="6"/>
      <c r="D57" s="6"/>
      <c r="E57" s="6"/>
      <c r="F57" s="1"/>
      <c r="G57" s="9"/>
      <c r="H57" s="9"/>
      <c r="I57" s="5"/>
      <c r="J57" s="1"/>
      <c r="K57" s="1"/>
      <c r="L57" s="1"/>
      <c r="M57" s="10"/>
      <c r="N57" s="5"/>
      <c r="O57" s="16"/>
      <c r="P57" s="1"/>
    </row>
    <row r="58" spans="1:16">
      <c r="A58" s="6"/>
      <c r="B58" s="7"/>
      <c r="C58" s="6"/>
      <c r="D58" s="6"/>
      <c r="E58" s="6"/>
      <c r="F58" s="1"/>
      <c r="G58" s="9"/>
      <c r="H58" s="9"/>
      <c r="I58" s="5"/>
      <c r="J58" s="1"/>
      <c r="K58" s="1"/>
      <c r="L58" s="1"/>
      <c r="M58" s="10"/>
      <c r="N58" s="5"/>
      <c r="O58" s="16"/>
      <c r="P58" s="1"/>
    </row>
    <row r="59" spans="1:16">
      <c r="A59" s="6"/>
      <c r="B59" s="7"/>
      <c r="C59" s="6"/>
      <c r="D59" s="6"/>
      <c r="E59" s="6"/>
      <c r="F59" s="1"/>
      <c r="G59" s="9"/>
      <c r="H59" s="9"/>
      <c r="I59" s="5"/>
      <c r="J59" s="1"/>
      <c r="K59" s="1"/>
      <c r="L59" s="1"/>
      <c r="M59" s="10"/>
      <c r="N59" s="5"/>
      <c r="O59" s="16"/>
      <c r="P59" s="1"/>
    </row>
    <row r="60" spans="1:16">
      <c r="A60" s="6"/>
      <c r="B60" s="7"/>
      <c r="C60" s="6"/>
      <c r="D60" s="6"/>
      <c r="E60" s="6"/>
      <c r="F60" s="1"/>
      <c r="G60" s="9"/>
      <c r="H60" s="9"/>
      <c r="I60" s="5"/>
      <c r="J60" s="1"/>
      <c r="K60" s="1"/>
      <c r="L60" s="1"/>
      <c r="M60" s="10"/>
      <c r="N60" s="5"/>
      <c r="O60" s="16"/>
      <c r="P60" s="1"/>
    </row>
    <row r="61" spans="1:16">
      <c r="A61" s="6"/>
      <c r="B61" s="7"/>
      <c r="C61" s="6"/>
      <c r="D61" s="6"/>
      <c r="E61" s="6"/>
      <c r="F61" s="1"/>
      <c r="G61" s="9"/>
      <c r="H61" s="9"/>
      <c r="I61" s="5"/>
      <c r="J61" s="1"/>
      <c r="K61" s="1"/>
      <c r="L61" s="1"/>
      <c r="M61" s="10"/>
      <c r="N61" s="5"/>
      <c r="O61" s="16"/>
      <c r="P61" s="1"/>
    </row>
    <row r="62" spans="1:16">
      <c r="A62" s="6"/>
      <c r="B62" s="7"/>
      <c r="C62" s="6"/>
      <c r="D62" s="6"/>
      <c r="E62" s="6"/>
      <c r="F62" s="1"/>
      <c r="G62" s="9"/>
      <c r="H62" s="9"/>
      <c r="I62" s="5"/>
      <c r="J62" s="1"/>
      <c r="K62" s="1"/>
      <c r="L62" s="1"/>
      <c r="M62" s="10"/>
      <c r="N62" s="5"/>
      <c r="O62" s="16"/>
      <c r="P62" s="1"/>
    </row>
    <row r="63" spans="1:16">
      <c r="A63" s="6"/>
      <c r="B63" s="7"/>
      <c r="C63" s="6"/>
      <c r="D63" s="6"/>
      <c r="E63" s="6"/>
      <c r="F63" s="1"/>
      <c r="G63" s="9"/>
      <c r="H63" s="9"/>
      <c r="I63" s="5"/>
      <c r="J63" s="1"/>
      <c r="K63" s="1"/>
      <c r="L63" s="1"/>
      <c r="M63" s="10"/>
      <c r="N63" s="5"/>
      <c r="O63" s="16"/>
      <c r="P63" s="1"/>
    </row>
    <row r="64" spans="1:16">
      <c r="A64" s="6"/>
      <c r="B64" s="7"/>
      <c r="C64" s="6"/>
      <c r="D64" s="6"/>
      <c r="E64" s="6"/>
      <c r="F64" s="1"/>
      <c r="G64" s="9"/>
      <c r="H64" s="9"/>
      <c r="I64" s="5"/>
      <c r="J64" s="1"/>
      <c r="K64" s="1"/>
      <c r="L64" s="1"/>
      <c r="M64" s="10"/>
      <c r="N64" s="5"/>
      <c r="O64" s="16"/>
      <c r="P64" s="1"/>
    </row>
    <row r="65" spans="1:16">
      <c r="A65" s="6"/>
      <c r="B65" s="7"/>
      <c r="C65" s="6"/>
      <c r="D65" s="6"/>
      <c r="E65" s="6"/>
      <c r="F65" s="1"/>
      <c r="G65" s="9"/>
      <c r="H65" s="9"/>
      <c r="I65" s="5"/>
      <c r="J65" s="1"/>
      <c r="K65" s="1"/>
      <c r="L65" s="1"/>
      <c r="M65" s="10"/>
      <c r="N65" s="5"/>
      <c r="O65" s="16"/>
      <c r="P65" s="1"/>
    </row>
    <row r="66" spans="1:16">
      <c r="A66" s="6"/>
      <c r="B66" s="7"/>
      <c r="C66" s="6"/>
      <c r="D66" s="6"/>
      <c r="E66" s="6"/>
      <c r="F66" s="1"/>
      <c r="G66" s="9"/>
      <c r="H66" s="9"/>
      <c r="I66" s="5"/>
      <c r="J66" s="1"/>
      <c r="K66" s="1"/>
      <c r="L66" s="1"/>
      <c r="M66" s="10"/>
      <c r="N66" s="5"/>
      <c r="O66" s="16"/>
      <c r="P66" s="1"/>
    </row>
    <row r="67" spans="1:16">
      <c r="A67" s="6"/>
      <c r="B67" s="7"/>
      <c r="C67" s="6"/>
      <c r="D67" s="6"/>
      <c r="E67" s="6"/>
      <c r="F67" s="1"/>
      <c r="G67" s="9"/>
      <c r="H67" s="9"/>
      <c r="I67" s="5"/>
      <c r="J67" s="1"/>
      <c r="K67" s="1"/>
      <c r="L67" s="1"/>
      <c r="M67" s="10"/>
      <c r="N67" s="5"/>
      <c r="O67" s="16"/>
      <c r="P67" s="1"/>
    </row>
    <row r="68" spans="1:16">
      <c r="A68" s="6"/>
      <c r="B68" s="7"/>
      <c r="C68" s="6"/>
      <c r="D68" s="6"/>
      <c r="E68" s="6"/>
      <c r="F68" s="1"/>
      <c r="G68" s="9"/>
      <c r="H68" s="9"/>
      <c r="I68" s="5"/>
      <c r="J68" s="1"/>
      <c r="K68" s="1"/>
      <c r="L68" s="1"/>
      <c r="M68" s="10"/>
      <c r="N68" s="5"/>
      <c r="O68" s="16"/>
      <c r="P68" s="1"/>
    </row>
    <row r="69" spans="1:16">
      <c r="B69" s="7"/>
      <c r="C69" s="6"/>
      <c r="D69" s="6"/>
      <c r="E69" s="6"/>
      <c r="F69" s="1"/>
      <c r="G69" s="9"/>
      <c r="H69" s="9"/>
      <c r="I69" s="16"/>
      <c r="J69" s="1"/>
      <c r="K69" s="1"/>
      <c r="L69" s="1"/>
      <c r="M69" s="10"/>
      <c r="N69" s="16"/>
      <c r="O69" s="16"/>
      <c r="P69" s="1"/>
    </row>
    <row r="70" spans="1:16">
      <c r="B70" s="7"/>
      <c r="C70" s="6"/>
      <c r="D70" s="6"/>
      <c r="E70" s="6"/>
      <c r="F70" s="1"/>
      <c r="G70" s="9"/>
      <c r="H70" s="9"/>
      <c r="I70" s="16"/>
      <c r="J70" s="1"/>
      <c r="K70" s="1"/>
      <c r="L70" s="1"/>
      <c r="M70" s="10"/>
      <c r="N70" s="16"/>
      <c r="O70" s="16"/>
      <c r="P70" s="1"/>
    </row>
    <row r="71" spans="1:16">
      <c r="A71" s="6"/>
      <c r="B71" s="7"/>
      <c r="C71" s="6"/>
      <c r="D71" s="6"/>
      <c r="E71" s="6"/>
      <c r="F71" s="1"/>
      <c r="G71" s="9"/>
      <c r="H71" s="9"/>
      <c r="I71" s="5"/>
      <c r="J71" s="1"/>
      <c r="K71" s="1"/>
      <c r="L71" s="1"/>
      <c r="M71" s="10"/>
      <c r="N71" s="16"/>
      <c r="O71" s="16"/>
      <c r="P71" s="1"/>
    </row>
    <row r="72" spans="1:16">
      <c r="A72" s="6"/>
      <c r="B72" s="7"/>
      <c r="C72" s="6"/>
      <c r="D72" s="6"/>
      <c r="E72" s="6"/>
      <c r="F72" s="1"/>
      <c r="G72" s="9"/>
      <c r="H72" s="9"/>
      <c r="I72" s="5"/>
      <c r="J72" s="1"/>
      <c r="K72" s="1"/>
      <c r="L72" s="1"/>
      <c r="M72" s="10"/>
      <c r="N72" s="5"/>
      <c r="O72" s="16"/>
      <c r="P72" s="1"/>
    </row>
    <row r="73" spans="1:16">
      <c r="A73" s="6"/>
      <c r="B73" s="7"/>
      <c r="C73" s="6"/>
      <c r="D73" s="6"/>
      <c r="E73" s="6"/>
      <c r="F73" s="1"/>
      <c r="G73" s="9"/>
      <c r="H73" s="9"/>
      <c r="I73" s="5"/>
      <c r="J73" s="1"/>
      <c r="K73" s="1"/>
      <c r="L73" s="1"/>
      <c r="M73" s="10"/>
      <c r="N73" s="5"/>
      <c r="O73" s="16"/>
      <c r="P73" s="1"/>
    </row>
    <row r="74" spans="1:16">
      <c r="A74" s="6"/>
      <c r="B74" s="7"/>
      <c r="C74" s="6"/>
      <c r="D74" s="6"/>
      <c r="E74" s="6"/>
      <c r="F74" s="1"/>
      <c r="G74" s="9"/>
      <c r="H74" s="9"/>
      <c r="I74" s="5"/>
      <c r="J74" s="1"/>
      <c r="K74" s="1"/>
      <c r="L74" s="1"/>
      <c r="M74" s="10"/>
      <c r="N74" s="5"/>
      <c r="O74" s="16"/>
      <c r="P74" s="1"/>
    </row>
    <row r="75" spans="1:16">
      <c r="A75" s="6"/>
      <c r="B75" s="7"/>
      <c r="C75" s="6"/>
      <c r="D75" s="6"/>
      <c r="E75" s="6"/>
      <c r="F75" s="1"/>
      <c r="G75" s="9"/>
      <c r="H75" s="9"/>
      <c r="I75" s="5"/>
      <c r="J75" s="1"/>
      <c r="K75" s="1"/>
      <c r="L75" s="1"/>
      <c r="M75" s="10"/>
      <c r="N75" s="5"/>
      <c r="O75" s="16"/>
      <c r="P75" s="1"/>
    </row>
    <row r="76" spans="1:16">
      <c r="A76" s="6"/>
      <c r="B76" s="7"/>
      <c r="C76" s="148"/>
      <c r="D76" s="6"/>
      <c r="E76" s="6"/>
      <c r="F76" s="1"/>
      <c r="G76" s="9"/>
      <c r="H76" s="9"/>
      <c r="I76" s="5"/>
      <c r="J76" s="1"/>
      <c r="K76" s="1"/>
      <c r="L76" s="1"/>
      <c r="M76" s="10"/>
      <c r="N76" s="5"/>
      <c r="O76" s="16"/>
      <c r="P76" s="1"/>
    </row>
    <row r="77" spans="1:16">
      <c r="A77" s="6"/>
      <c r="B77" s="7"/>
      <c r="C77" s="6"/>
      <c r="D77" s="6"/>
      <c r="E77" s="6"/>
      <c r="F77" s="1"/>
      <c r="G77" s="9"/>
      <c r="H77" s="9"/>
      <c r="I77" s="5"/>
      <c r="J77" s="1"/>
      <c r="K77" s="1"/>
      <c r="L77" s="1"/>
      <c r="M77" s="10"/>
      <c r="N77" s="5"/>
      <c r="O77" s="16"/>
      <c r="P77" s="1"/>
    </row>
    <row r="78" spans="1:16">
      <c r="B78" s="7"/>
      <c r="C78" s="6"/>
      <c r="D78" s="6"/>
      <c r="E78" s="6"/>
      <c r="F78" s="1"/>
      <c r="G78" s="9"/>
      <c r="H78" s="9"/>
      <c r="I78" s="16"/>
      <c r="J78" s="1"/>
      <c r="K78" s="1"/>
      <c r="L78" s="1"/>
      <c r="M78" s="10"/>
      <c r="N78" s="146"/>
      <c r="O78" s="16"/>
      <c r="P78" s="1"/>
    </row>
    <row r="79" spans="1:16">
      <c r="A79" s="6"/>
      <c r="B79" s="7"/>
      <c r="C79" s="6"/>
      <c r="D79" s="6"/>
      <c r="E79" s="6"/>
      <c r="F79" s="1"/>
      <c r="G79" s="9"/>
      <c r="H79" s="9"/>
      <c r="I79" s="5"/>
      <c r="J79" s="1"/>
      <c r="K79" s="1"/>
      <c r="L79" s="1"/>
      <c r="M79" s="10"/>
      <c r="N79" s="145"/>
      <c r="O79" s="16"/>
      <c r="P79" s="1"/>
    </row>
    <row r="80" spans="1:16">
      <c r="A80" s="6"/>
      <c r="B80" s="7"/>
      <c r="C80" s="6"/>
      <c r="D80" s="6"/>
      <c r="E80" s="6"/>
      <c r="F80" s="1"/>
      <c r="G80" s="9"/>
      <c r="H80" s="9"/>
      <c r="I80" s="5"/>
      <c r="J80" s="1"/>
      <c r="K80" s="1"/>
      <c r="L80" s="1"/>
      <c r="M80" s="10"/>
      <c r="N80" s="5"/>
      <c r="O80" s="16"/>
      <c r="P80" s="1"/>
    </row>
    <row r="81" spans="1:16">
      <c r="A81" s="6"/>
      <c r="B81" s="7"/>
      <c r="C81" s="6"/>
      <c r="D81" s="6"/>
      <c r="E81" s="6"/>
      <c r="F81" s="1"/>
      <c r="G81" s="9"/>
      <c r="H81" s="9"/>
      <c r="I81" s="5"/>
      <c r="J81" s="1"/>
      <c r="K81" s="1"/>
      <c r="L81" s="1"/>
      <c r="M81" s="10"/>
      <c r="N81" s="5"/>
      <c r="O81" s="16"/>
      <c r="P81" s="1"/>
    </row>
    <row r="82" spans="1:16">
      <c r="A82" s="6"/>
      <c r="B82" s="7"/>
      <c r="C82" s="6"/>
      <c r="D82" s="6"/>
      <c r="E82" s="6"/>
      <c r="F82" s="1"/>
      <c r="G82" s="9"/>
      <c r="H82" s="9"/>
      <c r="I82" s="5"/>
      <c r="J82" s="1"/>
      <c r="K82" s="1"/>
      <c r="L82" s="1"/>
      <c r="M82" s="10"/>
      <c r="N82" s="5"/>
      <c r="O82" s="16"/>
      <c r="P82" s="1"/>
    </row>
    <row r="83" spans="1:16">
      <c r="A83" s="6"/>
      <c r="B83" s="7"/>
      <c r="C83" s="148"/>
      <c r="D83" s="6"/>
      <c r="E83" s="6"/>
      <c r="F83" s="1"/>
      <c r="G83" s="9"/>
      <c r="H83" s="9"/>
      <c r="I83" s="5"/>
      <c r="J83" s="1"/>
      <c r="K83" s="1"/>
      <c r="L83" s="1"/>
      <c r="M83" s="10"/>
      <c r="N83" s="5"/>
      <c r="O83" s="16"/>
      <c r="P83" s="1"/>
    </row>
    <row r="84" spans="1:16">
      <c r="A84" s="6"/>
      <c r="B84" s="7"/>
      <c r="C84" s="6"/>
      <c r="D84" s="6"/>
      <c r="E84" s="6"/>
      <c r="F84" s="1"/>
      <c r="G84" s="9"/>
      <c r="H84" s="9"/>
      <c r="I84" s="5"/>
      <c r="J84" s="1"/>
      <c r="K84" s="1"/>
      <c r="L84" s="1"/>
      <c r="M84" s="10"/>
      <c r="N84" s="5"/>
      <c r="O84" s="16"/>
      <c r="P84" s="1"/>
    </row>
    <row r="85" spans="1:16">
      <c r="A85" s="6"/>
      <c r="B85" s="7"/>
      <c r="C85" s="6"/>
      <c r="D85" s="6"/>
      <c r="E85" s="6"/>
      <c r="F85" s="1"/>
      <c r="G85" s="9"/>
      <c r="H85" s="9"/>
      <c r="I85" s="5"/>
      <c r="J85" s="1"/>
      <c r="K85" s="1"/>
      <c r="L85" s="1"/>
      <c r="M85" s="10"/>
      <c r="N85" s="5"/>
      <c r="O85" s="16"/>
      <c r="P85" s="1"/>
    </row>
    <row r="86" spans="1:16">
      <c r="A86" s="6"/>
      <c r="B86" s="7"/>
      <c r="C86" s="6"/>
      <c r="D86" s="6"/>
      <c r="E86" s="6"/>
      <c r="F86" s="1"/>
      <c r="G86" s="9"/>
      <c r="H86" s="9"/>
      <c r="I86" s="5"/>
      <c r="J86" s="1"/>
      <c r="K86" s="1"/>
      <c r="L86" s="1"/>
      <c r="M86" s="10"/>
      <c r="N86" s="5"/>
      <c r="O86" s="16"/>
      <c r="P86" s="1"/>
    </row>
    <row r="87" spans="1:16">
      <c r="A87" s="6"/>
      <c r="B87" s="7"/>
      <c r="C87" s="6"/>
      <c r="D87" s="6"/>
      <c r="E87" s="6"/>
      <c r="F87" s="1"/>
      <c r="G87" s="9"/>
      <c r="H87" s="9"/>
      <c r="I87" s="5"/>
      <c r="J87" s="1"/>
      <c r="K87" s="1"/>
      <c r="L87" s="1"/>
      <c r="M87" s="10"/>
      <c r="N87" s="5"/>
      <c r="O87" s="16"/>
      <c r="P87" s="1"/>
    </row>
    <row r="88" spans="1:16">
      <c r="A88" s="6"/>
      <c r="B88" s="7"/>
      <c r="C88" s="6"/>
      <c r="D88" s="6"/>
      <c r="E88" s="6"/>
      <c r="F88" s="1"/>
      <c r="G88" s="9"/>
      <c r="H88" s="9"/>
      <c r="I88" s="5"/>
      <c r="J88" s="1"/>
      <c r="K88" s="1"/>
      <c r="L88" s="1"/>
      <c r="M88" s="10"/>
      <c r="N88" s="5"/>
      <c r="O88" s="16"/>
      <c r="P88" s="1"/>
    </row>
    <row r="89" spans="1:16">
      <c r="A89" s="122"/>
      <c r="B89" s="7"/>
      <c r="C89" s="6"/>
      <c r="D89" s="6"/>
      <c r="E89" s="6"/>
      <c r="F89" s="1"/>
      <c r="G89" s="9"/>
      <c r="H89" s="9"/>
      <c r="I89" s="5"/>
      <c r="J89" s="1"/>
      <c r="K89" s="1"/>
      <c r="L89" s="1"/>
      <c r="M89" s="10"/>
      <c r="N89" s="5"/>
      <c r="O89" s="16"/>
      <c r="P89" s="1"/>
    </row>
    <row r="90" spans="1:16">
      <c r="A90" s="6"/>
      <c r="B90" s="7"/>
      <c r="C90" s="6"/>
      <c r="D90" s="6"/>
      <c r="E90" s="6"/>
      <c r="F90" s="1"/>
      <c r="G90" s="9"/>
      <c r="H90" s="9"/>
      <c r="I90" s="5"/>
      <c r="J90" s="1"/>
      <c r="K90" s="1"/>
      <c r="L90" s="1"/>
      <c r="M90" s="10"/>
      <c r="N90" s="5"/>
      <c r="O90" s="16"/>
      <c r="P90" s="1"/>
    </row>
    <row r="91" spans="1:16">
      <c r="A91" s="6"/>
      <c r="B91" s="7"/>
      <c r="C91" s="6"/>
      <c r="D91" s="6"/>
      <c r="E91" s="6"/>
      <c r="F91" s="1"/>
      <c r="G91" s="9"/>
      <c r="H91" s="9"/>
      <c r="I91" s="5"/>
      <c r="J91" s="1"/>
      <c r="K91" s="1"/>
      <c r="L91" s="1"/>
      <c r="M91" s="10"/>
      <c r="N91" s="5"/>
      <c r="O91" s="16"/>
      <c r="P91" s="1"/>
    </row>
    <row r="92" spans="1:16">
      <c r="A92" s="6"/>
      <c r="B92" s="7"/>
      <c r="C92" s="6"/>
      <c r="D92" s="6"/>
      <c r="E92" s="6"/>
      <c r="F92" s="1"/>
      <c r="G92" s="9"/>
      <c r="H92" s="9"/>
      <c r="I92" s="5"/>
      <c r="J92" s="1"/>
      <c r="K92" s="1"/>
      <c r="L92" s="1"/>
      <c r="M92" s="10"/>
      <c r="N92" s="5"/>
      <c r="O92" s="16"/>
      <c r="P92" s="1"/>
    </row>
    <row r="93" spans="1:16">
      <c r="A93" s="6"/>
      <c r="B93" s="7"/>
      <c r="C93" s="6"/>
      <c r="D93" s="6"/>
      <c r="E93" s="6"/>
      <c r="F93" s="1"/>
      <c r="G93" s="9"/>
      <c r="H93" s="9"/>
      <c r="I93" s="5"/>
      <c r="J93" s="1"/>
      <c r="K93" s="1"/>
      <c r="L93" s="1"/>
      <c r="M93" s="10"/>
      <c r="N93" s="5"/>
      <c r="O93" s="16"/>
      <c r="P93" s="1"/>
    </row>
    <row r="94" spans="1:16">
      <c r="A94" s="6"/>
      <c r="B94" s="7"/>
      <c r="C94" s="6"/>
      <c r="D94" s="6"/>
      <c r="E94" s="6"/>
      <c r="F94" s="1"/>
      <c r="G94" s="9"/>
      <c r="H94" s="9"/>
      <c r="I94" s="5"/>
      <c r="J94" s="1"/>
      <c r="K94" s="1"/>
      <c r="L94" s="1"/>
      <c r="M94" s="10"/>
      <c r="N94" s="5"/>
      <c r="O94" s="16"/>
      <c r="P94" s="1"/>
    </row>
    <row r="95" spans="1:16">
      <c r="A95" s="6"/>
      <c r="B95" s="7"/>
      <c r="C95" s="6"/>
      <c r="D95" s="6"/>
      <c r="E95" s="6"/>
      <c r="F95" s="1"/>
      <c r="G95" s="9"/>
      <c r="H95" s="9"/>
      <c r="I95" s="5"/>
      <c r="J95" s="1"/>
      <c r="K95" s="1"/>
      <c r="L95" s="1"/>
      <c r="M95" s="10"/>
      <c r="N95" s="5"/>
      <c r="O95" s="16"/>
      <c r="P95" s="1"/>
    </row>
    <row r="96" spans="1:16">
      <c r="A96" s="6"/>
      <c r="B96" s="7"/>
      <c r="C96" s="6"/>
      <c r="D96" s="6"/>
      <c r="E96" s="6"/>
      <c r="F96" s="1"/>
      <c r="G96" s="9"/>
      <c r="H96" s="9"/>
      <c r="I96" s="5"/>
      <c r="J96" s="1"/>
      <c r="K96" s="1"/>
      <c r="L96" s="1"/>
      <c r="M96" s="10"/>
      <c r="N96" s="5"/>
      <c r="O96" s="16"/>
      <c r="P96" s="1"/>
    </row>
    <row r="97" spans="1:16">
      <c r="B97" s="7"/>
      <c r="C97" s="6"/>
      <c r="D97" s="6"/>
      <c r="E97" s="6"/>
      <c r="F97" s="1"/>
      <c r="G97" s="9"/>
      <c r="H97" s="9"/>
      <c r="I97" s="5"/>
      <c r="J97" s="1"/>
      <c r="K97" s="1"/>
      <c r="L97" s="1"/>
      <c r="M97" s="10"/>
      <c r="N97" s="5"/>
      <c r="O97" s="16"/>
      <c r="P97" s="1"/>
    </row>
    <row r="98" spans="1:16">
      <c r="A98" s="6"/>
      <c r="B98" s="7"/>
      <c r="C98" s="6"/>
      <c r="D98" s="6"/>
      <c r="E98" s="6"/>
      <c r="F98" s="1"/>
      <c r="G98" s="9"/>
      <c r="H98" s="9"/>
      <c r="I98" s="5"/>
      <c r="J98" s="1"/>
      <c r="K98" s="1"/>
      <c r="L98" s="1"/>
      <c r="M98" s="10"/>
      <c r="N98" s="5"/>
      <c r="O98" s="16"/>
      <c r="P98" s="1"/>
    </row>
    <row r="99" spans="1:16">
      <c r="A99" s="6"/>
      <c r="B99" s="7"/>
      <c r="C99" s="6"/>
      <c r="D99" s="6"/>
      <c r="E99" s="6"/>
      <c r="F99" s="1"/>
      <c r="G99" s="9"/>
      <c r="H99" s="9"/>
      <c r="I99" s="5"/>
      <c r="J99" s="1"/>
      <c r="K99" s="1"/>
      <c r="L99" s="1"/>
      <c r="M99" s="10"/>
      <c r="N99" s="5"/>
      <c r="O99" s="16"/>
      <c r="P99" s="1"/>
    </row>
    <row r="100" spans="1:16">
      <c r="A100" s="6"/>
      <c r="B100" s="7"/>
      <c r="C100" s="6"/>
      <c r="D100" s="6"/>
      <c r="E100" s="6"/>
      <c r="F100" s="1"/>
      <c r="G100" s="9"/>
      <c r="H100" s="9"/>
      <c r="I100" s="5"/>
      <c r="J100" s="1"/>
      <c r="K100" s="1"/>
      <c r="L100" s="1"/>
      <c r="M100" s="10"/>
      <c r="N100" s="5"/>
      <c r="O100" s="16"/>
      <c r="P100" s="1"/>
    </row>
    <row r="101" spans="1:16">
      <c r="A101" s="6"/>
      <c r="B101" s="7"/>
      <c r="C101" s="6"/>
      <c r="D101" s="6"/>
      <c r="E101" s="6"/>
      <c r="F101" s="1"/>
      <c r="G101" s="9"/>
      <c r="H101" s="9"/>
      <c r="I101" s="5"/>
      <c r="J101" s="1"/>
      <c r="K101" s="1"/>
      <c r="L101" s="1"/>
      <c r="M101" s="10"/>
      <c r="N101" s="5"/>
      <c r="O101" s="16"/>
      <c r="P101" s="1"/>
    </row>
    <row r="102" spans="1:16">
      <c r="A102" s="6"/>
      <c r="B102" s="7"/>
      <c r="C102" s="6"/>
      <c r="D102" s="6"/>
      <c r="E102" s="6"/>
      <c r="F102" s="1"/>
      <c r="G102" s="9"/>
      <c r="H102" s="9"/>
      <c r="I102" s="5"/>
      <c r="J102" s="1"/>
      <c r="K102" s="1"/>
      <c r="L102" s="1"/>
      <c r="M102" s="10"/>
      <c r="N102" s="5"/>
      <c r="O102" s="16"/>
      <c r="P102" s="1"/>
    </row>
    <row r="103" spans="1:16">
      <c r="A103" s="6"/>
      <c r="B103" s="7"/>
      <c r="C103" s="6"/>
      <c r="D103" s="6"/>
      <c r="E103" s="6"/>
      <c r="F103" s="1"/>
      <c r="G103" s="9"/>
      <c r="H103" s="9"/>
      <c r="I103" s="5"/>
      <c r="J103" s="1"/>
      <c r="K103" s="1"/>
      <c r="L103" s="1"/>
      <c r="M103" s="10"/>
      <c r="N103" s="5"/>
      <c r="O103" s="16"/>
      <c r="P103" s="1"/>
    </row>
    <row r="104" spans="1:16">
      <c r="A104" s="6"/>
      <c r="B104" s="7"/>
      <c r="C104" s="6"/>
      <c r="D104" s="6"/>
      <c r="E104" s="6"/>
      <c r="F104" s="1"/>
      <c r="G104" s="9"/>
      <c r="H104" s="9"/>
      <c r="I104" s="5"/>
      <c r="J104" s="1"/>
      <c r="K104" s="1"/>
      <c r="L104" s="1"/>
      <c r="M104" s="10"/>
      <c r="N104" s="5"/>
      <c r="O104" s="16"/>
      <c r="P104" s="1"/>
    </row>
    <row r="105" spans="1:16">
      <c r="A105" s="6"/>
      <c r="B105" s="7"/>
      <c r="C105" s="6"/>
      <c r="D105" s="6"/>
      <c r="E105" s="6"/>
      <c r="F105" s="1"/>
      <c r="G105" s="9"/>
      <c r="H105" s="9"/>
      <c r="I105" s="5"/>
      <c r="J105" s="1"/>
      <c r="K105" s="1"/>
      <c r="L105" s="1"/>
      <c r="M105" s="10"/>
      <c r="N105" s="5"/>
      <c r="O105" s="16"/>
      <c r="P105" s="1"/>
    </row>
    <row r="106" spans="1:16">
      <c r="A106" s="6"/>
      <c r="B106" s="7"/>
      <c r="C106" s="6"/>
      <c r="D106" s="6"/>
      <c r="E106" s="6"/>
      <c r="F106" s="1"/>
      <c r="G106" s="9"/>
      <c r="H106" s="9"/>
      <c r="I106" s="5"/>
      <c r="J106" s="1"/>
      <c r="K106" s="1"/>
      <c r="L106" s="1"/>
      <c r="M106" s="10"/>
      <c r="N106" s="5"/>
      <c r="O106" s="16"/>
      <c r="P106" s="1"/>
    </row>
    <row r="107" spans="1:16">
      <c r="A107" s="6"/>
      <c r="B107" s="7"/>
      <c r="C107" s="6"/>
      <c r="D107" s="6"/>
      <c r="E107" s="6"/>
      <c r="F107" s="1"/>
      <c r="G107" s="9"/>
      <c r="H107" s="9"/>
      <c r="I107" s="5"/>
      <c r="J107" s="1"/>
      <c r="K107" s="1"/>
      <c r="L107" s="1"/>
      <c r="M107" s="10"/>
      <c r="N107" s="5"/>
      <c r="O107" s="16"/>
      <c r="P107" s="1"/>
    </row>
    <row r="108" spans="1:16">
      <c r="A108" s="6"/>
      <c r="B108" s="7"/>
      <c r="C108" s="6"/>
      <c r="D108" s="6"/>
      <c r="E108" s="6"/>
      <c r="F108" s="1"/>
      <c r="G108" s="9"/>
      <c r="H108" s="9"/>
      <c r="I108" s="5"/>
      <c r="J108" s="1"/>
      <c r="K108" s="1"/>
      <c r="L108" s="1"/>
      <c r="M108" s="10"/>
      <c r="N108" s="5"/>
      <c r="O108" s="16"/>
      <c r="P108" s="1"/>
    </row>
    <row r="109" spans="1:16">
      <c r="A109" s="6"/>
      <c r="B109" s="7"/>
      <c r="C109" s="6"/>
      <c r="D109" s="6"/>
      <c r="E109" s="6"/>
      <c r="F109" s="1"/>
      <c r="G109" s="9"/>
      <c r="H109" s="9"/>
      <c r="I109" s="5"/>
      <c r="J109" s="1"/>
      <c r="K109" s="1"/>
      <c r="L109" s="1"/>
      <c r="M109" s="10"/>
      <c r="N109" s="5"/>
      <c r="O109" s="16"/>
      <c r="P109" s="1"/>
    </row>
    <row r="110" spans="1:16">
      <c r="A110" s="6"/>
      <c r="B110" s="7"/>
      <c r="C110" s="6"/>
      <c r="D110" s="6"/>
      <c r="E110" s="6"/>
      <c r="F110" s="1"/>
      <c r="G110" s="9"/>
      <c r="H110" s="9"/>
      <c r="I110" s="5"/>
      <c r="J110" s="1"/>
      <c r="K110" s="1"/>
      <c r="L110" s="1"/>
      <c r="M110" s="10"/>
      <c r="N110" s="5"/>
      <c r="O110" s="16"/>
      <c r="P110" s="1"/>
    </row>
    <row r="111" spans="1:16">
      <c r="A111" s="6"/>
      <c r="B111" s="7"/>
      <c r="C111" s="6"/>
      <c r="D111" s="6"/>
      <c r="E111" s="6"/>
      <c r="F111" s="1"/>
      <c r="G111" s="9"/>
      <c r="H111" s="9"/>
      <c r="I111" s="5"/>
      <c r="J111" s="1"/>
      <c r="K111" s="1"/>
      <c r="L111" s="1"/>
      <c r="M111" s="10"/>
      <c r="N111" s="5"/>
      <c r="O111" s="16"/>
      <c r="P111" s="1"/>
    </row>
    <row r="112" spans="1:16">
      <c r="A112" s="6"/>
      <c r="B112" s="7"/>
      <c r="C112" s="6"/>
      <c r="D112" s="6"/>
      <c r="E112" s="6"/>
      <c r="F112" s="1"/>
      <c r="G112" s="9"/>
      <c r="H112" s="9"/>
      <c r="I112" s="5"/>
      <c r="J112" s="1"/>
      <c r="K112" s="1"/>
      <c r="L112" s="1"/>
      <c r="M112" s="10"/>
      <c r="N112" s="5"/>
      <c r="O112" s="16"/>
      <c r="P112" s="1"/>
    </row>
    <row r="113" spans="1:16">
      <c r="A113" s="6"/>
      <c r="B113" s="7"/>
      <c r="C113" s="6"/>
      <c r="D113" s="6"/>
      <c r="E113" s="6"/>
      <c r="F113" s="1"/>
      <c r="G113" s="9"/>
      <c r="H113" s="9"/>
      <c r="I113" s="5"/>
      <c r="J113" s="1"/>
      <c r="K113" s="1"/>
      <c r="L113" s="1"/>
      <c r="M113" s="10"/>
      <c r="N113" s="5"/>
      <c r="O113" s="16"/>
      <c r="P113" s="1"/>
    </row>
    <row r="114" spans="1:16">
      <c r="A114" s="6"/>
      <c r="B114" s="7"/>
      <c r="C114" s="148"/>
      <c r="D114" s="6"/>
      <c r="E114" s="6"/>
      <c r="F114" s="1"/>
      <c r="G114" s="9"/>
      <c r="H114" s="9"/>
      <c r="I114" s="5"/>
      <c r="J114" s="1"/>
      <c r="K114" s="1"/>
      <c r="L114" s="1"/>
      <c r="M114" s="10"/>
      <c r="N114" s="5"/>
      <c r="O114" s="16"/>
      <c r="P114" s="1"/>
    </row>
    <row r="115" spans="1:16">
      <c r="A115" s="6"/>
      <c r="B115" s="7"/>
      <c r="C115" s="6"/>
      <c r="D115" s="6"/>
      <c r="E115" s="6"/>
      <c r="F115" s="1"/>
      <c r="G115" s="9"/>
      <c r="H115" s="9"/>
      <c r="I115" s="5"/>
      <c r="J115" s="1"/>
      <c r="K115" s="1"/>
      <c r="L115" s="1"/>
      <c r="M115" s="10"/>
      <c r="N115" s="5"/>
      <c r="O115" s="16"/>
      <c r="P115" s="1"/>
    </row>
    <row r="116" spans="1:16">
      <c r="A116" s="6"/>
      <c r="B116" s="7"/>
      <c r="C116" s="6"/>
      <c r="D116" s="6"/>
      <c r="E116" s="6"/>
      <c r="F116" s="1"/>
      <c r="G116" s="9"/>
      <c r="H116" s="9"/>
      <c r="I116" s="5"/>
      <c r="J116" s="1"/>
      <c r="K116" s="1"/>
      <c r="L116" s="1"/>
      <c r="M116" s="10"/>
      <c r="N116" s="5"/>
      <c r="O116" s="16"/>
      <c r="P116" s="1"/>
    </row>
    <row r="117" spans="1:16">
      <c r="A117" s="6"/>
      <c r="B117" s="7"/>
      <c r="C117" s="6"/>
      <c r="D117" s="6"/>
      <c r="E117" s="6"/>
      <c r="F117" s="1"/>
      <c r="G117" s="9"/>
      <c r="H117" s="9"/>
      <c r="I117" s="5"/>
      <c r="J117" s="1"/>
      <c r="K117" s="1"/>
      <c r="L117" s="1"/>
      <c r="M117" s="10"/>
      <c r="N117" s="5"/>
      <c r="O117" s="16"/>
      <c r="P117" s="1"/>
    </row>
    <row r="118" spans="1:16">
      <c r="A118" s="6"/>
      <c r="B118" s="7"/>
      <c r="C118" s="6"/>
      <c r="D118" s="6"/>
      <c r="E118" s="6"/>
      <c r="F118" s="1"/>
      <c r="G118" s="9"/>
      <c r="H118" s="9"/>
      <c r="I118" s="5"/>
      <c r="J118" s="1"/>
      <c r="K118" s="1"/>
      <c r="L118" s="1"/>
      <c r="M118" s="10"/>
      <c r="N118" s="5"/>
      <c r="O118" s="16"/>
      <c r="P118" s="1"/>
    </row>
    <row r="119" spans="1:16">
      <c r="A119" s="6"/>
      <c r="B119" s="7"/>
      <c r="C119" s="6"/>
      <c r="D119" s="6"/>
      <c r="E119" s="6"/>
      <c r="F119" s="1"/>
      <c r="G119" s="9"/>
      <c r="H119" s="9"/>
      <c r="I119" s="5"/>
      <c r="J119" s="1"/>
      <c r="K119" s="1"/>
      <c r="L119" s="1"/>
      <c r="M119" s="10"/>
      <c r="N119" s="5"/>
      <c r="O119" s="16"/>
      <c r="P119" s="1"/>
    </row>
    <row r="120" spans="1:16">
      <c r="A120" s="6"/>
      <c r="B120" s="7"/>
      <c r="C120" s="6"/>
      <c r="D120" s="6"/>
      <c r="E120" s="6"/>
      <c r="F120" s="1"/>
      <c r="G120" s="9"/>
      <c r="H120" s="9"/>
      <c r="I120" s="5"/>
      <c r="J120" s="1"/>
      <c r="K120" s="1"/>
      <c r="L120" s="1"/>
      <c r="M120" s="10"/>
      <c r="N120" s="5"/>
      <c r="O120" s="16"/>
      <c r="P120" s="1"/>
    </row>
    <row r="121" spans="1:16">
      <c r="A121" s="6"/>
      <c r="B121" s="7"/>
      <c r="C121" s="6"/>
      <c r="D121" s="6"/>
      <c r="E121" s="6"/>
      <c r="F121" s="1"/>
      <c r="G121" s="9"/>
      <c r="H121" s="9"/>
      <c r="I121" s="5"/>
      <c r="J121" s="1"/>
      <c r="K121" s="1"/>
      <c r="L121" s="1"/>
      <c r="M121" s="10"/>
      <c r="N121" s="5"/>
      <c r="O121" s="16"/>
      <c r="P121" s="1"/>
    </row>
    <row r="122" spans="1:16">
      <c r="A122" s="6"/>
      <c r="B122" s="7"/>
      <c r="C122" s="67"/>
      <c r="D122" s="6"/>
      <c r="E122" s="6"/>
      <c r="F122" s="71"/>
      <c r="G122" s="9"/>
      <c r="H122" s="9"/>
      <c r="I122" s="5"/>
      <c r="J122" s="1"/>
      <c r="K122" s="1"/>
      <c r="L122" s="1"/>
      <c r="M122" s="10"/>
      <c r="N122" s="5"/>
      <c r="O122" s="16"/>
      <c r="P122" s="1"/>
    </row>
    <row r="123" spans="1:16">
      <c r="A123" s="6"/>
      <c r="B123" s="7"/>
      <c r="C123" s="67"/>
      <c r="D123" s="6"/>
      <c r="E123" s="6"/>
      <c r="F123" s="71"/>
      <c r="G123" s="9"/>
      <c r="H123" s="9"/>
      <c r="I123" s="5"/>
      <c r="J123" s="1"/>
      <c r="K123" s="1"/>
      <c r="L123" s="1"/>
      <c r="M123" s="10"/>
      <c r="N123" s="5"/>
      <c r="O123" s="16"/>
      <c r="P123" s="1"/>
    </row>
    <row r="124" spans="1:16">
      <c r="A124" s="6"/>
      <c r="B124" s="7"/>
      <c r="C124" s="67"/>
      <c r="D124" s="6"/>
      <c r="E124" s="6"/>
      <c r="F124" s="71"/>
      <c r="G124" s="9"/>
      <c r="H124" s="9"/>
      <c r="I124" s="5"/>
      <c r="J124" s="1"/>
      <c r="K124" s="1"/>
      <c r="L124" s="1"/>
      <c r="M124" s="10"/>
      <c r="N124" s="5"/>
      <c r="O124" s="16"/>
      <c r="P124" s="1"/>
    </row>
    <row r="125" spans="1:16">
      <c r="A125" s="6"/>
      <c r="B125" s="7"/>
      <c r="C125" s="67"/>
      <c r="D125" s="6"/>
      <c r="E125" s="6"/>
      <c r="F125" s="71"/>
      <c r="G125" s="9"/>
      <c r="H125" s="9"/>
      <c r="I125" s="5"/>
      <c r="J125" s="1"/>
      <c r="K125" s="1"/>
      <c r="L125" s="1"/>
      <c r="M125" s="10"/>
      <c r="N125" s="5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5"/>
      <c r="J126" s="1"/>
      <c r="K126" s="1"/>
      <c r="L126" s="1"/>
      <c r="M126" s="10"/>
      <c r="N126" s="5"/>
      <c r="O126" s="16"/>
      <c r="P126" s="1"/>
    </row>
    <row r="127" spans="1:16">
      <c r="A127" s="6"/>
      <c r="B127" s="7"/>
      <c r="C127" s="148"/>
      <c r="D127" s="6"/>
      <c r="E127" s="6"/>
      <c r="F127" s="71"/>
      <c r="G127" s="9"/>
      <c r="H127" s="9"/>
      <c r="I127" s="5"/>
      <c r="J127" s="1"/>
      <c r="K127" s="1"/>
      <c r="L127" s="1"/>
      <c r="M127" s="10"/>
      <c r="N127" s="5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5"/>
      <c r="J128" s="1"/>
      <c r="K128" s="1"/>
      <c r="L128" s="1"/>
      <c r="M128" s="10"/>
      <c r="N128" s="5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5"/>
      <c r="J129" s="1"/>
      <c r="K129" s="1"/>
      <c r="L129" s="1"/>
      <c r="M129" s="10"/>
      <c r="N129" s="5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5"/>
      <c r="J130" s="1"/>
      <c r="K130" s="1"/>
      <c r="L130" s="1"/>
      <c r="M130" s="10"/>
      <c r="N130" s="5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5"/>
      <c r="J131" s="1"/>
      <c r="K131" s="1"/>
      <c r="L131" s="1"/>
      <c r="M131" s="10"/>
      <c r="N131" s="5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5"/>
      <c r="J132" s="1"/>
      <c r="K132" s="1"/>
      <c r="L132" s="1"/>
      <c r="M132" s="10"/>
      <c r="N132" s="5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5"/>
      <c r="J133" s="1"/>
      <c r="K133" s="1"/>
      <c r="L133" s="1"/>
      <c r="M133" s="10"/>
      <c r="N133" s="5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5"/>
      <c r="J134" s="1"/>
      <c r="K134" s="1"/>
      <c r="L134" s="1"/>
      <c r="M134" s="10"/>
      <c r="N134" s="5"/>
      <c r="O134" s="16"/>
      <c r="P134" s="1"/>
    </row>
    <row r="135" spans="1:16">
      <c r="A135" s="6"/>
      <c r="B135" s="7"/>
      <c r="C135" s="130"/>
      <c r="D135" s="6"/>
      <c r="E135" s="6"/>
      <c r="F135" s="71"/>
      <c r="G135" s="9"/>
      <c r="H135" s="9"/>
      <c r="I135" s="5"/>
      <c r="J135" s="1"/>
      <c r="K135" s="1"/>
      <c r="L135" s="1"/>
      <c r="M135" s="10"/>
      <c r="N135" s="5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5"/>
      <c r="J136" s="1"/>
      <c r="K136" s="1"/>
      <c r="L136" s="1"/>
      <c r="M136" s="10"/>
      <c r="N136" s="5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5"/>
      <c r="J137" s="1"/>
      <c r="K137" s="1"/>
      <c r="L137" s="1"/>
      <c r="M137" s="10"/>
      <c r="N137" s="5"/>
      <c r="O137" s="16"/>
      <c r="P137" s="1"/>
    </row>
    <row r="138" spans="1:16">
      <c r="A138" s="6"/>
      <c r="B138" s="7"/>
      <c r="C138" s="173"/>
      <c r="D138" s="6"/>
      <c r="E138" s="6"/>
      <c r="F138" s="71"/>
      <c r="G138" s="9"/>
      <c r="H138" s="9"/>
      <c r="I138" s="5"/>
      <c r="J138" s="1"/>
      <c r="K138" s="1"/>
      <c r="L138" s="1"/>
      <c r="M138" s="10"/>
      <c r="N138" s="5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5"/>
      <c r="J139" s="1"/>
      <c r="K139" s="1"/>
      <c r="L139" s="1"/>
      <c r="M139" s="10"/>
      <c r="N139" s="5"/>
      <c r="O139" s="16"/>
      <c r="P139" s="1"/>
    </row>
    <row r="140" spans="1:16">
      <c r="A140" s="6"/>
      <c r="B140" s="7"/>
      <c r="C140" s="130"/>
      <c r="D140" s="6"/>
      <c r="E140" s="6"/>
      <c r="F140" s="71"/>
      <c r="G140" s="9"/>
      <c r="H140" s="9"/>
      <c r="I140" s="5"/>
      <c r="J140" s="1"/>
      <c r="K140" s="1"/>
      <c r="L140" s="1"/>
      <c r="M140" s="10"/>
      <c r="N140" s="5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5"/>
      <c r="J141" s="1"/>
      <c r="K141" s="1"/>
      <c r="L141" s="1"/>
      <c r="M141" s="10"/>
      <c r="N141" s="5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5"/>
      <c r="J142" s="1"/>
      <c r="K142" s="1"/>
      <c r="L142" s="1"/>
      <c r="M142" s="10"/>
      <c r="N142" s="5"/>
      <c r="O142" s="16"/>
      <c r="P142" s="1"/>
    </row>
    <row r="143" spans="1:16">
      <c r="A143" s="6"/>
      <c r="B143" s="7"/>
      <c r="C143" s="148"/>
      <c r="D143" s="6"/>
      <c r="E143" s="6"/>
      <c r="F143" s="71"/>
      <c r="G143" s="9"/>
      <c r="H143" s="9"/>
      <c r="I143" s="5"/>
      <c r="J143" s="1"/>
      <c r="K143" s="1"/>
      <c r="L143" s="1"/>
      <c r="M143" s="10"/>
      <c r="N143" s="5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5"/>
      <c r="J144" s="1"/>
      <c r="K144" s="1"/>
      <c r="L144" s="1"/>
      <c r="M144" s="10"/>
      <c r="N144" s="5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5"/>
      <c r="J145" s="1"/>
      <c r="K145" s="1"/>
      <c r="L145" s="1"/>
      <c r="M145" s="10"/>
      <c r="N145" s="5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5"/>
      <c r="J146" s="1"/>
      <c r="K146" s="1"/>
      <c r="L146" s="1"/>
      <c r="M146" s="10"/>
      <c r="N146" s="5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5"/>
      <c r="J147" s="1"/>
      <c r="K147" s="1"/>
      <c r="L147" s="1"/>
      <c r="M147" s="10"/>
      <c r="N147" s="5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5"/>
      <c r="J148" s="1"/>
      <c r="K148" s="1"/>
      <c r="L148" s="1"/>
      <c r="M148" s="10"/>
      <c r="N148" s="5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5"/>
      <c r="J149" s="1"/>
      <c r="K149" s="1"/>
      <c r="L149" s="1"/>
      <c r="M149" s="10"/>
      <c r="N149" s="5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5"/>
      <c r="J150" s="1"/>
      <c r="K150" s="1"/>
      <c r="L150" s="1"/>
      <c r="M150" s="10"/>
      <c r="N150" s="5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5"/>
      <c r="J151" s="1"/>
      <c r="K151" s="1"/>
      <c r="L151" s="1"/>
      <c r="M151" s="10"/>
      <c r="N151" s="5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5"/>
      <c r="J152" s="1"/>
      <c r="K152" s="1"/>
      <c r="L152" s="1"/>
      <c r="M152" s="10"/>
      <c r="N152" s="5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5"/>
      <c r="J153" s="1"/>
      <c r="K153" s="1"/>
      <c r="L153" s="1"/>
      <c r="M153" s="10"/>
      <c r="N153" s="5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5"/>
      <c r="J154" s="1"/>
      <c r="K154" s="1"/>
      <c r="L154" s="1"/>
      <c r="M154" s="10"/>
      <c r="N154" s="5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5"/>
      <c r="J155" s="1"/>
      <c r="K155" s="1"/>
      <c r="L155" s="1"/>
      <c r="M155" s="10"/>
      <c r="N155" s="5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5"/>
      <c r="J156" s="1"/>
      <c r="K156" s="1"/>
      <c r="L156" s="1"/>
      <c r="M156" s="10"/>
      <c r="N156" s="5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5"/>
      <c r="J157" s="1"/>
      <c r="K157" s="1"/>
      <c r="L157" s="1"/>
      <c r="M157" s="10"/>
      <c r="N157" s="5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5"/>
      <c r="J158" s="1"/>
      <c r="K158" s="1"/>
      <c r="L158" s="1"/>
      <c r="M158" s="10"/>
      <c r="N158" s="5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5"/>
      <c r="J159" s="1"/>
      <c r="K159" s="1"/>
      <c r="L159" s="1"/>
      <c r="M159" s="10"/>
      <c r="N159" s="5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5"/>
      <c r="J160" s="1"/>
      <c r="K160" s="1"/>
      <c r="L160" s="1"/>
      <c r="M160" s="10"/>
      <c r="N160" s="5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5"/>
      <c r="J161" s="1"/>
      <c r="K161" s="1"/>
      <c r="L161" s="1"/>
      <c r="M161" s="10"/>
      <c r="N161" s="5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5"/>
      <c r="J162" s="1"/>
      <c r="K162" s="1"/>
      <c r="L162" s="1"/>
      <c r="M162" s="10"/>
      <c r="N162" s="5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5"/>
      <c r="J163" s="1"/>
      <c r="K163" s="1"/>
      <c r="L163" s="1"/>
      <c r="M163" s="10"/>
      <c r="N163" s="5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5"/>
      <c r="J164" s="1"/>
      <c r="K164" s="1"/>
      <c r="L164" s="1"/>
      <c r="M164" s="10"/>
      <c r="N164" s="5"/>
      <c r="O164" s="16"/>
      <c r="P164" s="1"/>
    </row>
    <row r="165" spans="1:16">
      <c r="A165" s="6"/>
      <c r="B165" s="7"/>
      <c r="C165" s="6"/>
      <c r="D165" s="6"/>
      <c r="E165" s="6"/>
      <c r="F165" s="1"/>
      <c r="G165" s="9"/>
      <c r="H165" s="9"/>
      <c r="I165" s="5"/>
      <c r="J165" s="1"/>
      <c r="K165" s="1"/>
      <c r="L165" s="1"/>
      <c r="M165" s="10"/>
      <c r="N165" s="5"/>
      <c r="O165" s="16"/>
      <c r="P165" s="1"/>
    </row>
    <row r="166" spans="1:16">
      <c r="A166" s="6"/>
      <c r="B166" s="7"/>
      <c r="C166" s="6"/>
      <c r="D166" s="6"/>
      <c r="E166" s="6"/>
      <c r="F166" s="1"/>
      <c r="G166" s="9"/>
      <c r="H166" s="9"/>
      <c r="I166" s="5"/>
      <c r="J166" s="1"/>
      <c r="K166" s="1"/>
      <c r="L166" s="1"/>
      <c r="M166" s="10"/>
      <c r="N166" s="5"/>
      <c r="O166" s="16"/>
      <c r="P166" s="1"/>
    </row>
    <row r="167" spans="1:16">
      <c r="A167" s="6"/>
      <c r="B167" s="7"/>
      <c r="C167" s="6"/>
      <c r="D167" s="6"/>
      <c r="E167" s="6"/>
      <c r="F167" s="1"/>
      <c r="G167" s="9"/>
      <c r="H167" s="9"/>
      <c r="I167" s="5"/>
      <c r="J167" s="1"/>
      <c r="K167" s="1"/>
      <c r="L167" s="1"/>
      <c r="M167" s="10"/>
      <c r="N167" s="5"/>
      <c r="O167" s="16"/>
      <c r="P167" s="1"/>
    </row>
    <row r="168" spans="1:16">
      <c r="A168" s="6"/>
      <c r="B168" s="7"/>
      <c r="C168" s="6"/>
      <c r="D168" s="6"/>
      <c r="E168" s="6"/>
      <c r="F168" s="1"/>
      <c r="G168" s="9"/>
      <c r="H168" s="9"/>
      <c r="I168" s="5"/>
      <c r="J168" s="1"/>
      <c r="K168" s="1"/>
      <c r="L168" s="1"/>
      <c r="M168" s="10"/>
      <c r="N168" s="5"/>
      <c r="O168" s="16"/>
      <c r="P168" s="1"/>
    </row>
    <row r="169" spans="1:16">
      <c r="A169" s="6"/>
      <c r="B169" s="7"/>
      <c r="C169" s="6"/>
      <c r="D169" s="6"/>
      <c r="E169" s="6"/>
      <c r="F169" s="1"/>
      <c r="G169" s="9"/>
      <c r="H169" s="9"/>
      <c r="I169" s="5"/>
      <c r="J169" s="1"/>
      <c r="K169" s="1"/>
      <c r="L169" s="1"/>
      <c r="M169" s="10"/>
      <c r="N169" s="5"/>
      <c r="O169" s="16"/>
      <c r="P169" s="1"/>
    </row>
    <row r="170" spans="1:16">
      <c r="A170" s="6"/>
      <c r="B170" s="7"/>
      <c r="C170" s="6"/>
      <c r="D170" s="6"/>
      <c r="E170" s="6"/>
      <c r="F170" s="1"/>
      <c r="G170" s="9"/>
      <c r="H170" s="9"/>
      <c r="I170" s="5"/>
      <c r="J170" s="1"/>
      <c r="K170" s="1"/>
      <c r="L170" s="1"/>
      <c r="M170" s="10"/>
      <c r="N170" s="5"/>
      <c r="O170" s="16"/>
      <c r="P170" s="1"/>
    </row>
    <row r="171" spans="1:16">
      <c r="A171" s="6"/>
      <c r="B171" s="68"/>
      <c r="C171" s="67"/>
      <c r="D171" s="6"/>
      <c r="E171" s="6"/>
      <c r="F171" s="71"/>
      <c r="G171" s="72"/>
      <c r="H171" s="72"/>
      <c r="I171" s="181"/>
      <c r="J171" s="1"/>
      <c r="K171" s="1"/>
      <c r="L171" s="1"/>
      <c r="M171" s="10"/>
      <c r="N171" s="5"/>
      <c r="O171" s="16"/>
      <c r="P171" s="1"/>
    </row>
    <row r="172" spans="1:16">
      <c r="A172" s="6"/>
      <c r="B172" s="68"/>
      <c r="C172" s="67"/>
      <c r="D172" s="6"/>
      <c r="E172" s="6"/>
      <c r="F172" s="71"/>
      <c r="G172" s="72"/>
      <c r="H172" s="72"/>
      <c r="I172" s="181"/>
      <c r="J172" s="1"/>
      <c r="K172" s="1"/>
      <c r="L172" s="1"/>
      <c r="M172" s="10"/>
      <c r="N172" s="5"/>
      <c r="O172" s="16"/>
      <c r="P172" s="1"/>
    </row>
    <row r="173" spans="1:16">
      <c r="A173" s="6"/>
      <c r="B173" s="68"/>
      <c r="C173" s="158"/>
      <c r="D173" s="6"/>
      <c r="E173" s="6"/>
      <c r="F173" s="71"/>
      <c r="G173" s="72"/>
      <c r="H173" s="72"/>
      <c r="I173" s="181"/>
      <c r="J173" s="1"/>
      <c r="K173" s="1"/>
      <c r="L173" s="1"/>
      <c r="M173" s="10"/>
      <c r="N173" s="5"/>
      <c r="O173" s="16"/>
      <c r="P173" s="1"/>
    </row>
    <row r="174" spans="1:16">
      <c r="A174" s="6"/>
      <c r="B174" s="68"/>
      <c r="C174" s="158"/>
      <c r="D174" s="6"/>
      <c r="E174" s="6"/>
      <c r="F174" s="71"/>
      <c r="G174" s="72"/>
      <c r="H174" s="72"/>
      <c r="I174" s="181"/>
      <c r="J174" s="1"/>
      <c r="K174" s="1"/>
      <c r="L174" s="1"/>
      <c r="M174" s="10"/>
      <c r="N174" s="5"/>
      <c r="O174" s="16"/>
      <c r="P174" s="1"/>
    </row>
    <row r="175" spans="1:16">
      <c r="A175" s="6"/>
      <c r="B175" s="68"/>
      <c r="C175" s="158"/>
      <c r="D175" s="6"/>
      <c r="E175" s="6"/>
      <c r="F175" s="71"/>
      <c r="G175" s="72"/>
      <c r="H175" s="72"/>
      <c r="I175" s="181"/>
      <c r="J175" s="1"/>
      <c r="K175" s="1"/>
      <c r="L175" s="1"/>
      <c r="M175" s="10"/>
      <c r="N175" s="5"/>
      <c r="O175" s="16"/>
      <c r="P175" s="1"/>
    </row>
    <row r="176" spans="1:16">
      <c r="A176" s="6"/>
      <c r="B176" s="68"/>
      <c r="C176" s="158"/>
      <c r="D176" s="6"/>
      <c r="E176" s="6"/>
      <c r="F176" s="71"/>
      <c r="G176" s="72"/>
      <c r="H176" s="72"/>
      <c r="I176" s="181"/>
      <c r="J176" s="1"/>
      <c r="K176" s="1"/>
      <c r="L176" s="1"/>
      <c r="M176" s="10"/>
      <c r="N176" s="5"/>
      <c r="O176" s="16"/>
      <c r="P176" s="1"/>
    </row>
    <row r="177" spans="1:16">
      <c r="A177" s="6"/>
      <c r="B177" s="68"/>
      <c r="C177" s="67"/>
      <c r="D177" s="6"/>
      <c r="E177" s="6"/>
      <c r="F177" s="71"/>
      <c r="G177" s="72"/>
      <c r="H177" s="72"/>
      <c r="I177" s="181"/>
      <c r="J177" s="1"/>
      <c r="K177" s="1"/>
      <c r="L177" s="1"/>
      <c r="M177" s="10"/>
      <c r="N177" s="5"/>
      <c r="O177" s="16"/>
      <c r="P177" s="1"/>
    </row>
    <row r="178" spans="1:16">
      <c r="A178" s="6"/>
      <c r="B178" s="68"/>
      <c r="C178" s="67"/>
      <c r="D178" s="6"/>
      <c r="E178" s="6"/>
      <c r="F178" s="71"/>
      <c r="G178" s="72"/>
      <c r="H178" s="72"/>
      <c r="I178" s="181"/>
      <c r="J178" s="1"/>
      <c r="K178" s="1"/>
      <c r="L178" s="1"/>
      <c r="M178" s="10"/>
      <c r="N178" s="5"/>
      <c r="O178" s="16"/>
      <c r="P178" s="1"/>
    </row>
    <row r="179" spans="1:16">
      <c r="A179" s="6"/>
      <c r="B179" s="68"/>
      <c r="C179" s="67"/>
      <c r="D179" s="6"/>
      <c r="E179" s="6"/>
      <c r="F179" s="71"/>
      <c r="G179" s="72"/>
      <c r="H179" s="72"/>
      <c r="I179" s="181"/>
      <c r="J179" s="1"/>
      <c r="K179" s="1"/>
      <c r="L179" s="1"/>
      <c r="M179" s="10"/>
      <c r="N179" s="5"/>
      <c r="O179" s="16"/>
      <c r="P179" s="1"/>
    </row>
    <row r="180" spans="1:16">
      <c r="A180" s="6"/>
      <c r="B180" s="68"/>
      <c r="C180" s="67"/>
      <c r="D180" s="6"/>
      <c r="E180" s="6"/>
      <c r="F180" s="71"/>
      <c r="G180" s="72"/>
      <c r="H180" s="72"/>
      <c r="I180" s="181"/>
      <c r="J180" s="1"/>
      <c r="K180" s="1"/>
      <c r="L180" s="1"/>
      <c r="M180" s="10"/>
      <c r="N180" s="5"/>
      <c r="O180" s="16"/>
      <c r="P180" s="1"/>
    </row>
    <row r="181" spans="1:16">
      <c r="A181" s="6"/>
      <c r="B181" s="68"/>
      <c r="C181" s="67"/>
      <c r="D181" s="6"/>
      <c r="E181" s="6"/>
      <c r="F181" s="71"/>
      <c r="G181" s="72"/>
      <c r="H181" s="72"/>
      <c r="I181" s="181"/>
      <c r="J181" s="1"/>
      <c r="K181" s="1"/>
      <c r="L181" s="1"/>
      <c r="M181" s="10"/>
      <c r="N181" s="5"/>
      <c r="O181" s="16"/>
      <c r="P181" s="1"/>
    </row>
    <row r="182" spans="1:16">
      <c r="A182" s="6"/>
      <c r="B182" s="68"/>
      <c r="C182" s="67"/>
      <c r="D182" s="6"/>
      <c r="E182" s="6"/>
      <c r="F182" s="71"/>
      <c r="G182" s="72"/>
      <c r="H182" s="72"/>
      <c r="I182" s="181"/>
      <c r="J182" s="1"/>
      <c r="K182" s="1"/>
      <c r="L182" s="1"/>
      <c r="M182" s="10"/>
      <c r="N182" s="5"/>
      <c r="O182" s="16"/>
      <c r="P182" s="1"/>
    </row>
    <row r="183" spans="1:16">
      <c r="A183" s="6"/>
      <c r="B183" s="68"/>
      <c r="C183" s="67"/>
      <c r="D183" s="6"/>
      <c r="E183" s="6"/>
      <c r="F183" s="71"/>
      <c r="G183" s="72"/>
      <c r="H183" s="72"/>
      <c r="I183" s="181"/>
      <c r="J183" s="1"/>
      <c r="K183" s="1"/>
      <c r="L183" s="1"/>
      <c r="M183" s="10"/>
      <c r="N183" s="5"/>
      <c r="O183" s="16"/>
      <c r="P183" s="1"/>
    </row>
    <row r="184" spans="1:16">
      <c r="A184" s="6"/>
      <c r="B184" s="68"/>
      <c r="C184" s="67"/>
      <c r="D184" s="6"/>
      <c r="E184" s="6"/>
      <c r="F184" s="71"/>
      <c r="G184" s="72"/>
      <c r="H184" s="72"/>
      <c r="I184" s="181"/>
      <c r="J184" s="1"/>
      <c r="K184" s="1"/>
      <c r="L184" s="1"/>
      <c r="M184" s="10"/>
      <c r="N184" s="5"/>
      <c r="O184" s="16"/>
      <c r="P184" s="1"/>
    </row>
    <row r="185" spans="1:16">
      <c r="A185" s="6"/>
      <c r="B185" s="68"/>
      <c r="C185" s="67"/>
      <c r="D185" s="6"/>
      <c r="E185" s="6"/>
      <c r="F185" s="71"/>
      <c r="G185" s="72"/>
      <c r="H185" s="72"/>
      <c r="I185" s="181"/>
      <c r="J185" s="1"/>
      <c r="K185" s="1"/>
      <c r="L185" s="1"/>
      <c r="M185" s="10"/>
      <c r="N185" s="5"/>
      <c r="O185" s="16"/>
      <c r="P185" s="1"/>
    </row>
    <row r="186" spans="1:16">
      <c r="A186" s="6"/>
      <c r="B186" s="68"/>
      <c r="C186" s="67"/>
      <c r="D186" s="6"/>
      <c r="E186" s="6"/>
      <c r="F186" s="71"/>
      <c r="G186" s="72"/>
      <c r="H186" s="72"/>
      <c r="I186" s="181"/>
      <c r="J186" s="1"/>
      <c r="K186" s="1"/>
      <c r="L186" s="1"/>
      <c r="M186" s="10"/>
      <c r="N186" s="5"/>
      <c r="O186" s="16"/>
      <c r="P186" s="1"/>
    </row>
    <row r="187" spans="1:16">
      <c r="A187" s="6"/>
      <c r="B187" s="68"/>
      <c r="C187" s="67"/>
      <c r="D187" s="6"/>
      <c r="E187" s="6"/>
      <c r="F187" s="71"/>
      <c r="G187" s="72"/>
      <c r="H187" s="72"/>
      <c r="I187" s="181"/>
      <c r="J187" s="1"/>
      <c r="K187" s="1"/>
      <c r="L187" s="1"/>
      <c r="M187" s="10"/>
      <c r="N187" s="5"/>
      <c r="O187" s="16"/>
      <c r="P187" s="1"/>
    </row>
    <row r="188" spans="1:16">
      <c r="A188" s="6"/>
      <c r="B188" s="68"/>
      <c r="C188" s="67"/>
      <c r="D188" s="6"/>
      <c r="E188" s="6"/>
      <c r="F188" s="71"/>
      <c r="G188" s="72"/>
      <c r="H188" s="72"/>
      <c r="I188" s="181"/>
      <c r="J188" s="1"/>
      <c r="K188" s="1"/>
      <c r="L188" s="1"/>
      <c r="M188" s="10"/>
      <c r="N188" s="5"/>
      <c r="O188" s="16"/>
      <c r="P188" s="1"/>
    </row>
    <row r="189" spans="1:16">
      <c r="A189" s="6"/>
      <c r="B189" s="68"/>
      <c r="C189" s="148"/>
      <c r="D189" s="6"/>
      <c r="E189" s="6"/>
      <c r="F189" s="71"/>
      <c r="G189" s="72"/>
      <c r="H189" s="72"/>
      <c r="I189" s="181"/>
      <c r="J189" s="1"/>
      <c r="K189" s="1"/>
      <c r="L189" s="1"/>
      <c r="M189" s="10"/>
      <c r="N189" s="5"/>
      <c r="O189" s="16"/>
      <c r="P189" s="1"/>
    </row>
    <row r="190" spans="1:16">
      <c r="A190" s="6"/>
      <c r="B190" s="68"/>
      <c r="C190" s="67"/>
      <c r="D190" s="6"/>
      <c r="E190" s="6"/>
      <c r="F190" s="71"/>
      <c r="G190" s="72"/>
      <c r="H190" s="72"/>
      <c r="I190" s="181"/>
      <c r="J190" s="1"/>
      <c r="K190" s="1"/>
      <c r="L190" s="1"/>
      <c r="M190" s="10"/>
      <c r="N190" s="181"/>
      <c r="O190" s="16"/>
      <c r="P190" s="1"/>
    </row>
    <row r="191" spans="1:16">
      <c r="A191" s="6"/>
      <c r="B191" s="68"/>
      <c r="C191" s="67"/>
      <c r="D191" s="6"/>
      <c r="E191" s="6"/>
      <c r="F191" s="71"/>
      <c r="G191" s="72"/>
      <c r="H191" s="72"/>
      <c r="I191" s="181"/>
      <c r="J191" s="1"/>
      <c r="K191" s="1"/>
      <c r="L191" s="1"/>
      <c r="M191" s="10"/>
      <c r="N191" s="181"/>
      <c r="O191" s="16"/>
      <c r="P191" s="1"/>
    </row>
    <row r="192" spans="1:16">
      <c r="A192" s="6"/>
      <c r="B192" s="68"/>
      <c r="C192" s="67"/>
      <c r="D192" s="6"/>
      <c r="E192" s="6"/>
      <c r="F192" s="71"/>
      <c r="G192" s="72"/>
      <c r="H192" s="72"/>
      <c r="I192" s="181"/>
      <c r="J192" s="1"/>
      <c r="K192" s="1"/>
      <c r="L192" s="1"/>
      <c r="M192" s="10"/>
      <c r="N192" s="181"/>
      <c r="O192" s="16"/>
      <c r="P192" s="1"/>
    </row>
    <row r="193" spans="1:16">
      <c r="A193" s="6"/>
      <c r="B193" s="68"/>
      <c r="C193" s="67"/>
      <c r="D193" s="6"/>
      <c r="E193" s="6"/>
      <c r="F193" s="71"/>
      <c r="G193" s="72"/>
      <c r="H193" s="72"/>
      <c r="I193" s="181"/>
      <c r="J193" s="1"/>
      <c r="K193" s="1"/>
      <c r="L193" s="1"/>
      <c r="M193" s="10"/>
      <c r="N193" s="5"/>
      <c r="O193" s="16"/>
      <c r="P193" s="1"/>
    </row>
    <row r="194" spans="1:16">
      <c r="A194" s="6"/>
      <c r="B194" s="68"/>
      <c r="C194" s="67"/>
      <c r="D194" s="6"/>
      <c r="E194" s="6"/>
      <c r="F194" s="71"/>
      <c r="G194" s="72"/>
      <c r="H194" s="72"/>
      <c r="I194" s="181"/>
      <c r="J194" s="1"/>
      <c r="K194" s="1"/>
      <c r="L194" s="1"/>
      <c r="M194" s="10"/>
      <c r="N194" s="181"/>
      <c r="O194" s="16"/>
      <c r="P194" s="1"/>
    </row>
    <row r="195" spans="1:16">
      <c r="A195" s="6"/>
      <c r="B195" s="68"/>
      <c r="C195" s="148"/>
      <c r="D195" s="6"/>
      <c r="E195" s="6"/>
      <c r="F195" s="71"/>
      <c r="G195" s="72"/>
      <c r="H195" s="72"/>
      <c r="I195" s="181"/>
      <c r="J195" s="1"/>
      <c r="K195" s="1"/>
      <c r="L195" s="1"/>
      <c r="M195" s="9"/>
      <c r="N195" s="5"/>
      <c r="O195" s="16"/>
      <c r="P195" s="1"/>
    </row>
    <row r="196" spans="1:16">
      <c r="A196" s="6"/>
      <c r="B196" s="174"/>
      <c r="C196" s="183"/>
      <c r="D196" s="6"/>
      <c r="E196" s="6"/>
      <c r="F196" s="71"/>
      <c r="G196" s="72"/>
      <c r="H196" s="72"/>
      <c r="I196" s="181"/>
      <c r="J196" s="1"/>
      <c r="K196" s="1"/>
      <c r="L196" s="1"/>
      <c r="M196" s="9"/>
      <c r="N196" s="181"/>
      <c r="O196" s="16"/>
      <c r="P196" s="1"/>
    </row>
    <row r="197" spans="1:16">
      <c r="A197" s="6"/>
      <c r="B197" s="68"/>
      <c r="C197" s="67"/>
      <c r="D197" s="6"/>
      <c r="E197" s="6"/>
      <c r="F197" s="71"/>
      <c r="G197" s="72"/>
      <c r="H197" s="72"/>
      <c r="I197" s="181"/>
      <c r="J197" s="1"/>
      <c r="K197" s="1"/>
      <c r="L197" s="1"/>
      <c r="M197" s="9"/>
      <c r="N197" s="181"/>
      <c r="O197" s="16"/>
      <c r="P197" s="1"/>
    </row>
    <row r="198" spans="1:16">
      <c r="A198" s="6"/>
      <c r="B198" s="68"/>
      <c r="C198" s="67"/>
      <c r="D198" s="6"/>
      <c r="E198" s="6"/>
      <c r="F198" s="71"/>
      <c r="G198" s="72"/>
      <c r="H198" s="72"/>
      <c r="I198" s="181"/>
      <c r="J198" s="1"/>
      <c r="K198" s="1"/>
      <c r="L198" s="1"/>
      <c r="M198" s="9"/>
      <c r="N198" s="181"/>
      <c r="O198" s="16"/>
      <c r="P198" s="1"/>
    </row>
    <row r="199" spans="1:16">
      <c r="A199" s="6"/>
      <c r="B199" s="68"/>
      <c r="C199" s="148"/>
      <c r="D199" s="6"/>
      <c r="E199" s="6"/>
      <c r="F199" s="71"/>
      <c r="G199" s="72"/>
      <c r="H199" s="72"/>
      <c r="I199" s="181"/>
      <c r="J199" s="1"/>
      <c r="K199" s="1"/>
      <c r="L199" s="1"/>
      <c r="M199" s="9"/>
      <c r="N199" s="181"/>
      <c r="O199" s="16"/>
      <c r="P199" s="1"/>
    </row>
    <row r="200" spans="1:16">
      <c r="A200" s="6"/>
      <c r="B200" s="68"/>
      <c r="C200" s="67"/>
      <c r="D200" s="6"/>
      <c r="E200" s="6"/>
      <c r="F200" s="71"/>
      <c r="G200" s="72"/>
      <c r="H200" s="72"/>
      <c r="I200" s="181"/>
      <c r="J200" s="1"/>
      <c r="K200" s="1"/>
      <c r="L200" s="1"/>
      <c r="M200" s="9"/>
      <c r="N200" s="181"/>
      <c r="O200" s="16"/>
      <c r="P200" s="1"/>
    </row>
    <row r="201" spans="1:16">
      <c r="A201" s="6"/>
      <c r="B201" s="68"/>
      <c r="C201" s="67"/>
      <c r="D201" s="6"/>
      <c r="E201" s="6"/>
      <c r="F201" s="71"/>
      <c r="G201" s="72"/>
      <c r="H201" s="72"/>
      <c r="I201" s="181"/>
      <c r="J201" s="1"/>
      <c r="K201" s="1"/>
      <c r="L201" s="1"/>
      <c r="M201" s="9"/>
      <c r="N201" s="181"/>
      <c r="O201" s="16"/>
      <c r="P201" s="1"/>
    </row>
    <row r="202" spans="1:16">
      <c r="A202" s="6"/>
      <c r="B202" s="68"/>
      <c r="C202" s="67"/>
      <c r="D202" s="6"/>
      <c r="E202" s="6"/>
      <c r="F202" s="71"/>
      <c r="G202" s="72"/>
      <c r="H202" s="72"/>
      <c r="I202" s="181"/>
      <c r="J202" s="1"/>
      <c r="K202" s="1"/>
      <c r="L202" s="1"/>
      <c r="M202" s="9"/>
      <c r="N202" s="181"/>
      <c r="O202" s="16"/>
      <c r="P202" s="1"/>
    </row>
    <row r="203" spans="1:16">
      <c r="A203" s="6"/>
      <c r="B203" s="68"/>
      <c r="C203" s="67"/>
      <c r="D203" s="6"/>
      <c r="E203" s="6"/>
      <c r="F203" s="71"/>
      <c r="G203" s="72"/>
      <c r="H203" s="72"/>
      <c r="I203" s="181"/>
      <c r="J203" s="1"/>
      <c r="K203" s="1"/>
      <c r="L203" s="1"/>
      <c r="M203" s="9"/>
      <c r="N203" s="181"/>
      <c r="O203" s="16"/>
      <c r="P203" s="1"/>
    </row>
    <row r="204" spans="1:16">
      <c r="A204" s="6"/>
      <c r="B204" s="68"/>
      <c r="C204" s="67"/>
      <c r="D204" s="6"/>
      <c r="E204" s="6"/>
      <c r="F204" s="71"/>
      <c r="G204" s="72"/>
      <c r="H204" s="72"/>
      <c r="I204" s="181"/>
      <c r="J204" s="1"/>
      <c r="K204" s="1"/>
      <c r="L204" s="1"/>
      <c r="M204" s="9"/>
      <c r="N204" s="181"/>
      <c r="O204" s="16"/>
      <c r="P204" s="1"/>
    </row>
    <row r="205" spans="1:16">
      <c r="A205" s="6"/>
      <c r="B205" s="68"/>
      <c r="C205" s="67"/>
      <c r="D205" s="6"/>
      <c r="E205" s="6"/>
      <c r="F205" s="71"/>
      <c r="G205" s="72"/>
      <c r="H205" s="72"/>
      <c r="I205" s="181"/>
      <c r="J205" s="1"/>
      <c r="K205" s="1"/>
      <c r="L205" s="1"/>
      <c r="M205" s="9"/>
      <c r="N205" s="181"/>
      <c r="O205" s="16"/>
      <c r="P205" s="1"/>
    </row>
    <row r="206" spans="1:16">
      <c r="A206" s="6"/>
      <c r="B206" s="174"/>
      <c r="C206" s="67"/>
      <c r="D206" s="6"/>
      <c r="E206" s="6"/>
      <c r="F206" s="71"/>
      <c r="G206" s="72"/>
      <c r="H206" s="72"/>
      <c r="I206" s="181"/>
      <c r="J206" s="1"/>
      <c r="K206" s="1"/>
      <c r="L206" s="1"/>
      <c r="M206" s="9"/>
      <c r="N206" s="181"/>
      <c r="O206" s="16"/>
      <c r="P206" s="1"/>
    </row>
    <row r="207" spans="1:16">
      <c r="A207" s="6"/>
      <c r="B207" s="174"/>
      <c r="C207" s="67"/>
      <c r="D207" s="6"/>
      <c r="E207" s="6"/>
      <c r="F207" s="71"/>
      <c r="G207" s="72"/>
      <c r="H207" s="72"/>
      <c r="I207" s="181"/>
      <c r="J207" s="1"/>
      <c r="K207" s="1"/>
      <c r="L207" s="1"/>
      <c r="M207" s="9"/>
      <c r="N207" s="181"/>
      <c r="O207" s="16"/>
      <c r="P207" s="1"/>
    </row>
    <row r="208" spans="1:16">
      <c r="A208" s="6"/>
      <c r="B208" s="174"/>
      <c r="C208" s="67"/>
      <c r="D208" s="6"/>
      <c r="E208" s="6"/>
      <c r="F208" s="71"/>
      <c r="G208" s="72"/>
      <c r="H208" s="72"/>
      <c r="I208" s="181"/>
      <c r="J208" s="1"/>
      <c r="K208" s="1"/>
      <c r="L208" s="1"/>
      <c r="M208" s="9"/>
      <c r="N208" s="181"/>
      <c r="O208" s="16"/>
      <c r="P208" s="1"/>
    </row>
    <row r="209" spans="1:16">
      <c r="A209" s="6"/>
      <c r="B209" s="68"/>
      <c r="C209" s="67"/>
      <c r="D209" s="6"/>
      <c r="E209" s="6"/>
      <c r="F209" s="71"/>
      <c r="G209" s="72"/>
      <c r="H209" s="72"/>
      <c r="I209" s="181"/>
      <c r="J209" s="1"/>
      <c r="K209" s="1"/>
      <c r="L209" s="1"/>
      <c r="M209" s="9"/>
      <c r="N209" s="181"/>
      <c r="O209" s="16"/>
      <c r="P209" s="1"/>
    </row>
    <row r="210" spans="1:16">
      <c r="A210" s="6"/>
      <c r="B210" s="68"/>
      <c r="C210" s="67"/>
      <c r="D210" s="6"/>
      <c r="E210" s="6"/>
      <c r="F210" s="71"/>
      <c r="G210" s="72"/>
      <c r="H210" s="72"/>
      <c r="I210" s="181"/>
      <c r="J210" s="1"/>
      <c r="K210" s="1"/>
      <c r="L210" s="1"/>
      <c r="M210" s="9"/>
      <c r="N210" s="181"/>
      <c r="O210" s="16"/>
      <c r="P210" s="1"/>
    </row>
    <row r="211" spans="1:16">
      <c r="A211" s="6"/>
      <c r="B211" s="174"/>
      <c r="C211" s="67"/>
      <c r="D211" s="6"/>
      <c r="E211" s="6"/>
      <c r="F211" s="71"/>
      <c r="G211" s="72"/>
      <c r="H211" s="72"/>
      <c r="I211" s="181"/>
      <c r="J211" s="1"/>
      <c r="K211" s="1"/>
      <c r="L211" s="1"/>
      <c r="M211" s="9"/>
      <c r="N211" s="181"/>
      <c r="O211" s="16"/>
      <c r="P211" s="1"/>
    </row>
    <row r="212" spans="1:16">
      <c r="A212" s="6"/>
      <c r="B212" s="174"/>
      <c r="C212" s="67"/>
      <c r="D212" s="6"/>
      <c r="E212" s="6"/>
      <c r="F212" s="71"/>
      <c r="G212" s="72"/>
      <c r="H212" s="72"/>
      <c r="I212" s="181"/>
      <c r="J212" s="1"/>
      <c r="K212" s="1"/>
      <c r="L212" s="1"/>
      <c r="M212" s="9"/>
      <c r="N212" s="181"/>
      <c r="O212" s="16"/>
      <c r="P212" s="1"/>
    </row>
    <row r="213" spans="1:16">
      <c r="A213" s="6"/>
      <c r="B213" s="174"/>
      <c r="C213" s="67"/>
      <c r="D213" s="6"/>
      <c r="E213" s="6"/>
      <c r="F213" s="71"/>
      <c r="G213" s="72"/>
      <c r="H213" s="72"/>
      <c r="I213" s="181"/>
      <c r="J213" s="1"/>
      <c r="K213" s="1"/>
      <c r="L213" s="1"/>
      <c r="M213" s="9"/>
      <c r="N213" s="181"/>
      <c r="O213" s="16"/>
      <c r="P213" s="1"/>
    </row>
    <row r="214" spans="1:16">
      <c r="A214" s="6"/>
      <c r="B214" s="174"/>
      <c r="C214" s="148"/>
      <c r="D214" s="6"/>
      <c r="E214" s="6"/>
      <c r="F214" s="71"/>
      <c r="G214" s="72"/>
      <c r="H214" s="72"/>
      <c r="I214" s="181"/>
      <c r="J214" s="1"/>
      <c r="K214" s="1"/>
      <c r="L214" s="1"/>
      <c r="M214" s="9"/>
      <c r="N214" s="181"/>
      <c r="O214" s="16"/>
      <c r="P214" s="1"/>
    </row>
    <row r="215" spans="1:16">
      <c r="A215" s="6"/>
      <c r="B215" s="182"/>
      <c r="C215" s="67"/>
      <c r="D215" s="6"/>
      <c r="E215" s="6"/>
      <c r="F215" s="71"/>
      <c r="G215" s="72"/>
      <c r="H215" s="72"/>
      <c r="I215" s="181"/>
      <c r="J215" s="1"/>
      <c r="K215" s="1"/>
      <c r="L215" s="1"/>
      <c r="M215" s="9"/>
      <c r="N215" s="181"/>
      <c r="O215" s="16"/>
      <c r="P215" s="1"/>
    </row>
    <row r="216" spans="1:16">
      <c r="A216" s="6"/>
      <c r="B216" s="182"/>
      <c r="C216" s="67"/>
      <c r="D216" s="6"/>
      <c r="E216" s="6"/>
      <c r="F216" s="71"/>
      <c r="G216" s="72"/>
      <c r="H216" s="72"/>
      <c r="I216" s="181"/>
      <c r="J216" s="1"/>
      <c r="K216" s="1"/>
      <c r="L216" s="1"/>
      <c r="M216" s="9"/>
      <c r="N216" s="181"/>
      <c r="O216" s="16"/>
      <c r="P216" s="1"/>
    </row>
    <row r="217" spans="1:16">
      <c r="A217" s="6"/>
      <c r="B217" s="174"/>
      <c r="C217" s="67"/>
      <c r="D217" s="6"/>
      <c r="E217" s="6"/>
      <c r="F217" s="71"/>
      <c r="G217" s="72"/>
      <c r="H217" s="72"/>
      <c r="I217" s="181"/>
      <c r="J217" s="1"/>
      <c r="K217" s="1"/>
      <c r="L217" s="1"/>
      <c r="M217" s="9"/>
      <c r="N217" s="181"/>
      <c r="O217" s="16"/>
      <c r="P217" s="1"/>
    </row>
    <row r="218" spans="1:16">
      <c r="A218" s="6"/>
      <c r="B218" s="174"/>
      <c r="C218" s="67"/>
      <c r="D218" s="6"/>
      <c r="E218" s="6"/>
      <c r="F218" s="71"/>
      <c r="G218" s="72"/>
      <c r="H218" s="72"/>
      <c r="I218" s="181"/>
      <c r="J218" s="1"/>
      <c r="K218" s="1"/>
      <c r="L218" s="1"/>
      <c r="M218" s="9"/>
      <c r="N218" s="181"/>
      <c r="O218" s="16"/>
      <c r="P218" s="1"/>
    </row>
    <row r="219" spans="1:16">
      <c r="A219" s="6"/>
      <c r="B219" s="174"/>
      <c r="C219" s="67"/>
      <c r="D219" s="6"/>
      <c r="E219" s="6"/>
      <c r="F219" s="71"/>
      <c r="G219" s="72"/>
      <c r="H219" s="72"/>
      <c r="I219" s="181"/>
      <c r="J219" s="1"/>
      <c r="K219" s="1"/>
      <c r="L219" s="1"/>
      <c r="M219" s="9"/>
      <c r="N219" s="181"/>
      <c r="O219" s="16"/>
      <c r="P219" s="1"/>
    </row>
    <row r="220" spans="1:16">
      <c r="A220" s="6"/>
      <c r="B220" s="174"/>
      <c r="C220" s="67"/>
      <c r="D220" s="6"/>
      <c r="E220" s="6"/>
      <c r="F220" s="71"/>
      <c r="G220" s="72"/>
      <c r="H220" s="72"/>
      <c r="I220" s="181"/>
      <c r="J220" s="1"/>
      <c r="K220" s="1"/>
      <c r="L220" s="1"/>
      <c r="M220" s="9"/>
      <c r="N220" s="181"/>
      <c r="O220" s="16"/>
      <c r="P220" s="1"/>
    </row>
    <row r="221" spans="1:16">
      <c r="A221" s="6"/>
      <c r="B221" s="68"/>
      <c r="C221" s="67"/>
      <c r="D221" s="176"/>
      <c r="E221" s="172"/>
      <c r="F221" s="71"/>
      <c r="G221" s="72"/>
      <c r="H221" s="72"/>
      <c r="I221" s="181"/>
      <c r="J221" s="1"/>
      <c r="K221" s="1"/>
      <c r="L221" s="1"/>
      <c r="M221" s="9"/>
      <c r="N221" s="181"/>
      <c r="O221" s="16"/>
      <c r="P221" s="1"/>
    </row>
    <row r="222" spans="1:16">
      <c r="A222" s="6"/>
      <c r="B222" s="68"/>
      <c r="C222" s="67"/>
      <c r="D222" s="176"/>
      <c r="E222" s="172"/>
      <c r="F222" s="71"/>
      <c r="G222" s="72"/>
      <c r="H222" s="72"/>
      <c r="I222" s="181"/>
      <c r="J222" s="1"/>
      <c r="K222" s="1"/>
      <c r="L222" s="1"/>
      <c r="M222" s="9"/>
      <c r="N222" s="181"/>
      <c r="O222" s="16"/>
      <c r="P222" s="1"/>
    </row>
    <row r="223" spans="1:16">
      <c r="A223" s="6"/>
      <c r="B223" s="174"/>
      <c r="C223" s="148"/>
      <c r="D223" s="176"/>
      <c r="E223" s="176"/>
      <c r="F223" s="71"/>
      <c r="G223" s="72"/>
      <c r="H223" s="72"/>
      <c r="I223" s="181"/>
      <c r="J223" s="1"/>
      <c r="K223" s="1"/>
      <c r="L223" s="1"/>
      <c r="M223" s="9"/>
      <c r="N223" s="181"/>
      <c r="O223" s="16"/>
      <c r="P223" s="1"/>
    </row>
    <row r="224" spans="1:16">
      <c r="A224" s="6"/>
      <c r="B224" s="174"/>
      <c r="C224" s="67"/>
      <c r="D224" s="176"/>
      <c r="E224" s="172"/>
      <c r="F224" s="71"/>
      <c r="G224" s="72"/>
      <c r="H224" s="72"/>
      <c r="I224" s="181"/>
      <c r="J224" s="1"/>
      <c r="K224" s="1"/>
      <c r="L224" s="1"/>
      <c r="M224" s="9"/>
      <c r="N224" s="181"/>
      <c r="O224" s="16"/>
      <c r="P224" s="1"/>
    </row>
    <row r="225" spans="1:16">
      <c r="A225" s="6"/>
      <c r="B225" s="174"/>
      <c r="C225" s="67"/>
      <c r="D225" s="67"/>
      <c r="E225" s="172"/>
      <c r="F225" s="71"/>
      <c r="G225" s="72"/>
      <c r="H225" s="72"/>
      <c r="I225" s="181"/>
      <c r="J225" s="1"/>
      <c r="K225" s="1"/>
      <c r="L225" s="1"/>
      <c r="M225" s="9"/>
      <c r="N225" s="181"/>
      <c r="O225" s="16"/>
      <c r="P225" s="1"/>
    </row>
    <row r="226" spans="1:16">
      <c r="A226" s="6"/>
      <c r="B226" s="174"/>
      <c r="C226" s="67"/>
      <c r="D226" s="176"/>
      <c r="E226" s="172"/>
      <c r="F226" s="71"/>
      <c r="G226" s="72"/>
      <c r="H226" s="72"/>
      <c r="I226" s="181"/>
      <c r="J226" s="1"/>
      <c r="K226" s="1"/>
      <c r="L226" s="1"/>
      <c r="M226" s="9"/>
      <c r="N226" s="181"/>
      <c r="O226" s="16"/>
      <c r="P226" s="1"/>
    </row>
    <row r="227" spans="1:16">
      <c r="A227" s="6"/>
      <c r="B227" s="174"/>
      <c r="C227" s="67"/>
      <c r="D227" s="176"/>
      <c r="E227" s="172"/>
      <c r="F227" s="71"/>
      <c r="G227" s="72"/>
      <c r="H227" s="72"/>
      <c r="I227" s="181"/>
      <c r="J227" s="1"/>
      <c r="K227" s="1"/>
      <c r="L227" s="1"/>
      <c r="M227" s="9"/>
      <c r="N227" s="181"/>
      <c r="O227" s="16"/>
      <c r="P227" s="1"/>
    </row>
    <row r="228" spans="1:16">
      <c r="A228" s="6"/>
      <c r="B228" s="174"/>
      <c r="C228" s="67"/>
      <c r="D228" s="176"/>
      <c r="E228" s="172"/>
      <c r="F228" s="71"/>
      <c r="G228" s="72"/>
      <c r="H228" s="72"/>
      <c r="I228" s="181"/>
      <c r="J228" s="1"/>
      <c r="K228" s="1"/>
      <c r="L228" s="1"/>
      <c r="M228" s="9"/>
      <c r="N228" s="181"/>
      <c r="O228" s="16"/>
      <c r="P228" s="1"/>
    </row>
    <row r="229" spans="1:16">
      <c r="A229" s="6"/>
      <c r="B229" s="174"/>
      <c r="C229" s="67"/>
      <c r="D229" s="176"/>
      <c r="E229" s="172"/>
      <c r="F229" s="71"/>
      <c r="G229" s="72"/>
      <c r="H229" s="72"/>
      <c r="I229" s="181"/>
      <c r="J229" s="1"/>
      <c r="K229" s="1"/>
      <c r="L229" s="1"/>
      <c r="M229" s="9"/>
      <c r="N229" s="181"/>
      <c r="O229" s="16"/>
      <c r="P229" s="1"/>
    </row>
    <row r="230" spans="1:16">
      <c r="A230" s="6"/>
      <c r="B230" s="174"/>
      <c r="C230" s="176"/>
      <c r="D230" s="176"/>
      <c r="E230" s="176"/>
      <c r="F230" s="71"/>
      <c r="G230" s="72"/>
      <c r="H230" s="72"/>
      <c r="I230" s="181"/>
      <c r="J230" s="184"/>
      <c r="K230" s="1"/>
      <c r="L230" s="1"/>
      <c r="M230" s="9"/>
      <c r="N230" s="181"/>
      <c r="O230" s="16"/>
      <c r="P230" s="1"/>
    </row>
    <row r="231" spans="1:16">
      <c r="A231" s="6"/>
      <c r="B231" s="174"/>
      <c r="C231" s="67"/>
      <c r="D231" s="67"/>
      <c r="E231" s="172"/>
      <c r="F231" s="71"/>
      <c r="G231" s="72"/>
      <c r="H231" s="72"/>
      <c r="I231" s="181"/>
      <c r="J231" s="184"/>
      <c r="K231" s="1"/>
      <c r="L231" s="1"/>
      <c r="M231" s="9"/>
      <c r="N231" s="181"/>
      <c r="O231" s="16"/>
      <c r="P231" s="1"/>
    </row>
    <row r="232" spans="1:16">
      <c r="A232" s="6"/>
      <c r="B232" s="174"/>
      <c r="C232" s="148"/>
      <c r="D232" s="176"/>
      <c r="E232" s="172"/>
      <c r="F232" s="71"/>
      <c r="G232" s="72"/>
      <c r="H232" s="72"/>
      <c r="I232" s="181"/>
      <c r="J232" s="184"/>
      <c r="K232" s="1"/>
      <c r="L232" s="1"/>
      <c r="M232" s="9"/>
      <c r="N232" s="181"/>
      <c r="O232" s="16"/>
      <c r="P232" s="1"/>
    </row>
    <row r="233" spans="1:16">
      <c r="A233" s="6"/>
      <c r="B233" s="174"/>
      <c r="C233" s="148"/>
      <c r="D233" s="176"/>
      <c r="E233" s="172"/>
      <c r="F233" s="71"/>
      <c r="G233" s="72"/>
      <c r="H233" s="72"/>
      <c r="I233" s="181"/>
      <c r="J233" s="184"/>
      <c r="K233" s="1"/>
      <c r="L233" s="1"/>
      <c r="M233" s="9"/>
      <c r="N233" s="181"/>
      <c r="O233" s="16"/>
      <c r="P233" s="1"/>
    </row>
    <row r="234" spans="1:16">
      <c r="A234" s="6"/>
      <c r="B234" s="174"/>
      <c r="C234" s="67"/>
      <c r="D234" s="176"/>
      <c r="E234" s="172"/>
      <c r="F234" s="71"/>
      <c r="G234" s="72"/>
      <c r="H234" s="72"/>
      <c r="I234" s="181"/>
      <c r="J234" s="184"/>
      <c r="K234" s="1"/>
      <c r="L234" s="1"/>
      <c r="M234" s="9"/>
      <c r="N234" s="181"/>
      <c r="O234" s="16"/>
      <c r="P234" s="1"/>
    </row>
    <row r="235" spans="1:16">
      <c r="A235" s="6"/>
      <c r="B235" s="174"/>
      <c r="C235" s="67"/>
      <c r="D235" s="176"/>
      <c r="E235" s="172"/>
      <c r="F235" s="71"/>
      <c r="G235" s="72"/>
      <c r="H235" s="72"/>
      <c r="I235" s="181"/>
      <c r="J235" s="184"/>
      <c r="K235" s="1"/>
      <c r="L235" s="1"/>
      <c r="M235" s="9"/>
      <c r="N235" s="181"/>
      <c r="O235" s="16"/>
      <c r="P235" s="1"/>
    </row>
    <row r="236" spans="1:16">
      <c r="A236" s="6"/>
      <c r="B236" s="174"/>
      <c r="C236" s="67"/>
      <c r="D236" s="176"/>
      <c r="E236" s="172"/>
      <c r="F236" s="71"/>
      <c r="G236" s="72"/>
      <c r="H236" s="72"/>
      <c r="I236" s="181"/>
      <c r="J236" s="184"/>
      <c r="K236" s="1"/>
      <c r="L236" s="1"/>
      <c r="M236" s="9"/>
      <c r="N236" s="181"/>
      <c r="O236" s="16"/>
      <c r="P236" s="1"/>
    </row>
    <row r="237" spans="1:16">
      <c r="A237" s="6"/>
      <c r="B237" s="68"/>
      <c r="C237" s="148"/>
      <c r="D237" s="176"/>
      <c r="E237" s="172"/>
      <c r="F237" s="71"/>
      <c r="G237" s="72"/>
      <c r="H237" s="72"/>
      <c r="I237" s="181"/>
      <c r="J237" s="184"/>
      <c r="K237" s="1"/>
      <c r="L237" s="1"/>
      <c r="M237" s="9"/>
      <c r="N237" s="181"/>
      <c r="O237" s="16"/>
      <c r="P237" s="1"/>
    </row>
    <row r="238" spans="1:16">
      <c r="A238" s="6"/>
      <c r="B238" s="68"/>
      <c r="C238" s="67"/>
      <c r="D238" s="176"/>
      <c r="E238" s="172"/>
      <c r="F238" s="71"/>
      <c r="G238" s="72"/>
      <c r="H238" s="72"/>
      <c r="I238" s="181"/>
      <c r="J238" s="184"/>
      <c r="K238" s="1"/>
      <c r="L238" s="1"/>
      <c r="M238" s="9"/>
      <c r="N238" s="5"/>
      <c r="O238" s="16"/>
      <c r="P238" s="1"/>
    </row>
    <row r="239" spans="1:16">
      <c r="A239" s="6"/>
      <c r="B239" s="68"/>
      <c r="C239" s="67"/>
      <c r="D239" s="176"/>
      <c r="E239" s="172"/>
      <c r="F239" s="71"/>
      <c r="G239" s="72"/>
      <c r="H239" s="72"/>
      <c r="I239" s="181"/>
      <c r="J239" s="184"/>
      <c r="K239" s="1"/>
      <c r="L239" s="1"/>
      <c r="M239" s="9"/>
      <c r="N239" s="5"/>
      <c r="O239" s="16"/>
      <c r="P239" s="1"/>
    </row>
    <row r="240" spans="1:16">
      <c r="A240" s="6"/>
      <c r="B240" s="68"/>
      <c r="C240" s="67"/>
      <c r="D240" s="176"/>
      <c r="E240" s="172"/>
      <c r="F240" s="71"/>
      <c r="G240" s="72"/>
      <c r="H240" s="72"/>
      <c r="I240" s="181"/>
      <c r="J240" s="184"/>
      <c r="K240" s="1"/>
      <c r="L240" s="1"/>
      <c r="M240" s="9"/>
      <c r="N240" s="181"/>
      <c r="O240" s="16"/>
      <c r="P240" s="1"/>
    </row>
    <row r="241" spans="1:16">
      <c r="A241" s="6"/>
      <c r="B241" s="68"/>
      <c r="C241" s="67"/>
      <c r="D241" s="176"/>
      <c r="E241" s="172"/>
      <c r="F241" s="71"/>
      <c r="G241" s="72"/>
      <c r="H241" s="72"/>
      <c r="I241" s="181"/>
      <c r="J241" s="184"/>
      <c r="K241" s="1"/>
      <c r="L241" s="1"/>
      <c r="M241" s="9"/>
      <c r="N241" s="181"/>
      <c r="O241" s="16"/>
      <c r="P241" s="1"/>
    </row>
    <row r="242" spans="1:16">
      <c r="A242" s="6"/>
      <c r="B242" s="174"/>
      <c r="C242" s="67"/>
      <c r="D242" s="176"/>
      <c r="E242" s="172"/>
      <c r="F242" s="71"/>
      <c r="G242" s="72"/>
      <c r="H242" s="72"/>
      <c r="I242" s="181"/>
      <c r="J242" s="184"/>
      <c r="K242" s="1"/>
      <c r="L242" s="1"/>
      <c r="M242" s="9"/>
      <c r="N242" s="181"/>
      <c r="O242" s="16"/>
      <c r="P242" s="1"/>
    </row>
    <row r="243" spans="1:16">
      <c r="A243" s="6"/>
      <c r="B243" s="174"/>
      <c r="C243" s="67"/>
      <c r="D243" s="176"/>
      <c r="E243" s="172"/>
      <c r="F243" s="71"/>
      <c r="G243" s="72"/>
      <c r="H243" s="72"/>
      <c r="I243" s="181"/>
      <c r="J243" s="184"/>
      <c r="K243" s="1"/>
      <c r="L243" s="1"/>
      <c r="M243" s="9"/>
      <c r="N243" s="181"/>
      <c r="O243" s="16"/>
      <c r="P243" s="1"/>
    </row>
    <row r="244" spans="1:16">
      <c r="A244" s="6"/>
      <c r="B244" s="68"/>
      <c r="C244" s="148"/>
      <c r="D244" s="176"/>
      <c r="E244" s="172"/>
      <c r="F244" s="71"/>
      <c r="G244" s="72"/>
      <c r="H244" s="72"/>
      <c r="I244" s="181"/>
      <c r="J244" s="184"/>
      <c r="K244" s="1"/>
      <c r="L244" s="1"/>
      <c r="M244" s="9"/>
      <c r="N244" s="181"/>
      <c r="O244" s="16"/>
      <c r="P244" s="1"/>
    </row>
    <row r="245" spans="1:16">
      <c r="A245" s="6"/>
      <c r="B245" s="174"/>
      <c r="C245" s="67"/>
      <c r="D245" s="176"/>
      <c r="E245" s="172"/>
      <c r="F245" s="71"/>
      <c r="G245" s="72"/>
      <c r="H245" s="72"/>
      <c r="I245" s="181"/>
      <c r="J245" s="184"/>
      <c r="K245" s="1"/>
      <c r="L245" s="1"/>
      <c r="M245" s="9"/>
      <c r="N245" s="181"/>
      <c r="O245" s="16"/>
      <c r="P245" s="1"/>
    </row>
    <row r="246" spans="1:16">
      <c r="A246" s="6"/>
      <c r="B246" s="68"/>
      <c r="C246" s="67"/>
      <c r="D246" s="176"/>
      <c r="E246" s="172"/>
      <c r="F246" s="71"/>
      <c r="G246" s="72"/>
      <c r="H246" s="72"/>
      <c r="I246" s="181"/>
      <c r="J246" s="184"/>
      <c r="K246" s="1"/>
      <c r="L246" s="1"/>
      <c r="M246" s="9"/>
      <c r="N246" s="181"/>
      <c r="O246" s="16"/>
      <c r="P246" s="1"/>
    </row>
    <row r="247" spans="1:16">
      <c r="A247" s="6"/>
      <c r="B247" s="174"/>
      <c r="C247" s="67"/>
      <c r="D247" s="176"/>
      <c r="E247" s="172"/>
      <c r="F247" s="71"/>
      <c r="G247" s="72"/>
      <c r="H247" s="72"/>
      <c r="I247" s="181"/>
      <c r="J247" s="184"/>
      <c r="K247" s="1"/>
      <c r="L247" s="1"/>
      <c r="M247" s="9"/>
      <c r="N247" s="5"/>
      <c r="O247" s="16"/>
      <c r="P247" s="1"/>
    </row>
    <row r="248" spans="1:16">
      <c r="A248" s="6"/>
      <c r="B248" s="174"/>
      <c r="C248" s="67"/>
      <c r="D248" s="176"/>
      <c r="E248" s="172"/>
      <c r="F248" s="71"/>
      <c r="G248" s="72"/>
      <c r="H248" s="72"/>
      <c r="I248" s="181"/>
      <c r="J248" s="184"/>
      <c r="K248" s="1"/>
      <c r="L248" s="1"/>
      <c r="M248" s="9"/>
      <c r="N248" s="5"/>
      <c r="O248" s="16"/>
      <c r="P248" s="1"/>
    </row>
    <row r="249" spans="1:16">
      <c r="A249" s="6"/>
      <c r="B249" s="68"/>
      <c r="C249" s="67"/>
      <c r="D249" s="176"/>
      <c r="E249" s="172"/>
      <c r="F249" s="71"/>
      <c r="G249" s="72"/>
      <c r="H249" s="72"/>
      <c r="I249" s="181"/>
      <c r="J249" s="184"/>
      <c r="K249" s="1"/>
      <c r="L249" s="1"/>
      <c r="M249" s="9"/>
      <c r="N249" s="181"/>
      <c r="O249" s="16"/>
      <c r="P249" s="1"/>
    </row>
    <row r="250" spans="1:16">
      <c r="A250" s="6"/>
      <c r="B250" s="174"/>
      <c r="C250" s="67"/>
      <c r="D250" s="176"/>
      <c r="E250" s="172"/>
      <c r="F250" s="71"/>
      <c r="G250" s="72"/>
      <c r="H250" s="72"/>
      <c r="I250" s="181"/>
      <c r="J250" s="184"/>
      <c r="K250" s="1"/>
      <c r="L250" s="1"/>
      <c r="M250" s="9"/>
      <c r="N250" s="5"/>
      <c r="O250" s="16"/>
      <c r="P250" s="1"/>
    </row>
    <row r="251" spans="1:16">
      <c r="A251" s="6"/>
      <c r="B251" s="174"/>
      <c r="C251" s="67"/>
      <c r="D251" s="176"/>
      <c r="E251" s="172"/>
      <c r="F251" s="71"/>
      <c r="G251" s="72"/>
      <c r="H251" s="72"/>
      <c r="I251" s="181"/>
      <c r="J251" s="184"/>
      <c r="K251" s="1"/>
      <c r="L251" s="1"/>
      <c r="M251" s="9"/>
      <c r="N251" s="181"/>
      <c r="O251" s="16"/>
      <c r="P251" s="1"/>
    </row>
    <row r="252" spans="1:16">
      <c r="A252" s="6"/>
      <c r="B252" s="174"/>
      <c r="C252" s="67"/>
      <c r="D252" s="176"/>
      <c r="E252" s="172"/>
      <c r="F252" s="71"/>
      <c r="G252" s="72"/>
      <c r="H252" s="72"/>
      <c r="I252" s="181"/>
      <c r="J252" s="184"/>
      <c r="K252" s="1"/>
      <c r="L252" s="1"/>
      <c r="M252" s="9"/>
      <c r="N252" s="181"/>
      <c r="O252" s="16"/>
      <c r="P252" s="1"/>
    </row>
    <row r="253" spans="1:16">
      <c r="A253" s="6"/>
      <c r="B253" s="174"/>
      <c r="C253" s="67"/>
      <c r="D253" s="176"/>
      <c r="E253" s="172"/>
      <c r="F253" s="71"/>
      <c r="G253" s="72"/>
      <c r="H253" s="72"/>
      <c r="I253" s="181"/>
      <c r="J253" s="184"/>
      <c r="K253" s="1"/>
      <c r="L253" s="1"/>
      <c r="M253" s="9"/>
      <c r="N253" s="181"/>
      <c r="O253" s="16"/>
      <c r="P253" s="1"/>
    </row>
    <row r="254" spans="1:16">
      <c r="A254" s="6"/>
      <c r="B254" s="174"/>
      <c r="C254" s="67"/>
      <c r="D254" s="176"/>
      <c r="E254" s="172"/>
      <c r="F254" s="71"/>
      <c r="G254" s="72"/>
      <c r="H254" s="72"/>
      <c r="I254" s="181"/>
      <c r="J254" s="184"/>
      <c r="K254" s="1"/>
      <c r="L254" s="1"/>
      <c r="M254" s="9"/>
      <c r="N254" s="181"/>
      <c r="O254" s="16"/>
      <c r="P254" s="1"/>
    </row>
    <row r="255" spans="1:16">
      <c r="A255" s="6"/>
      <c r="B255" s="174"/>
      <c r="C255" s="67"/>
      <c r="D255" s="176"/>
      <c r="E255" s="172"/>
      <c r="F255" s="71"/>
      <c r="G255" s="72"/>
      <c r="H255" s="72"/>
      <c r="I255" s="181"/>
      <c r="J255" s="184"/>
      <c r="K255" s="1"/>
      <c r="L255" s="1"/>
      <c r="M255" s="9"/>
      <c r="N255" s="181"/>
      <c r="O255" s="16"/>
      <c r="P255" s="1"/>
    </row>
    <row r="256" spans="1:16">
      <c r="A256" s="6"/>
      <c r="B256" s="174"/>
      <c r="C256" s="67"/>
      <c r="D256" s="67"/>
      <c r="E256" s="172"/>
      <c r="F256" s="71"/>
      <c r="G256" s="72"/>
      <c r="H256" s="72"/>
      <c r="I256" s="181"/>
      <c r="J256" s="184"/>
      <c r="K256" s="1"/>
      <c r="L256" s="1"/>
      <c r="M256" s="9"/>
      <c r="N256" s="181"/>
      <c r="O256" s="16"/>
      <c r="P256" s="1"/>
    </row>
    <row r="257" spans="1:16">
      <c r="A257" s="6"/>
      <c r="B257" s="174"/>
      <c r="C257" s="67"/>
      <c r="D257" s="176"/>
      <c r="E257" s="172"/>
      <c r="F257" s="71"/>
      <c r="G257" s="72"/>
      <c r="H257" s="72"/>
      <c r="I257" s="181"/>
      <c r="J257" s="184"/>
      <c r="K257" s="1"/>
      <c r="L257" s="1"/>
      <c r="M257" s="9"/>
      <c r="N257" s="181"/>
      <c r="O257" s="16"/>
      <c r="P257" s="1"/>
    </row>
    <row r="258" spans="1:16">
      <c r="A258" s="6"/>
      <c r="B258" s="68"/>
      <c r="C258" s="67"/>
      <c r="D258" s="176"/>
      <c r="E258" s="172"/>
      <c r="F258" s="71"/>
      <c r="G258" s="72"/>
      <c r="H258" s="72"/>
      <c r="I258" s="181"/>
      <c r="J258" s="184"/>
      <c r="K258" s="1"/>
      <c r="L258" s="1"/>
      <c r="M258" s="9"/>
      <c r="N258" s="181"/>
      <c r="O258" s="16"/>
      <c r="P258" s="1"/>
    </row>
    <row r="259" spans="1:16">
      <c r="A259" s="6"/>
      <c r="B259" s="185"/>
      <c r="C259" s="67"/>
      <c r="D259" s="176"/>
      <c r="E259" s="172"/>
      <c r="F259" s="71"/>
      <c r="G259" s="72"/>
      <c r="H259" s="72"/>
      <c r="I259" s="181"/>
      <c r="J259" s="184"/>
      <c r="K259" s="1"/>
      <c r="L259" s="1"/>
      <c r="M259" s="9"/>
      <c r="N259" s="181"/>
      <c r="O259" s="16"/>
      <c r="P259" s="1"/>
    </row>
    <row r="260" spans="1:16">
      <c r="A260" s="6"/>
      <c r="B260" s="174"/>
      <c r="C260" s="67"/>
      <c r="D260" s="176"/>
      <c r="E260" s="172"/>
      <c r="F260" s="71"/>
      <c r="G260" s="72"/>
      <c r="H260" s="72"/>
      <c r="I260" s="181"/>
      <c r="J260" s="184"/>
      <c r="K260" s="1"/>
      <c r="L260" s="1"/>
      <c r="M260" s="9"/>
      <c r="N260" s="181"/>
      <c r="O260" s="16"/>
      <c r="P260" s="1"/>
    </row>
    <row r="261" spans="1:16">
      <c r="A261" s="6"/>
      <c r="B261" s="68"/>
      <c r="C261" s="67"/>
      <c r="D261" s="176"/>
      <c r="E261" s="172"/>
      <c r="F261" s="71"/>
      <c r="G261" s="72"/>
      <c r="H261" s="72"/>
      <c r="I261" s="181"/>
      <c r="J261" s="184"/>
      <c r="K261" s="1"/>
      <c r="L261" s="1"/>
      <c r="M261" s="9"/>
      <c r="N261" s="181"/>
      <c r="O261" s="16"/>
      <c r="P261" s="1"/>
    </row>
    <row r="262" spans="1:16">
      <c r="A262" s="6"/>
      <c r="B262" s="174"/>
      <c r="C262" s="67"/>
      <c r="D262" s="176"/>
      <c r="E262" s="172"/>
      <c r="F262" s="71"/>
      <c r="G262" s="72"/>
      <c r="H262" s="72"/>
      <c r="I262" s="181"/>
      <c r="J262" s="184"/>
      <c r="K262" s="1"/>
      <c r="L262" s="1"/>
      <c r="M262" s="9"/>
      <c r="N262" s="181"/>
      <c r="O262" s="16"/>
      <c r="P262" s="1"/>
    </row>
    <row r="263" spans="1:16">
      <c r="A263" s="6"/>
      <c r="B263" s="68"/>
      <c r="C263" s="67"/>
      <c r="D263" s="176"/>
      <c r="E263" s="172"/>
      <c r="F263" s="71"/>
      <c r="G263" s="72"/>
      <c r="H263" s="72"/>
      <c r="I263" s="181"/>
      <c r="J263" s="184"/>
      <c r="K263" s="1"/>
      <c r="L263" s="1"/>
      <c r="M263" s="9"/>
      <c r="N263" s="181"/>
      <c r="O263" s="16"/>
      <c r="P263" s="1"/>
    </row>
    <row r="264" spans="1:16">
      <c r="A264" s="6"/>
      <c r="B264" s="68"/>
      <c r="C264" s="148"/>
      <c r="D264" s="176"/>
      <c r="E264" s="172"/>
      <c r="F264" s="71"/>
      <c r="G264" s="72"/>
      <c r="H264" s="72"/>
      <c r="I264" s="181"/>
      <c r="J264" s="184"/>
      <c r="K264" s="1"/>
      <c r="L264" s="1"/>
      <c r="M264" s="9"/>
      <c r="N264" s="181"/>
      <c r="O264" s="16"/>
      <c r="P264" s="1"/>
    </row>
    <row r="265" spans="1:16">
      <c r="A265" s="6"/>
      <c r="B265" s="174"/>
      <c r="C265" s="67"/>
      <c r="D265" s="176"/>
      <c r="E265" s="172"/>
      <c r="F265" s="71"/>
      <c r="G265" s="72"/>
      <c r="H265" s="72"/>
      <c r="I265" s="181"/>
      <c r="J265" s="184"/>
      <c r="K265" s="1"/>
      <c r="L265" s="1"/>
      <c r="M265" s="9"/>
      <c r="N265" s="5"/>
      <c r="O265" s="16"/>
      <c r="P265" s="1"/>
    </row>
    <row r="266" spans="1:16">
      <c r="A266" s="6"/>
      <c r="B266" s="174"/>
      <c r="C266" s="67"/>
      <c r="D266" s="176"/>
      <c r="E266" s="172"/>
      <c r="F266" s="71"/>
      <c r="G266" s="72"/>
      <c r="H266" s="72"/>
      <c r="I266" s="181"/>
      <c r="J266" s="184"/>
      <c r="K266" s="1"/>
      <c r="L266" s="1"/>
      <c r="M266" s="9"/>
      <c r="N266" s="181"/>
      <c r="O266" s="16"/>
      <c r="P266" s="1"/>
    </row>
    <row r="267" spans="1:16">
      <c r="A267" s="6"/>
      <c r="B267" s="68"/>
      <c r="C267" s="67"/>
      <c r="D267" s="176"/>
      <c r="E267" s="157"/>
      <c r="F267" s="71"/>
      <c r="G267" s="72"/>
      <c r="H267" s="72"/>
      <c r="I267" s="181"/>
      <c r="J267" s="184"/>
      <c r="K267" s="1"/>
      <c r="L267" s="1"/>
      <c r="M267" s="9"/>
      <c r="N267" s="181"/>
      <c r="O267" s="16"/>
      <c r="P267" s="1"/>
    </row>
    <row r="268" spans="1:16">
      <c r="A268" s="6"/>
      <c r="B268" s="174"/>
      <c r="C268" s="67"/>
      <c r="D268" s="176"/>
      <c r="E268" s="172"/>
      <c r="F268" s="71"/>
      <c r="G268" s="72"/>
      <c r="H268" s="72"/>
      <c r="I268" s="181"/>
      <c r="J268" s="184"/>
      <c r="K268" s="1"/>
      <c r="L268" s="1"/>
      <c r="M268" s="9"/>
      <c r="N268" s="181"/>
      <c r="O268" s="16"/>
      <c r="P268" s="1"/>
    </row>
    <row r="269" spans="1:16">
      <c r="A269" s="6"/>
      <c r="B269" s="174"/>
      <c r="C269" s="67"/>
      <c r="D269" s="176"/>
      <c r="E269" s="172"/>
      <c r="F269" s="71"/>
      <c r="G269" s="72"/>
      <c r="H269" s="72"/>
      <c r="I269" s="181"/>
      <c r="J269" s="184"/>
      <c r="K269" s="1"/>
      <c r="L269" s="1"/>
      <c r="M269" s="9"/>
      <c r="N269" s="181"/>
      <c r="O269" s="16"/>
      <c r="P269" s="1"/>
    </row>
    <row r="270" spans="1:16">
      <c r="A270" s="6"/>
      <c r="B270" s="68"/>
      <c r="C270" s="67"/>
      <c r="D270" s="176"/>
      <c r="E270" s="172"/>
      <c r="F270" s="71"/>
      <c r="G270" s="72"/>
      <c r="H270" s="72"/>
      <c r="I270" s="181"/>
      <c r="J270" s="184"/>
      <c r="K270" s="1"/>
      <c r="L270" s="1"/>
      <c r="M270" s="9"/>
      <c r="N270" s="181"/>
      <c r="O270" s="16"/>
      <c r="P270" s="1"/>
    </row>
    <row r="271" spans="1:16">
      <c r="A271" s="6"/>
      <c r="B271" s="174"/>
      <c r="C271" s="67"/>
      <c r="D271" s="176"/>
      <c r="E271" s="172"/>
      <c r="F271" s="71"/>
      <c r="G271" s="72"/>
      <c r="H271" s="72"/>
      <c r="I271" s="181"/>
      <c r="J271" s="184"/>
      <c r="K271" s="1"/>
      <c r="L271" s="1"/>
      <c r="M271" s="9"/>
      <c r="N271" s="181"/>
      <c r="O271" s="16"/>
      <c r="P271" s="1"/>
    </row>
    <row r="272" spans="1:16">
      <c r="A272" s="6"/>
      <c r="B272" s="68"/>
      <c r="C272" s="67"/>
      <c r="D272" s="176"/>
      <c r="E272" s="172"/>
      <c r="F272" s="71"/>
      <c r="G272" s="72"/>
      <c r="H272" s="72"/>
      <c r="I272" s="181"/>
      <c r="J272" s="184"/>
      <c r="K272" s="1"/>
      <c r="L272" s="1"/>
      <c r="M272" s="9"/>
      <c r="N272" s="181"/>
      <c r="O272" s="181"/>
      <c r="P272" s="1"/>
    </row>
    <row r="273" spans="1:16">
      <c r="A273" s="6"/>
      <c r="B273" s="174"/>
      <c r="C273" s="67"/>
      <c r="D273" s="176"/>
      <c r="E273" s="172"/>
      <c r="F273" s="71"/>
      <c r="G273" s="72"/>
      <c r="H273" s="72"/>
      <c r="I273" s="181"/>
      <c r="J273" s="184"/>
      <c r="K273" s="1"/>
      <c r="L273" s="1"/>
      <c r="M273" s="9"/>
      <c r="N273" s="181"/>
      <c r="O273" s="16"/>
      <c r="P273" s="1"/>
    </row>
    <row r="274" spans="1:16">
      <c r="A274" s="6"/>
      <c r="B274" s="174"/>
      <c r="C274" s="67"/>
      <c r="D274" s="176"/>
      <c r="E274" s="172"/>
      <c r="F274" s="71"/>
      <c r="G274" s="72"/>
      <c r="H274" s="72"/>
      <c r="I274" s="181"/>
      <c r="J274" s="184"/>
      <c r="K274" s="1"/>
      <c r="L274" s="1"/>
      <c r="M274" s="9"/>
      <c r="N274" s="181"/>
      <c r="O274" s="16"/>
      <c r="P274" s="1"/>
    </row>
    <row r="275" spans="1:16">
      <c r="A275" s="6"/>
      <c r="B275" s="174"/>
      <c r="C275" s="67"/>
      <c r="D275" s="176"/>
      <c r="E275" s="172"/>
      <c r="F275" s="71"/>
      <c r="G275" s="72"/>
      <c r="H275" s="72"/>
      <c r="I275" s="181"/>
      <c r="J275" s="184"/>
      <c r="K275" s="1"/>
      <c r="L275" s="1"/>
      <c r="M275" s="9"/>
      <c r="N275" s="181"/>
      <c r="O275" s="16"/>
      <c r="P275" s="1"/>
    </row>
    <row r="276" spans="1:16">
      <c r="A276" s="6"/>
      <c r="B276" s="174"/>
      <c r="C276" s="67"/>
      <c r="D276" s="176"/>
      <c r="E276" s="172"/>
      <c r="F276" s="71"/>
      <c r="G276" s="72"/>
      <c r="H276" s="72"/>
      <c r="I276" s="181"/>
      <c r="J276" s="184"/>
      <c r="K276" s="1"/>
      <c r="L276" s="1"/>
      <c r="M276" s="9"/>
      <c r="N276" s="181"/>
      <c r="O276" s="16"/>
      <c r="P276" s="1"/>
    </row>
    <row r="277" spans="1:16">
      <c r="A277" s="6"/>
      <c r="B277" s="68"/>
      <c r="C277" s="67"/>
      <c r="D277" s="176"/>
      <c r="E277" s="172"/>
      <c r="F277" s="71"/>
      <c r="G277" s="72"/>
      <c r="H277" s="72"/>
      <c r="I277" s="181"/>
      <c r="J277" s="184"/>
      <c r="K277" s="1"/>
      <c r="L277" s="1"/>
      <c r="M277" s="9"/>
      <c r="N277" s="181"/>
      <c r="O277" s="16"/>
      <c r="P277" s="1"/>
    </row>
    <row r="278" spans="1:16">
      <c r="A278" s="6"/>
      <c r="B278" s="174"/>
      <c r="C278" s="67"/>
      <c r="D278" s="176"/>
      <c r="E278" s="172"/>
      <c r="F278" s="71"/>
      <c r="G278" s="72"/>
      <c r="H278" s="72"/>
      <c r="I278" s="181"/>
      <c r="J278" s="184"/>
      <c r="K278" s="1"/>
      <c r="L278" s="1"/>
      <c r="M278" s="9"/>
      <c r="N278" s="181"/>
      <c r="O278" s="16"/>
      <c r="P278" s="1"/>
    </row>
    <row r="279" spans="1:16">
      <c r="A279" s="6"/>
      <c r="B279" s="174"/>
      <c r="C279" s="67"/>
      <c r="D279" s="176"/>
      <c r="E279" s="172"/>
      <c r="F279" s="71"/>
      <c r="G279" s="72"/>
      <c r="H279" s="72"/>
      <c r="I279" s="181"/>
      <c r="J279" s="184"/>
      <c r="K279" s="1"/>
      <c r="L279" s="1"/>
      <c r="M279" s="9"/>
      <c r="N279" s="181"/>
      <c r="O279" s="16"/>
      <c r="P279" s="1"/>
    </row>
    <row r="280" spans="1:16">
      <c r="A280" s="6"/>
      <c r="B280" s="174"/>
      <c r="C280" s="67"/>
      <c r="D280" s="176"/>
      <c r="E280" s="172"/>
      <c r="F280" s="71"/>
      <c r="G280" s="72"/>
      <c r="H280" s="72"/>
      <c r="I280" s="181"/>
      <c r="J280" s="184"/>
      <c r="K280" s="1"/>
      <c r="L280" s="1"/>
      <c r="M280" s="9"/>
      <c r="N280" s="181"/>
      <c r="O280" s="16"/>
      <c r="P280" s="1"/>
    </row>
    <row r="281" spans="1:16">
      <c r="A281" s="6"/>
      <c r="B281" s="174"/>
      <c r="C281" s="67"/>
      <c r="D281" s="176"/>
      <c r="E281" s="172"/>
      <c r="F281" s="71"/>
      <c r="G281" s="72"/>
      <c r="H281" s="72"/>
      <c r="I281" s="181"/>
      <c r="J281" s="184"/>
      <c r="K281" s="1"/>
      <c r="L281" s="1"/>
      <c r="M281" s="9"/>
      <c r="N281" s="181"/>
      <c r="O281" s="16"/>
      <c r="P281" s="1"/>
    </row>
    <row r="282" spans="1:16">
      <c r="A282" s="6"/>
      <c r="B282" s="174"/>
      <c r="C282" s="67"/>
      <c r="D282" s="176"/>
      <c r="E282" s="172"/>
      <c r="F282" s="71"/>
      <c r="G282" s="72"/>
      <c r="H282" s="72"/>
      <c r="I282" s="181"/>
      <c r="J282" s="184"/>
      <c r="K282" s="1"/>
      <c r="L282" s="1"/>
      <c r="M282" s="9"/>
      <c r="N282" s="181"/>
      <c r="O282" s="16"/>
      <c r="P282" s="1"/>
    </row>
    <row r="283" spans="1:16">
      <c r="A283" s="6"/>
      <c r="B283" s="174"/>
      <c r="C283" s="67"/>
      <c r="D283" s="176"/>
      <c r="E283" s="172"/>
      <c r="F283" s="71"/>
      <c r="G283" s="72"/>
      <c r="H283" s="72"/>
      <c r="I283" s="181"/>
      <c r="J283" s="184"/>
      <c r="K283" s="1"/>
      <c r="L283" s="1"/>
      <c r="M283" s="9"/>
      <c r="N283" s="181"/>
      <c r="O283" s="16"/>
      <c r="P283" s="1"/>
    </row>
    <row r="284" spans="1:16">
      <c r="A284" s="6"/>
      <c r="B284" s="174"/>
      <c r="C284" s="67"/>
      <c r="D284" s="176"/>
      <c r="E284" s="157"/>
      <c r="F284" s="71"/>
      <c r="G284" s="72"/>
      <c r="H284" s="72"/>
      <c r="I284" s="181"/>
      <c r="J284" s="184"/>
      <c r="K284" s="1"/>
      <c r="L284" s="1"/>
      <c r="M284" s="9"/>
      <c r="N284" s="181"/>
      <c r="O284" s="16"/>
      <c r="P284" s="1"/>
    </row>
    <row r="285" spans="1:16">
      <c r="A285" s="6"/>
      <c r="B285" s="174"/>
      <c r="C285" s="67"/>
      <c r="D285" s="176"/>
      <c r="E285" s="172"/>
      <c r="F285" s="71"/>
      <c r="G285" s="72"/>
      <c r="H285" s="72"/>
      <c r="I285" s="181"/>
      <c r="J285" s="184"/>
      <c r="K285" s="1"/>
      <c r="L285" s="1"/>
      <c r="M285" s="9"/>
      <c r="N285" s="181"/>
      <c r="O285" s="16"/>
      <c r="P285" s="1"/>
    </row>
    <row r="286" spans="1:16">
      <c r="A286" s="6"/>
      <c r="B286" s="68"/>
      <c r="C286" s="176"/>
      <c r="D286" s="176"/>
      <c r="E286" s="172"/>
      <c r="F286" s="71"/>
      <c r="G286" s="72"/>
      <c r="H286" s="72"/>
      <c r="I286" s="181"/>
      <c r="J286" s="184"/>
      <c r="K286" s="1"/>
      <c r="L286" s="1"/>
      <c r="M286" s="9"/>
      <c r="N286" s="181"/>
      <c r="O286" s="16"/>
      <c r="P286" s="1"/>
    </row>
    <row r="287" spans="1:16">
      <c r="A287" s="6"/>
      <c r="B287" s="174"/>
      <c r="C287" s="67"/>
      <c r="D287" s="176"/>
      <c r="E287" s="172"/>
      <c r="F287" s="71"/>
      <c r="G287" s="72"/>
      <c r="H287" s="72"/>
      <c r="I287" s="181"/>
      <c r="J287" s="184"/>
      <c r="K287" s="1"/>
      <c r="L287" s="1"/>
      <c r="M287" s="9"/>
      <c r="N287" s="181"/>
      <c r="O287" s="16"/>
      <c r="P287" s="1"/>
    </row>
    <row r="288" spans="1:16">
      <c r="A288" s="6"/>
      <c r="B288" s="174"/>
      <c r="C288" s="67"/>
      <c r="D288" s="176"/>
      <c r="E288" s="172"/>
      <c r="F288" s="71"/>
      <c r="G288" s="72"/>
      <c r="H288" s="72"/>
      <c r="I288" s="181"/>
      <c r="J288" s="184"/>
      <c r="K288" s="1"/>
      <c r="L288" s="1"/>
      <c r="M288" s="9"/>
      <c r="N288" s="181"/>
      <c r="O288" s="16"/>
      <c r="P288" s="1"/>
    </row>
    <row r="289" spans="1:16">
      <c r="A289" s="6"/>
      <c r="B289" s="68"/>
      <c r="C289" s="67"/>
      <c r="D289" s="176"/>
      <c r="E289" s="172"/>
      <c r="F289" s="71"/>
      <c r="G289" s="72"/>
      <c r="H289" s="72"/>
      <c r="I289" s="181"/>
      <c r="J289" s="184"/>
      <c r="K289" s="1"/>
      <c r="L289" s="1"/>
      <c r="M289" s="9"/>
      <c r="N289" s="181"/>
      <c r="O289" s="16"/>
      <c r="P289" s="9"/>
    </row>
    <row r="290" spans="1:16">
      <c r="A290" s="6"/>
      <c r="B290" s="7"/>
      <c r="C290" s="6"/>
      <c r="D290" s="176"/>
      <c r="E290" s="172"/>
      <c r="F290" s="1"/>
      <c r="G290" s="9"/>
      <c r="H290" s="9"/>
      <c r="I290" s="181"/>
      <c r="J290" s="1"/>
      <c r="K290" s="1"/>
      <c r="L290" s="1"/>
      <c r="M290" s="9"/>
      <c r="N290" s="181"/>
      <c r="O290" s="16"/>
      <c r="P290" s="1"/>
    </row>
    <row r="291" spans="1:16">
      <c r="A291" s="6"/>
      <c r="B291" s="68"/>
      <c r="C291" s="67"/>
      <c r="D291" s="67"/>
      <c r="E291" s="67"/>
      <c r="F291" s="71"/>
      <c r="G291" s="72"/>
      <c r="H291" s="72"/>
      <c r="I291" s="181"/>
      <c r="J291" s="1"/>
      <c r="K291" s="1"/>
      <c r="L291" s="1"/>
      <c r="M291" s="9"/>
      <c r="N291" s="181"/>
      <c r="O291" s="16"/>
      <c r="P291" s="1"/>
    </row>
    <row r="292" spans="1:16">
      <c r="A292" s="6"/>
      <c r="B292" s="68"/>
      <c r="C292" s="67"/>
      <c r="D292" s="67"/>
      <c r="E292" s="67"/>
      <c r="F292" s="71"/>
      <c r="G292" s="72"/>
      <c r="H292" s="72"/>
      <c r="I292" s="181"/>
      <c r="J292" s="1"/>
      <c r="K292" s="1"/>
      <c r="L292" s="1"/>
      <c r="M292" s="9"/>
      <c r="N292" s="14"/>
      <c r="O292" s="16"/>
      <c r="P292" s="1"/>
    </row>
    <row r="293" spans="1:16">
      <c r="A293" s="6"/>
      <c r="B293" s="68"/>
      <c r="C293" s="67"/>
      <c r="D293" s="67"/>
      <c r="E293" s="67"/>
      <c r="F293" s="71"/>
      <c r="G293" s="72"/>
      <c r="H293" s="72"/>
      <c r="I293" s="181"/>
      <c r="J293" s="1"/>
      <c r="K293" s="1"/>
      <c r="L293" s="1"/>
      <c r="M293" s="9"/>
      <c r="N293" s="14"/>
      <c r="O293" s="16"/>
      <c r="P293" s="1"/>
    </row>
    <row r="294" spans="1:16">
      <c r="A294" s="6"/>
      <c r="B294" s="68"/>
      <c r="C294" s="67"/>
      <c r="D294" s="67"/>
      <c r="E294" s="67"/>
      <c r="F294" s="71"/>
      <c r="G294" s="72"/>
      <c r="H294" s="72"/>
      <c r="I294" s="181"/>
      <c r="J294" s="1"/>
      <c r="K294" s="1"/>
      <c r="L294" s="1"/>
      <c r="M294" s="9"/>
      <c r="N294" s="14"/>
      <c r="O294" s="16"/>
      <c r="P294" s="1"/>
    </row>
    <row r="295" spans="1:16">
      <c r="A295" s="6"/>
      <c r="B295" s="68"/>
      <c r="C295" s="67"/>
      <c r="D295" s="67"/>
      <c r="E295" s="67"/>
      <c r="F295" s="71"/>
      <c r="G295" s="72"/>
      <c r="H295" s="72"/>
      <c r="I295" s="181"/>
      <c r="J295" s="1"/>
      <c r="K295" s="1"/>
      <c r="L295" s="1"/>
      <c r="M295" s="9"/>
      <c r="N295" s="14"/>
      <c r="O295" s="16"/>
      <c r="P295" s="1"/>
    </row>
    <row r="296" spans="1:16">
      <c r="A296" s="6"/>
      <c r="B296" s="68"/>
      <c r="C296" s="67"/>
      <c r="D296" s="67"/>
      <c r="E296" s="67"/>
      <c r="F296" s="71"/>
      <c r="G296" s="72"/>
      <c r="H296" s="72"/>
      <c r="I296" s="181"/>
      <c r="J296" s="1"/>
      <c r="K296" s="1"/>
      <c r="L296" s="1"/>
      <c r="M296" s="9"/>
      <c r="N296" s="14"/>
      <c r="O296" s="16"/>
      <c r="P296" s="1"/>
    </row>
    <row r="297" spans="1:16">
      <c r="A297" s="6"/>
      <c r="B297" s="68"/>
      <c r="C297" s="67"/>
      <c r="D297" s="67"/>
      <c r="E297" s="67"/>
      <c r="F297" s="71"/>
      <c r="G297" s="72"/>
      <c r="H297" s="72"/>
      <c r="I297" s="181"/>
      <c r="J297" s="1"/>
      <c r="K297" s="1"/>
      <c r="L297" s="1"/>
      <c r="M297" s="9"/>
      <c r="N297" s="14"/>
      <c r="O297" s="16"/>
      <c r="P297" s="1"/>
    </row>
    <row r="298" spans="1:16">
      <c r="A298" s="6"/>
      <c r="B298" s="68"/>
      <c r="C298" s="67"/>
      <c r="D298" s="67"/>
      <c r="E298" s="67"/>
      <c r="F298" s="71"/>
      <c r="G298" s="72"/>
      <c r="H298" s="72"/>
      <c r="I298" s="181"/>
      <c r="J298" s="1"/>
      <c r="K298" s="1"/>
      <c r="L298" s="1"/>
      <c r="M298" s="9"/>
      <c r="N298" s="14"/>
      <c r="O298" s="16"/>
      <c r="P298" s="1"/>
    </row>
    <row r="299" spans="1:16">
      <c r="A299" s="6"/>
      <c r="B299" s="68"/>
      <c r="C299" s="67"/>
      <c r="D299" s="67"/>
      <c r="E299" s="67"/>
      <c r="F299" s="71"/>
      <c r="G299" s="72"/>
      <c r="H299" s="72"/>
      <c r="I299" s="181"/>
      <c r="J299" s="1"/>
      <c r="K299" s="1"/>
      <c r="L299" s="1"/>
      <c r="M299" s="9"/>
      <c r="N299" s="14"/>
      <c r="O299" s="16"/>
      <c r="P299" s="1"/>
    </row>
    <row r="300" spans="1:16">
      <c r="A300" s="6"/>
      <c r="B300" s="68"/>
      <c r="C300" s="67"/>
      <c r="D300" s="67"/>
      <c r="E300" s="67"/>
      <c r="F300" s="71"/>
      <c r="G300" s="72"/>
      <c r="H300" s="72"/>
      <c r="I300" s="181"/>
      <c r="J300" s="1"/>
      <c r="K300" s="1"/>
      <c r="L300" s="1"/>
      <c r="M300" s="9"/>
      <c r="N300" s="14"/>
      <c r="O300" s="16"/>
      <c r="P300" s="1"/>
    </row>
    <row r="301" spans="1:16">
      <c r="A301" s="6"/>
      <c r="B301" s="68"/>
      <c r="C301" s="67"/>
      <c r="D301" s="67"/>
      <c r="E301" s="67"/>
      <c r="F301" s="71"/>
      <c r="G301" s="72"/>
      <c r="H301" s="72"/>
      <c r="I301" s="181"/>
      <c r="J301" s="1"/>
      <c r="K301" s="1"/>
      <c r="L301" s="1"/>
      <c r="M301" s="9"/>
      <c r="N301" s="14"/>
      <c r="O301" s="16"/>
      <c r="P301" s="1"/>
    </row>
    <row r="302" spans="1:16">
      <c r="A302" s="6"/>
      <c r="B302" s="68"/>
      <c r="C302" s="67"/>
      <c r="D302" s="67"/>
      <c r="E302" s="67"/>
      <c r="F302" s="71"/>
      <c r="G302" s="72"/>
      <c r="H302" s="72"/>
      <c r="I302" s="181"/>
      <c r="J302" s="1"/>
      <c r="K302" s="1"/>
      <c r="L302" s="1"/>
      <c r="M302" s="9"/>
      <c r="N302" s="14"/>
      <c r="O302" s="16"/>
      <c r="P302" s="1"/>
    </row>
    <row r="303" spans="1:16">
      <c r="A303" s="6"/>
      <c r="B303" s="68"/>
      <c r="C303" s="67"/>
      <c r="D303" s="67"/>
      <c r="E303" s="67"/>
      <c r="F303" s="71"/>
      <c r="G303" s="72"/>
      <c r="H303" s="72"/>
      <c r="I303" s="181"/>
      <c r="J303" s="1"/>
      <c r="K303" s="1"/>
      <c r="L303" s="1"/>
      <c r="M303" s="9"/>
      <c r="N303" s="14"/>
      <c r="O303" s="16"/>
      <c r="P303" s="1"/>
    </row>
    <row r="304" spans="1:16">
      <c r="A304" s="6"/>
      <c r="B304" s="68"/>
      <c r="C304" s="67"/>
      <c r="D304" s="67"/>
      <c r="E304" s="67"/>
      <c r="F304" s="71"/>
      <c r="G304" s="72"/>
      <c r="H304" s="72"/>
      <c r="I304" s="181"/>
      <c r="J304" s="1"/>
      <c r="K304" s="1"/>
      <c r="L304" s="1"/>
      <c r="M304" s="9"/>
      <c r="N304" s="14"/>
      <c r="O304" s="16"/>
      <c r="P304" s="1"/>
    </row>
    <row r="305" spans="1:16">
      <c r="A305" s="6"/>
      <c r="B305" s="68"/>
      <c r="C305" s="67"/>
      <c r="D305" s="67"/>
      <c r="E305" s="67"/>
      <c r="F305" s="71"/>
      <c r="G305" s="72"/>
      <c r="H305" s="72"/>
      <c r="I305" s="181"/>
      <c r="J305" s="1"/>
      <c r="K305" s="1"/>
      <c r="L305" s="1"/>
      <c r="M305" s="9"/>
      <c r="N305" s="14"/>
      <c r="O305" s="16"/>
      <c r="P305" s="1"/>
    </row>
    <row r="306" spans="1:16">
      <c r="A306" s="6"/>
      <c r="B306" s="68"/>
      <c r="C306" s="67"/>
      <c r="D306" s="67"/>
      <c r="E306" s="67"/>
      <c r="F306" s="71"/>
      <c r="G306" s="72"/>
      <c r="H306" s="72"/>
      <c r="I306" s="181"/>
      <c r="J306" s="1"/>
      <c r="K306" s="1"/>
      <c r="L306" s="1"/>
      <c r="M306" s="9"/>
      <c r="N306" s="14"/>
      <c r="O306" s="16"/>
      <c r="P306" s="1"/>
    </row>
    <row r="307" spans="1:16">
      <c r="A307" s="6"/>
      <c r="B307" s="68"/>
      <c r="C307" s="67"/>
      <c r="D307" s="67"/>
      <c r="E307" s="67"/>
      <c r="F307" s="71"/>
      <c r="G307" s="72"/>
      <c r="H307" s="72"/>
      <c r="I307" s="181"/>
      <c r="J307" s="1"/>
      <c r="K307" s="1"/>
      <c r="L307" s="1"/>
      <c r="M307" s="9"/>
      <c r="N307" s="14"/>
      <c r="O307" s="16"/>
      <c r="P307" s="1"/>
    </row>
    <row r="308" spans="1:16">
      <c r="A308" s="6"/>
      <c r="B308" s="68"/>
      <c r="C308" s="67"/>
      <c r="D308" s="67"/>
      <c r="E308" s="67"/>
      <c r="F308" s="71"/>
      <c r="G308" s="72"/>
      <c r="H308" s="72"/>
      <c r="I308" s="181"/>
      <c r="J308" s="1"/>
      <c r="K308" s="1"/>
      <c r="L308" s="1"/>
      <c r="M308" s="9"/>
      <c r="N308" s="14"/>
      <c r="O308" s="16"/>
      <c r="P308" s="1"/>
    </row>
    <row r="309" spans="1:16">
      <c r="A309" s="6"/>
      <c r="B309" s="68"/>
      <c r="C309" s="67"/>
      <c r="D309" s="67"/>
      <c r="E309" s="67"/>
      <c r="F309" s="71"/>
      <c r="G309" s="72"/>
      <c r="H309" s="72"/>
      <c r="I309" s="181"/>
      <c r="J309" s="1"/>
      <c r="K309" s="1"/>
      <c r="L309" s="1"/>
      <c r="M309" s="9"/>
      <c r="N309" s="14"/>
      <c r="O309" s="16"/>
      <c r="P309" s="1"/>
    </row>
    <row r="310" spans="1:16">
      <c r="A310" s="6"/>
      <c r="B310" s="68"/>
      <c r="C310" s="67"/>
      <c r="D310" s="67"/>
      <c r="E310" s="67"/>
      <c r="F310" s="71"/>
      <c r="G310" s="72"/>
      <c r="H310" s="72"/>
      <c r="I310" s="181"/>
      <c r="J310" s="1"/>
      <c r="K310" s="1"/>
      <c r="L310" s="1"/>
      <c r="M310" s="9"/>
      <c r="N310" s="14"/>
      <c r="O310" s="16"/>
      <c r="P310" s="1"/>
    </row>
    <row r="311" spans="1:16">
      <c r="A311" s="6"/>
      <c r="B311" s="68"/>
      <c r="C311" s="67"/>
      <c r="D311" s="67"/>
      <c r="E311" s="67"/>
      <c r="F311" s="71"/>
      <c r="G311" s="72"/>
      <c r="H311" s="72"/>
      <c r="I311" s="181"/>
      <c r="J311" s="1"/>
      <c r="K311" s="1"/>
      <c r="L311" s="1"/>
      <c r="M311" s="9"/>
      <c r="N311" s="14"/>
      <c r="O311" s="16"/>
      <c r="P311" s="1"/>
    </row>
    <row r="312" spans="1:16">
      <c r="A312" s="6"/>
      <c r="B312" s="68"/>
      <c r="C312" s="67"/>
      <c r="D312" s="67"/>
      <c r="E312" s="67"/>
      <c r="F312" s="71"/>
      <c r="G312" s="72"/>
      <c r="H312" s="72"/>
      <c r="I312" s="181"/>
      <c r="J312" s="1"/>
      <c r="K312" s="1"/>
      <c r="L312" s="1"/>
      <c r="M312" s="9"/>
      <c r="N312" s="14"/>
      <c r="O312" s="16"/>
      <c r="P312" s="1"/>
    </row>
    <row r="313" spans="1:16">
      <c r="A313" s="6"/>
      <c r="B313" s="68"/>
      <c r="C313" s="67"/>
      <c r="D313" s="67"/>
      <c r="E313" s="67"/>
      <c r="F313" s="71"/>
      <c r="G313" s="72"/>
      <c r="H313" s="72"/>
      <c r="I313" s="181"/>
      <c r="J313" s="1"/>
      <c r="K313" s="1"/>
      <c r="L313" s="1"/>
      <c r="M313" s="9"/>
      <c r="N313" s="14"/>
      <c r="O313" s="16"/>
      <c r="P313" s="1"/>
    </row>
    <row r="314" spans="1:16">
      <c r="A314" s="6"/>
      <c r="B314" s="68"/>
      <c r="C314" s="67"/>
      <c r="D314" s="67"/>
      <c r="E314" s="67"/>
      <c r="F314" s="71"/>
      <c r="G314" s="72"/>
      <c r="H314" s="72"/>
      <c r="I314" s="181"/>
      <c r="J314" s="1"/>
      <c r="K314" s="1"/>
      <c r="L314" s="1"/>
      <c r="M314" s="9"/>
      <c r="N314" s="14"/>
      <c r="O314" s="16"/>
      <c r="P314" s="1"/>
    </row>
    <row r="315" spans="1:16">
      <c r="A315" s="6"/>
      <c r="B315" s="68"/>
      <c r="C315" s="67"/>
      <c r="D315" s="67"/>
      <c r="E315" s="67"/>
      <c r="F315" s="71"/>
      <c r="G315" s="72"/>
      <c r="H315" s="72"/>
      <c r="I315" s="181"/>
      <c r="J315" s="1"/>
      <c r="K315" s="1"/>
      <c r="L315" s="1"/>
      <c r="M315" s="9"/>
      <c r="N315" s="14"/>
      <c r="O315" s="16"/>
      <c r="P315" s="1"/>
    </row>
    <row r="316" spans="1:16">
      <c r="A316" s="6"/>
      <c r="B316" s="68"/>
      <c r="C316" s="67"/>
      <c r="D316" s="67"/>
      <c r="E316" s="67"/>
      <c r="F316" s="71"/>
      <c r="G316" s="72"/>
      <c r="H316" s="72"/>
      <c r="I316" s="181"/>
      <c r="J316" s="1"/>
      <c r="K316" s="1"/>
      <c r="L316" s="1"/>
      <c r="M316" s="9"/>
      <c r="N316" s="14"/>
      <c r="O316" s="16"/>
      <c r="P316" s="1"/>
    </row>
    <row r="317" spans="1:16">
      <c r="A317" s="6"/>
      <c r="B317" s="68"/>
      <c r="C317" s="67"/>
      <c r="D317" s="67"/>
      <c r="E317" s="67"/>
      <c r="F317" s="71"/>
      <c r="G317" s="72"/>
      <c r="H317" s="72"/>
      <c r="I317" s="181"/>
      <c r="J317" s="1"/>
      <c r="K317" s="1"/>
      <c r="L317" s="1"/>
      <c r="M317" s="9"/>
      <c r="N317" s="14"/>
      <c r="O317" s="16"/>
      <c r="P317" s="1"/>
    </row>
    <row r="318" spans="1:16">
      <c r="A318" s="6"/>
      <c r="B318" s="68"/>
      <c r="C318" s="67"/>
      <c r="D318" s="67"/>
      <c r="E318" s="67"/>
      <c r="F318" s="71"/>
      <c r="G318" s="72"/>
      <c r="H318" s="72"/>
      <c r="I318" s="181"/>
      <c r="J318" s="1"/>
      <c r="K318" s="1"/>
      <c r="L318" s="1"/>
      <c r="M318" s="9"/>
      <c r="N318" s="14"/>
      <c r="O318" s="16"/>
      <c r="P318" s="1"/>
    </row>
    <row r="319" spans="1:16">
      <c r="A319" s="6"/>
      <c r="B319" s="68"/>
      <c r="C319" s="67"/>
      <c r="D319" s="67"/>
      <c r="E319" s="67"/>
      <c r="F319" s="71"/>
      <c r="G319" s="72"/>
      <c r="H319" s="72"/>
      <c r="I319" s="181"/>
      <c r="J319" s="1"/>
      <c r="K319" s="1"/>
      <c r="L319" s="1"/>
      <c r="M319" s="9"/>
      <c r="N319" s="14"/>
      <c r="O319" s="16"/>
      <c r="P319" s="1"/>
    </row>
    <row r="320" spans="1:16">
      <c r="A320" s="6"/>
      <c r="B320" s="68"/>
      <c r="C320" s="67"/>
      <c r="D320" s="158"/>
      <c r="E320" s="157"/>
      <c r="F320" s="71"/>
      <c r="G320" s="72"/>
      <c r="H320" s="72"/>
      <c r="I320" s="181"/>
      <c r="J320" s="1"/>
      <c r="K320" s="1"/>
      <c r="L320" s="1"/>
      <c r="M320" s="9"/>
      <c r="N320" s="14"/>
      <c r="O320" s="16"/>
      <c r="P320" s="1"/>
    </row>
    <row r="321" spans="1:16">
      <c r="B321" s="68"/>
      <c r="C321" s="71"/>
      <c r="D321" s="158"/>
      <c r="E321" s="157"/>
      <c r="F321" s="71"/>
      <c r="G321" s="72"/>
      <c r="H321" s="72"/>
      <c r="I321" s="181"/>
      <c r="J321" s="1"/>
      <c r="K321" s="1"/>
      <c r="L321" s="1"/>
      <c r="M321" s="9"/>
      <c r="N321" s="14"/>
      <c r="O321" s="16"/>
      <c r="P321" s="1"/>
    </row>
    <row r="322" spans="1:16">
      <c r="A322" s="6"/>
      <c r="B322" s="68"/>
      <c r="C322" s="67"/>
      <c r="D322" s="158"/>
      <c r="E322" s="157"/>
      <c r="F322" s="71"/>
      <c r="G322" s="72"/>
      <c r="H322" s="72"/>
      <c r="I322" s="181"/>
      <c r="J322" s="1"/>
      <c r="K322" s="1"/>
      <c r="L322" s="1"/>
      <c r="M322" s="9"/>
      <c r="N322" s="14"/>
      <c r="O322" s="16"/>
      <c r="P322" s="1"/>
    </row>
    <row r="323" spans="1:16">
      <c r="A323" s="6"/>
      <c r="B323" s="68"/>
      <c r="C323" s="67"/>
      <c r="D323" s="158"/>
      <c r="E323" s="157"/>
      <c r="F323" s="71"/>
      <c r="G323" s="72"/>
      <c r="H323" s="72"/>
      <c r="I323" s="181"/>
      <c r="J323" s="1"/>
      <c r="K323" s="1"/>
      <c r="L323" s="1"/>
      <c r="M323" s="9"/>
      <c r="N323" s="14"/>
      <c r="O323" s="16"/>
      <c r="P323" s="1"/>
    </row>
    <row r="324" spans="1:16">
      <c r="A324" s="6"/>
      <c r="B324" s="68"/>
      <c r="C324" s="67"/>
      <c r="D324" s="158"/>
      <c r="E324" s="157"/>
      <c r="F324" s="71"/>
      <c r="G324" s="72"/>
      <c r="H324" s="72"/>
      <c r="I324" s="181"/>
      <c r="J324" s="1"/>
      <c r="K324" s="1"/>
      <c r="L324" s="1"/>
      <c r="M324" s="9"/>
      <c r="N324" s="14"/>
      <c r="O324" s="16"/>
      <c r="P324" s="1"/>
    </row>
    <row r="325" spans="1:16">
      <c r="A325" s="6"/>
      <c r="B325" s="68"/>
      <c r="C325" s="67"/>
      <c r="D325" s="158"/>
      <c r="E325" s="157"/>
      <c r="F325" s="71"/>
      <c r="G325" s="72"/>
      <c r="H325" s="72"/>
      <c r="I325" s="181"/>
      <c r="J325" s="1"/>
      <c r="K325" s="1"/>
      <c r="L325" s="1"/>
      <c r="M325" s="9"/>
      <c r="N325" s="14"/>
      <c r="O325" s="16"/>
      <c r="P325" s="1"/>
    </row>
    <row r="326" spans="1:16">
      <c r="A326" s="6"/>
      <c r="B326" s="68"/>
      <c r="C326" s="67"/>
      <c r="D326" s="158"/>
      <c r="E326" s="173"/>
      <c r="F326" s="71"/>
      <c r="G326" s="72"/>
      <c r="H326" s="72"/>
      <c r="I326" s="181"/>
      <c r="J326" s="1"/>
      <c r="K326" s="1"/>
      <c r="L326" s="1"/>
      <c r="M326" s="9"/>
      <c r="N326" s="14"/>
      <c r="O326" s="16"/>
      <c r="P326" s="1"/>
    </row>
    <row r="327" spans="1:16">
      <c r="A327" s="6"/>
      <c r="B327" s="68"/>
      <c r="C327" s="67"/>
      <c r="D327" s="158"/>
      <c r="E327" s="157"/>
      <c r="F327" s="71"/>
      <c r="G327" s="72"/>
      <c r="H327" s="72"/>
      <c r="I327" s="181"/>
      <c r="J327" s="1"/>
      <c r="K327" s="1"/>
      <c r="L327" s="1"/>
      <c r="M327" s="9"/>
      <c r="N327" s="14"/>
      <c r="O327" s="16"/>
      <c r="P327" s="1"/>
    </row>
    <row r="328" spans="1:16">
      <c r="A328" s="6"/>
      <c r="B328" s="68"/>
      <c r="C328" s="67"/>
      <c r="D328" s="158"/>
      <c r="E328" s="157"/>
      <c r="F328" s="71"/>
      <c r="G328" s="72"/>
      <c r="H328" s="72"/>
      <c r="I328" s="181"/>
      <c r="J328" s="1"/>
      <c r="K328" s="1"/>
      <c r="L328" s="1"/>
      <c r="M328" s="9"/>
      <c r="N328" s="14"/>
      <c r="O328" s="16"/>
      <c r="P328" s="1"/>
    </row>
    <row r="329" spans="1:16">
      <c r="A329" s="6"/>
      <c r="B329" s="68"/>
      <c r="C329" s="67"/>
      <c r="D329" s="158"/>
      <c r="E329" s="157"/>
      <c r="F329" s="71"/>
      <c r="G329" s="72"/>
      <c r="H329" s="72"/>
      <c r="I329" s="181"/>
      <c r="J329" s="1"/>
      <c r="K329" s="1"/>
      <c r="L329" s="1"/>
      <c r="M329" s="9"/>
      <c r="N329" s="14"/>
      <c r="O329" s="16"/>
      <c r="P329" s="1"/>
    </row>
    <row r="330" spans="1:16">
      <c r="A330" s="6"/>
      <c r="B330" s="68"/>
      <c r="C330" s="67"/>
      <c r="D330" s="158"/>
      <c r="E330" s="158"/>
      <c r="F330" s="71"/>
      <c r="G330" s="72"/>
      <c r="H330" s="72"/>
      <c r="I330" s="181"/>
      <c r="J330" s="1"/>
      <c r="K330" s="1"/>
      <c r="L330" s="1"/>
      <c r="M330" s="9"/>
      <c r="N330" s="14"/>
      <c r="O330" s="16"/>
      <c r="P330" s="1"/>
    </row>
    <row r="331" spans="1:16">
      <c r="A331" s="6"/>
      <c r="B331" s="68"/>
      <c r="C331" s="67"/>
      <c r="D331" s="158"/>
      <c r="E331" s="157"/>
      <c r="F331" s="71"/>
      <c r="G331" s="72"/>
      <c r="H331" s="72"/>
      <c r="I331" s="181"/>
      <c r="J331" s="1"/>
      <c r="K331" s="1"/>
      <c r="L331" s="1"/>
      <c r="M331" s="9"/>
      <c r="N331" s="14"/>
      <c r="O331" s="16"/>
      <c r="P331" s="1"/>
    </row>
    <row r="332" spans="1:16">
      <c r="A332" s="6"/>
      <c r="B332" s="68"/>
      <c r="C332" s="67"/>
      <c r="D332" s="158"/>
      <c r="E332" s="157"/>
      <c r="F332" s="71"/>
      <c r="G332" s="72"/>
      <c r="H332" s="72"/>
      <c r="I332" s="181"/>
      <c r="J332" s="1"/>
      <c r="K332" s="1"/>
      <c r="L332" s="1"/>
      <c r="M332" s="9"/>
      <c r="N332" s="14"/>
      <c r="O332" s="16"/>
      <c r="P332" s="1"/>
    </row>
    <row r="333" spans="1:16">
      <c r="A333" s="6"/>
      <c r="B333" s="68"/>
      <c r="C333" s="67"/>
      <c r="D333" s="158"/>
      <c r="E333" s="157"/>
      <c r="F333" s="71"/>
      <c r="G333" s="72"/>
      <c r="H333" s="72"/>
      <c r="I333" s="181"/>
      <c r="J333" s="1"/>
      <c r="K333" s="1"/>
      <c r="L333" s="1"/>
      <c r="M333" s="9"/>
      <c r="N333" s="14"/>
      <c r="O333" s="16"/>
      <c r="P333" s="1"/>
    </row>
    <row r="334" spans="1:16">
      <c r="A334" s="6"/>
      <c r="B334" s="68"/>
      <c r="C334" s="67"/>
      <c r="D334" s="158"/>
      <c r="E334" s="157"/>
      <c r="F334" s="71"/>
      <c r="G334" s="72"/>
      <c r="H334" s="72"/>
      <c r="I334" s="181"/>
      <c r="J334" s="1"/>
      <c r="K334" s="1"/>
      <c r="L334" s="1"/>
      <c r="M334" s="9"/>
      <c r="N334" s="14"/>
      <c r="O334" s="16"/>
      <c r="P334" s="1"/>
    </row>
    <row r="335" spans="1:16">
      <c r="A335" s="6"/>
      <c r="B335" s="68"/>
      <c r="C335" s="67"/>
      <c r="D335" s="158"/>
      <c r="E335" s="157"/>
      <c r="F335" s="71"/>
      <c r="G335" s="72"/>
      <c r="H335" s="72"/>
      <c r="I335" s="181"/>
      <c r="J335" s="1"/>
      <c r="K335" s="1"/>
      <c r="L335" s="1"/>
      <c r="M335" s="9"/>
      <c r="N335" s="14"/>
      <c r="O335" s="16"/>
      <c r="P335" s="1"/>
    </row>
    <row r="336" spans="1:16">
      <c r="A336" s="6"/>
      <c r="B336" s="68"/>
      <c r="C336" s="67"/>
      <c r="D336" s="158"/>
      <c r="E336" s="157"/>
      <c r="F336" s="71"/>
      <c r="G336" s="72"/>
      <c r="H336" s="72"/>
      <c r="I336" s="181"/>
      <c r="J336" s="1"/>
      <c r="K336" s="1"/>
      <c r="L336" s="1"/>
      <c r="M336" s="9"/>
      <c r="N336" s="14"/>
      <c r="O336" s="16"/>
      <c r="P336" s="1"/>
    </row>
    <row r="337" spans="1:16">
      <c r="A337" s="6"/>
      <c r="B337" s="68"/>
      <c r="C337" s="67"/>
      <c r="D337" s="158"/>
      <c r="E337" s="157"/>
      <c r="F337" s="71"/>
      <c r="G337" s="72"/>
      <c r="H337" s="72"/>
      <c r="I337" s="181"/>
      <c r="J337" s="1"/>
      <c r="K337" s="1"/>
      <c r="L337" s="1"/>
      <c r="M337" s="9"/>
      <c r="N337" s="14"/>
      <c r="O337" s="16"/>
      <c r="P337" s="1"/>
    </row>
    <row r="338" spans="1:16">
      <c r="A338" s="6"/>
      <c r="B338" s="68"/>
      <c r="C338" s="67"/>
      <c r="D338" s="158"/>
      <c r="E338" s="157"/>
      <c r="F338" s="71"/>
      <c r="G338" s="72"/>
      <c r="H338" s="72"/>
      <c r="I338" s="181"/>
      <c r="J338" s="1"/>
      <c r="K338" s="1"/>
      <c r="L338" s="1"/>
      <c r="M338" s="9"/>
      <c r="N338" s="14"/>
      <c r="O338" s="16"/>
      <c r="P338" s="1"/>
    </row>
    <row r="339" spans="1:16">
      <c r="A339" s="6"/>
      <c r="B339" s="68"/>
      <c r="C339" s="67"/>
      <c r="D339" s="158"/>
      <c r="E339" s="157"/>
      <c r="F339" s="71"/>
      <c r="G339" s="72"/>
      <c r="H339" s="72"/>
      <c r="I339" s="181"/>
      <c r="J339" s="1"/>
      <c r="K339" s="1"/>
      <c r="L339" s="1"/>
      <c r="M339" s="9"/>
      <c r="N339" s="14"/>
      <c r="O339" s="16"/>
      <c r="P339" s="1"/>
    </row>
    <row r="340" spans="1:16">
      <c r="A340" s="6"/>
      <c r="B340" s="68"/>
      <c r="C340" s="67"/>
      <c r="D340" s="158"/>
      <c r="E340" s="157"/>
      <c r="F340" s="71"/>
      <c r="G340" s="72"/>
      <c r="H340" s="72"/>
      <c r="I340" s="181"/>
      <c r="J340" s="1"/>
      <c r="K340" s="1"/>
      <c r="L340" s="1"/>
      <c r="M340" s="9"/>
      <c r="N340" s="14"/>
      <c r="O340" s="16"/>
      <c r="P340" s="1"/>
    </row>
    <row r="341" spans="1:16">
      <c r="A341" s="6"/>
      <c r="B341" s="68"/>
      <c r="C341" s="67"/>
      <c r="D341" s="67"/>
      <c r="E341" s="67"/>
      <c r="F341" s="71"/>
      <c r="G341" s="72"/>
      <c r="H341" s="72"/>
      <c r="I341" s="181"/>
      <c r="J341" s="1"/>
      <c r="K341" s="1"/>
      <c r="L341" s="1"/>
      <c r="M341" s="9"/>
      <c r="N341" s="14"/>
      <c r="O341" s="16"/>
      <c r="P341" s="1"/>
    </row>
    <row r="342" spans="1:16">
      <c r="A342" s="6"/>
      <c r="B342" s="68"/>
      <c r="C342" s="67"/>
      <c r="D342" s="158"/>
      <c r="E342" s="157"/>
      <c r="F342" s="71"/>
      <c r="G342" s="72"/>
      <c r="H342" s="72"/>
      <c r="I342" s="181"/>
      <c r="J342" s="1"/>
      <c r="K342" s="1"/>
      <c r="L342" s="1"/>
      <c r="M342" s="9"/>
      <c r="N342" s="14"/>
      <c r="O342" s="16"/>
      <c r="P342" s="1"/>
    </row>
    <row r="343" spans="1:16">
      <c r="A343" s="6"/>
      <c r="B343" s="68"/>
      <c r="C343" s="67"/>
      <c r="D343" s="158"/>
      <c r="E343" s="157"/>
      <c r="F343" s="71"/>
      <c r="G343" s="72"/>
      <c r="H343" s="72"/>
      <c r="I343" s="181"/>
      <c r="J343" s="1"/>
      <c r="K343" s="1"/>
      <c r="L343" s="1"/>
      <c r="M343" s="9"/>
      <c r="N343" s="14"/>
      <c r="O343" s="16"/>
      <c r="P343" s="1"/>
    </row>
    <row r="344" spans="1:16">
      <c r="A344" s="6"/>
      <c r="B344" s="68"/>
      <c r="C344" s="67"/>
      <c r="D344" s="158"/>
      <c r="E344" s="157"/>
      <c r="F344" s="71"/>
      <c r="G344" s="72"/>
      <c r="H344" s="72"/>
      <c r="I344" s="181"/>
      <c r="J344" s="1"/>
      <c r="K344" s="1"/>
      <c r="L344" s="1"/>
      <c r="M344" s="9"/>
      <c r="N344" s="14"/>
      <c r="O344" s="16"/>
      <c r="P344" s="1"/>
    </row>
    <row r="345" spans="1:16">
      <c r="A345" s="6"/>
      <c r="B345" s="68"/>
      <c r="C345" s="67"/>
      <c r="D345" s="158"/>
      <c r="E345" s="157"/>
      <c r="F345" s="71"/>
      <c r="G345" s="72"/>
      <c r="H345" s="72"/>
      <c r="I345" s="181"/>
      <c r="J345" s="1"/>
      <c r="K345" s="1"/>
      <c r="L345" s="1"/>
      <c r="M345" s="9"/>
      <c r="N345" s="14"/>
      <c r="O345" s="16"/>
      <c r="P345" s="1"/>
    </row>
    <row r="346" spans="1:16">
      <c r="A346" s="6"/>
      <c r="B346" s="68"/>
      <c r="C346" s="67"/>
      <c r="D346" s="158"/>
      <c r="E346" s="157"/>
      <c r="F346" s="71"/>
      <c r="G346" s="72"/>
      <c r="H346" s="72"/>
      <c r="I346" s="181"/>
      <c r="J346" s="1"/>
      <c r="K346" s="1"/>
      <c r="L346" s="1"/>
      <c r="M346" s="9"/>
      <c r="N346" s="14"/>
      <c r="O346" s="16"/>
      <c r="P346" s="1"/>
    </row>
    <row r="347" spans="1:16">
      <c r="A347" s="6"/>
      <c r="B347" s="68"/>
      <c r="C347" s="67"/>
      <c r="D347" s="158"/>
      <c r="E347" s="158"/>
      <c r="F347" s="71"/>
      <c r="G347" s="72"/>
      <c r="H347" s="72"/>
      <c r="I347" s="181"/>
      <c r="J347" s="1"/>
      <c r="K347" s="1"/>
      <c r="L347" s="1"/>
      <c r="M347" s="9"/>
      <c r="N347" s="14"/>
      <c r="O347" s="16"/>
      <c r="P347" s="1"/>
    </row>
    <row r="348" spans="1:16">
      <c r="A348" s="6"/>
      <c r="B348" s="68"/>
      <c r="C348" s="67"/>
      <c r="D348" s="158"/>
      <c r="E348" s="157"/>
      <c r="F348" s="71"/>
      <c r="G348" s="72"/>
      <c r="H348" s="72"/>
      <c r="I348" s="181"/>
      <c r="J348" s="1"/>
      <c r="K348" s="1"/>
      <c r="L348" s="1"/>
      <c r="M348" s="9"/>
      <c r="N348" s="14"/>
      <c r="O348" s="16"/>
      <c r="P348" s="1"/>
    </row>
    <row r="349" spans="1:16">
      <c r="A349" s="6"/>
      <c r="B349" s="68"/>
      <c r="C349" s="67"/>
      <c r="D349" s="158"/>
      <c r="E349" s="157"/>
      <c r="F349" s="71"/>
      <c r="G349" s="72"/>
      <c r="H349" s="72"/>
      <c r="I349" s="181"/>
      <c r="J349" s="1"/>
      <c r="K349" s="1"/>
      <c r="L349" s="1"/>
      <c r="M349" s="9"/>
      <c r="N349" s="14"/>
      <c r="O349" s="16"/>
      <c r="P349" s="1"/>
    </row>
    <row r="350" spans="1:16">
      <c r="A350" s="6"/>
      <c r="B350" s="68"/>
      <c r="C350" s="67"/>
      <c r="D350" s="158"/>
      <c r="E350" s="157"/>
      <c r="F350" s="71"/>
      <c r="G350" s="72"/>
      <c r="H350" s="72"/>
      <c r="I350" s="181"/>
      <c r="J350" s="1"/>
      <c r="K350" s="1"/>
      <c r="L350" s="1"/>
      <c r="M350" s="9"/>
      <c r="N350" s="14"/>
      <c r="O350" s="16"/>
      <c r="P350" s="1"/>
    </row>
    <row r="351" spans="1:16">
      <c r="A351" s="6"/>
      <c r="B351" s="68"/>
      <c r="C351" s="67"/>
      <c r="D351" s="158"/>
      <c r="E351" s="182"/>
      <c r="F351" s="71"/>
      <c r="G351" s="72"/>
      <c r="H351" s="72"/>
      <c r="I351" s="181"/>
      <c r="J351" s="1"/>
      <c r="K351" s="1"/>
      <c r="L351" s="1"/>
      <c r="M351" s="9"/>
      <c r="N351" s="14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1"/>
      <c r="H352" s="71"/>
      <c r="I352" s="181"/>
      <c r="J352" s="1"/>
      <c r="K352" s="1"/>
      <c r="L352" s="1"/>
      <c r="M352" s="9"/>
      <c r="N352" s="14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1"/>
      <c r="H353" s="71"/>
      <c r="I353" s="181"/>
      <c r="J353" s="1"/>
      <c r="K353" s="1"/>
      <c r="L353" s="1"/>
      <c r="M353" s="9"/>
      <c r="N353" s="14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1"/>
      <c r="J354" s="1"/>
      <c r="K354" s="1"/>
      <c r="L354" s="1"/>
      <c r="M354" s="9"/>
      <c r="N354" s="14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1"/>
      <c r="H355" s="71"/>
      <c r="I355" s="181"/>
      <c r="J355" s="1"/>
      <c r="K355" s="1"/>
      <c r="L355" s="1"/>
      <c r="M355" s="9"/>
      <c r="N355" s="14"/>
      <c r="O355" s="16"/>
      <c r="P355" s="1"/>
    </row>
    <row r="356" spans="1:16">
      <c r="A356" s="6"/>
      <c r="B356" s="68"/>
      <c r="C356" s="67"/>
      <c r="D356" s="67"/>
      <c r="E356" s="67"/>
      <c r="F356" s="71"/>
      <c r="G356" s="72"/>
      <c r="H356" s="72"/>
      <c r="I356" s="181"/>
      <c r="J356" s="1"/>
      <c r="K356" s="1"/>
      <c r="L356" s="1"/>
      <c r="M356" s="9"/>
      <c r="N356" s="14"/>
      <c r="O356" s="16"/>
      <c r="P356" s="1"/>
    </row>
    <row r="357" spans="1:16">
      <c r="A357" s="6"/>
      <c r="B357" s="68"/>
      <c r="C357" s="67"/>
      <c r="D357" s="67"/>
      <c r="E357" s="67"/>
      <c r="F357" s="71"/>
      <c r="G357" s="72"/>
      <c r="H357" s="72"/>
      <c r="I357" s="181"/>
      <c r="J357" s="1"/>
      <c r="K357" s="1"/>
      <c r="L357" s="1"/>
      <c r="M357" s="9"/>
      <c r="N357" s="14"/>
      <c r="O357" s="16"/>
      <c r="P357" s="1"/>
    </row>
    <row r="358" spans="1:16">
      <c r="A358" s="6"/>
      <c r="B358" s="68"/>
      <c r="C358" s="67"/>
      <c r="D358" s="67"/>
      <c r="E358" s="67"/>
      <c r="F358" s="71"/>
      <c r="G358" s="72"/>
      <c r="H358" s="72"/>
      <c r="I358" s="181"/>
      <c r="J358" s="1"/>
      <c r="K358" s="1"/>
      <c r="L358" s="1"/>
      <c r="M358" s="9"/>
      <c r="N358" s="14"/>
      <c r="O358" s="16"/>
      <c r="P358" s="1"/>
    </row>
    <row r="359" spans="1:16">
      <c r="A359" s="6"/>
      <c r="B359" s="68"/>
      <c r="C359" s="67"/>
      <c r="D359" s="67"/>
      <c r="E359" s="67"/>
      <c r="F359" s="71"/>
      <c r="G359" s="72"/>
      <c r="H359" s="72"/>
      <c r="I359" s="181"/>
      <c r="J359" s="1"/>
      <c r="K359" s="1"/>
      <c r="L359" s="1"/>
      <c r="M359" s="9"/>
      <c r="N359" s="14"/>
      <c r="O359" s="16"/>
      <c r="P359" s="1"/>
    </row>
    <row r="360" spans="1:16">
      <c r="A360" s="6"/>
      <c r="B360" s="68"/>
      <c r="C360" s="67"/>
      <c r="D360" s="67"/>
      <c r="E360" s="67"/>
      <c r="F360" s="71"/>
      <c r="G360" s="72"/>
      <c r="H360" s="72"/>
      <c r="I360" s="181"/>
      <c r="J360" s="1"/>
      <c r="K360" s="1"/>
      <c r="L360" s="1"/>
      <c r="M360" s="1"/>
      <c r="N360" s="14"/>
      <c r="O360" s="16"/>
      <c r="P360" s="1"/>
    </row>
    <row r="361" spans="1:16">
      <c r="A361" s="6"/>
      <c r="B361" s="68"/>
      <c r="C361" s="67"/>
      <c r="D361" s="67"/>
      <c r="E361" s="67"/>
      <c r="F361" s="71"/>
      <c r="G361" s="72"/>
      <c r="H361" s="72"/>
      <c r="I361" s="181"/>
      <c r="J361" s="1"/>
      <c r="K361" s="1"/>
      <c r="L361" s="1"/>
      <c r="M361" s="1"/>
      <c r="N361" s="14"/>
      <c r="O361" s="16"/>
      <c r="P361" s="1"/>
    </row>
    <row r="362" spans="1:16">
      <c r="A362" s="6"/>
      <c r="B362" s="68"/>
      <c r="C362" s="67"/>
      <c r="D362" s="67"/>
      <c r="E362" s="67"/>
      <c r="F362" s="71"/>
      <c r="G362" s="71"/>
      <c r="H362" s="71"/>
      <c r="I362" s="181"/>
      <c r="J362" s="1"/>
      <c r="K362" s="1"/>
      <c r="L362" s="1"/>
      <c r="M362" s="1"/>
      <c r="N362" s="14"/>
      <c r="O362" s="16"/>
      <c r="P362" s="1"/>
    </row>
    <row r="363" spans="1:16">
      <c r="A363" s="6"/>
      <c r="B363" s="68"/>
      <c r="C363" s="67"/>
      <c r="D363" s="67"/>
      <c r="E363" s="67"/>
      <c r="F363" s="71"/>
      <c r="G363" s="72"/>
      <c r="H363" s="72"/>
      <c r="I363" s="181"/>
      <c r="J363" s="1"/>
      <c r="K363" s="1"/>
      <c r="L363" s="1"/>
      <c r="M363" s="1"/>
      <c r="N363" s="14"/>
      <c r="O363" s="16"/>
      <c r="P363" s="1"/>
    </row>
    <row r="364" spans="1:16">
      <c r="A364" s="6"/>
      <c r="B364" s="68"/>
      <c r="C364" s="67"/>
      <c r="D364" s="67"/>
      <c r="E364" s="67"/>
      <c r="F364" s="71"/>
      <c r="G364" s="71"/>
      <c r="H364" s="71"/>
      <c r="I364" s="181"/>
      <c r="J364" s="1"/>
      <c r="K364" s="1"/>
      <c r="L364" s="1"/>
      <c r="M364" s="1"/>
      <c r="N364" s="14"/>
      <c r="O364" s="16"/>
      <c r="P364" s="1"/>
    </row>
    <row r="365" spans="1:16">
      <c r="A365" s="6"/>
      <c r="B365" s="68"/>
      <c r="C365" s="67"/>
      <c r="D365" s="67"/>
      <c r="E365" s="67"/>
      <c r="F365" s="71"/>
      <c r="G365" s="72"/>
      <c r="H365" s="72"/>
      <c r="I365" s="181"/>
      <c r="J365" s="1"/>
      <c r="K365" s="1"/>
      <c r="L365" s="1"/>
      <c r="M365" s="1"/>
      <c r="N365" s="14"/>
      <c r="O365" s="16"/>
      <c r="P365" s="1"/>
    </row>
    <row r="366" spans="1:16">
      <c r="A366" s="6"/>
      <c r="B366" s="68"/>
      <c r="C366" s="67"/>
      <c r="D366" s="67"/>
      <c r="E366" s="67"/>
      <c r="F366" s="71"/>
      <c r="G366" s="71"/>
      <c r="H366" s="71"/>
      <c r="I366" s="181"/>
      <c r="J366" s="1"/>
      <c r="K366" s="1"/>
      <c r="L366" s="1"/>
      <c r="M366" s="1"/>
      <c r="N366" s="14"/>
      <c r="O366" s="16"/>
      <c r="P366" s="1"/>
    </row>
    <row r="367" spans="1:16">
      <c r="A367" s="6"/>
      <c r="B367" s="68"/>
      <c r="C367" s="67"/>
      <c r="D367" s="67"/>
      <c r="E367" s="67"/>
      <c r="F367" s="71"/>
      <c r="G367" s="72"/>
      <c r="H367" s="72"/>
      <c r="I367" s="181"/>
      <c r="J367" s="1"/>
      <c r="K367" s="1"/>
      <c r="L367" s="1"/>
      <c r="M367" s="1"/>
      <c r="N367" s="14"/>
      <c r="O367" s="16"/>
      <c r="P367" s="1"/>
    </row>
    <row r="368" spans="1:16">
      <c r="A368" s="6"/>
      <c r="B368" s="68"/>
      <c r="C368" s="67"/>
      <c r="D368" s="67"/>
      <c r="E368" s="67"/>
      <c r="F368" s="71"/>
      <c r="G368" s="72"/>
      <c r="H368" s="72"/>
      <c r="I368" s="181"/>
      <c r="J368" s="1"/>
      <c r="K368" s="1"/>
      <c r="L368" s="1"/>
      <c r="M368" s="1"/>
      <c r="N368" s="14"/>
      <c r="O368" s="16"/>
      <c r="P368" s="1"/>
    </row>
    <row r="369" spans="1:16">
      <c r="A369" s="6"/>
      <c r="B369" s="68"/>
      <c r="C369" s="67"/>
      <c r="D369" s="67"/>
      <c r="E369" s="67"/>
      <c r="F369" s="71"/>
      <c r="G369" s="72"/>
      <c r="H369" s="72"/>
      <c r="I369" s="181"/>
      <c r="J369" s="1"/>
      <c r="K369" s="1"/>
      <c r="L369" s="1"/>
      <c r="M369" s="1"/>
      <c r="N369" s="14"/>
      <c r="O369" s="16"/>
      <c r="P369" s="1"/>
    </row>
    <row r="370" spans="1:16">
      <c r="A370" s="6"/>
      <c r="B370" s="68"/>
      <c r="C370" s="67"/>
      <c r="D370" s="67"/>
      <c r="E370" s="67"/>
      <c r="F370" s="71"/>
      <c r="G370" s="71"/>
      <c r="H370" s="71"/>
      <c r="I370" s="181"/>
      <c r="J370" s="1"/>
      <c r="K370" s="1"/>
      <c r="L370" s="1"/>
      <c r="M370" s="1"/>
      <c r="N370" s="14"/>
      <c r="O370" s="16"/>
      <c r="P370" s="1"/>
    </row>
    <row r="371" spans="1:16">
      <c r="A371" s="6"/>
      <c r="B371" s="68"/>
      <c r="C371" s="67"/>
      <c r="D371" s="67"/>
      <c r="E371" s="67"/>
      <c r="F371" s="71"/>
      <c r="G371" s="72"/>
      <c r="H371" s="72"/>
      <c r="I371" s="181"/>
      <c r="J371" s="1"/>
      <c r="K371" s="1"/>
      <c r="L371" s="1"/>
      <c r="M371" s="1"/>
      <c r="N371" s="14"/>
      <c r="O371" s="16"/>
      <c r="P371" s="1"/>
    </row>
    <row r="372" spans="1:16">
      <c r="A372" s="6"/>
      <c r="B372" s="68"/>
      <c r="C372" s="67"/>
      <c r="D372" s="67"/>
      <c r="E372" s="67"/>
      <c r="F372" s="71"/>
      <c r="G372" s="71"/>
      <c r="H372" s="71"/>
      <c r="I372" s="181"/>
      <c r="J372" s="1"/>
      <c r="K372" s="1"/>
      <c r="L372" s="1"/>
      <c r="M372" s="1"/>
      <c r="N372" s="14"/>
      <c r="O372" s="16"/>
      <c r="P372" s="1"/>
    </row>
    <row r="373" spans="1:16">
      <c r="A373" s="6"/>
      <c r="B373" s="68"/>
      <c r="C373" s="67"/>
      <c r="D373" s="67"/>
      <c r="E373" s="67"/>
      <c r="F373" s="71"/>
      <c r="G373" s="72"/>
      <c r="H373" s="72"/>
      <c r="I373" s="181"/>
      <c r="J373" s="1"/>
      <c r="K373" s="1"/>
      <c r="L373" s="1"/>
      <c r="M373" s="1"/>
      <c r="N373" s="14"/>
      <c r="O373" s="16"/>
      <c r="P373" s="1"/>
    </row>
    <row r="374" spans="1:16">
      <c r="A374" s="6"/>
      <c r="B374" s="68"/>
      <c r="C374" s="67"/>
      <c r="D374" s="67"/>
      <c r="E374" s="67"/>
      <c r="F374" s="71"/>
      <c r="G374" s="72"/>
      <c r="H374" s="72"/>
      <c r="I374" s="181"/>
      <c r="J374" s="1"/>
      <c r="K374" s="1"/>
      <c r="L374" s="1"/>
      <c r="M374" s="1"/>
      <c r="N374" s="14"/>
      <c r="O374" s="16"/>
      <c r="P374" s="1"/>
    </row>
    <row r="375" spans="1:16">
      <c r="A375" s="6"/>
      <c r="B375" s="68"/>
      <c r="C375" s="67"/>
      <c r="D375" s="67"/>
      <c r="E375" s="67"/>
      <c r="F375" s="71"/>
      <c r="G375" s="72"/>
      <c r="H375" s="72"/>
      <c r="I375" s="181"/>
      <c r="J375" s="1"/>
      <c r="K375" s="1"/>
      <c r="L375" s="1"/>
      <c r="M375" s="1"/>
      <c r="N375" s="14"/>
      <c r="O375" s="16"/>
      <c r="P375" s="1"/>
    </row>
    <row r="376" spans="1:16">
      <c r="A376" s="6"/>
      <c r="B376" s="68"/>
      <c r="C376" s="67"/>
      <c r="D376" s="67"/>
      <c r="E376" s="67"/>
      <c r="F376" s="71"/>
      <c r="G376" s="71"/>
      <c r="H376" s="71"/>
      <c r="I376" s="181"/>
      <c r="J376" s="1"/>
      <c r="K376" s="1"/>
      <c r="L376" s="1"/>
      <c r="M376" s="1"/>
      <c r="N376" s="14"/>
      <c r="O376" s="16"/>
      <c r="P376" s="1"/>
    </row>
    <row r="377" spans="1:16">
      <c r="A377" s="6"/>
      <c r="B377" s="68"/>
      <c r="C377" s="67"/>
      <c r="D377" s="67"/>
      <c r="E377" s="67"/>
      <c r="F377" s="71"/>
      <c r="G377" s="72"/>
      <c r="H377" s="71"/>
      <c r="I377" s="181"/>
      <c r="J377" s="1"/>
      <c r="K377" s="1"/>
      <c r="L377" s="1"/>
      <c r="M377" s="1"/>
      <c r="N377" s="14"/>
      <c r="O377" s="16"/>
      <c r="P377" s="1"/>
    </row>
    <row r="378" spans="1:16">
      <c r="A378" s="6"/>
      <c r="B378" s="68"/>
      <c r="C378" s="67"/>
      <c r="D378" s="67"/>
      <c r="E378" s="67"/>
      <c r="F378" s="71"/>
      <c r="G378" s="72"/>
      <c r="H378" s="71"/>
      <c r="I378" s="181"/>
      <c r="J378" s="1"/>
      <c r="K378" s="1"/>
      <c r="L378" s="1"/>
      <c r="M378" s="1"/>
      <c r="N378" s="14"/>
      <c r="O378" s="16"/>
      <c r="P378" s="1"/>
    </row>
    <row r="379" spans="1:16">
      <c r="A379" s="6"/>
      <c r="B379" s="68"/>
      <c r="C379" s="67"/>
      <c r="D379" s="67"/>
      <c r="E379" s="67"/>
      <c r="F379" s="71"/>
      <c r="G379" s="72"/>
      <c r="H379" s="72"/>
      <c r="I379" s="181"/>
      <c r="J379" s="1"/>
      <c r="K379" s="1"/>
      <c r="L379" s="1"/>
      <c r="M379" s="1"/>
      <c r="N379" s="14"/>
      <c r="O379" s="16"/>
      <c r="P379" s="1"/>
    </row>
    <row r="380" spans="1:16">
      <c r="A380" s="6"/>
      <c r="B380" s="68"/>
      <c r="C380" s="67"/>
      <c r="D380" s="67"/>
      <c r="E380" s="67"/>
      <c r="F380" s="71"/>
      <c r="G380" s="72"/>
      <c r="H380" s="72"/>
      <c r="I380" s="181"/>
      <c r="J380" s="1"/>
      <c r="K380" s="1"/>
      <c r="L380" s="1"/>
      <c r="M380" s="1"/>
      <c r="N380" s="14"/>
      <c r="O380" s="16"/>
      <c r="P380" s="1"/>
    </row>
    <row r="381" spans="1:16">
      <c r="A381" s="6"/>
      <c r="B381" s="68"/>
      <c r="C381" s="67"/>
      <c r="D381" s="67"/>
      <c r="E381" s="67"/>
      <c r="F381" s="71"/>
      <c r="G381" s="72"/>
      <c r="H381" s="72"/>
      <c r="I381" s="181"/>
      <c r="J381" s="1"/>
      <c r="K381" s="1"/>
      <c r="L381" s="1"/>
      <c r="M381" s="1"/>
      <c r="N381" s="14"/>
      <c r="O381" s="16"/>
      <c r="P381" s="1"/>
    </row>
    <row r="382" spans="1:16">
      <c r="A382" s="6"/>
      <c r="B382" s="68"/>
      <c r="C382" s="67"/>
      <c r="D382" s="67"/>
      <c r="E382" s="67"/>
      <c r="F382" s="71"/>
      <c r="G382" s="71"/>
      <c r="H382" s="71"/>
      <c r="I382" s="181"/>
      <c r="J382" s="1"/>
      <c r="K382" s="1"/>
      <c r="L382" s="1"/>
      <c r="M382" s="1"/>
      <c r="N382" s="14"/>
      <c r="O382" s="16"/>
      <c r="P382" s="1"/>
    </row>
    <row r="383" spans="1:16">
      <c r="A383" s="6"/>
      <c r="B383" s="68"/>
      <c r="C383" s="67"/>
      <c r="D383" s="67"/>
      <c r="E383" s="67"/>
      <c r="F383" s="71"/>
      <c r="G383" s="72"/>
      <c r="H383" s="71"/>
      <c r="I383" s="181"/>
      <c r="J383" s="1"/>
      <c r="K383" s="1"/>
      <c r="L383" s="1"/>
      <c r="M383" s="1"/>
      <c r="N383" s="14"/>
      <c r="O383" s="16"/>
      <c r="P383" s="1"/>
    </row>
    <row r="384" spans="1:16">
      <c r="A384" s="6"/>
      <c r="B384" s="7"/>
      <c r="C384" s="6"/>
      <c r="D384" s="6"/>
      <c r="E384" s="6"/>
      <c r="F384" s="1"/>
      <c r="G384" s="9"/>
      <c r="H384" s="9"/>
      <c r="I384" s="5"/>
      <c r="J384" s="1"/>
      <c r="K384" s="1"/>
      <c r="L384" s="1"/>
      <c r="M384" s="1"/>
      <c r="N384" s="14"/>
      <c r="O384" s="16"/>
      <c r="P384" s="1"/>
    </row>
    <row r="385" spans="1:16">
      <c r="A385" s="6"/>
      <c r="B385" s="7"/>
      <c r="C385" s="6"/>
      <c r="D385" s="6"/>
      <c r="E385" s="6"/>
      <c r="F385" s="1"/>
      <c r="G385" s="9"/>
      <c r="H385" s="1"/>
      <c r="I385" s="5"/>
      <c r="J385" s="1"/>
      <c r="K385" s="1"/>
      <c r="L385" s="1"/>
      <c r="M385" s="1"/>
      <c r="N385" s="14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9"/>
      <c r="I386" s="5"/>
      <c r="J386" s="1"/>
      <c r="K386" s="1"/>
      <c r="L386" s="1"/>
      <c r="M386" s="1"/>
      <c r="N386" s="14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1"/>
      <c r="I387" s="5"/>
      <c r="J387" s="1"/>
      <c r="K387" s="1"/>
      <c r="L387" s="1"/>
      <c r="M387" s="1"/>
      <c r="N387" s="14"/>
      <c r="O387" s="16"/>
      <c r="P387" s="1"/>
    </row>
    <row r="388" spans="1:16">
      <c r="A388" s="6"/>
      <c r="B388" s="7"/>
      <c r="C388" s="6"/>
      <c r="D388" s="6"/>
      <c r="E388" s="6"/>
      <c r="F388" s="1"/>
      <c r="G388" s="1"/>
      <c r="H388" s="1"/>
      <c r="I388" s="5"/>
      <c r="J388" s="1"/>
      <c r="K388" s="1"/>
      <c r="L388" s="1"/>
      <c r="M388" s="1"/>
      <c r="N388" s="14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5"/>
      <c r="J389" s="1"/>
      <c r="K389" s="1"/>
      <c r="L389" s="1"/>
      <c r="M389" s="1"/>
      <c r="N389" s="14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9"/>
      <c r="I390" s="5"/>
      <c r="J390" s="1"/>
      <c r="K390" s="1"/>
      <c r="L390" s="1"/>
      <c r="M390" s="1"/>
      <c r="N390" s="14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9"/>
      <c r="I391" s="5"/>
      <c r="J391" s="1"/>
      <c r="K391" s="1"/>
      <c r="L391" s="1"/>
      <c r="M391" s="1"/>
      <c r="N391" s="14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9"/>
      <c r="I392" s="5"/>
      <c r="J392" s="1"/>
      <c r="K392" s="1"/>
      <c r="L392" s="1"/>
      <c r="M392" s="1"/>
      <c r="N392" s="14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9"/>
      <c r="I393" s="5"/>
      <c r="J393" s="1"/>
      <c r="K393" s="1"/>
      <c r="L393" s="1"/>
      <c r="M393" s="1"/>
      <c r="N393" s="14"/>
      <c r="O393" s="16"/>
      <c r="P393" s="1"/>
    </row>
    <row r="394" spans="1:16">
      <c r="A394" s="6"/>
      <c r="B394" s="7"/>
      <c r="C394" s="6"/>
      <c r="D394" s="6"/>
      <c r="E394" s="6"/>
      <c r="F394" s="1"/>
      <c r="G394" s="9"/>
      <c r="H394" s="9"/>
      <c r="I394" s="5"/>
      <c r="J394" s="1"/>
      <c r="K394" s="1"/>
      <c r="L394" s="1"/>
      <c r="M394" s="1"/>
      <c r="N394" s="14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1"/>
      <c r="I395" s="5"/>
      <c r="J395" s="1"/>
      <c r="K395" s="1"/>
      <c r="L395" s="1"/>
      <c r="M395" s="1"/>
      <c r="N395" s="14"/>
      <c r="O395" s="16"/>
      <c r="P395" s="1"/>
    </row>
    <row r="396" spans="1:16">
      <c r="A396" s="6"/>
      <c r="B396" s="7"/>
      <c r="C396" s="6"/>
      <c r="D396" s="6"/>
      <c r="E396" s="6"/>
      <c r="F396" s="1"/>
      <c r="G396" s="9"/>
      <c r="H396" s="1"/>
      <c r="I396" s="5"/>
      <c r="J396" s="1"/>
      <c r="K396" s="1"/>
      <c r="L396" s="1"/>
      <c r="M396" s="1"/>
      <c r="N396" s="14"/>
      <c r="O396" s="16"/>
      <c r="P396" s="1"/>
    </row>
    <row r="397" spans="1:16">
      <c r="A397" s="6"/>
      <c r="B397" s="7"/>
      <c r="C397" s="6"/>
      <c r="D397" s="6"/>
      <c r="E397" s="6"/>
      <c r="F397" s="1"/>
      <c r="G397" s="1"/>
      <c r="H397" s="1"/>
      <c r="I397" s="5"/>
      <c r="J397" s="1"/>
      <c r="K397" s="1"/>
      <c r="L397" s="1"/>
      <c r="M397" s="1"/>
      <c r="N397" s="14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5"/>
      <c r="J398" s="1"/>
      <c r="K398" s="1"/>
      <c r="L398" s="1"/>
      <c r="M398" s="1"/>
      <c r="N398" s="14"/>
      <c r="O398" s="16"/>
      <c r="P398" s="1"/>
    </row>
    <row r="399" spans="1:16">
      <c r="A399" s="6"/>
      <c r="B399" s="7"/>
      <c r="C399" s="6"/>
      <c r="D399" s="6"/>
      <c r="E399" s="6"/>
      <c r="F399" s="1"/>
      <c r="G399" s="1"/>
      <c r="H399" s="1"/>
      <c r="I399" s="5"/>
      <c r="J399" s="1"/>
      <c r="K399" s="1"/>
      <c r="L399" s="1"/>
      <c r="M399" s="1"/>
      <c r="N399" s="14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9"/>
      <c r="I400" s="5"/>
      <c r="J400" s="1"/>
      <c r="K400" s="1"/>
      <c r="L400" s="1"/>
      <c r="M400" s="1"/>
      <c r="N400" s="14"/>
      <c r="O400" s="16"/>
      <c r="P400" s="1"/>
    </row>
    <row r="401" spans="1:16">
      <c r="A401" s="6"/>
      <c r="B401" s="7"/>
      <c r="C401" s="6"/>
      <c r="D401" s="6"/>
      <c r="E401" s="6"/>
      <c r="F401" s="1"/>
      <c r="G401" s="9"/>
      <c r="H401" s="1"/>
      <c r="I401" s="5"/>
      <c r="J401" s="1"/>
      <c r="K401" s="1"/>
      <c r="L401" s="1"/>
      <c r="M401" s="1"/>
      <c r="N401" s="14"/>
      <c r="O401" s="16"/>
      <c r="P401" s="1"/>
    </row>
    <row r="402" spans="1:16">
      <c r="A402" s="6"/>
      <c r="B402" s="7"/>
      <c r="C402" s="6"/>
      <c r="D402" s="6"/>
      <c r="E402" s="6"/>
      <c r="F402" s="1"/>
      <c r="G402" s="9"/>
      <c r="H402" s="9"/>
      <c r="I402" s="5"/>
      <c r="J402" s="1"/>
      <c r="K402" s="1"/>
      <c r="L402" s="1"/>
      <c r="M402" s="1"/>
      <c r="N402" s="14"/>
      <c r="O402" s="16"/>
      <c r="P402" s="1"/>
    </row>
    <row r="403" spans="1:16">
      <c r="A403" s="6"/>
      <c r="B403" s="7"/>
      <c r="C403" s="6"/>
      <c r="D403" s="6"/>
      <c r="E403" s="6"/>
      <c r="F403" s="1"/>
      <c r="G403" s="9"/>
      <c r="H403" s="9"/>
      <c r="I403" s="5"/>
      <c r="J403" s="1"/>
      <c r="K403" s="1"/>
      <c r="L403" s="1"/>
      <c r="M403" s="1"/>
      <c r="N403" s="14"/>
      <c r="O403" s="16"/>
      <c r="P403" s="1"/>
    </row>
    <row r="404" spans="1:16">
      <c r="A404" s="6"/>
      <c r="B404" s="7"/>
      <c r="C404" s="6"/>
      <c r="D404" s="6"/>
      <c r="E404" s="6"/>
      <c r="F404" s="1"/>
      <c r="G404" s="1"/>
      <c r="H404" s="1"/>
      <c r="I404" s="5"/>
      <c r="J404" s="1"/>
      <c r="K404" s="1"/>
      <c r="L404" s="1"/>
      <c r="M404" s="1"/>
      <c r="N404" s="14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1"/>
      <c r="I405" s="5"/>
      <c r="J405" s="1"/>
      <c r="K405" s="1"/>
      <c r="L405" s="1"/>
      <c r="M405" s="1"/>
      <c r="N405" s="14"/>
      <c r="O405" s="16"/>
      <c r="P405" s="1"/>
    </row>
    <row r="406" spans="1:16">
      <c r="A406" s="6"/>
      <c r="B406" s="7"/>
      <c r="C406" s="6"/>
      <c r="D406" s="6"/>
      <c r="E406" s="6"/>
      <c r="F406" s="1"/>
      <c r="G406" s="9"/>
      <c r="H406" s="1"/>
      <c r="I406" s="5"/>
      <c r="J406" s="1"/>
      <c r="K406" s="1"/>
      <c r="L406" s="1"/>
      <c r="M406" s="1"/>
      <c r="N406" s="14"/>
      <c r="O406" s="16"/>
      <c r="P406" s="1"/>
    </row>
    <row r="407" spans="1:16">
      <c r="A407" s="6"/>
      <c r="B407" s="7"/>
      <c r="C407" s="6"/>
      <c r="D407" s="6"/>
      <c r="E407" s="6"/>
      <c r="F407" s="1"/>
      <c r="G407" s="1"/>
      <c r="H407" s="1"/>
      <c r="I407" s="5"/>
      <c r="J407" s="1"/>
      <c r="K407" s="1"/>
      <c r="L407" s="1"/>
      <c r="M407" s="1"/>
      <c r="N407" s="14"/>
      <c r="O407" s="16"/>
      <c r="P407" s="1"/>
    </row>
    <row r="408" spans="1:16">
      <c r="A408" s="6"/>
      <c r="B408" s="7"/>
      <c r="C408" s="6"/>
      <c r="D408" s="6"/>
      <c r="E408" s="6"/>
      <c r="F408" s="1"/>
      <c r="G408" s="9"/>
      <c r="H408" s="9"/>
      <c r="I408" s="5"/>
      <c r="J408" s="1"/>
      <c r="K408" s="1"/>
      <c r="L408" s="1"/>
      <c r="M408" s="1"/>
      <c r="N408" s="14"/>
      <c r="O408" s="16"/>
      <c r="P408" s="1"/>
    </row>
    <row r="409" spans="1:16">
      <c r="A409" s="6"/>
      <c r="B409" s="7"/>
      <c r="C409" s="6"/>
      <c r="D409" s="6"/>
      <c r="E409" s="6"/>
      <c r="F409" s="1"/>
      <c r="G409" s="1"/>
      <c r="H409" s="1"/>
      <c r="I409" s="5"/>
      <c r="J409" s="1"/>
      <c r="K409" s="1"/>
      <c r="L409" s="1"/>
      <c r="M409" s="1"/>
      <c r="N409" s="14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5"/>
      <c r="J410" s="1"/>
      <c r="K410" s="1"/>
      <c r="L410" s="1"/>
      <c r="M410" s="1"/>
      <c r="N410" s="14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5"/>
      <c r="J411" s="1"/>
      <c r="K411" s="1"/>
      <c r="L411" s="1"/>
      <c r="M411" s="1"/>
      <c r="N411" s="14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9"/>
      <c r="I412" s="5"/>
      <c r="J412" s="1"/>
      <c r="K412" s="1"/>
      <c r="L412" s="1"/>
      <c r="M412" s="1"/>
      <c r="N412" s="14"/>
      <c r="O412" s="16"/>
      <c r="P412" s="1"/>
    </row>
    <row r="413" spans="1:16">
      <c r="A413" s="6"/>
      <c r="B413" s="7"/>
      <c r="C413" s="6"/>
      <c r="D413" s="6"/>
      <c r="E413" s="6"/>
      <c r="F413" s="1"/>
      <c r="G413" s="9"/>
      <c r="H413" s="9"/>
      <c r="I413" s="5"/>
      <c r="J413" s="1"/>
      <c r="K413" s="1"/>
      <c r="L413" s="1"/>
      <c r="M413" s="1"/>
      <c r="N413" s="14"/>
      <c r="O413" s="16"/>
      <c r="P413" s="1"/>
    </row>
    <row r="414" spans="1:16">
      <c r="A414" s="6"/>
      <c r="B414" s="7"/>
      <c r="C414" s="6"/>
      <c r="D414" s="6"/>
      <c r="E414" s="6"/>
      <c r="F414" s="1"/>
      <c r="G414" s="9"/>
      <c r="H414" s="9"/>
      <c r="I414" s="5"/>
      <c r="J414" s="1"/>
      <c r="K414" s="1"/>
      <c r="L414" s="1"/>
      <c r="M414" s="1"/>
      <c r="N414" s="14"/>
      <c r="O414" s="16"/>
      <c r="P414" s="1"/>
    </row>
    <row r="415" spans="1:16">
      <c r="A415" s="6"/>
      <c r="B415" s="7"/>
      <c r="C415" s="6"/>
      <c r="D415" s="6"/>
      <c r="E415" s="6"/>
      <c r="F415" s="1"/>
      <c r="G415" s="9"/>
      <c r="H415" s="1"/>
      <c r="I415" s="5"/>
      <c r="J415" s="1"/>
      <c r="K415" s="1"/>
      <c r="L415" s="1"/>
      <c r="M415" s="1"/>
      <c r="N415" s="14"/>
      <c r="O415" s="16"/>
      <c r="P415" s="1"/>
    </row>
    <row r="416" spans="1:16">
      <c r="A416" s="6"/>
      <c r="B416" s="7"/>
      <c r="C416" s="6"/>
      <c r="D416" s="6"/>
      <c r="E416" s="6"/>
      <c r="F416" s="1"/>
      <c r="G416" s="9"/>
      <c r="H416" s="1"/>
      <c r="I416" s="5"/>
      <c r="J416" s="1"/>
      <c r="K416" s="1"/>
      <c r="L416" s="1"/>
      <c r="M416" s="1"/>
      <c r="N416" s="14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9"/>
      <c r="I417" s="5"/>
      <c r="J417" s="1"/>
      <c r="K417" s="1"/>
      <c r="L417" s="1"/>
      <c r="M417" s="1"/>
      <c r="N417" s="14"/>
      <c r="O417" s="16"/>
      <c r="P417" s="1"/>
    </row>
    <row r="418" spans="1:16">
      <c r="A418" s="6"/>
      <c r="B418" s="7"/>
      <c r="C418" s="6"/>
      <c r="D418" s="6"/>
      <c r="E418" s="6"/>
      <c r="F418" s="1"/>
      <c r="G418" s="1"/>
      <c r="H418" s="1"/>
      <c r="I418" s="5"/>
      <c r="J418" s="1"/>
      <c r="K418" s="1"/>
      <c r="L418" s="1"/>
      <c r="M418" s="1"/>
      <c r="N418" s="14"/>
      <c r="O418" s="16"/>
      <c r="P418" s="1"/>
    </row>
    <row r="419" spans="1:16">
      <c r="A419" s="6"/>
      <c r="B419" s="7"/>
      <c r="C419" s="6"/>
      <c r="D419" s="6"/>
      <c r="E419" s="6"/>
      <c r="F419" s="1"/>
      <c r="G419" s="1"/>
      <c r="H419" s="1"/>
      <c r="I419" s="5"/>
      <c r="J419" s="1"/>
      <c r="K419" s="1"/>
      <c r="L419" s="1"/>
      <c r="M419" s="1"/>
      <c r="N419" s="14"/>
      <c r="O419" s="16"/>
      <c r="P419" s="1"/>
    </row>
    <row r="420" spans="1:16">
      <c r="A420" s="6"/>
      <c r="B420" s="7"/>
      <c r="C420" s="6"/>
      <c r="D420" s="6"/>
      <c r="E420" s="6"/>
      <c r="F420" s="1"/>
      <c r="G420" s="9"/>
      <c r="H420" s="9"/>
      <c r="I420" s="5"/>
      <c r="J420" s="1"/>
      <c r="K420" s="1"/>
      <c r="L420" s="1"/>
      <c r="M420" s="1"/>
      <c r="N420" s="14"/>
      <c r="O420" s="16"/>
      <c r="P420" s="1"/>
    </row>
    <row r="421" spans="1:16">
      <c r="A421" s="6"/>
      <c r="B421" s="7"/>
      <c r="C421" s="6"/>
      <c r="D421" s="6"/>
      <c r="E421" s="6"/>
      <c r="F421" s="1"/>
      <c r="G421" s="9"/>
      <c r="H421" s="1"/>
      <c r="I421" s="5"/>
      <c r="J421" s="1"/>
      <c r="K421" s="1"/>
      <c r="L421" s="1"/>
      <c r="M421" s="1"/>
      <c r="N421" s="14"/>
      <c r="O421" s="16"/>
      <c r="P421" s="1"/>
    </row>
    <row r="422" spans="1:16">
      <c r="A422" s="6"/>
      <c r="B422" s="7"/>
      <c r="C422" s="6"/>
      <c r="D422" s="6"/>
      <c r="E422" s="6"/>
      <c r="F422" s="1"/>
      <c r="G422" s="9"/>
      <c r="H422" s="1"/>
      <c r="I422" s="5"/>
      <c r="J422" s="1"/>
      <c r="K422" s="1"/>
      <c r="L422" s="1"/>
      <c r="M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9"/>
      <c r="H423" s="1"/>
      <c r="I423" s="5"/>
      <c r="J423" s="1"/>
      <c r="K423" s="1"/>
      <c r="L423" s="1"/>
      <c r="M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5"/>
      <c r="J424" s="1"/>
      <c r="K424" s="1"/>
      <c r="L424" s="1"/>
      <c r="M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1"/>
      <c r="H425" s="1"/>
      <c r="I425" s="5"/>
      <c r="J425" s="1"/>
      <c r="K425" s="1"/>
      <c r="L425" s="1"/>
      <c r="M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1"/>
      <c r="H426" s="1"/>
      <c r="I426" s="5"/>
      <c r="J426" s="1"/>
      <c r="K426" s="1"/>
      <c r="L426" s="1"/>
      <c r="M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1"/>
      <c r="H427" s="1"/>
      <c r="I427" s="5"/>
      <c r="J427" s="1"/>
      <c r="K427" s="1"/>
      <c r="L427" s="1"/>
      <c r="M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1"/>
      <c r="H428" s="1"/>
      <c r="I428" s="5"/>
      <c r="J428" s="1"/>
      <c r="K428" s="1"/>
      <c r="L428" s="1"/>
      <c r="M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9"/>
      <c r="I429" s="5"/>
      <c r="J429" s="1"/>
      <c r="K429" s="1"/>
      <c r="L429" s="1"/>
      <c r="M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1"/>
      <c r="H430" s="1"/>
      <c r="I430" s="5"/>
      <c r="J430" s="1"/>
      <c r="K430" s="1"/>
      <c r="L430" s="1"/>
      <c r="M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1"/>
      <c r="H431" s="1"/>
      <c r="I431" s="5"/>
      <c r="J431" s="1"/>
      <c r="K431" s="1"/>
      <c r="L431" s="1"/>
      <c r="M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1"/>
      <c r="I432" s="5"/>
      <c r="J432" s="1"/>
      <c r="K432" s="1"/>
      <c r="L432" s="1"/>
      <c r="M432" s="1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1"/>
      <c r="I433" s="5"/>
      <c r="J433" s="1"/>
      <c r="K433" s="1"/>
      <c r="L433" s="1"/>
      <c r="M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9"/>
      <c r="H434" s="1"/>
      <c r="I434" s="5"/>
      <c r="J434" s="1"/>
      <c r="K434" s="1"/>
      <c r="L434" s="1"/>
      <c r="M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9"/>
      <c r="H435" s="9"/>
      <c r="I435" s="5"/>
      <c r="J435" s="1"/>
      <c r="K435" s="1"/>
      <c r="L435" s="1"/>
      <c r="M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9"/>
      <c r="H436" s="9"/>
      <c r="I436" s="5"/>
      <c r="J436" s="1"/>
      <c r="K436" s="1"/>
      <c r="L436" s="1"/>
      <c r="M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9"/>
      <c r="H437" s="9"/>
      <c r="I437" s="5"/>
      <c r="J437" s="1"/>
      <c r="K437" s="1"/>
      <c r="L437" s="1"/>
      <c r="M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9"/>
      <c r="H438" s="9"/>
      <c r="I438" s="5"/>
      <c r="J438" s="1"/>
      <c r="K438" s="1"/>
      <c r="L438" s="1"/>
      <c r="M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1"/>
      <c r="H439" s="1"/>
      <c r="I439" s="5"/>
      <c r="J439" s="1"/>
      <c r="K439" s="1"/>
      <c r="L439" s="1"/>
      <c r="M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1"/>
      <c r="H440" s="1"/>
      <c r="I440" s="5"/>
      <c r="J440" s="1"/>
      <c r="K440" s="1"/>
      <c r="L440" s="1"/>
      <c r="M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1"/>
      <c r="H441" s="1"/>
      <c r="I441" s="5"/>
      <c r="J441" s="1"/>
      <c r="K441" s="1"/>
      <c r="L441" s="1"/>
      <c r="M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1"/>
      <c r="H442" s="1"/>
      <c r="I442" s="5"/>
      <c r="J442" s="1"/>
      <c r="K442" s="1"/>
      <c r="L442" s="1"/>
      <c r="M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9"/>
      <c r="H443" s="9"/>
      <c r="I443" s="5"/>
      <c r="J443" s="1"/>
      <c r="K443" s="1"/>
      <c r="L443" s="1"/>
      <c r="M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9"/>
      <c r="I444" s="5"/>
      <c r="J444" s="1"/>
      <c r="K444" s="1"/>
      <c r="L444" s="1"/>
      <c r="M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1"/>
      <c r="H445" s="1"/>
      <c r="I445" s="5"/>
      <c r="J445" s="1"/>
      <c r="K445" s="1"/>
      <c r="L445" s="1"/>
      <c r="M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5"/>
      <c r="J446" s="1"/>
      <c r="K446" s="1"/>
      <c r="L446" s="1"/>
      <c r="M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9"/>
      <c r="H447" s="9"/>
      <c r="I447" s="5"/>
      <c r="J447" s="1"/>
      <c r="K447" s="1"/>
      <c r="L447" s="1"/>
      <c r="M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1"/>
      <c r="H448" s="1"/>
      <c r="I448" s="5"/>
      <c r="J448" s="1"/>
      <c r="K448" s="1"/>
      <c r="L448" s="1"/>
      <c r="M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9"/>
      <c r="H449" s="9"/>
      <c r="I449" s="5"/>
      <c r="J449" s="1"/>
      <c r="K449" s="1"/>
      <c r="L449" s="1"/>
      <c r="M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1"/>
      <c r="H450" s="1"/>
      <c r="I450" s="5"/>
      <c r="J450" s="1"/>
      <c r="K450" s="1"/>
      <c r="L450" s="1"/>
      <c r="M450" s="1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5"/>
      <c r="J451" s="1"/>
      <c r="K451" s="1"/>
      <c r="L451" s="1"/>
      <c r="M451" s="1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1"/>
      <c r="H452" s="1"/>
      <c r="I452" s="5"/>
      <c r="J452" s="1"/>
      <c r="K452" s="1"/>
      <c r="L452" s="1"/>
      <c r="M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5"/>
      <c r="J453" s="1"/>
      <c r="K453" s="1"/>
      <c r="L453" s="1"/>
      <c r="M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9"/>
      <c r="H454" s="9"/>
      <c r="I454" s="5"/>
      <c r="J454" s="1"/>
      <c r="K454" s="1"/>
      <c r="L454" s="1"/>
      <c r="M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1"/>
      <c r="I455" s="5"/>
      <c r="J455" s="1"/>
      <c r="K455" s="1"/>
      <c r="L455" s="1"/>
      <c r="M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9"/>
      <c r="I456" s="5"/>
      <c r="J456" s="1"/>
      <c r="K456" s="1"/>
      <c r="L456" s="1"/>
      <c r="M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1"/>
      <c r="H457" s="1"/>
      <c r="I457" s="5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9"/>
      <c r="H458" s="9"/>
      <c r="I458" s="5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5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1"/>
      <c r="H461" s="1"/>
      <c r="I461" s="5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9"/>
      <c r="H462" s="9"/>
      <c r="I462" s="5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1"/>
      <c r="H465" s="1"/>
      <c r="I465" s="5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9"/>
      <c r="H466" s="9"/>
      <c r="I466" s="5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5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9"/>
      <c r="H468" s="9"/>
      <c r="I468" s="5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9"/>
      <c r="I469" s="5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1"/>
      <c r="H471" s="1"/>
      <c r="I471" s="5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9"/>
      <c r="H472" s="1"/>
      <c r="I472" s="5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1"/>
      <c r="H473" s="1"/>
      <c r="I473" s="5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1"/>
      <c r="H474" s="1"/>
      <c r="I474" s="5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9"/>
      <c r="H475" s="9"/>
      <c r="I475" s="5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1"/>
      <c r="H476" s="1"/>
      <c r="I476" s="5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1"/>
      <c r="H477" s="1"/>
      <c r="I477" s="5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9"/>
      <c r="H478" s="9"/>
      <c r="I478" s="5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1"/>
      <c r="H480" s="1"/>
      <c r="I480" s="5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9"/>
      <c r="H481" s="9"/>
      <c r="I481" s="5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5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1"/>
      <c r="H483" s="1"/>
      <c r="I483" s="5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5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1"/>
      <c r="H485" s="1"/>
      <c r="I485" s="5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1"/>
      <c r="H486" s="1"/>
      <c r="I486" s="5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9"/>
      <c r="H487" s="9"/>
      <c r="I487" s="5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5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5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9"/>
      <c r="I490" s="5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5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1"/>
      <c r="H492" s="1"/>
      <c r="I492" s="5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1"/>
      <c r="H493" s="1"/>
      <c r="I493" s="5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9"/>
      <c r="I494" s="5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1"/>
      <c r="I495" s="5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1"/>
      <c r="I496" s="5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9"/>
      <c r="H497" s="1"/>
      <c r="I497" s="5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1"/>
      <c r="I498" s="5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1"/>
      <c r="I499" s="5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1"/>
      <c r="H500" s="1"/>
      <c r="I500" s="5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1"/>
      <c r="H502" s="1"/>
      <c r="I502" s="5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5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5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1"/>
      <c r="H505" s="1"/>
      <c r="I505" s="5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5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1"/>
      <c r="H507" s="9"/>
      <c r="I507" s="5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9"/>
      <c r="H508" s="9"/>
      <c r="I508" s="5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5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1"/>
      <c r="H511" s="1"/>
      <c r="I511" s="5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1"/>
      <c r="I512" s="5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9"/>
      <c r="H513" s="1"/>
      <c r="I513" s="5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9"/>
      <c r="I514" s="5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5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1"/>
      <c r="H516" s="1"/>
      <c r="I516" s="5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5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1"/>
      <c r="H518" s="1"/>
      <c r="I518" s="5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1"/>
      <c r="I521" s="5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1"/>
      <c r="H522" s="1"/>
      <c r="I522" s="5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M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1"/>
      <c r="H524" s="1"/>
      <c r="I524" s="5"/>
      <c r="J524" s="1"/>
      <c r="K524" s="1"/>
      <c r="L524" s="1"/>
      <c r="M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9"/>
      <c r="H525" s="9"/>
      <c r="I525" s="5"/>
      <c r="J525" s="1"/>
      <c r="K525" s="1"/>
      <c r="L525" s="1"/>
      <c r="M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9"/>
      <c r="H527" s="9"/>
      <c r="I527" s="5"/>
      <c r="J527" s="1"/>
      <c r="K527" s="1"/>
      <c r="L527" s="1"/>
      <c r="M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M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1"/>
      <c r="H530" s="1"/>
      <c r="I530" s="5"/>
      <c r="J530" s="1"/>
      <c r="K530" s="1"/>
      <c r="L530" s="1"/>
      <c r="M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1"/>
      <c r="H532" s="1"/>
      <c r="I532" s="5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1"/>
      <c r="I533" s="5"/>
      <c r="J533" s="1"/>
      <c r="K533" s="1"/>
      <c r="L533" s="1"/>
      <c r="M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9"/>
      <c r="H534" s="9"/>
      <c r="I534" s="5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9"/>
      <c r="I535" s="5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9"/>
      <c r="I536" s="5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1"/>
      <c r="H537" s="1"/>
      <c r="I537" s="5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1"/>
      <c r="H538" s="9"/>
      <c r="I538" s="5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1"/>
      <c r="H539" s="1"/>
      <c r="I539" s="5"/>
      <c r="J539" s="1"/>
      <c r="K539" s="1"/>
      <c r="L539" s="1"/>
      <c r="M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9"/>
      <c r="H540" s="1"/>
      <c r="I540" s="5"/>
      <c r="J540" s="1"/>
      <c r="K540" s="1"/>
      <c r="L540" s="1"/>
      <c r="M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9"/>
      <c r="H541" s="1"/>
      <c r="I541" s="5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5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1"/>
      <c r="H543" s="1"/>
      <c r="I543" s="5"/>
      <c r="J543" s="1"/>
      <c r="K543" s="1"/>
      <c r="L543" s="1"/>
      <c r="M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1"/>
      <c r="H544" s="1"/>
      <c r="I544" s="5"/>
      <c r="J544" s="1"/>
      <c r="K544" s="1"/>
      <c r="L544" s="1"/>
      <c r="M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9"/>
      <c r="H545" s="9"/>
      <c r="I545" s="5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1"/>
      <c r="H546" s="1"/>
      <c r="I546" s="5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9"/>
      <c r="H547" s="9"/>
      <c r="I547" s="5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1"/>
      <c r="H548" s="1"/>
      <c r="I548" s="5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9"/>
      <c r="H549" s="9"/>
      <c r="I549" s="5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1"/>
      <c r="H550" s="1"/>
      <c r="I550" s="5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9"/>
      <c r="H552" s="9"/>
      <c r="I552" s="5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1"/>
      <c r="H553" s="1"/>
      <c r="I553" s="5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1"/>
      <c r="H555" s="1"/>
      <c r="I555" s="5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5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1"/>
      <c r="H557" s="1"/>
      <c r="I557" s="5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5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1"/>
      <c r="H560" s="1"/>
      <c r="I560" s="5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9"/>
      <c r="H564" s="9"/>
      <c r="I564" s="5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1"/>
      <c r="H567" s="1"/>
      <c r="I567" s="5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1"/>
      <c r="H569" s="1"/>
      <c r="I569" s="5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9"/>
      <c r="H570" s="9"/>
      <c r="I570" s="5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9"/>
      <c r="H573" s="9"/>
      <c r="I573" s="5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9"/>
      <c r="H574" s="9"/>
      <c r="I574" s="5"/>
      <c r="J574" s="1"/>
      <c r="K574" s="1"/>
      <c r="L574" s="1"/>
      <c r="M574" s="1"/>
      <c r="N574" s="14"/>
      <c r="O574" s="16"/>
      <c r="P574" s="1"/>
    </row>
    <row r="575" spans="1:16">
      <c r="A575" s="6"/>
      <c r="B575" s="7"/>
      <c r="C575" s="6"/>
      <c r="D575" s="6"/>
      <c r="E575" s="6"/>
      <c r="F575" s="1"/>
      <c r="G575" s="1"/>
      <c r="H575" s="1"/>
      <c r="I575" s="5"/>
      <c r="J575" s="1"/>
      <c r="K575" s="1"/>
      <c r="L575" s="1"/>
      <c r="M575" s="1"/>
      <c r="N575" s="14"/>
      <c r="O575" s="16"/>
      <c r="P575" s="1"/>
    </row>
    <row r="576" spans="1:16">
      <c r="A576" s="6"/>
      <c r="B576" s="7"/>
      <c r="C576" s="6"/>
      <c r="D576" s="6"/>
      <c r="E576" s="6"/>
      <c r="F576" s="1"/>
      <c r="G576" s="1"/>
      <c r="H576" s="1"/>
      <c r="I576" s="5"/>
      <c r="J576" s="1"/>
      <c r="K576" s="1"/>
      <c r="L576" s="1"/>
      <c r="M576" s="1"/>
      <c r="N576" s="14"/>
      <c r="O576" s="16"/>
      <c r="P576" s="1"/>
    </row>
    <row r="577" spans="1:16">
      <c r="A577" s="6"/>
      <c r="B577" s="7"/>
      <c r="C577" s="6"/>
      <c r="D577" s="6"/>
      <c r="E577" s="6"/>
      <c r="F577" s="1"/>
      <c r="G577" s="1"/>
      <c r="H577" s="1"/>
      <c r="I577" s="5"/>
      <c r="J577" s="1"/>
      <c r="K577" s="1"/>
      <c r="L577" s="1"/>
      <c r="M577" s="1"/>
      <c r="N577" s="14"/>
      <c r="O577" s="16"/>
      <c r="P577" s="1"/>
    </row>
    <row r="578" spans="1:16">
      <c r="B578" s="7"/>
      <c r="C578" s="6"/>
      <c r="D578" s="6"/>
      <c r="E578" s="6"/>
      <c r="F578" s="1"/>
      <c r="G578" s="9"/>
      <c r="H578" s="9"/>
      <c r="I578" s="5"/>
      <c r="J578" s="1"/>
      <c r="K578" s="1"/>
      <c r="L578" s="1"/>
      <c r="M578" s="1"/>
      <c r="N578" s="14"/>
      <c r="O578" s="16"/>
      <c r="P578" s="1"/>
    </row>
    <row r="579" spans="1:16">
      <c r="B579" s="7"/>
      <c r="C579" s="59"/>
      <c r="D579" s="6"/>
      <c r="E579" s="6"/>
      <c r="F579" s="1"/>
      <c r="G579" s="1"/>
      <c r="H579" s="1"/>
      <c r="I579" s="5"/>
      <c r="J579" s="1"/>
      <c r="K579" s="1"/>
      <c r="L579" s="1"/>
      <c r="M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9"/>
      <c r="H580" s="9"/>
      <c r="I580" s="5"/>
      <c r="J580" s="1"/>
      <c r="K580" s="1"/>
      <c r="L580" s="1"/>
      <c r="M580" s="1"/>
      <c r="N580" s="14"/>
      <c r="O580" s="16"/>
      <c r="P580" s="1"/>
    </row>
    <row r="581" spans="1:16">
      <c r="B581" s="7"/>
      <c r="C581" s="59"/>
      <c r="D581" s="6"/>
      <c r="E581" s="62"/>
      <c r="F581" s="1"/>
      <c r="G581" s="9"/>
      <c r="H581" s="9"/>
      <c r="I581" s="5"/>
      <c r="J581" s="1"/>
      <c r="K581" s="1"/>
      <c r="L581" s="1"/>
      <c r="M581" s="1"/>
      <c r="N581" s="14"/>
      <c r="O581" s="16"/>
      <c r="P581" s="1"/>
    </row>
    <row r="582" spans="1:16">
      <c r="B582" s="7"/>
      <c r="C582" s="59"/>
      <c r="D582" s="6"/>
      <c r="E582" s="6"/>
      <c r="F582" s="1"/>
      <c r="G582" s="9"/>
      <c r="H582" s="1"/>
      <c r="I582" s="5"/>
      <c r="J582" s="1"/>
      <c r="K582" s="1"/>
      <c r="L582" s="1"/>
      <c r="M582" s="1"/>
      <c r="N582" s="14"/>
      <c r="O582" s="16"/>
      <c r="P582" s="1"/>
    </row>
    <row r="583" spans="1:16">
      <c r="B583" s="7"/>
      <c r="C583" s="59"/>
      <c r="D583" s="6"/>
      <c r="E583" s="6"/>
      <c r="F583" s="1"/>
      <c r="G583" s="9"/>
      <c r="H583" s="9"/>
      <c r="I583" s="5"/>
      <c r="J583" s="1"/>
      <c r="K583" s="1"/>
      <c r="L583" s="1"/>
      <c r="M583" s="1"/>
      <c r="N583" s="14"/>
      <c r="O583" s="16"/>
      <c r="P583" s="1"/>
    </row>
    <row r="584" spans="1:16">
      <c r="B584" s="7"/>
      <c r="C584" s="59"/>
      <c r="D584" s="6"/>
      <c r="E584" s="6"/>
      <c r="F584" s="1"/>
      <c r="G584" s="9"/>
      <c r="H584" s="9"/>
      <c r="I584" s="5"/>
      <c r="J584" s="1"/>
      <c r="K584" s="1"/>
      <c r="L584" s="1"/>
      <c r="M584" s="1"/>
      <c r="N584" s="14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M585" s="1"/>
      <c r="N585" s="14"/>
      <c r="O585" s="16"/>
      <c r="P585" s="1"/>
    </row>
    <row r="586" spans="1:16">
      <c r="A586" s="63"/>
      <c r="B586" s="9"/>
      <c r="D586" s="1"/>
      <c r="F586" s="1"/>
      <c r="G586" s="9"/>
      <c r="H586" s="9"/>
      <c r="I586" s="5"/>
      <c r="J586" s="1"/>
      <c r="K586" s="1"/>
      <c r="L586" s="1"/>
      <c r="M586" s="1"/>
      <c r="N586" s="5"/>
      <c r="O586" s="16"/>
      <c r="P586" s="1"/>
    </row>
    <row r="587" spans="1:16">
      <c r="B587" s="7"/>
      <c r="C587" s="59"/>
      <c r="D587" s="6"/>
      <c r="E587" s="64"/>
      <c r="F587" s="1"/>
      <c r="G587" s="9"/>
      <c r="H587" s="9"/>
      <c r="I587" s="5"/>
      <c r="J587" s="1"/>
      <c r="K587" s="1"/>
      <c r="L587" s="1"/>
      <c r="M587" s="1"/>
      <c r="N587" s="14"/>
      <c r="O587" s="16"/>
      <c r="P587" s="1"/>
    </row>
    <row r="588" spans="1:16">
      <c r="B588" s="7"/>
      <c r="C588" s="59"/>
      <c r="D588" s="6"/>
      <c r="E588" s="6"/>
      <c r="F588" s="1"/>
      <c r="G588" s="9"/>
      <c r="H588" s="9"/>
      <c r="I588" s="5"/>
      <c r="J588" s="1"/>
      <c r="K588" s="1"/>
      <c r="L588" s="1"/>
      <c r="M588" s="1"/>
      <c r="N588" s="5"/>
      <c r="O588" s="16"/>
      <c r="P588" s="1"/>
    </row>
    <row r="589" spans="1:16">
      <c r="A589" s="65"/>
      <c r="B589" s="9"/>
      <c r="D589" s="1"/>
      <c r="F589" s="1"/>
      <c r="G589" s="9"/>
      <c r="H589" s="9"/>
      <c r="I589" s="5"/>
      <c r="J589" s="1"/>
      <c r="K589" s="1"/>
      <c r="L589" s="1"/>
      <c r="M589" s="1"/>
      <c r="N589" s="5"/>
      <c r="O589" s="16"/>
      <c r="P589" s="1"/>
    </row>
    <row r="590" spans="1:16">
      <c r="B590" s="7"/>
      <c r="C590" s="59"/>
      <c r="D590" s="6"/>
      <c r="E590" s="6"/>
      <c r="F590" s="1"/>
      <c r="G590" s="9"/>
      <c r="H590" s="9"/>
      <c r="I590" s="5"/>
      <c r="J590" s="1"/>
      <c r="K590" s="1"/>
      <c r="L590" s="1"/>
      <c r="M590" s="1"/>
      <c r="N590" s="14"/>
      <c r="O590" s="16"/>
      <c r="P590" s="1"/>
    </row>
    <row r="591" spans="1:16">
      <c r="B591" s="7"/>
      <c r="C591" s="59"/>
      <c r="D591" s="59"/>
      <c r="E591" s="6"/>
      <c r="F591" s="1"/>
      <c r="G591" s="9"/>
      <c r="H591" s="9"/>
      <c r="I591" s="5"/>
      <c r="J591" s="1"/>
      <c r="K591" s="1"/>
      <c r="L591" s="1"/>
      <c r="M591" s="1"/>
      <c r="N591" s="14"/>
      <c r="O591" s="16"/>
      <c r="P591" s="1"/>
    </row>
    <row r="592" spans="1:16">
      <c r="B592" s="7"/>
      <c r="C592" s="59"/>
      <c r="D592" s="6"/>
      <c r="E592" s="6"/>
      <c r="F592" s="1"/>
      <c r="G592" s="9"/>
      <c r="H592" s="9"/>
      <c r="I592" s="5"/>
      <c r="J592" s="1"/>
      <c r="K592" s="1"/>
      <c r="L592" s="1"/>
      <c r="M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M593" s="1"/>
      <c r="N593" s="14"/>
      <c r="O593" s="16"/>
      <c r="P593" s="1"/>
    </row>
    <row r="594" spans="2:16">
      <c r="B594" s="7"/>
      <c r="C594" s="59"/>
      <c r="D594" s="59"/>
      <c r="E594" s="59"/>
      <c r="F594" s="1"/>
      <c r="G594" s="9"/>
      <c r="H594" s="9"/>
      <c r="I594" s="5"/>
      <c r="J594" s="1"/>
      <c r="K594" s="1"/>
      <c r="L594" s="1"/>
      <c r="M594" s="1"/>
      <c r="N594" s="14"/>
      <c r="O594" s="16"/>
      <c r="P594" s="1"/>
    </row>
    <row r="595" spans="2:16">
      <c r="B595" s="7"/>
      <c r="C595" s="59"/>
      <c r="D595" s="6"/>
      <c r="E595" s="6"/>
      <c r="F595" s="1"/>
      <c r="G595" s="9"/>
      <c r="H595" s="9"/>
      <c r="I595" s="5"/>
      <c r="J595" s="1"/>
      <c r="K595" s="1"/>
      <c r="L595" s="1"/>
      <c r="M595" s="1"/>
      <c r="N595" s="14"/>
      <c r="O595" s="16"/>
      <c r="P595" s="1"/>
    </row>
    <row r="596" spans="2:16">
      <c r="B596" s="7"/>
      <c r="C596" s="59"/>
      <c r="D596" s="6"/>
      <c r="E596" s="6"/>
      <c r="F596" s="1"/>
      <c r="G596" s="9"/>
      <c r="H596" s="9"/>
      <c r="I596" s="5"/>
      <c r="J596" s="1"/>
      <c r="K596" s="1"/>
      <c r="L596" s="1"/>
      <c r="M596" s="1"/>
      <c r="N596" s="14"/>
      <c r="O596" s="16"/>
      <c r="P596" s="1"/>
    </row>
    <row r="597" spans="2:16">
      <c r="B597" s="7"/>
      <c r="C597" s="59"/>
      <c r="D597" s="59"/>
      <c r="E597" s="6"/>
      <c r="F597" s="1"/>
      <c r="G597" s="9"/>
      <c r="H597" s="9"/>
      <c r="I597" s="5"/>
      <c r="J597" s="1"/>
      <c r="K597" s="1"/>
      <c r="L597" s="1"/>
      <c r="M597" s="1"/>
      <c r="N597" s="14"/>
      <c r="O597" s="16"/>
      <c r="P597" s="1"/>
    </row>
    <row r="598" spans="2:16">
      <c r="B598" s="7"/>
      <c r="C598" s="59"/>
      <c r="D598" s="6"/>
      <c r="E598" s="6"/>
      <c r="F598" s="1"/>
      <c r="G598" s="9"/>
      <c r="H598" s="9"/>
      <c r="I598" s="5"/>
      <c r="J598" s="1"/>
      <c r="K598" s="1"/>
      <c r="L598" s="1"/>
      <c r="M598" s="1"/>
      <c r="N598" s="14"/>
      <c r="O598" s="16"/>
      <c r="P598" s="1"/>
    </row>
    <row r="599" spans="2:16">
      <c r="B599" s="7"/>
      <c r="C599" s="59"/>
      <c r="D599" s="59"/>
      <c r="E599" s="59"/>
      <c r="F599" s="1"/>
      <c r="G599" s="9"/>
      <c r="H599" s="9"/>
      <c r="I599" s="5"/>
      <c r="J599" s="1"/>
      <c r="K599" s="1"/>
      <c r="L599" s="1"/>
      <c r="M599" s="1"/>
      <c r="N599" s="14"/>
      <c r="O599" s="16"/>
      <c r="P599" s="1"/>
    </row>
    <row r="600" spans="2:16">
      <c r="B600" s="7"/>
      <c r="C600" s="59"/>
      <c r="D600" s="59"/>
      <c r="E600" s="59"/>
      <c r="F600" s="1"/>
      <c r="G600" s="1"/>
      <c r="H600" s="1"/>
      <c r="I600" s="5"/>
      <c r="J600" s="1"/>
      <c r="K600" s="1"/>
      <c r="L600" s="1"/>
      <c r="M600" s="1"/>
      <c r="N600" s="14"/>
      <c r="O600" s="16"/>
      <c r="P600" s="1"/>
    </row>
    <row r="601" spans="2:16">
      <c r="B601" s="7"/>
      <c r="C601" s="59"/>
      <c r="D601" s="59"/>
      <c r="E601" s="59"/>
      <c r="F601" s="1"/>
      <c r="G601" s="1"/>
      <c r="H601" s="1"/>
      <c r="I601" s="5"/>
      <c r="J601" s="1"/>
      <c r="K601" s="1"/>
      <c r="L601" s="1"/>
      <c r="M601" s="1"/>
      <c r="N601" s="14"/>
      <c r="O601" s="16"/>
    </row>
    <row r="602" spans="2:16">
      <c r="B602" s="7"/>
      <c r="C602" s="59"/>
      <c r="D602" s="59"/>
      <c r="E602" s="59"/>
      <c r="F602" s="1"/>
      <c r="G602" s="1"/>
      <c r="H602" s="1"/>
      <c r="I602" s="5"/>
      <c r="J602" s="1"/>
      <c r="K602" s="1"/>
      <c r="L602" s="1"/>
      <c r="M602" s="1"/>
      <c r="N602" s="14"/>
      <c r="O602" s="16"/>
      <c r="P602" s="1"/>
    </row>
    <row r="603" spans="2:16">
      <c r="B603" s="7"/>
      <c r="C603" s="59"/>
      <c r="D603" s="59"/>
      <c r="E603" s="59"/>
      <c r="F603" s="1"/>
      <c r="G603" s="1"/>
      <c r="H603" s="1"/>
      <c r="I603" s="5"/>
      <c r="J603" s="1"/>
      <c r="K603" s="1"/>
      <c r="L603" s="1"/>
      <c r="M603" s="9"/>
      <c r="N603" s="14"/>
      <c r="O603" s="16"/>
      <c r="P603" s="1"/>
    </row>
    <row r="604" spans="2:16">
      <c r="G604" s="10"/>
      <c r="H604" s="10"/>
    </row>
  </sheetData>
  <conditionalFormatting sqref="A3:A245">
    <cfRule type="duplicateValues" dxfId="431" priority="100"/>
  </conditionalFormatting>
  <conditionalFormatting sqref="A3:A289 A291:A292">
    <cfRule type="duplicateValues" dxfId="430" priority="608"/>
  </conditionalFormatting>
  <conditionalFormatting sqref="A89">
    <cfRule type="cellIs" dxfId="429" priority="592" operator="equal">
      <formula>"CANCELADO"</formula>
    </cfRule>
  </conditionalFormatting>
  <conditionalFormatting sqref="A225">
    <cfRule type="duplicateValues" dxfId="428" priority="67"/>
  </conditionalFormatting>
  <conditionalFormatting sqref="A226:A289 A291:A305">
    <cfRule type="duplicateValues" dxfId="427" priority="610"/>
  </conditionalFormatting>
  <conditionalFormatting sqref="A290">
    <cfRule type="duplicateValues" dxfId="426" priority="4"/>
    <cfRule type="duplicateValues" dxfId="425" priority="5"/>
  </conditionalFormatting>
  <conditionalFormatting sqref="A586">
    <cfRule type="duplicateValues" dxfId="424" priority="598"/>
  </conditionalFormatting>
  <conditionalFormatting sqref="A589">
    <cfRule type="duplicateValues" dxfId="423" priority="597"/>
  </conditionalFormatting>
  <conditionalFormatting sqref="B220">
    <cfRule type="duplicateValues" dxfId="422" priority="87"/>
    <cfRule type="duplicateValues" dxfId="421" priority="88"/>
    <cfRule type="duplicateValues" dxfId="420" priority="89"/>
    <cfRule type="duplicateValues" dxfId="419" priority="90"/>
  </conditionalFormatting>
  <conditionalFormatting sqref="C3">
    <cfRule type="cellIs" dxfId="418" priority="596" operator="equal">
      <formula>"CANCELADO"</formula>
    </cfRule>
  </conditionalFormatting>
  <conditionalFormatting sqref="C25">
    <cfRule type="cellIs" dxfId="417" priority="595" operator="equal">
      <formula>"CANCELADO"</formula>
    </cfRule>
  </conditionalFormatting>
  <conditionalFormatting sqref="C53">
    <cfRule type="cellIs" dxfId="416" priority="594" operator="equal">
      <formula>"CANCELADO"</formula>
    </cfRule>
  </conditionalFormatting>
  <conditionalFormatting sqref="C83">
    <cfRule type="cellIs" dxfId="415" priority="593" operator="equal">
      <formula>"CANCELADO"</formula>
    </cfRule>
  </conditionalFormatting>
  <conditionalFormatting sqref="C321">
    <cfRule type="cellIs" dxfId="414" priority="361" operator="equal">
      <formula>"LANÇADO"</formula>
    </cfRule>
    <cfRule type="cellIs" dxfId="413" priority="362" operator="equal">
      <formula>"PENDENTE"</formula>
    </cfRule>
  </conditionalFormatting>
  <conditionalFormatting sqref="E221:E222">
    <cfRule type="cellIs" dxfId="412" priority="83" operator="equal">
      <formula>"Interior"</formula>
    </cfRule>
  </conditionalFormatting>
  <conditionalFormatting sqref="E224:E229">
    <cfRule type="cellIs" dxfId="411" priority="77" operator="equal">
      <formula>"Interior"</formula>
    </cfRule>
  </conditionalFormatting>
  <conditionalFormatting sqref="E231:E290">
    <cfRule type="cellIs" dxfId="410" priority="1" operator="equal">
      <formula>"Interior"</formula>
    </cfRule>
  </conditionalFormatting>
  <conditionalFormatting sqref="E320:E340">
    <cfRule type="cellIs" dxfId="409" priority="341" operator="equal">
      <formula>"Interior"</formula>
    </cfRule>
  </conditionalFormatting>
  <conditionalFormatting sqref="E342:E351">
    <cfRule type="cellIs" dxfId="408" priority="331" operator="equal">
      <formula>"Interior"</formula>
    </cfRule>
  </conditionalFormatting>
  <conditionalFormatting sqref="L3:L603">
    <cfRule type="cellIs" dxfId="407" priority="48" operator="equal">
      <formula>"LANÇADO"</formula>
    </cfRule>
    <cfRule type="cellIs" dxfId="406" priority="49" operator="equal">
      <formula>"PENDENTE"</formula>
    </cfRule>
  </conditionalFormatting>
  <conditionalFormatting sqref="O1:O3 O273:O1048576">
    <cfRule type="cellIs" dxfId="405" priority="599" operator="lessThan">
      <formula>0</formula>
    </cfRule>
  </conditionalFormatting>
  <conditionalFormatting sqref="O3:O271">
    <cfRule type="cellIs" dxfId="404" priority="315" operator="lessThan">
      <formula>0</formula>
    </cfRule>
  </conditionalFormatting>
  <dataValidations count="5">
    <dataValidation type="list" allowBlank="1" showInputMessage="1" showErrorMessage="1" sqref="A321 J603 J3:J359" xr:uid="{54031A1A-DA87-445D-A626-687A4F807EBD}">
      <formula1>"PENDENTE,OK,ISENTO"</formula1>
    </dataValidation>
    <dataValidation type="list" allowBlank="1" showInputMessage="1" showErrorMessage="1" sqref="C213 C321 L3:L603" xr:uid="{6C6A2E67-9612-4C3A-A887-634AE6684D49}">
      <formula1>"LANÇADO,PENDENTE"</formula1>
    </dataValidation>
    <dataValidation type="list" allowBlank="1" showInputMessage="1" showErrorMessage="1" sqref="J360:J439" xr:uid="{7399875E-BEDB-49D9-B6D3-A25957C2A4FF}">
      <formula1>"PENDENTE,OK"</formula1>
    </dataValidation>
    <dataValidation type="list" allowBlank="1" showInputMessage="1" showErrorMessage="1" sqref="K360:K439" xr:uid="{6E3C7630-0810-450F-A7A7-3FBAD0513E01}">
      <formula1>"PENDENTE,ANEXADO"</formula1>
    </dataValidation>
    <dataValidation type="list" allowBlank="1" showInputMessage="1" showErrorMessage="1" sqref="K603 K3:K359" xr:uid="{5E594FCC-26C2-44C1-AFD2-77D6B8AC63A7}">
      <formula1>"PENDENTE,ANEXADO,ISENTO"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8789-325B-4FFF-ACFC-F28E0E51B7D4}">
  <dimension ref="A1:P601"/>
  <sheetViews>
    <sheetView showGridLines="0" topLeftCell="D1" zoomScale="80" zoomScaleNormal="80" workbookViewId="0">
      <pane ySplit="2" topLeftCell="A485" activePane="bottomLeft" state="frozen"/>
      <selection pane="bottomLeft" activeCell="D3" sqref="A3:XFD519"/>
    </sheetView>
  </sheetViews>
  <sheetFormatPr defaultRowHeight="15"/>
  <cols>
    <col min="1" max="1" width="12.28515625" style="1" customWidth="1"/>
    <col min="2" max="2" width="12.85546875" hidden="1" customWidth="1"/>
    <col min="3" max="3" width="28.5703125" hidden="1" customWidth="1"/>
    <col min="4" max="4" width="38.5703125" customWidth="1"/>
    <col min="5" max="5" width="27.42578125" customWidth="1"/>
    <col min="6" max="6" width="64.28515625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SUBTOTAL(9,Tabela13891011[Match_Planilha])</f>
        <v>0</v>
      </c>
      <c r="O1" s="15">
        <f>SUBTOTAL(9,Tabela13891011[Dif])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6"/>
      <c r="B3" s="174"/>
      <c r="C3" s="7"/>
      <c r="D3" s="176"/>
      <c r="E3" s="176"/>
      <c r="F3" s="6"/>
      <c r="G3" s="7"/>
      <c r="H3" s="7"/>
      <c r="I3" s="186"/>
      <c r="J3" s="1"/>
      <c r="K3" s="1"/>
      <c r="L3" s="1"/>
      <c r="M3" s="9"/>
      <c r="N3" s="186"/>
      <c r="O3" s="16"/>
      <c r="P3" s="1"/>
    </row>
    <row r="4" spans="1:16">
      <c r="A4" s="6"/>
      <c r="B4" s="187"/>
      <c r="C4" s="7"/>
      <c r="D4" s="176"/>
      <c r="E4" s="172"/>
      <c r="F4" s="6"/>
      <c r="G4" s="7"/>
      <c r="H4" s="7"/>
      <c r="I4" s="186"/>
      <c r="J4" s="1"/>
      <c r="K4" s="1"/>
      <c r="L4" s="1"/>
      <c r="M4" s="9"/>
      <c r="N4" s="186"/>
      <c r="O4" s="16"/>
      <c r="P4" s="1"/>
    </row>
    <row r="5" spans="1:16">
      <c r="A5" s="6"/>
      <c r="B5" s="187"/>
      <c r="C5" s="7"/>
      <c r="D5" s="176"/>
      <c r="E5" s="172"/>
      <c r="F5" s="6"/>
      <c r="G5" s="7"/>
      <c r="H5" s="7"/>
      <c r="I5" s="186"/>
      <c r="J5" s="1"/>
      <c r="K5" s="1"/>
      <c r="L5" s="1"/>
      <c r="M5" s="9"/>
      <c r="N5" s="186"/>
      <c r="O5" s="16"/>
      <c r="P5" s="1"/>
    </row>
    <row r="6" spans="1:16">
      <c r="A6" s="6"/>
      <c r="B6" s="187"/>
      <c r="C6" s="7"/>
      <c r="D6" s="176"/>
      <c r="E6" s="172"/>
      <c r="F6" s="6"/>
      <c r="G6" s="7"/>
      <c r="H6" s="7"/>
      <c r="I6" s="186"/>
      <c r="J6" s="1"/>
      <c r="K6" s="1"/>
      <c r="L6" s="1"/>
      <c r="M6" s="9"/>
      <c r="N6" s="186"/>
      <c r="O6" s="16"/>
      <c r="P6" s="1"/>
    </row>
    <row r="7" spans="1:16">
      <c r="A7" s="188"/>
      <c r="B7" s="187"/>
      <c r="C7" s="7"/>
      <c r="D7" s="176"/>
      <c r="E7" s="172"/>
      <c r="F7" s="6"/>
      <c r="G7" s="7"/>
      <c r="H7" s="7"/>
      <c r="I7" s="186"/>
      <c r="J7" s="1"/>
      <c r="K7" s="1"/>
      <c r="L7" s="1"/>
      <c r="M7" s="9"/>
      <c r="N7" s="186"/>
      <c r="O7" s="16"/>
      <c r="P7" s="1"/>
    </row>
    <row r="8" spans="1:16">
      <c r="A8" s="6"/>
      <c r="B8" s="187"/>
      <c r="C8" s="7"/>
      <c r="D8" s="176"/>
      <c r="E8" s="172"/>
      <c r="F8" s="6"/>
      <c r="G8" s="7"/>
      <c r="H8" s="7"/>
      <c r="I8" s="186"/>
      <c r="J8" s="1"/>
      <c r="K8" s="1"/>
      <c r="L8" s="1"/>
      <c r="M8" s="9"/>
      <c r="N8" s="186"/>
      <c r="O8" s="16"/>
      <c r="P8" s="1"/>
    </row>
    <row r="9" spans="1:16">
      <c r="A9" s="6"/>
      <c r="B9" s="187"/>
      <c r="C9" s="7"/>
      <c r="D9" s="176"/>
      <c r="E9" s="172"/>
      <c r="F9" s="6"/>
      <c r="G9" s="7"/>
      <c r="H9" s="7"/>
      <c r="I9" s="186"/>
      <c r="J9" s="1"/>
      <c r="K9" s="1"/>
      <c r="L9" s="1"/>
      <c r="M9" s="9"/>
      <c r="N9" s="186"/>
      <c r="O9" s="16"/>
      <c r="P9" s="1"/>
    </row>
    <row r="10" spans="1:16">
      <c r="A10" s="6"/>
      <c r="B10" s="187"/>
      <c r="C10" s="7"/>
      <c r="D10" s="189"/>
      <c r="E10" s="172"/>
      <c r="F10" s="6"/>
      <c r="G10" s="7"/>
      <c r="H10" s="7"/>
      <c r="I10" s="186"/>
      <c r="J10" s="1"/>
      <c r="K10" s="1"/>
      <c r="L10" s="1"/>
      <c r="M10" s="9"/>
      <c r="N10" s="186"/>
      <c r="O10" s="16"/>
      <c r="P10" s="1"/>
    </row>
    <row r="11" spans="1:16">
      <c r="A11" s="6"/>
      <c r="B11" s="187"/>
      <c r="C11" s="7"/>
      <c r="D11" s="189"/>
      <c r="E11" s="172"/>
      <c r="F11" s="6"/>
      <c r="G11" s="7"/>
      <c r="H11" s="7"/>
      <c r="I11" s="186"/>
      <c r="J11" s="1"/>
      <c r="K11" s="1"/>
      <c r="L11" s="1"/>
      <c r="M11" s="9"/>
      <c r="N11" s="186"/>
      <c r="O11" s="16"/>
      <c r="P11" s="1"/>
    </row>
    <row r="12" spans="1:16">
      <c r="A12" s="6"/>
      <c r="B12" s="174"/>
      <c r="C12" s="7"/>
      <c r="D12" s="176"/>
      <c r="E12" s="172"/>
      <c r="F12" s="6"/>
      <c r="G12" s="7"/>
      <c r="H12" s="7"/>
      <c r="I12" s="186"/>
      <c r="J12" s="1"/>
      <c r="K12" s="1"/>
      <c r="L12" s="1"/>
      <c r="M12" s="9"/>
      <c r="N12" s="186"/>
      <c r="O12" s="16"/>
      <c r="P12" s="1"/>
    </row>
    <row r="13" spans="1:16">
      <c r="A13" s="6"/>
      <c r="B13" s="174"/>
      <c r="C13" s="148"/>
      <c r="D13" s="176"/>
      <c r="E13" s="172"/>
      <c r="F13" s="6"/>
      <c r="G13" s="7"/>
      <c r="H13" s="7"/>
      <c r="I13" s="186"/>
      <c r="J13" s="1"/>
      <c r="K13" s="1"/>
      <c r="L13" s="1"/>
      <c r="M13" s="9"/>
      <c r="N13" s="186"/>
      <c r="O13" s="16"/>
      <c r="P13" s="1"/>
    </row>
    <row r="14" spans="1:16">
      <c r="A14" s="6"/>
      <c r="B14" s="187"/>
      <c r="C14" s="7"/>
      <c r="D14" s="189"/>
      <c r="E14" s="172"/>
      <c r="F14" s="6"/>
      <c r="G14" s="7"/>
      <c r="H14" s="7"/>
      <c r="I14" s="186"/>
      <c r="J14" s="1"/>
      <c r="K14" s="1"/>
      <c r="L14" s="1"/>
      <c r="M14" s="9"/>
      <c r="N14" s="186"/>
      <c r="O14" s="16"/>
      <c r="P14" s="1"/>
    </row>
    <row r="15" spans="1:16">
      <c r="A15" s="6"/>
      <c r="B15" s="174"/>
      <c r="C15" s="7"/>
      <c r="D15" s="176"/>
      <c r="E15" s="172"/>
      <c r="F15" s="6"/>
      <c r="G15" s="7"/>
      <c r="H15" s="7"/>
      <c r="I15" s="186"/>
      <c r="J15" s="1"/>
      <c r="K15" s="1"/>
      <c r="L15" s="1"/>
      <c r="M15" s="9"/>
      <c r="N15" s="186"/>
      <c r="O15" s="16"/>
      <c r="P15" s="1"/>
    </row>
    <row r="16" spans="1:16">
      <c r="A16" s="6"/>
      <c r="B16" s="187"/>
      <c r="C16" s="7"/>
      <c r="D16" s="176"/>
      <c r="E16" s="172"/>
      <c r="F16" s="6"/>
      <c r="G16" s="7"/>
      <c r="H16" s="7"/>
      <c r="I16" s="186"/>
      <c r="J16" s="1"/>
      <c r="K16" s="1"/>
      <c r="L16" s="1"/>
      <c r="M16" s="9"/>
      <c r="N16" s="186"/>
      <c r="O16" s="16"/>
      <c r="P16" s="1"/>
    </row>
    <row r="17" spans="1:16">
      <c r="A17" s="6"/>
      <c r="B17" s="174"/>
      <c r="C17" s="7"/>
      <c r="D17" s="176"/>
      <c r="E17" s="6"/>
      <c r="F17" s="6"/>
      <c r="G17" s="7"/>
      <c r="H17" s="7"/>
      <c r="I17" s="186"/>
      <c r="J17" s="1"/>
      <c r="K17" s="1"/>
      <c r="L17" s="1"/>
      <c r="M17" s="9"/>
      <c r="N17" s="186"/>
      <c r="O17" s="16"/>
      <c r="P17" s="1"/>
    </row>
    <row r="18" spans="1:16">
      <c r="A18" s="6"/>
      <c r="B18" s="7"/>
      <c r="C18" s="7"/>
      <c r="D18" s="176"/>
      <c r="E18" s="6"/>
      <c r="F18" s="6"/>
      <c r="G18" s="7"/>
      <c r="H18" s="7"/>
      <c r="I18" s="186"/>
      <c r="J18" s="1"/>
      <c r="K18" s="1"/>
      <c r="L18" s="1"/>
      <c r="M18" s="9"/>
      <c r="N18" s="186"/>
      <c r="O18" s="16"/>
      <c r="P18" s="1"/>
    </row>
    <row r="19" spans="1:16">
      <c r="A19" s="6"/>
      <c r="B19" s="7"/>
      <c r="C19" s="7"/>
      <c r="D19" s="176"/>
      <c r="E19" s="6"/>
      <c r="F19" s="6"/>
      <c r="G19" s="7"/>
      <c r="H19" s="7"/>
      <c r="I19" s="186"/>
      <c r="J19" s="1"/>
      <c r="K19" s="1"/>
      <c r="L19" s="1"/>
      <c r="M19" s="9"/>
      <c r="N19" s="186"/>
      <c r="O19" s="16"/>
      <c r="P19" s="1"/>
    </row>
    <row r="20" spans="1:16">
      <c r="A20" s="6"/>
      <c r="B20" s="174"/>
      <c r="C20" s="7"/>
      <c r="D20" s="176"/>
      <c r="E20" s="6"/>
      <c r="F20" s="6"/>
      <c r="G20" s="7"/>
      <c r="H20" s="7"/>
      <c r="I20" s="186"/>
      <c r="J20" s="1"/>
      <c r="K20" s="1"/>
      <c r="L20" s="1"/>
      <c r="M20" s="9"/>
      <c r="N20" s="186"/>
      <c r="O20" s="16"/>
      <c r="P20" s="1"/>
    </row>
    <row r="21" spans="1:16">
      <c r="A21" s="6"/>
      <c r="B21" s="174"/>
      <c r="C21" s="7"/>
      <c r="D21" s="176"/>
      <c r="E21" s="6"/>
      <c r="F21" s="6"/>
      <c r="G21" s="7"/>
      <c r="H21" s="7"/>
      <c r="I21" s="186"/>
      <c r="J21" s="1"/>
      <c r="K21" s="1"/>
      <c r="L21" s="1"/>
      <c r="M21" s="9"/>
      <c r="N21" s="186"/>
      <c r="O21" s="16"/>
      <c r="P21" s="1"/>
    </row>
    <row r="22" spans="1:16">
      <c r="A22" s="6"/>
      <c r="B22" s="174"/>
      <c r="C22" s="7"/>
      <c r="D22" s="176"/>
      <c r="E22" s="6"/>
      <c r="F22" s="6"/>
      <c r="G22" s="7"/>
      <c r="H22" s="7"/>
      <c r="I22" s="186"/>
      <c r="J22" s="1"/>
      <c r="K22" s="1"/>
      <c r="L22" s="1"/>
      <c r="M22" s="9"/>
      <c r="N22" s="186"/>
      <c r="O22" s="16"/>
      <c r="P22" s="1"/>
    </row>
    <row r="23" spans="1:16">
      <c r="A23" s="6"/>
      <c r="B23" s="174"/>
      <c r="C23" s="7"/>
      <c r="D23" s="176"/>
      <c r="E23" s="6"/>
      <c r="F23" s="6"/>
      <c r="G23" s="7"/>
      <c r="H23" s="7"/>
      <c r="I23" s="186"/>
      <c r="J23" s="1"/>
      <c r="K23" s="1"/>
      <c r="L23" s="1"/>
      <c r="M23" s="9"/>
      <c r="N23" s="186"/>
      <c r="O23" s="16"/>
      <c r="P23" s="1"/>
    </row>
    <row r="24" spans="1:16">
      <c r="A24" s="6"/>
      <c r="B24" s="174"/>
      <c r="C24" s="7"/>
      <c r="D24" s="176"/>
      <c r="E24" s="6"/>
      <c r="F24" s="6"/>
      <c r="G24" s="7"/>
      <c r="H24" s="7"/>
      <c r="I24" s="186"/>
      <c r="J24" s="1"/>
      <c r="K24" s="1"/>
      <c r="L24" s="1"/>
      <c r="M24" s="9"/>
      <c r="N24" s="186"/>
      <c r="O24" s="16"/>
      <c r="P24" s="1"/>
    </row>
    <row r="25" spans="1:16">
      <c r="A25" s="6"/>
      <c r="B25" s="7"/>
      <c r="C25" s="7"/>
      <c r="D25" s="176"/>
      <c r="E25" s="6"/>
      <c r="F25" s="6"/>
      <c r="G25" s="7"/>
      <c r="H25" s="7"/>
      <c r="I25" s="186"/>
      <c r="J25" s="1"/>
      <c r="K25" s="1"/>
      <c r="L25" s="1"/>
      <c r="M25" s="9"/>
      <c r="N25" s="186"/>
      <c r="O25" s="16"/>
      <c r="P25" s="1"/>
    </row>
    <row r="26" spans="1:16">
      <c r="A26" s="6"/>
      <c r="B26" s="174"/>
      <c r="C26" s="7"/>
      <c r="D26" s="176"/>
      <c r="E26" s="6"/>
      <c r="F26" s="6"/>
      <c r="G26" s="7"/>
      <c r="H26" s="7"/>
      <c r="I26" s="186"/>
      <c r="J26" s="1"/>
      <c r="K26" s="1"/>
      <c r="L26" s="1"/>
      <c r="M26" s="9"/>
      <c r="N26" s="186"/>
      <c r="O26" s="16"/>
      <c r="P26" s="1"/>
    </row>
    <row r="27" spans="1:16">
      <c r="A27" s="6"/>
      <c r="B27" s="174"/>
      <c r="C27" s="7"/>
      <c r="D27" s="176"/>
      <c r="E27" s="6"/>
      <c r="F27" s="6"/>
      <c r="G27" s="7"/>
      <c r="H27" s="7"/>
      <c r="I27" s="186"/>
      <c r="J27" s="1"/>
      <c r="K27" s="1"/>
      <c r="L27" s="1"/>
      <c r="M27" s="9"/>
      <c r="N27" s="186"/>
      <c r="O27" s="16"/>
      <c r="P27" s="1"/>
    </row>
    <row r="28" spans="1:16">
      <c r="A28" s="6"/>
      <c r="B28" s="174"/>
      <c r="C28" s="7"/>
      <c r="D28" s="176"/>
      <c r="E28" s="6"/>
      <c r="F28" s="6"/>
      <c r="G28" s="7"/>
      <c r="H28" s="7"/>
      <c r="I28" s="186"/>
      <c r="J28" s="1"/>
      <c r="K28" s="1"/>
      <c r="L28" s="1"/>
      <c r="M28" s="9"/>
      <c r="N28" s="186"/>
      <c r="O28" s="16"/>
      <c r="P28" s="1"/>
    </row>
    <row r="29" spans="1:16">
      <c r="A29" s="6"/>
      <c r="B29" s="174"/>
      <c r="C29" s="7"/>
      <c r="D29" s="176"/>
      <c r="E29" s="6"/>
      <c r="F29" s="6"/>
      <c r="G29" s="7"/>
      <c r="H29" s="7"/>
      <c r="I29" s="186"/>
      <c r="J29" s="1"/>
      <c r="K29" s="1"/>
      <c r="L29" s="1"/>
      <c r="M29" s="9"/>
      <c r="N29" s="186"/>
      <c r="O29" s="16"/>
      <c r="P29" s="1"/>
    </row>
    <row r="30" spans="1:16">
      <c r="A30" s="6"/>
      <c r="B30" s="174"/>
      <c r="C30" s="7"/>
      <c r="D30" s="176"/>
      <c r="E30" s="6"/>
      <c r="F30" s="6"/>
      <c r="G30" s="7"/>
      <c r="H30" s="7"/>
      <c r="I30" s="186"/>
      <c r="J30" s="1"/>
      <c r="K30" s="1"/>
      <c r="L30" s="1"/>
      <c r="M30" s="9"/>
      <c r="N30" s="186"/>
      <c r="O30" s="16"/>
      <c r="P30" s="1"/>
    </row>
    <row r="31" spans="1:16">
      <c r="A31" s="6"/>
      <c r="B31" s="174"/>
      <c r="C31" s="7"/>
      <c r="D31" s="176"/>
      <c r="E31" s="6"/>
      <c r="F31" s="6"/>
      <c r="G31" s="7"/>
      <c r="H31" s="7"/>
      <c r="I31" s="186"/>
      <c r="J31" s="1"/>
      <c r="K31" s="1"/>
      <c r="L31" s="1"/>
      <c r="M31" s="9"/>
      <c r="N31" s="186"/>
      <c r="O31" s="16"/>
      <c r="P31" s="1"/>
    </row>
    <row r="32" spans="1:16">
      <c r="A32" s="6"/>
      <c r="B32" s="174"/>
      <c r="C32" s="7"/>
      <c r="D32" s="176"/>
      <c r="E32" s="6"/>
      <c r="F32" s="6"/>
      <c r="G32" s="7"/>
      <c r="H32" s="7"/>
      <c r="I32" s="186"/>
      <c r="J32" s="1"/>
      <c r="K32" s="1"/>
      <c r="L32" s="1"/>
      <c r="M32" s="9"/>
      <c r="N32" s="186"/>
      <c r="O32" s="16"/>
      <c r="P32" s="1"/>
    </row>
    <row r="33" spans="1:16">
      <c r="A33" s="6"/>
      <c r="B33" s="174"/>
      <c r="C33" s="7"/>
      <c r="D33" s="176"/>
      <c r="E33" s="6"/>
      <c r="F33" s="6"/>
      <c r="G33" s="7"/>
      <c r="H33" s="7"/>
      <c r="I33" s="186"/>
      <c r="J33" s="1"/>
      <c r="K33" s="1"/>
      <c r="L33" s="1"/>
      <c r="M33" s="9"/>
      <c r="N33" s="186"/>
      <c r="O33" s="16"/>
      <c r="P33" s="1"/>
    </row>
    <row r="34" spans="1:16">
      <c r="A34" s="6"/>
      <c r="B34" s="174"/>
      <c r="C34" s="7"/>
      <c r="D34" s="176"/>
      <c r="E34" s="6"/>
      <c r="F34" s="6"/>
      <c r="G34" s="7"/>
      <c r="H34" s="7"/>
      <c r="I34" s="186"/>
      <c r="J34" s="1"/>
      <c r="K34" s="1"/>
      <c r="L34" s="1"/>
      <c r="M34" s="9"/>
      <c r="N34" s="186"/>
      <c r="O34" s="16"/>
      <c r="P34" s="1"/>
    </row>
    <row r="35" spans="1:16">
      <c r="A35" s="6"/>
      <c r="B35" s="7"/>
      <c r="C35" s="7"/>
      <c r="D35" s="189"/>
      <c r="E35" s="6"/>
      <c r="F35" s="6"/>
      <c r="G35" s="7"/>
      <c r="H35" s="7"/>
      <c r="I35" s="186"/>
      <c r="J35" s="1"/>
      <c r="K35" s="1"/>
      <c r="L35" s="1"/>
      <c r="M35" s="9"/>
      <c r="N35" s="186"/>
      <c r="O35" s="16"/>
      <c r="P35" s="1"/>
    </row>
    <row r="36" spans="1:16">
      <c r="A36" s="6"/>
      <c r="B36" s="7"/>
      <c r="C36" s="148"/>
      <c r="D36" s="189"/>
      <c r="E36" s="6"/>
      <c r="F36" s="6"/>
      <c r="G36" s="7"/>
      <c r="H36" s="7"/>
      <c r="I36" s="186"/>
      <c r="J36" s="1"/>
      <c r="K36" s="1"/>
      <c r="L36" s="1"/>
      <c r="M36" s="9"/>
      <c r="N36" s="186"/>
      <c r="O36" s="16"/>
      <c r="P36" s="1"/>
    </row>
    <row r="37" spans="1:16">
      <c r="A37" s="6"/>
      <c r="B37" s="174"/>
      <c r="C37" s="7"/>
      <c r="D37" s="189"/>
      <c r="E37" s="6"/>
      <c r="F37" s="6"/>
      <c r="G37" s="7"/>
      <c r="H37" s="7"/>
      <c r="I37" s="186"/>
      <c r="J37" s="1"/>
      <c r="K37" s="1"/>
      <c r="L37" s="1"/>
      <c r="M37" s="9"/>
      <c r="N37" s="186"/>
      <c r="O37" s="16"/>
      <c r="P37" s="1"/>
    </row>
    <row r="38" spans="1:16">
      <c r="A38" s="6"/>
      <c r="B38" s="7"/>
      <c r="C38" s="7"/>
      <c r="D38" s="176"/>
      <c r="E38" s="6"/>
      <c r="F38" s="6"/>
      <c r="G38" s="7"/>
      <c r="H38" s="7"/>
      <c r="I38" s="186"/>
      <c r="J38" s="1"/>
      <c r="K38" s="1"/>
      <c r="L38" s="1"/>
      <c r="M38" s="9"/>
      <c r="N38" s="186"/>
      <c r="O38" s="16"/>
      <c r="P38" s="1"/>
    </row>
    <row r="39" spans="1:16">
      <c r="A39" s="6"/>
      <c r="B39" s="7"/>
      <c r="C39" s="7"/>
      <c r="D39" s="7"/>
      <c r="E39" s="6"/>
      <c r="F39" s="6"/>
      <c r="G39" s="7"/>
      <c r="H39" s="7"/>
      <c r="I39" s="186"/>
      <c r="J39" s="1"/>
      <c r="K39" s="1"/>
      <c r="L39" s="1"/>
      <c r="M39" s="9"/>
      <c r="N39" s="186"/>
      <c r="O39" s="16"/>
      <c r="P39" s="1"/>
    </row>
    <row r="40" spans="1:16">
      <c r="A40" s="6"/>
      <c r="B40" s="7"/>
      <c r="C40" s="7"/>
      <c r="D40" s="189"/>
      <c r="E40" s="6"/>
      <c r="F40" s="6"/>
      <c r="G40" s="7"/>
      <c r="H40" s="7"/>
      <c r="I40" s="186"/>
      <c r="J40" s="1"/>
      <c r="K40" s="1"/>
      <c r="L40" s="1"/>
      <c r="M40" s="9"/>
      <c r="N40" s="186"/>
      <c r="O40" s="16"/>
      <c r="P40" s="1"/>
    </row>
    <row r="41" spans="1:16">
      <c r="A41" s="6"/>
      <c r="B41" s="7"/>
      <c r="C41" s="7"/>
      <c r="D41" s="176"/>
      <c r="E41" s="6"/>
      <c r="F41" s="6"/>
      <c r="G41" s="7"/>
      <c r="H41" s="7"/>
      <c r="I41" s="186"/>
      <c r="J41" s="1"/>
      <c r="K41" s="1"/>
      <c r="L41" s="1"/>
      <c r="M41" s="9"/>
      <c r="N41" s="186"/>
      <c r="O41" s="16"/>
      <c r="P41" s="1"/>
    </row>
    <row r="42" spans="1:16">
      <c r="A42" s="6"/>
      <c r="B42" s="7"/>
      <c r="C42" s="183"/>
      <c r="D42" s="189"/>
      <c r="E42" s="6"/>
      <c r="F42" s="6"/>
      <c r="G42" s="7"/>
      <c r="H42" s="7"/>
      <c r="I42" s="186"/>
      <c r="J42" s="1"/>
      <c r="K42" s="1"/>
      <c r="L42" s="1"/>
      <c r="M42" s="9"/>
      <c r="N42" s="186"/>
      <c r="O42" s="16"/>
      <c r="P42" s="1"/>
    </row>
    <row r="43" spans="1:16">
      <c r="A43" s="6"/>
      <c r="B43" s="7"/>
      <c r="C43" s="7"/>
      <c r="D43" s="189"/>
      <c r="E43" s="6"/>
      <c r="F43" s="6"/>
      <c r="G43" s="7"/>
      <c r="H43" s="7"/>
      <c r="I43" s="186"/>
      <c r="J43" s="1"/>
      <c r="K43" s="1"/>
      <c r="L43" s="1"/>
      <c r="M43" s="9"/>
      <c r="N43" s="186"/>
      <c r="O43" s="16"/>
      <c r="P43" s="1"/>
    </row>
    <row r="44" spans="1:16">
      <c r="A44" s="6"/>
      <c r="B44" s="174"/>
      <c r="C44" s="7"/>
      <c r="D44" s="176"/>
      <c r="E44" s="6"/>
      <c r="F44" s="6"/>
      <c r="G44" s="7"/>
      <c r="H44" s="7"/>
      <c r="I44" s="186"/>
      <c r="J44" s="1"/>
      <c r="K44" s="1"/>
      <c r="L44" s="1"/>
      <c r="M44" s="9"/>
      <c r="N44" s="186"/>
      <c r="O44" s="16"/>
      <c r="P44" s="1"/>
    </row>
    <row r="45" spans="1:16">
      <c r="A45" s="6"/>
      <c r="B45" s="7"/>
      <c r="C45" s="7"/>
      <c r="D45" s="176"/>
      <c r="E45" s="6"/>
      <c r="F45" s="6"/>
      <c r="G45" s="7"/>
      <c r="H45" s="7"/>
      <c r="I45" s="186"/>
      <c r="J45" s="1"/>
      <c r="K45" s="1"/>
      <c r="L45" s="1"/>
      <c r="M45" s="9"/>
      <c r="N45" s="186"/>
      <c r="O45" s="16"/>
      <c r="P45" s="1"/>
    </row>
    <row r="46" spans="1:16">
      <c r="A46" s="6"/>
      <c r="B46" s="7"/>
      <c r="C46" s="7"/>
      <c r="D46" s="189"/>
      <c r="E46" s="6"/>
      <c r="F46" s="6"/>
      <c r="G46" s="7"/>
      <c r="H46" s="7"/>
      <c r="I46" s="186"/>
      <c r="J46" s="1"/>
      <c r="K46" s="1"/>
      <c r="L46" s="1"/>
      <c r="M46" s="9"/>
      <c r="N46" s="186"/>
      <c r="O46" s="16"/>
      <c r="P46" s="1"/>
    </row>
    <row r="47" spans="1:16">
      <c r="A47" s="6"/>
      <c r="B47" s="7"/>
      <c r="C47" s="7"/>
      <c r="D47" s="7"/>
      <c r="E47" s="6"/>
      <c r="F47" s="6"/>
      <c r="G47" s="7"/>
      <c r="H47" s="7"/>
      <c r="I47" s="186"/>
      <c r="J47" s="1"/>
      <c r="K47" s="1"/>
      <c r="L47" s="1"/>
      <c r="M47" s="9"/>
      <c r="N47" s="186"/>
      <c r="O47" s="16"/>
      <c r="P47" s="1"/>
    </row>
    <row r="48" spans="1:16">
      <c r="A48" s="6"/>
      <c r="B48" s="174"/>
      <c r="C48" s="7"/>
      <c r="D48" s="176"/>
      <c r="E48" s="6"/>
      <c r="F48" s="6"/>
      <c r="G48" s="7"/>
      <c r="H48" s="7"/>
      <c r="I48" s="186"/>
      <c r="J48" s="1"/>
      <c r="K48" s="1"/>
      <c r="L48" s="1"/>
      <c r="M48" s="9"/>
      <c r="N48" s="186"/>
      <c r="O48" s="16"/>
      <c r="P48" s="1"/>
    </row>
    <row r="49" spans="1:16">
      <c r="A49" s="6"/>
      <c r="B49" s="7"/>
      <c r="C49" s="7"/>
      <c r="D49" s="176"/>
      <c r="E49" s="6"/>
      <c r="F49" s="6"/>
      <c r="G49" s="7"/>
      <c r="H49" s="7"/>
      <c r="I49" s="186"/>
      <c r="J49" s="1"/>
      <c r="K49" s="1"/>
      <c r="L49" s="1"/>
      <c r="M49" s="9"/>
      <c r="N49" s="186"/>
      <c r="O49" s="16"/>
      <c r="P49" s="1"/>
    </row>
    <row r="50" spans="1:16">
      <c r="A50" s="6"/>
      <c r="B50" s="7"/>
      <c r="C50" s="7"/>
      <c r="D50" s="189"/>
      <c r="E50" s="6"/>
      <c r="F50" s="6"/>
      <c r="G50" s="7"/>
      <c r="H50" s="7"/>
      <c r="I50" s="186"/>
      <c r="J50" s="1"/>
      <c r="K50" s="1"/>
      <c r="L50" s="1"/>
      <c r="M50" s="9"/>
      <c r="N50" s="186"/>
      <c r="O50" s="16"/>
      <c r="P50" s="1"/>
    </row>
    <row r="51" spans="1:16">
      <c r="A51" s="6"/>
      <c r="B51" s="7"/>
      <c r="C51" s="7"/>
      <c r="D51" s="189"/>
      <c r="E51" s="6"/>
      <c r="F51" s="6"/>
      <c r="G51" s="7"/>
      <c r="H51" s="7"/>
      <c r="I51" s="186"/>
      <c r="J51" s="1"/>
      <c r="K51" s="1"/>
      <c r="L51" s="1"/>
      <c r="M51" s="9"/>
      <c r="N51" s="186"/>
      <c r="O51" s="16"/>
      <c r="P51" s="1"/>
    </row>
    <row r="52" spans="1:16">
      <c r="A52" s="6"/>
      <c r="B52" s="7"/>
      <c r="C52" s="7"/>
      <c r="D52" s="176"/>
      <c r="E52" s="6"/>
      <c r="F52" s="6"/>
      <c r="G52" s="7"/>
      <c r="H52" s="7"/>
      <c r="I52" s="186"/>
      <c r="J52" s="1"/>
      <c r="K52" s="1"/>
      <c r="L52" s="1"/>
      <c r="M52" s="9"/>
      <c r="N52" s="186"/>
      <c r="O52" s="16"/>
      <c r="P52" s="1"/>
    </row>
    <row r="53" spans="1:16">
      <c r="A53" s="6"/>
      <c r="B53" s="7"/>
      <c r="C53" s="7"/>
      <c r="D53" s="176"/>
      <c r="E53" s="6"/>
      <c r="F53" s="6"/>
      <c r="G53" s="7"/>
      <c r="H53" s="7"/>
      <c r="I53" s="186"/>
      <c r="J53" s="1"/>
      <c r="K53" s="1"/>
      <c r="L53" s="1"/>
      <c r="M53" s="9"/>
      <c r="N53" s="186"/>
      <c r="O53" s="16"/>
      <c r="P53" s="1"/>
    </row>
    <row r="54" spans="1:16">
      <c r="A54" s="6"/>
      <c r="B54" s="7"/>
      <c r="C54" s="7"/>
      <c r="D54" s="189"/>
      <c r="E54" s="6"/>
      <c r="F54" s="6"/>
      <c r="G54" s="7"/>
      <c r="H54" s="7"/>
      <c r="I54" s="186"/>
      <c r="J54" s="1"/>
      <c r="K54" s="1"/>
      <c r="L54" s="1"/>
      <c r="M54" s="9"/>
      <c r="N54" s="186"/>
      <c r="O54" s="16"/>
      <c r="P54" s="1"/>
    </row>
    <row r="55" spans="1:16">
      <c r="A55" s="6"/>
      <c r="B55" s="174"/>
      <c r="C55" s="7"/>
      <c r="D55" s="176"/>
      <c r="E55" s="6"/>
      <c r="F55" s="6"/>
      <c r="G55" s="7"/>
      <c r="H55" s="7"/>
      <c r="I55" s="186"/>
      <c r="J55" s="1"/>
      <c r="K55" s="1"/>
      <c r="L55" s="1"/>
      <c r="M55" s="9"/>
      <c r="N55" s="186"/>
      <c r="O55" s="16"/>
      <c r="P55" s="1"/>
    </row>
    <row r="56" spans="1:16">
      <c r="A56" s="6"/>
      <c r="B56" s="174"/>
      <c r="C56" s="7"/>
      <c r="D56" s="176"/>
      <c r="E56" s="6"/>
      <c r="F56" s="6"/>
      <c r="G56" s="7"/>
      <c r="H56" s="7"/>
      <c r="I56" s="186"/>
      <c r="J56" s="1"/>
      <c r="K56" s="1"/>
      <c r="L56" s="1"/>
      <c r="M56" s="9"/>
      <c r="N56" s="186"/>
      <c r="O56" s="16"/>
      <c r="P56" s="1"/>
    </row>
    <row r="57" spans="1:16">
      <c r="A57" s="6"/>
      <c r="B57" s="7"/>
      <c r="C57" s="7"/>
      <c r="D57" s="176"/>
      <c r="E57" s="6"/>
      <c r="F57" s="1"/>
      <c r="G57" s="7"/>
      <c r="H57" s="7"/>
      <c r="I57" s="186"/>
      <c r="J57" s="1"/>
      <c r="K57" s="1"/>
      <c r="L57" s="1"/>
      <c r="M57" s="9"/>
      <c r="N57" s="186"/>
      <c r="O57" s="16"/>
      <c r="P57" s="1"/>
    </row>
    <row r="58" spans="1:16">
      <c r="A58" s="6"/>
      <c r="B58" s="7"/>
      <c r="C58" s="7"/>
      <c r="D58" s="176"/>
      <c r="E58" s="6"/>
      <c r="F58" s="6"/>
      <c r="G58" s="7"/>
      <c r="H58" s="7"/>
      <c r="I58" s="186"/>
      <c r="J58" s="1"/>
      <c r="K58" s="1"/>
      <c r="L58" s="1"/>
      <c r="M58" s="9"/>
      <c r="N58" s="186"/>
      <c r="O58" s="16"/>
      <c r="P58" s="1"/>
    </row>
    <row r="59" spans="1:16">
      <c r="A59" s="6"/>
      <c r="B59" s="174"/>
      <c r="C59" s="7"/>
      <c r="D59" s="176"/>
      <c r="E59" s="6"/>
      <c r="F59" s="6"/>
      <c r="G59" s="7"/>
      <c r="H59" s="7"/>
      <c r="I59" s="186"/>
      <c r="J59" s="1"/>
      <c r="K59" s="1"/>
      <c r="L59" s="1"/>
      <c r="M59" s="9"/>
      <c r="N59" s="186"/>
      <c r="O59" s="16"/>
      <c r="P59" s="1"/>
    </row>
    <row r="60" spans="1:16">
      <c r="A60" s="6"/>
      <c r="B60" s="174"/>
      <c r="C60" s="7"/>
      <c r="D60" s="176"/>
      <c r="E60" s="6"/>
      <c r="F60" s="6"/>
      <c r="G60" s="7"/>
      <c r="H60" s="7"/>
      <c r="I60" s="186"/>
      <c r="J60" s="1"/>
      <c r="K60" s="1"/>
      <c r="L60" s="1"/>
      <c r="M60" s="9"/>
      <c r="N60" s="186"/>
      <c r="O60" s="16"/>
      <c r="P60" s="1"/>
    </row>
    <row r="61" spans="1:16">
      <c r="A61" s="6"/>
      <c r="B61" s="174"/>
      <c r="C61" s="7"/>
      <c r="D61" s="176"/>
      <c r="E61" s="6"/>
      <c r="F61" s="6"/>
      <c r="G61" s="7"/>
      <c r="H61" s="7"/>
      <c r="I61" s="186"/>
      <c r="J61" s="1"/>
      <c r="K61" s="1"/>
      <c r="L61" s="1"/>
      <c r="M61" s="9"/>
      <c r="N61" s="186"/>
      <c r="O61" s="16"/>
      <c r="P61" s="1"/>
    </row>
    <row r="62" spans="1:16">
      <c r="A62" s="6"/>
      <c r="B62" s="7"/>
      <c r="C62" s="7"/>
      <c r="D62" s="176"/>
      <c r="E62" s="6"/>
      <c r="F62" s="6"/>
      <c r="G62" s="7"/>
      <c r="H62" s="7"/>
      <c r="I62" s="186"/>
      <c r="J62" s="1"/>
      <c r="K62" s="1"/>
      <c r="L62" s="1"/>
      <c r="M62" s="9"/>
      <c r="N62" s="186"/>
      <c r="O62" s="16"/>
      <c r="P62" s="1"/>
    </row>
    <row r="63" spans="1:16">
      <c r="A63" s="6"/>
      <c r="B63" s="7"/>
      <c r="C63" s="7"/>
      <c r="D63" s="176"/>
      <c r="E63" s="6"/>
      <c r="F63" s="6"/>
      <c r="G63" s="7"/>
      <c r="H63" s="7"/>
      <c r="I63" s="186"/>
      <c r="J63" s="1"/>
      <c r="K63" s="1"/>
      <c r="L63" s="1"/>
      <c r="M63" s="9"/>
      <c r="N63" s="186"/>
      <c r="O63" s="16"/>
      <c r="P63" s="1"/>
    </row>
    <row r="64" spans="1:16">
      <c r="A64" s="6"/>
      <c r="B64" s="7"/>
      <c r="C64" s="7"/>
      <c r="D64" s="176"/>
      <c r="E64" s="6"/>
      <c r="F64" s="6"/>
      <c r="G64" s="7"/>
      <c r="H64" s="7"/>
      <c r="I64" s="186"/>
      <c r="J64" s="1"/>
      <c r="K64" s="1"/>
      <c r="L64" s="1"/>
      <c r="M64" s="9"/>
      <c r="N64" s="186"/>
      <c r="O64" s="16"/>
      <c r="P64" s="1"/>
    </row>
    <row r="65" spans="1:16">
      <c r="A65" s="6"/>
      <c r="B65" s="7"/>
      <c r="C65" s="7"/>
      <c r="D65" s="176"/>
      <c r="E65" s="6"/>
      <c r="F65" s="6"/>
      <c r="G65" s="7"/>
      <c r="H65" s="7"/>
      <c r="I65" s="186"/>
      <c r="J65" s="1"/>
      <c r="K65" s="1"/>
      <c r="L65" s="1"/>
      <c r="M65" s="9"/>
      <c r="N65" s="186"/>
      <c r="O65" s="16"/>
      <c r="P65" s="1"/>
    </row>
    <row r="66" spans="1:16">
      <c r="A66" s="6"/>
      <c r="B66" s="174"/>
      <c r="C66" s="7"/>
      <c r="D66" s="176"/>
      <c r="E66" s="6"/>
      <c r="F66" s="6"/>
      <c r="G66" s="7"/>
      <c r="H66" s="7"/>
      <c r="I66" s="186"/>
      <c r="J66" s="1"/>
      <c r="K66" s="1"/>
      <c r="L66" s="1"/>
      <c r="M66" s="9"/>
      <c r="N66" s="186"/>
      <c r="O66" s="16"/>
      <c r="P66" s="1"/>
    </row>
    <row r="67" spans="1:16">
      <c r="A67" s="6"/>
      <c r="B67" s="7"/>
      <c r="C67" s="7"/>
      <c r="D67" s="176"/>
      <c r="E67" s="6"/>
      <c r="F67" s="6"/>
      <c r="G67" s="7"/>
      <c r="H67" s="7"/>
      <c r="I67" s="186"/>
      <c r="J67" s="1"/>
      <c r="K67" s="1"/>
      <c r="L67" s="1"/>
      <c r="M67" s="9"/>
      <c r="N67" s="186"/>
      <c r="O67" s="16"/>
      <c r="P67" s="1"/>
    </row>
    <row r="68" spans="1:16">
      <c r="A68" s="6"/>
      <c r="B68" s="7"/>
      <c r="C68" s="7"/>
      <c r="D68" s="176"/>
      <c r="E68" s="6"/>
      <c r="F68" s="6"/>
      <c r="G68" s="7"/>
      <c r="H68" s="7"/>
      <c r="I68" s="186"/>
      <c r="J68" s="1"/>
      <c r="K68" s="1"/>
      <c r="L68" s="1"/>
      <c r="M68" s="9"/>
      <c r="N68" s="186"/>
      <c r="O68" s="16"/>
      <c r="P68" s="1"/>
    </row>
    <row r="69" spans="1:16">
      <c r="A69" s="6"/>
      <c r="B69" s="7"/>
      <c r="C69" s="7"/>
      <c r="D69" s="176"/>
      <c r="E69" s="6"/>
      <c r="F69" s="6"/>
      <c r="G69" s="7"/>
      <c r="H69" s="7"/>
      <c r="I69" s="186"/>
      <c r="J69" s="1"/>
      <c r="K69" s="1"/>
      <c r="L69" s="1"/>
      <c r="M69" s="9"/>
      <c r="N69" s="186"/>
      <c r="O69" s="16"/>
      <c r="P69" s="1"/>
    </row>
    <row r="70" spans="1:16">
      <c r="A70" s="6"/>
      <c r="B70" s="7"/>
      <c r="C70" s="7"/>
      <c r="D70" s="176"/>
      <c r="E70" s="6"/>
      <c r="F70" s="6"/>
      <c r="G70" s="7"/>
      <c r="H70" s="7"/>
      <c r="I70" s="186"/>
      <c r="J70" s="1"/>
      <c r="K70" s="1"/>
      <c r="L70" s="1"/>
      <c r="M70" s="9"/>
      <c r="N70" s="186"/>
      <c r="O70" s="16"/>
      <c r="P70" s="1"/>
    </row>
    <row r="71" spans="1:16">
      <c r="A71" s="6"/>
      <c r="B71" s="7"/>
      <c r="C71" s="7"/>
      <c r="D71" s="176"/>
      <c r="E71" s="6"/>
      <c r="F71" s="6"/>
      <c r="G71" s="7"/>
      <c r="H71" s="7"/>
      <c r="I71" s="186"/>
      <c r="J71" s="1"/>
      <c r="K71" s="1"/>
      <c r="L71" s="1"/>
      <c r="M71" s="9"/>
      <c r="N71" s="186"/>
      <c r="O71" s="16"/>
      <c r="P71" s="1"/>
    </row>
    <row r="72" spans="1:16">
      <c r="A72" s="6"/>
      <c r="B72" s="7"/>
      <c r="C72" s="7"/>
      <c r="D72" s="176"/>
      <c r="E72" s="6"/>
      <c r="F72" s="6"/>
      <c r="G72" s="7"/>
      <c r="H72" s="7"/>
      <c r="I72" s="186"/>
      <c r="J72" s="1"/>
      <c r="K72" s="1"/>
      <c r="L72" s="1"/>
      <c r="M72" s="9"/>
      <c r="N72" s="186"/>
      <c r="O72" s="16"/>
      <c r="P72" s="1"/>
    </row>
    <row r="73" spans="1:16">
      <c r="A73" s="6"/>
      <c r="B73" s="7"/>
      <c r="C73" s="7"/>
      <c r="D73" s="189"/>
      <c r="E73" s="6"/>
      <c r="F73" s="6"/>
      <c r="G73" s="7"/>
      <c r="H73" s="7"/>
      <c r="I73" s="186"/>
      <c r="J73" s="1"/>
      <c r="K73" s="1"/>
      <c r="L73" s="1"/>
      <c r="M73" s="9"/>
      <c r="N73" s="186"/>
      <c r="O73" s="16"/>
      <c r="P73" s="1"/>
    </row>
    <row r="74" spans="1:16">
      <c r="A74" s="6"/>
      <c r="B74" s="7"/>
      <c r="C74" s="7"/>
      <c r="D74" s="189"/>
      <c r="E74" s="6"/>
      <c r="F74" s="6"/>
      <c r="G74" s="7"/>
      <c r="H74" s="7"/>
      <c r="I74" s="186"/>
      <c r="J74" s="1"/>
      <c r="K74" s="1"/>
      <c r="L74" s="1"/>
      <c r="M74" s="9"/>
      <c r="N74" s="186"/>
      <c r="O74" s="16"/>
      <c r="P74" s="1"/>
    </row>
    <row r="75" spans="1:16">
      <c r="A75" s="6"/>
      <c r="B75" s="7"/>
      <c r="C75" s="7"/>
      <c r="D75" s="189"/>
      <c r="E75" s="6"/>
      <c r="F75" s="6"/>
      <c r="G75" s="7"/>
      <c r="H75" s="7"/>
      <c r="I75" s="186"/>
      <c r="J75" s="1"/>
      <c r="K75" s="1"/>
      <c r="L75" s="1"/>
      <c r="M75" s="9"/>
      <c r="N75" s="186"/>
      <c r="O75" s="16"/>
      <c r="P75" s="1"/>
    </row>
    <row r="76" spans="1:16">
      <c r="A76" s="6"/>
      <c r="B76" s="7"/>
      <c r="C76" s="7"/>
      <c r="D76" s="176"/>
      <c r="E76" s="6"/>
      <c r="F76" s="6"/>
      <c r="G76" s="7"/>
      <c r="H76" s="7"/>
      <c r="I76" s="186"/>
      <c r="J76" s="1"/>
      <c r="K76" s="1"/>
      <c r="L76" s="1"/>
      <c r="M76" s="9"/>
      <c r="N76" s="186"/>
      <c r="O76" s="16"/>
      <c r="P76" s="1"/>
    </row>
    <row r="77" spans="1:16">
      <c r="A77" s="6"/>
      <c r="B77" s="7"/>
      <c r="C77" s="7"/>
      <c r="D77" s="189"/>
      <c r="E77" s="6"/>
      <c r="F77" s="6"/>
      <c r="G77" s="7"/>
      <c r="H77" s="7"/>
      <c r="I77" s="186"/>
      <c r="J77" s="1"/>
      <c r="K77" s="1"/>
      <c r="L77" s="1"/>
      <c r="M77" s="9"/>
      <c r="N77" s="186"/>
      <c r="O77" s="16"/>
      <c r="P77" s="1"/>
    </row>
    <row r="78" spans="1:16">
      <c r="A78" s="6"/>
      <c r="B78" s="7"/>
      <c r="C78" s="7"/>
      <c r="D78" s="176"/>
      <c r="E78" s="6"/>
      <c r="F78" s="6"/>
      <c r="G78" s="7"/>
      <c r="H78" s="7"/>
      <c r="I78" s="186"/>
      <c r="J78" s="1"/>
      <c r="K78" s="1"/>
      <c r="L78" s="1"/>
      <c r="M78" s="9"/>
      <c r="N78" s="186"/>
      <c r="O78" s="16"/>
      <c r="P78" s="1"/>
    </row>
    <row r="79" spans="1:16">
      <c r="A79" s="6"/>
      <c r="B79" s="7"/>
      <c r="C79" s="7"/>
      <c r="D79" s="176"/>
      <c r="E79" s="6"/>
      <c r="F79" s="6"/>
      <c r="G79" s="7"/>
      <c r="H79" s="7"/>
      <c r="I79" s="186"/>
      <c r="J79" s="1"/>
      <c r="K79" s="1"/>
      <c r="L79" s="1"/>
      <c r="M79" s="9"/>
      <c r="N79" s="186"/>
      <c r="O79" s="16"/>
      <c r="P79" s="1"/>
    </row>
    <row r="80" spans="1:16">
      <c r="A80" s="6"/>
      <c r="B80" s="7"/>
      <c r="C80" s="7"/>
      <c r="D80" s="176"/>
      <c r="E80" s="6"/>
      <c r="F80" s="6"/>
      <c r="G80" s="7"/>
      <c r="H80" s="7"/>
      <c r="I80" s="186"/>
      <c r="J80" s="1"/>
      <c r="K80" s="1"/>
      <c r="L80" s="1"/>
      <c r="M80" s="9"/>
      <c r="N80" s="186"/>
      <c r="O80" s="16"/>
      <c r="P80" s="1"/>
    </row>
    <row r="81" spans="1:16">
      <c r="A81" s="6"/>
      <c r="B81" s="7"/>
      <c r="C81" s="7"/>
      <c r="D81" s="176"/>
      <c r="E81" s="6"/>
      <c r="F81" s="6"/>
      <c r="G81" s="7"/>
      <c r="H81" s="7"/>
      <c r="I81" s="186"/>
      <c r="J81" s="1"/>
      <c r="K81" s="1"/>
      <c r="L81" s="1"/>
      <c r="M81" s="9"/>
      <c r="N81" s="186"/>
      <c r="O81" s="16"/>
      <c r="P81" s="1"/>
    </row>
    <row r="82" spans="1:16">
      <c r="A82" s="6"/>
      <c r="B82" s="7"/>
      <c r="C82" s="7"/>
      <c r="D82" s="176"/>
      <c r="E82" s="6"/>
      <c r="F82" s="6"/>
      <c r="G82" s="7"/>
      <c r="H82" s="7"/>
      <c r="I82" s="186"/>
      <c r="J82" s="1"/>
      <c r="K82" s="1"/>
      <c r="L82" s="1"/>
      <c r="M82" s="9"/>
      <c r="N82" s="186"/>
      <c r="O82" s="16"/>
      <c r="P82" s="1"/>
    </row>
    <row r="83" spans="1:16">
      <c r="A83" s="6"/>
      <c r="B83" s="7"/>
      <c r="C83" s="7"/>
      <c r="D83" s="176"/>
      <c r="E83" s="6"/>
      <c r="F83" s="6"/>
      <c r="G83" s="7"/>
      <c r="H83" s="7"/>
      <c r="I83" s="186"/>
      <c r="J83" s="1"/>
      <c r="K83" s="1"/>
      <c r="L83" s="1"/>
      <c r="M83" s="9"/>
      <c r="N83" s="186"/>
      <c r="O83" s="16"/>
      <c r="P83" s="1"/>
    </row>
    <row r="84" spans="1:16">
      <c r="A84" s="6"/>
      <c r="B84" s="7"/>
      <c r="C84" s="7"/>
      <c r="D84" s="189"/>
      <c r="E84" s="6"/>
      <c r="F84" s="6"/>
      <c r="G84" s="7"/>
      <c r="H84" s="7"/>
      <c r="I84" s="186"/>
      <c r="J84" s="1"/>
      <c r="K84" s="1"/>
      <c r="L84" s="1"/>
      <c r="M84" s="9"/>
      <c r="N84" s="186"/>
      <c r="O84" s="186"/>
      <c r="P84" s="1"/>
    </row>
    <row r="85" spans="1:16">
      <c r="A85" s="6"/>
      <c r="B85" s="7"/>
      <c r="C85" s="174"/>
      <c r="D85" s="176"/>
      <c r="E85" s="6"/>
      <c r="F85" s="6"/>
      <c r="G85" s="7"/>
      <c r="H85" s="7"/>
      <c r="I85" s="186"/>
      <c r="J85" s="1"/>
      <c r="K85" s="1"/>
      <c r="L85" s="1"/>
      <c r="M85" s="9"/>
      <c r="N85" s="186"/>
      <c r="O85" s="16"/>
      <c r="P85" s="1"/>
    </row>
    <row r="86" spans="1:16">
      <c r="A86" s="6"/>
      <c r="B86" s="7"/>
      <c r="C86" s="7"/>
      <c r="D86" s="176"/>
      <c r="E86" s="6"/>
      <c r="F86" s="6"/>
      <c r="G86" s="7"/>
      <c r="H86" s="7"/>
      <c r="I86" s="186"/>
      <c r="J86" s="1"/>
      <c r="K86" s="1"/>
      <c r="L86" s="1"/>
      <c r="M86" s="9"/>
      <c r="N86" s="186"/>
      <c r="O86" s="16"/>
      <c r="P86" s="1"/>
    </row>
    <row r="87" spans="1:16">
      <c r="A87" s="6"/>
      <c r="B87" s="7"/>
      <c r="C87" s="7"/>
      <c r="D87" s="176"/>
      <c r="E87" s="6"/>
      <c r="F87" s="6"/>
      <c r="G87" s="7"/>
      <c r="H87" s="7"/>
      <c r="I87" s="186"/>
      <c r="J87" s="1"/>
      <c r="K87" s="1"/>
      <c r="L87" s="1"/>
      <c r="M87" s="9"/>
      <c r="N87" s="186"/>
      <c r="O87" s="186"/>
      <c r="P87" s="1"/>
    </row>
    <row r="88" spans="1:16">
      <c r="A88" s="6"/>
      <c r="B88" s="7"/>
      <c r="C88" s="7"/>
      <c r="D88" s="176"/>
      <c r="E88" s="6"/>
      <c r="F88" s="6"/>
      <c r="G88" s="7"/>
      <c r="H88" s="7"/>
      <c r="I88" s="186"/>
      <c r="J88" s="1"/>
      <c r="K88" s="1"/>
      <c r="L88" s="1"/>
      <c r="M88" s="9"/>
      <c r="N88" s="186"/>
      <c r="O88" s="16"/>
      <c r="P88" s="1"/>
    </row>
    <row r="89" spans="1:16">
      <c r="A89" s="6"/>
      <c r="B89" s="7"/>
      <c r="C89" s="7"/>
      <c r="D89" s="176"/>
      <c r="E89" s="6"/>
      <c r="F89" s="6"/>
      <c r="G89" s="7"/>
      <c r="H89" s="7"/>
      <c r="I89" s="186"/>
      <c r="J89" s="1"/>
      <c r="K89" s="1"/>
      <c r="L89" s="1"/>
      <c r="M89" s="9"/>
      <c r="N89" s="186"/>
      <c r="O89" s="16"/>
      <c r="P89" s="1"/>
    </row>
    <row r="90" spans="1:16">
      <c r="A90" s="6"/>
      <c r="B90" s="7"/>
      <c r="C90" s="7"/>
      <c r="D90" s="176"/>
      <c r="E90" s="6"/>
      <c r="F90" s="6"/>
      <c r="G90" s="7"/>
      <c r="H90" s="7"/>
      <c r="I90" s="186"/>
      <c r="J90" s="184"/>
      <c r="K90" s="1"/>
      <c r="L90" s="1"/>
      <c r="M90" s="9"/>
      <c r="N90" s="186"/>
      <c r="O90" s="16"/>
      <c r="P90" s="1"/>
    </row>
    <row r="91" spans="1:16">
      <c r="A91" s="6"/>
      <c r="B91" s="7"/>
      <c r="C91" s="7"/>
      <c r="D91" s="176"/>
      <c r="E91" s="6"/>
      <c r="F91" s="6"/>
      <c r="G91" s="7"/>
      <c r="H91" s="7"/>
      <c r="I91" s="186"/>
      <c r="J91" s="1"/>
      <c r="K91" s="1"/>
      <c r="L91" s="1"/>
      <c r="M91" s="9"/>
      <c r="N91" s="186"/>
      <c r="O91" s="16"/>
      <c r="P91" s="1"/>
    </row>
    <row r="92" spans="1:16">
      <c r="A92" s="6"/>
      <c r="B92" s="7"/>
      <c r="C92" s="6"/>
      <c r="D92" s="176"/>
      <c r="E92" s="6"/>
      <c r="F92" s="6"/>
      <c r="G92" s="7"/>
      <c r="H92" s="7"/>
      <c r="I92" s="186"/>
      <c r="J92" s="1"/>
      <c r="K92" s="1"/>
      <c r="L92" s="1"/>
      <c r="M92" s="9"/>
      <c r="N92" s="186"/>
      <c r="O92" s="16"/>
      <c r="P92" s="1"/>
    </row>
    <row r="93" spans="1:16">
      <c r="A93" s="6"/>
      <c r="B93" s="7"/>
      <c r="C93" s="6"/>
      <c r="D93" s="176"/>
      <c r="E93" s="6"/>
      <c r="F93" s="6"/>
      <c r="G93" s="9"/>
      <c r="H93" s="9"/>
      <c r="I93" s="186"/>
      <c r="J93" s="1"/>
      <c r="K93" s="1"/>
      <c r="L93" s="1"/>
      <c r="M93" s="9"/>
      <c r="N93" s="186"/>
      <c r="O93" s="16"/>
      <c r="P93" s="1"/>
    </row>
    <row r="94" spans="1:16">
      <c r="A94" s="6"/>
      <c r="B94" s="7"/>
      <c r="C94" s="6"/>
      <c r="D94" s="176"/>
      <c r="E94" s="6"/>
      <c r="F94" s="6"/>
      <c r="G94" s="9"/>
      <c r="H94" s="9"/>
      <c r="I94" s="186"/>
      <c r="J94" s="1"/>
      <c r="K94" s="1"/>
      <c r="L94" s="1"/>
      <c r="M94" s="9"/>
      <c r="N94" s="186"/>
      <c r="O94" s="16"/>
      <c r="P94" s="1"/>
    </row>
    <row r="95" spans="1:16">
      <c r="A95" s="6"/>
      <c r="B95" s="7"/>
      <c r="C95" s="6"/>
      <c r="D95" s="6"/>
      <c r="E95" s="6"/>
      <c r="F95" s="6"/>
      <c r="G95" s="9"/>
      <c r="H95" s="9"/>
      <c r="I95" s="186"/>
      <c r="J95" s="1"/>
      <c r="K95" s="1"/>
      <c r="L95" s="1"/>
      <c r="M95" s="9"/>
      <c r="N95" s="186"/>
      <c r="O95" s="16"/>
      <c r="P95" s="1"/>
    </row>
    <row r="96" spans="1:16">
      <c r="A96" s="6"/>
      <c r="B96" s="7"/>
      <c r="C96" s="6"/>
      <c r="D96" s="6"/>
      <c r="E96" s="6"/>
      <c r="F96" s="6"/>
      <c r="G96" s="9"/>
      <c r="H96" s="9"/>
      <c r="I96" s="186"/>
      <c r="J96" s="1"/>
      <c r="K96" s="1"/>
      <c r="L96" s="1"/>
      <c r="M96" s="9"/>
      <c r="N96" s="186"/>
      <c r="O96" s="16"/>
      <c r="P96" s="1"/>
    </row>
    <row r="97" spans="1:16">
      <c r="A97" s="6"/>
      <c r="B97" s="7"/>
      <c r="C97" s="6"/>
      <c r="D97" s="176"/>
      <c r="E97" s="6"/>
      <c r="F97" s="6"/>
      <c r="G97" s="9"/>
      <c r="H97" s="9"/>
      <c r="I97" s="186"/>
      <c r="J97" s="1"/>
      <c r="K97" s="1"/>
      <c r="L97" s="1"/>
      <c r="M97" s="9"/>
      <c r="N97" s="186"/>
      <c r="O97" s="16"/>
      <c r="P97" s="1"/>
    </row>
    <row r="98" spans="1:16">
      <c r="A98" s="6"/>
      <c r="B98" s="7"/>
      <c r="C98" s="6"/>
      <c r="D98" s="176"/>
      <c r="E98" s="6"/>
      <c r="F98" s="6"/>
      <c r="G98" s="9"/>
      <c r="H98" s="9"/>
      <c r="I98" s="186"/>
      <c r="J98" s="1"/>
      <c r="K98" s="1"/>
      <c r="L98" s="1"/>
      <c r="M98" s="9"/>
      <c r="N98" s="186"/>
      <c r="O98" s="16"/>
      <c r="P98" s="1"/>
    </row>
    <row r="99" spans="1:16">
      <c r="A99" s="6"/>
      <c r="B99" s="7"/>
      <c r="C99" s="6"/>
      <c r="D99" s="176"/>
      <c r="E99" s="6"/>
      <c r="F99" s="6"/>
      <c r="G99" s="9"/>
      <c r="H99" s="9"/>
      <c r="I99" s="186"/>
      <c r="J99" s="1"/>
      <c r="K99" s="1"/>
      <c r="L99" s="1"/>
      <c r="M99" s="9"/>
      <c r="N99" s="186"/>
      <c r="O99" s="16"/>
      <c r="P99" s="1"/>
    </row>
    <row r="100" spans="1:16">
      <c r="A100" s="6"/>
      <c r="B100" s="7"/>
      <c r="C100" s="6"/>
      <c r="D100" s="176"/>
      <c r="E100" s="6"/>
      <c r="F100" s="6"/>
      <c r="G100" s="9"/>
      <c r="H100" s="9"/>
      <c r="I100" s="186"/>
      <c r="J100" s="1"/>
      <c r="K100" s="1"/>
      <c r="L100" s="1"/>
      <c r="M100" s="9"/>
      <c r="N100" s="186"/>
      <c r="O100" s="16"/>
      <c r="P100" s="1"/>
    </row>
    <row r="101" spans="1:16">
      <c r="A101" s="6"/>
      <c r="B101" s="7"/>
      <c r="C101" s="6"/>
      <c r="D101" s="176"/>
      <c r="E101" s="6"/>
      <c r="F101" s="176"/>
      <c r="G101" s="9"/>
      <c r="H101" s="9"/>
      <c r="I101" s="186"/>
      <c r="J101" s="1"/>
      <c r="K101" s="1"/>
      <c r="L101" s="1"/>
      <c r="M101" s="9"/>
      <c r="N101" s="186"/>
      <c r="O101" s="16"/>
      <c r="P101" s="1"/>
    </row>
    <row r="102" spans="1:16">
      <c r="A102" s="6"/>
      <c r="B102" s="7"/>
      <c r="C102" s="6"/>
      <c r="D102" s="176"/>
      <c r="E102" s="6"/>
      <c r="F102" s="6"/>
      <c r="G102" s="9"/>
      <c r="H102" s="9"/>
      <c r="I102" s="186"/>
      <c r="J102" s="1"/>
      <c r="K102" s="1"/>
      <c r="L102" s="1"/>
      <c r="M102" s="9"/>
      <c r="N102" s="186"/>
      <c r="O102" s="16"/>
      <c r="P102" s="1"/>
    </row>
    <row r="103" spans="1:16">
      <c r="A103" s="6"/>
      <c r="B103" s="7"/>
      <c r="C103" s="6"/>
      <c r="D103" s="176"/>
      <c r="E103" s="6"/>
      <c r="F103" s="6"/>
      <c r="G103" s="9"/>
      <c r="H103" s="9"/>
      <c r="I103" s="186"/>
      <c r="J103" s="1"/>
      <c r="K103" s="1"/>
      <c r="L103" s="1"/>
      <c r="M103" s="9"/>
      <c r="N103" s="186"/>
      <c r="O103" s="16"/>
      <c r="P103" s="1"/>
    </row>
    <row r="104" spans="1:16">
      <c r="A104" s="6"/>
      <c r="B104" s="7"/>
      <c r="C104" s="6"/>
      <c r="D104" s="189"/>
      <c r="E104" s="6"/>
      <c r="F104" s="6"/>
      <c r="G104" s="9"/>
      <c r="H104" s="9"/>
      <c r="I104" s="186"/>
      <c r="J104" s="1"/>
      <c r="K104" s="1"/>
      <c r="L104" s="1"/>
      <c r="M104" s="9"/>
      <c r="N104" s="186"/>
      <c r="O104" s="16"/>
      <c r="P104" s="1"/>
    </row>
    <row r="105" spans="1:16">
      <c r="A105" s="6"/>
      <c r="B105" s="7"/>
      <c r="C105" s="6"/>
      <c r="D105" s="189"/>
      <c r="E105" s="6"/>
      <c r="F105" s="6"/>
      <c r="G105" s="9"/>
      <c r="H105" s="9"/>
      <c r="I105" s="186"/>
      <c r="J105" s="1"/>
      <c r="K105" s="1"/>
      <c r="L105" s="1"/>
      <c r="M105" s="9"/>
      <c r="N105" s="186"/>
      <c r="O105" s="16"/>
      <c r="P105" s="1"/>
    </row>
    <row r="106" spans="1:16">
      <c r="A106" s="6"/>
      <c r="B106" s="7"/>
      <c r="C106" s="6"/>
      <c r="D106" s="176"/>
      <c r="E106" s="6"/>
      <c r="F106" s="6"/>
      <c r="G106" s="9"/>
      <c r="H106" s="9"/>
      <c r="I106" s="186"/>
      <c r="J106" s="1"/>
      <c r="K106" s="1"/>
      <c r="L106" s="1"/>
      <c r="M106" s="9"/>
      <c r="N106" s="186"/>
      <c r="O106" s="16"/>
      <c r="P106" s="1"/>
    </row>
    <row r="107" spans="1:16">
      <c r="A107" s="6"/>
      <c r="B107" s="7"/>
      <c r="C107" s="6"/>
      <c r="D107" s="189"/>
      <c r="E107" s="6"/>
      <c r="F107" s="6"/>
      <c r="G107" s="9"/>
      <c r="H107" s="9"/>
      <c r="I107" s="186"/>
      <c r="J107" s="1"/>
      <c r="K107" s="1"/>
      <c r="L107" s="1"/>
      <c r="M107" s="9"/>
      <c r="N107" s="186"/>
      <c r="O107" s="16"/>
      <c r="P107" s="1"/>
    </row>
    <row r="108" spans="1:16">
      <c r="A108" s="6"/>
      <c r="B108" s="7"/>
      <c r="C108" s="6"/>
      <c r="D108" s="189"/>
      <c r="E108" s="6"/>
      <c r="F108" s="1"/>
      <c r="G108" s="9"/>
      <c r="H108" s="9"/>
      <c r="I108" s="186"/>
      <c r="J108" s="1"/>
      <c r="K108" s="1"/>
      <c r="L108" s="1"/>
      <c r="M108" s="9"/>
      <c r="N108" s="186"/>
      <c r="O108" s="16"/>
      <c r="P108" s="1"/>
    </row>
    <row r="109" spans="1:16">
      <c r="A109" s="6"/>
      <c r="B109" s="7"/>
      <c r="C109" s="6"/>
      <c r="D109" s="176"/>
      <c r="E109" s="6"/>
      <c r="F109" s="1"/>
      <c r="G109" s="9"/>
      <c r="H109" s="9"/>
      <c r="I109" s="186"/>
      <c r="J109" s="1"/>
      <c r="K109" s="1"/>
      <c r="L109" s="1"/>
      <c r="M109" s="9"/>
      <c r="N109" s="186"/>
      <c r="O109" s="16"/>
      <c r="P109" s="1"/>
    </row>
    <row r="110" spans="1:16">
      <c r="A110" s="6"/>
      <c r="B110" s="7"/>
      <c r="C110" s="6"/>
      <c r="D110" s="176"/>
      <c r="E110" s="6"/>
      <c r="F110" s="1"/>
      <c r="G110" s="9"/>
      <c r="H110" s="9"/>
      <c r="I110" s="186"/>
      <c r="J110" s="1"/>
      <c r="K110" s="1"/>
      <c r="L110" s="1"/>
      <c r="M110" s="9"/>
      <c r="N110" s="186"/>
      <c r="O110" s="16"/>
      <c r="P110" s="1"/>
    </row>
    <row r="111" spans="1:16">
      <c r="A111" s="6"/>
      <c r="B111" s="7"/>
      <c r="C111" s="148"/>
      <c r="D111" s="176"/>
      <c r="E111" s="6"/>
      <c r="F111" s="1"/>
      <c r="G111" s="9"/>
      <c r="H111" s="9"/>
      <c r="I111" s="186"/>
      <c r="J111" s="1"/>
      <c r="K111" s="1"/>
      <c r="L111" s="1"/>
      <c r="M111" s="9"/>
      <c r="N111" s="186"/>
      <c r="O111" s="16"/>
      <c r="P111" s="1"/>
    </row>
    <row r="112" spans="1:16">
      <c r="A112" s="6"/>
      <c r="B112" s="7"/>
      <c r="C112" s="6"/>
      <c r="D112" s="176"/>
      <c r="E112" s="6"/>
      <c r="F112" s="1"/>
      <c r="G112" s="9"/>
      <c r="H112" s="9"/>
      <c r="I112" s="186"/>
      <c r="J112" s="1"/>
      <c r="K112" s="1"/>
      <c r="L112" s="1"/>
      <c r="M112" s="9"/>
      <c r="N112" s="186"/>
      <c r="O112" s="16"/>
      <c r="P112" s="1"/>
    </row>
    <row r="113" spans="1:16">
      <c r="A113" s="6"/>
      <c r="B113" s="7"/>
      <c r="C113" s="6"/>
      <c r="D113" s="189"/>
      <c r="E113" s="6"/>
      <c r="F113" s="1"/>
      <c r="G113" s="9"/>
      <c r="H113" s="9"/>
      <c r="I113" s="186"/>
      <c r="J113" s="1"/>
      <c r="K113" s="1"/>
      <c r="L113" s="1"/>
      <c r="M113" s="9"/>
      <c r="N113" s="186"/>
      <c r="O113" s="16"/>
      <c r="P113" s="1"/>
    </row>
    <row r="114" spans="1:16">
      <c r="A114" s="6"/>
      <c r="B114" s="7"/>
      <c r="C114" s="6"/>
      <c r="D114" s="176"/>
      <c r="E114" s="6"/>
      <c r="F114" s="1"/>
      <c r="G114" s="9"/>
      <c r="H114" s="9"/>
      <c r="I114" s="186"/>
      <c r="J114" s="1"/>
      <c r="K114" s="1"/>
      <c r="L114" s="1"/>
      <c r="M114" s="9"/>
      <c r="N114" s="186"/>
      <c r="O114" s="16"/>
      <c r="P114" s="1"/>
    </row>
    <row r="115" spans="1:16">
      <c r="A115" s="6"/>
      <c r="B115" s="7"/>
      <c r="C115" s="6"/>
      <c r="D115" s="189"/>
      <c r="E115" s="6"/>
      <c r="F115" s="1"/>
      <c r="G115" s="9"/>
      <c r="H115" s="9"/>
      <c r="I115" s="186"/>
      <c r="J115" s="1"/>
      <c r="K115" s="1"/>
      <c r="L115" s="1"/>
      <c r="M115" s="9"/>
      <c r="N115" s="186"/>
      <c r="O115" s="16"/>
      <c r="P115" s="1"/>
    </row>
    <row r="116" spans="1:16">
      <c r="A116" s="6"/>
      <c r="B116" s="7"/>
      <c r="C116" s="6"/>
      <c r="D116" s="176"/>
      <c r="E116" s="6"/>
      <c r="F116" s="1"/>
      <c r="G116" s="9"/>
      <c r="H116" s="9"/>
      <c r="I116" s="186"/>
      <c r="J116" s="1"/>
      <c r="K116" s="1"/>
      <c r="L116" s="1"/>
      <c r="M116" s="9"/>
      <c r="N116" s="186"/>
      <c r="O116" s="16"/>
      <c r="P116" s="1"/>
    </row>
    <row r="117" spans="1:16">
      <c r="A117" s="6"/>
      <c r="B117" s="7"/>
      <c r="C117" s="6"/>
      <c r="D117" s="176"/>
      <c r="E117" s="6"/>
      <c r="F117" s="1"/>
      <c r="G117" s="9"/>
      <c r="H117" s="9"/>
      <c r="I117" s="186"/>
      <c r="J117" s="1"/>
      <c r="K117" s="1"/>
      <c r="L117" s="1"/>
      <c r="M117" s="9"/>
      <c r="N117" s="186"/>
      <c r="O117" s="16"/>
      <c r="P117" s="1"/>
    </row>
    <row r="118" spans="1:16">
      <c r="A118" s="6"/>
      <c r="B118" s="7"/>
      <c r="C118" s="6"/>
      <c r="D118" s="189"/>
      <c r="E118" s="6"/>
      <c r="F118" s="1"/>
      <c r="G118" s="9"/>
      <c r="H118" s="9"/>
      <c r="I118" s="186"/>
      <c r="J118" s="1"/>
      <c r="K118" s="1"/>
      <c r="L118" s="1"/>
      <c r="M118" s="9"/>
      <c r="N118" s="186"/>
      <c r="O118" s="16"/>
      <c r="P118" s="1"/>
    </row>
    <row r="119" spans="1:16">
      <c r="A119" s="6"/>
      <c r="B119" s="7"/>
      <c r="C119" s="67"/>
      <c r="D119" s="189"/>
      <c r="E119" s="6"/>
      <c r="F119" s="71"/>
      <c r="G119" s="9"/>
      <c r="H119" s="9"/>
      <c r="I119" s="186"/>
      <c r="J119" s="1"/>
      <c r="K119" s="1"/>
      <c r="L119" s="1"/>
      <c r="M119" s="9"/>
      <c r="N119" s="186"/>
      <c r="O119" s="16"/>
      <c r="P119" s="1"/>
    </row>
    <row r="120" spans="1:16">
      <c r="A120" s="6"/>
      <c r="B120" s="7"/>
      <c r="C120" s="67"/>
      <c r="D120" s="6"/>
      <c r="E120" s="6"/>
      <c r="F120" s="71"/>
      <c r="G120" s="9"/>
      <c r="H120" s="9"/>
      <c r="I120" s="186"/>
      <c r="J120" s="186"/>
      <c r="K120" s="1"/>
      <c r="L120" s="1"/>
      <c r="M120" s="9"/>
      <c r="N120" s="186"/>
      <c r="O120" s="16"/>
      <c r="P120" s="1"/>
    </row>
    <row r="121" spans="1:16">
      <c r="A121" s="6"/>
      <c r="B121" s="7"/>
      <c r="C121" s="67"/>
      <c r="D121" s="6"/>
      <c r="E121" s="6"/>
      <c r="F121" s="71"/>
      <c r="G121" s="9"/>
      <c r="H121" s="9"/>
      <c r="I121" s="186"/>
      <c r="J121" s="186"/>
      <c r="K121" s="1"/>
      <c r="L121" s="1"/>
      <c r="M121" s="9"/>
      <c r="N121" s="186"/>
      <c r="O121" s="16"/>
      <c r="P121" s="1"/>
    </row>
    <row r="122" spans="1:16">
      <c r="A122" s="6"/>
      <c r="B122" s="7"/>
      <c r="C122" s="67"/>
      <c r="D122" s="6"/>
      <c r="E122" s="6"/>
      <c r="F122" s="71"/>
      <c r="G122" s="9"/>
      <c r="H122" s="9"/>
      <c r="I122" s="186"/>
      <c r="J122" s="186"/>
      <c r="K122" s="1"/>
      <c r="L122" s="1"/>
      <c r="M122" s="9"/>
      <c r="N122" s="186"/>
      <c r="O122" s="16"/>
      <c r="P122" s="1"/>
    </row>
    <row r="123" spans="1:16">
      <c r="A123" s="6"/>
      <c r="B123" s="7"/>
      <c r="C123" s="67"/>
      <c r="D123" s="6"/>
      <c r="E123" s="6"/>
      <c r="F123" s="71"/>
      <c r="G123" s="9"/>
      <c r="H123" s="9"/>
      <c r="I123" s="186"/>
      <c r="J123" s="186"/>
      <c r="K123" s="1"/>
      <c r="L123" s="1"/>
      <c r="M123" s="9"/>
      <c r="N123" s="186"/>
      <c r="O123" s="16"/>
      <c r="P123" s="1"/>
    </row>
    <row r="124" spans="1:16">
      <c r="A124" s="6"/>
      <c r="B124" s="7"/>
      <c r="C124" s="148"/>
      <c r="D124" s="6"/>
      <c r="E124" s="6"/>
      <c r="F124" s="71"/>
      <c r="G124" s="9"/>
      <c r="H124" s="9"/>
      <c r="I124" s="186"/>
      <c r="J124" s="186"/>
      <c r="K124" s="1"/>
      <c r="L124" s="1"/>
      <c r="M124" s="9"/>
      <c r="N124" s="186"/>
      <c r="O124" s="16"/>
      <c r="P124" s="1"/>
    </row>
    <row r="125" spans="1:16">
      <c r="A125" s="6"/>
      <c r="B125" s="7"/>
      <c r="C125" s="67"/>
      <c r="D125" s="6"/>
      <c r="E125" s="6"/>
      <c r="F125" s="71"/>
      <c r="G125" s="9"/>
      <c r="H125" s="9"/>
      <c r="I125" s="186"/>
      <c r="J125" s="186"/>
      <c r="K125" s="1"/>
      <c r="L125" s="1"/>
      <c r="M125" s="9"/>
      <c r="N125" s="186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186"/>
      <c r="J126" s="186"/>
      <c r="K126" s="1"/>
      <c r="L126" s="1"/>
      <c r="M126" s="9"/>
      <c r="N126" s="186"/>
      <c r="O126" s="16"/>
      <c r="P126" s="1"/>
    </row>
    <row r="127" spans="1:16">
      <c r="A127" s="6"/>
      <c r="B127" s="7"/>
      <c r="C127" s="67"/>
      <c r="D127" s="6"/>
      <c r="E127" s="6"/>
      <c r="F127" s="71"/>
      <c r="G127" s="9"/>
      <c r="H127" s="9"/>
      <c r="I127" s="186"/>
      <c r="J127" s="186"/>
      <c r="K127" s="1"/>
      <c r="L127" s="1"/>
      <c r="M127" s="9"/>
      <c r="N127" s="186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186"/>
      <c r="J128" s="186"/>
      <c r="K128" s="1"/>
      <c r="L128" s="1"/>
      <c r="M128" s="9"/>
      <c r="N128" s="186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186"/>
      <c r="J129" s="186"/>
      <c r="K129" s="1"/>
      <c r="L129" s="1"/>
      <c r="M129" s="9"/>
      <c r="N129" s="186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186"/>
      <c r="J130" s="186"/>
      <c r="K130" s="1"/>
      <c r="L130" s="1"/>
      <c r="M130" s="9"/>
      <c r="N130" s="186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186"/>
      <c r="J131" s="186"/>
      <c r="K131" s="1"/>
      <c r="L131" s="1"/>
      <c r="M131" s="9"/>
      <c r="N131" s="186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186"/>
      <c r="J132" s="186"/>
      <c r="K132" s="1"/>
      <c r="L132" s="1"/>
      <c r="M132" s="9"/>
      <c r="N132" s="186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186"/>
      <c r="J133" s="186"/>
      <c r="K133" s="1"/>
      <c r="L133" s="1"/>
      <c r="M133" s="9"/>
      <c r="N133" s="186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186"/>
      <c r="J134" s="186"/>
      <c r="K134" s="1"/>
      <c r="L134" s="1"/>
      <c r="M134" s="10"/>
      <c r="N134" s="186"/>
      <c r="O134" s="16"/>
      <c r="P134" s="1"/>
    </row>
    <row r="135" spans="1:16">
      <c r="A135" s="6"/>
      <c r="B135" s="7"/>
      <c r="C135" s="67"/>
      <c r="D135" s="6"/>
      <c r="E135" s="6"/>
      <c r="F135" s="71"/>
      <c r="G135" s="9"/>
      <c r="H135" s="9"/>
      <c r="I135" s="186"/>
      <c r="J135" s="186"/>
      <c r="K135" s="1"/>
      <c r="L135" s="1"/>
      <c r="M135" s="10"/>
      <c r="N135" s="186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186"/>
      <c r="J136" s="186"/>
      <c r="K136" s="1"/>
      <c r="L136" s="1"/>
      <c r="M136" s="10"/>
      <c r="N136" s="186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186"/>
      <c r="J137" s="186"/>
      <c r="K137" s="1"/>
      <c r="L137" s="1"/>
      <c r="M137" s="10"/>
      <c r="N137" s="186"/>
      <c r="O137" s="16"/>
      <c r="P137" s="1"/>
    </row>
    <row r="138" spans="1:16">
      <c r="A138" s="6"/>
      <c r="B138" s="7"/>
      <c r="C138" s="67"/>
      <c r="D138" s="6"/>
      <c r="E138" s="6"/>
      <c r="F138" s="71"/>
      <c r="G138" s="9"/>
      <c r="H138" s="9"/>
      <c r="I138" s="186"/>
      <c r="J138" s="186"/>
      <c r="K138" s="1"/>
      <c r="L138" s="1"/>
      <c r="M138" s="10"/>
      <c r="N138" s="186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186"/>
      <c r="J139" s="186"/>
      <c r="K139" s="1"/>
      <c r="L139" s="1"/>
      <c r="M139" s="10"/>
      <c r="N139" s="186"/>
      <c r="O139" s="16"/>
      <c r="P139" s="1"/>
    </row>
    <row r="140" spans="1:16">
      <c r="A140" s="6"/>
      <c r="B140" s="7"/>
      <c r="C140" s="67"/>
      <c r="D140" s="6"/>
      <c r="E140" s="6"/>
      <c r="F140" s="71"/>
      <c r="G140" s="9"/>
      <c r="H140" s="9"/>
      <c r="I140" s="186"/>
      <c r="J140" s="186"/>
      <c r="K140" s="1"/>
      <c r="L140" s="1"/>
      <c r="M140" s="10"/>
      <c r="N140" s="186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186"/>
      <c r="J141" s="186"/>
      <c r="K141" s="1"/>
      <c r="L141" s="1"/>
      <c r="M141" s="10"/>
      <c r="N141" s="186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186"/>
      <c r="J142" s="186"/>
      <c r="K142" s="1"/>
      <c r="L142" s="1"/>
      <c r="M142" s="10"/>
      <c r="N142" s="186"/>
      <c r="O142" s="16"/>
      <c r="P142" s="1"/>
    </row>
    <row r="143" spans="1:16">
      <c r="A143" s="6"/>
      <c r="B143" s="7"/>
      <c r="C143" s="67"/>
      <c r="D143" s="6"/>
      <c r="E143" s="6"/>
      <c r="F143" s="71"/>
      <c r="G143" s="9"/>
      <c r="H143" s="9"/>
      <c r="I143" s="186"/>
      <c r="J143" s="186"/>
      <c r="K143" s="1"/>
      <c r="L143" s="1"/>
      <c r="M143" s="10"/>
      <c r="N143" s="186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186"/>
      <c r="J144" s="186"/>
      <c r="K144" s="1"/>
      <c r="L144" s="1"/>
      <c r="M144" s="10"/>
      <c r="N144" s="186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186"/>
      <c r="J145" s="186"/>
      <c r="K145" s="1"/>
      <c r="L145" s="1"/>
      <c r="M145" s="10"/>
      <c r="N145" s="186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186"/>
      <c r="J146" s="186"/>
      <c r="K146" s="1"/>
      <c r="L146" s="1"/>
      <c r="M146" s="10"/>
      <c r="N146" s="186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186"/>
      <c r="J147" s="186"/>
      <c r="K147" s="1"/>
      <c r="L147" s="1"/>
      <c r="M147" s="10"/>
      <c r="N147" s="186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186"/>
      <c r="J148" s="186"/>
      <c r="K148" s="1"/>
      <c r="L148" s="1"/>
      <c r="M148" s="10"/>
      <c r="N148" s="186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186"/>
      <c r="J149" s="186"/>
      <c r="K149" s="1"/>
      <c r="L149" s="1"/>
      <c r="M149" s="10"/>
      <c r="N149" s="186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186"/>
      <c r="J150" s="186"/>
      <c r="K150" s="1"/>
      <c r="L150" s="1"/>
      <c r="M150" s="10"/>
      <c r="N150" s="186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186"/>
      <c r="J151" s="186"/>
      <c r="K151" s="1"/>
      <c r="L151" s="1"/>
      <c r="M151" s="10"/>
      <c r="N151" s="186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186"/>
      <c r="J152" s="186"/>
      <c r="K152" s="1"/>
      <c r="L152" s="1"/>
      <c r="M152" s="10"/>
      <c r="N152" s="186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186"/>
      <c r="J153" s="186"/>
      <c r="K153" s="1"/>
      <c r="L153" s="1"/>
      <c r="M153" s="10"/>
      <c r="N153" s="186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186"/>
      <c r="J154" s="186"/>
      <c r="K154" s="1"/>
      <c r="L154" s="1"/>
      <c r="M154" s="10"/>
      <c r="N154" s="186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186"/>
      <c r="J155" s="186"/>
      <c r="K155" s="1"/>
      <c r="L155" s="1"/>
      <c r="M155" s="10"/>
      <c r="N155" s="186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186"/>
      <c r="J156" s="186"/>
      <c r="K156" s="1"/>
      <c r="L156" s="1"/>
      <c r="M156" s="10"/>
      <c r="N156" s="186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186"/>
      <c r="J157" s="186"/>
      <c r="K157" s="1"/>
      <c r="L157" s="1"/>
      <c r="M157" s="10"/>
      <c r="N157" s="186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186"/>
      <c r="J158" s="186"/>
      <c r="K158" s="1"/>
      <c r="L158" s="1"/>
      <c r="M158" s="10"/>
      <c r="N158" s="186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186"/>
      <c r="J159" s="186"/>
      <c r="K159" s="1"/>
      <c r="L159" s="1"/>
      <c r="M159" s="10"/>
      <c r="N159" s="186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186"/>
      <c r="J160" s="186"/>
      <c r="K160" s="1"/>
      <c r="L160" s="1"/>
      <c r="M160" s="10"/>
      <c r="N160" s="186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186"/>
      <c r="J161" s="186"/>
      <c r="K161" s="1"/>
      <c r="L161" s="1"/>
      <c r="M161" s="10"/>
      <c r="N161" s="186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186"/>
      <c r="J162" s="186"/>
      <c r="K162" s="1"/>
      <c r="L162" s="1"/>
      <c r="M162" s="10"/>
      <c r="N162" s="186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186"/>
      <c r="J163" s="186"/>
      <c r="K163" s="1"/>
      <c r="L163" s="1"/>
      <c r="M163" s="10"/>
      <c r="N163" s="186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186"/>
      <c r="J164" s="186"/>
      <c r="K164" s="1"/>
      <c r="L164" s="1"/>
      <c r="M164" s="10"/>
      <c r="N164" s="186"/>
      <c r="O164" s="16"/>
      <c r="P164" s="1"/>
    </row>
    <row r="165" spans="1:16">
      <c r="A165" s="6"/>
      <c r="B165" s="7"/>
      <c r="C165" s="67"/>
      <c r="D165" s="6"/>
      <c r="E165" s="6"/>
      <c r="F165" s="71"/>
      <c r="G165" s="9"/>
      <c r="H165" s="9"/>
      <c r="I165" s="186"/>
      <c r="J165" s="186"/>
      <c r="K165" s="1"/>
      <c r="L165" s="1"/>
      <c r="M165" s="10"/>
      <c r="N165" s="186"/>
      <c r="O165" s="16"/>
      <c r="P165" s="1"/>
    </row>
    <row r="166" spans="1:16">
      <c r="A166" s="6"/>
      <c r="B166" s="7"/>
      <c r="C166" s="67"/>
      <c r="D166" s="6"/>
      <c r="E166" s="6"/>
      <c r="F166" s="71"/>
      <c r="G166" s="9"/>
      <c r="H166" s="9"/>
      <c r="I166" s="186"/>
      <c r="J166" s="186"/>
      <c r="K166" s="1"/>
      <c r="L166" s="1"/>
      <c r="M166" s="10"/>
      <c r="N166" s="186"/>
      <c r="O166" s="16"/>
      <c r="P166" s="1"/>
    </row>
    <row r="167" spans="1:16">
      <c r="A167" s="6"/>
      <c r="B167" s="7"/>
      <c r="C167" s="67"/>
      <c r="D167" s="6"/>
      <c r="E167" s="6"/>
      <c r="F167" s="71"/>
      <c r="G167" s="9"/>
      <c r="H167" s="9"/>
      <c r="I167" s="186"/>
      <c r="J167" s="186"/>
      <c r="K167" s="1"/>
      <c r="L167" s="1"/>
      <c r="M167" s="10"/>
      <c r="N167" s="186"/>
      <c r="O167" s="16"/>
      <c r="P167" s="1"/>
    </row>
    <row r="168" spans="1:16">
      <c r="A168" s="6"/>
      <c r="B168" s="7"/>
      <c r="C168" s="67"/>
      <c r="D168" s="6"/>
      <c r="E168" s="6"/>
      <c r="F168" s="71"/>
      <c r="G168" s="9"/>
      <c r="H168" s="9"/>
      <c r="I168" s="186"/>
      <c r="J168" s="186"/>
      <c r="K168" s="1"/>
      <c r="L168" s="1"/>
      <c r="M168" s="10"/>
      <c r="N168" s="186"/>
      <c r="O168" s="16"/>
      <c r="P168" s="1"/>
    </row>
    <row r="169" spans="1:16">
      <c r="A169" s="6"/>
      <c r="B169" s="7"/>
      <c r="C169" s="67"/>
      <c r="D169" s="6"/>
      <c r="E169" s="6"/>
      <c r="F169" s="71"/>
      <c r="G169" s="9"/>
      <c r="H169" s="9"/>
      <c r="I169" s="186"/>
      <c r="J169" s="186"/>
      <c r="K169" s="1"/>
      <c r="L169" s="1"/>
      <c r="M169" s="10"/>
      <c r="N169" s="186"/>
      <c r="O169" s="16"/>
      <c r="P169" s="1"/>
    </row>
    <row r="170" spans="1:16">
      <c r="A170" s="6"/>
      <c r="B170" s="7"/>
      <c r="C170" s="67"/>
      <c r="D170" s="6"/>
      <c r="E170" s="6"/>
      <c r="F170" s="71"/>
      <c r="G170" s="9"/>
      <c r="H170" s="9"/>
      <c r="I170" s="186"/>
      <c r="J170" s="186"/>
      <c r="K170" s="1"/>
      <c r="L170" s="1"/>
      <c r="M170" s="10"/>
      <c r="N170" s="186"/>
      <c r="O170" s="16"/>
      <c r="P170" s="1"/>
    </row>
    <row r="171" spans="1:16">
      <c r="A171" s="6"/>
      <c r="B171" s="7"/>
      <c r="C171" s="67"/>
      <c r="D171" s="6"/>
      <c r="E171" s="6"/>
      <c r="F171" s="71"/>
      <c r="G171" s="9"/>
      <c r="H171" s="9"/>
      <c r="I171" s="186"/>
      <c r="J171" s="186"/>
      <c r="K171" s="1"/>
      <c r="L171" s="1"/>
      <c r="M171" s="10"/>
      <c r="N171" s="186"/>
      <c r="O171" s="16"/>
      <c r="P171" s="1"/>
    </row>
    <row r="172" spans="1:16">
      <c r="A172" s="6"/>
      <c r="B172" s="7"/>
      <c r="C172" s="67"/>
      <c r="D172" s="6"/>
      <c r="E172" s="6"/>
      <c r="F172" s="71"/>
      <c r="G172" s="9"/>
      <c r="H172" s="9"/>
      <c r="I172" s="186"/>
      <c r="J172" s="186"/>
      <c r="K172" s="1"/>
      <c r="L172" s="1"/>
      <c r="M172" s="10"/>
      <c r="N172" s="186"/>
      <c r="O172" s="16"/>
      <c r="P172" s="1"/>
    </row>
    <row r="173" spans="1:16">
      <c r="A173" s="6"/>
      <c r="B173" s="7"/>
      <c r="C173" s="67"/>
      <c r="D173" s="6"/>
      <c r="E173" s="6"/>
      <c r="F173" s="71"/>
      <c r="G173" s="9"/>
      <c r="H173" s="9"/>
      <c r="I173" s="186"/>
      <c r="J173" s="186"/>
      <c r="K173" s="1"/>
      <c r="L173" s="1"/>
      <c r="M173" s="10"/>
      <c r="N173" s="186"/>
      <c r="O173" s="16"/>
      <c r="P173" s="1"/>
    </row>
    <row r="174" spans="1:16">
      <c r="A174" s="6"/>
      <c r="B174" s="7"/>
      <c r="C174" s="67"/>
      <c r="D174" s="6"/>
      <c r="E174" s="6"/>
      <c r="F174" s="71"/>
      <c r="G174" s="9"/>
      <c r="H174" s="9"/>
      <c r="I174" s="186"/>
      <c r="J174" s="186"/>
      <c r="K174" s="1"/>
      <c r="L174" s="1"/>
      <c r="M174" s="10"/>
      <c r="N174" s="186"/>
      <c r="O174" s="16"/>
      <c r="P174" s="1"/>
    </row>
    <row r="175" spans="1:16">
      <c r="A175" s="6"/>
      <c r="B175" s="7"/>
      <c r="C175" s="67"/>
      <c r="D175" s="6"/>
      <c r="E175" s="6"/>
      <c r="F175" s="71"/>
      <c r="G175" s="9"/>
      <c r="H175" s="9"/>
      <c r="I175" s="186"/>
      <c r="J175" s="186"/>
      <c r="K175" s="1"/>
      <c r="L175" s="1"/>
      <c r="M175" s="10"/>
      <c r="N175" s="186"/>
      <c r="O175" s="16"/>
      <c r="P175" s="1"/>
    </row>
    <row r="176" spans="1:16">
      <c r="A176" s="6"/>
      <c r="B176" s="7"/>
      <c r="C176" s="67"/>
      <c r="D176" s="6"/>
      <c r="E176" s="6"/>
      <c r="F176" s="71"/>
      <c r="G176" s="9"/>
      <c r="H176" s="9"/>
      <c r="I176" s="186"/>
      <c r="J176" s="186"/>
      <c r="K176" s="1"/>
      <c r="L176" s="1"/>
      <c r="M176" s="10"/>
      <c r="N176" s="186"/>
      <c r="O176" s="16"/>
      <c r="P176" s="1"/>
    </row>
    <row r="177" spans="1:16">
      <c r="A177" s="6"/>
      <c r="B177" s="7"/>
      <c r="C177" s="67"/>
      <c r="D177" s="6"/>
      <c r="E177" s="6"/>
      <c r="F177" s="71"/>
      <c r="G177" s="9"/>
      <c r="H177" s="9"/>
      <c r="I177" s="186"/>
      <c r="J177" s="186"/>
      <c r="K177" s="1"/>
      <c r="L177" s="1"/>
      <c r="M177" s="10"/>
      <c r="N177" s="186"/>
      <c r="O177" s="16"/>
      <c r="P177" s="1"/>
    </row>
    <row r="178" spans="1:16">
      <c r="A178" s="6"/>
      <c r="B178" s="7"/>
      <c r="C178" s="67"/>
      <c r="D178" s="6"/>
      <c r="E178" s="6"/>
      <c r="F178" s="71"/>
      <c r="G178" s="9"/>
      <c r="H178" s="9"/>
      <c r="I178" s="186"/>
      <c r="J178" s="186"/>
      <c r="K178" s="1"/>
      <c r="L178" s="1"/>
      <c r="M178" s="10"/>
      <c r="N178" s="186"/>
      <c r="O178" s="16"/>
      <c r="P178" s="1"/>
    </row>
    <row r="179" spans="1:16">
      <c r="A179" s="6"/>
      <c r="B179" s="7"/>
      <c r="C179" s="67"/>
      <c r="D179" s="6"/>
      <c r="E179" s="6"/>
      <c r="F179" s="71"/>
      <c r="G179" s="9"/>
      <c r="H179" s="9"/>
      <c r="I179" s="186"/>
      <c r="J179" s="186"/>
      <c r="K179" s="1"/>
      <c r="L179" s="1"/>
      <c r="M179" s="10"/>
      <c r="N179" s="186"/>
      <c r="O179" s="16"/>
      <c r="P179" s="1"/>
    </row>
    <row r="180" spans="1:16">
      <c r="A180" s="6"/>
      <c r="B180" s="7"/>
      <c r="C180" s="67"/>
      <c r="D180" s="6"/>
      <c r="E180" s="6"/>
      <c r="F180" s="71"/>
      <c r="G180" s="9"/>
      <c r="H180" s="9"/>
      <c r="I180" s="186"/>
      <c r="J180" s="186"/>
      <c r="K180" s="1"/>
      <c r="L180" s="1"/>
      <c r="M180" s="10"/>
      <c r="N180" s="186"/>
      <c r="O180" s="16"/>
      <c r="P180" s="1"/>
    </row>
    <row r="181" spans="1:16">
      <c r="A181" s="6"/>
      <c r="B181" s="7"/>
      <c r="C181" s="67"/>
      <c r="D181" s="6"/>
      <c r="E181" s="6"/>
      <c r="F181" s="71"/>
      <c r="G181" s="9"/>
      <c r="H181" s="9"/>
      <c r="I181" s="186"/>
      <c r="J181" s="186"/>
      <c r="K181" s="1"/>
      <c r="L181" s="1"/>
      <c r="M181" s="10"/>
      <c r="N181" s="186"/>
      <c r="O181" s="16"/>
      <c r="P181" s="1"/>
    </row>
    <row r="182" spans="1:16">
      <c r="A182" s="6"/>
      <c r="B182" s="7"/>
      <c r="C182" s="67"/>
      <c r="D182" s="6"/>
      <c r="E182" s="6"/>
      <c r="F182" s="71"/>
      <c r="G182" s="9"/>
      <c r="H182" s="9"/>
      <c r="I182" s="186"/>
      <c r="J182" s="186"/>
      <c r="K182" s="1"/>
      <c r="L182" s="1"/>
      <c r="M182" s="10"/>
      <c r="N182" s="186"/>
      <c r="O182" s="16"/>
      <c r="P182" s="1"/>
    </row>
    <row r="183" spans="1:16">
      <c r="A183" s="6"/>
      <c r="B183" s="6"/>
      <c r="C183" s="6"/>
      <c r="D183" s="6"/>
      <c r="E183" s="6"/>
      <c r="F183" s="6"/>
      <c r="G183" s="9"/>
      <c r="H183" s="9"/>
      <c r="I183" s="186"/>
      <c r="J183" s="186"/>
      <c r="K183" s="1"/>
      <c r="L183" s="1"/>
      <c r="M183" s="10"/>
      <c r="N183" s="186"/>
      <c r="O183" s="16"/>
      <c r="P183" s="1"/>
    </row>
    <row r="184" spans="1:16">
      <c r="A184" s="6"/>
      <c r="B184" s="7"/>
      <c r="C184" s="67"/>
      <c r="D184" s="6"/>
      <c r="E184" s="6"/>
      <c r="F184" s="71"/>
      <c r="G184" s="9"/>
      <c r="H184" s="9"/>
      <c r="I184" s="186"/>
      <c r="J184" s="186"/>
      <c r="K184" s="1"/>
      <c r="L184" s="1"/>
      <c r="M184" s="10"/>
      <c r="N184" s="186"/>
      <c r="O184" s="16"/>
      <c r="P184" s="1"/>
    </row>
    <row r="185" spans="1:16">
      <c r="A185" s="6"/>
      <c r="B185" s="7"/>
      <c r="C185" s="67"/>
      <c r="D185" s="6"/>
      <c r="E185" s="6"/>
      <c r="F185" s="71"/>
      <c r="G185" s="9"/>
      <c r="H185" s="9"/>
      <c r="I185" s="186"/>
      <c r="J185" s="186"/>
      <c r="K185" s="1"/>
      <c r="L185" s="1"/>
      <c r="M185" s="10"/>
      <c r="N185" s="186"/>
      <c r="O185" s="16"/>
      <c r="P185" s="1"/>
    </row>
    <row r="186" spans="1:16">
      <c r="A186" s="6"/>
      <c r="B186" s="174"/>
      <c r="C186" s="67"/>
      <c r="D186" s="6"/>
      <c r="E186" s="6"/>
      <c r="F186" s="71"/>
      <c r="G186" s="9"/>
      <c r="H186" s="9"/>
      <c r="I186" s="186"/>
      <c r="J186" s="186"/>
      <c r="K186" s="1"/>
      <c r="L186" s="1"/>
      <c r="M186" s="10"/>
      <c r="N186" s="186"/>
      <c r="O186" s="16"/>
      <c r="P186" s="1"/>
    </row>
    <row r="187" spans="1:16">
      <c r="A187" s="6"/>
      <c r="B187" s="174"/>
      <c r="C187" s="67"/>
      <c r="D187" s="6"/>
      <c r="E187" s="6"/>
      <c r="F187" s="71"/>
      <c r="G187" s="9"/>
      <c r="H187" s="9"/>
      <c r="I187" s="186"/>
      <c r="J187" s="186"/>
      <c r="K187" s="1"/>
      <c r="L187" s="1"/>
      <c r="M187" s="10"/>
      <c r="N187" s="186"/>
      <c r="O187" s="16"/>
      <c r="P187" s="1"/>
    </row>
    <row r="188" spans="1:16">
      <c r="A188" s="6"/>
      <c r="B188" s="174"/>
      <c r="C188" s="148"/>
      <c r="D188" s="6"/>
      <c r="E188" s="6"/>
      <c r="F188" s="71"/>
      <c r="G188" s="9"/>
      <c r="H188" s="9"/>
      <c r="I188" s="186"/>
      <c r="J188" s="186"/>
      <c r="K188" s="1"/>
      <c r="L188" s="1"/>
      <c r="M188" s="10"/>
      <c r="N188" s="186"/>
      <c r="O188" s="16"/>
      <c r="P188" s="1"/>
    </row>
    <row r="189" spans="1:16">
      <c r="A189" s="6"/>
      <c r="B189" s="174"/>
      <c r="C189" s="67"/>
      <c r="D189" s="6"/>
      <c r="E189" s="6"/>
      <c r="F189" s="71"/>
      <c r="G189" s="9"/>
      <c r="H189" s="9"/>
      <c r="I189" s="186"/>
      <c r="J189" s="186"/>
      <c r="K189" s="1"/>
      <c r="L189" s="1"/>
      <c r="M189" s="10"/>
      <c r="N189" s="186"/>
      <c r="O189" s="16"/>
      <c r="P189" s="1"/>
    </row>
    <row r="190" spans="1:16">
      <c r="A190" s="6"/>
      <c r="B190" s="174"/>
      <c r="C190" s="67"/>
      <c r="D190" s="6"/>
      <c r="E190" s="6"/>
      <c r="F190" s="71"/>
      <c r="G190" s="9"/>
      <c r="H190" s="9"/>
      <c r="I190" s="186"/>
      <c r="J190" s="186"/>
      <c r="K190" s="1"/>
      <c r="L190" s="1"/>
      <c r="M190" s="10"/>
      <c r="N190" s="186"/>
      <c r="O190" s="16"/>
      <c r="P190" s="1"/>
    </row>
    <row r="191" spans="1:16">
      <c r="A191" s="6"/>
      <c r="B191" s="7"/>
      <c r="C191" s="67"/>
      <c r="D191" s="6"/>
      <c r="E191" s="6"/>
      <c r="F191" s="71"/>
      <c r="G191" s="9"/>
      <c r="H191" s="9"/>
      <c r="I191" s="186"/>
      <c r="J191" s="186"/>
      <c r="K191" s="1"/>
      <c r="L191" s="1"/>
      <c r="M191" s="10"/>
      <c r="N191" s="186"/>
      <c r="O191" s="16"/>
      <c r="P191" s="1"/>
    </row>
    <row r="192" spans="1:16">
      <c r="A192" s="6"/>
      <c r="B192" s="7"/>
      <c r="C192" s="67"/>
      <c r="D192" s="6"/>
      <c r="E192" s="6"/>
      <c r="F192" s="71"/>
      <c r="G192" s="9"/>
      <c r="H192" s="9"/>
      <c r="I192" s="186"/>
      <c r="J192" s="186"/>
      <c r="K192" s="1"/>
      <c r="L192" s="1"/>
      <c r="M192" s="10"/>
      <c r="N192" s="186"/>
      <c r="O192" s="16"/>
      <c r="P192" s="1"/>
    </row>
    <row r="193" spans="1:16">
      <c r="A193" s="6"/>
      <c r="B193" s="7"/>
      <c r="C193" s="67"/>
      <c r="D193" s="6"/>
      <c r="E193" s="6"/>
      <c r="F193" s="71"/>
      <c r="G193" s="9"/>
      <c r="H193" s="9"/>
      <c r="I193" s="186"/>
      <c r="J193" s="186"/>
      <c r="K193" s="1"/>
      <c r="L193" s="1"/>
      <c r="M193" s="10"/>
      <c r="N193" s="186"/>
      <c r="O193" s="16"/>
      <c r="P193" s="1"/>
    </row>
    <row r="194" spans="1:16">
      <c r="A194" s="6"/>
      <c r="B194" s="7"/>
      <c r="C194" s="67"/>
      <c r="D194" s="6"/>
      <c r="E194" s="6"/>
      <c r="F194" s="71"/>
      <c r="G194" s="9"/>
      <c r="H194" s="9"/>
      <c r="I194" s="186"/>
      <c r="J194" s="186"/>
      <c r="K194" s="1"/>
      <c r="L194" s="1"/>
      <c r="M194" s="10"/>
      <c r="N194" s="186"/>
      <c r="O194" s="16"/>
      <c r="P194" s="1"/>
    </row>
    <row r="195" spans="1:16">
      <c r="A195" s="6"/>
      <c r="B195" s="174"/>
      <c r="C195" s="67"/>
      <c r="D195" s="6"/>
      <c r="E195" s="6"/>
      <c r="F195" s="71"/>
      <c r="G195" s="9"/>
      <c r="H195" s="9"/>
      <c r="I195" s="186"/>
      <c r="J195" s="186"/>
      <c r="K195" s="1"/>
      <c r="L195" s="1"/>
      <c r="M195" s="10"/>
      <c r="N195" s="186"/>
      <c r="O195" s="16"/>
      <c r="P195" s="1"/>
    </row>
    <row r="196" spans="1:16">
      <c r="A196" s="6"/>
      <c r="B196" s="174"/>
      <c r="C196" s="67"/>
      <c r="D196" s="6"/>
      <c r="E196" s="6"/>
      <c r="F196" s="71"/>
      <c r="G196" s="9"/>
      <c r="H196" s="9"/>
      <c r="I196" s="186"/>
      <c r="J196" s="186"/>
      <c r="K196" s="1"/>
      <c r="L196" s="1"/>
      <c r="M196" s="10"/>
      <c r="N196" s="186"/>
      <c r="O196" s="16"/>
      <c r="P196" s="1"/>
    </row>
    <row r="197" spans="1:16">
      <c r="A197" s="6"/>
      <c r="B197" s="174"/>
      <c r="C197" s="67"/>
      <c r="D197" s="6"/>
      <c r="E197" s="6"/>
      <c r="F197" s="71"/>
      <c r="G197" s="9"/>
      <c r="H197" s="9"/>
      <c r="I197" s="186"/>
      <c r="J197" s="186"/>
      <c r="K197" s="1"/>
      <c r="L197" s="1"/>
      <c r="M197" s="10"/>
      <c r="N197" s="186"/>
      <c r="O197" s="16"/>
      <c r="P197" s="1"/>
    </row>
    <row r="198" spans="1:16">
      <c r="A198" s="6"/>
      <c r="B198" s="174"/>
      <c r="C198" s="67"/>
      <c r="D198" s="6"/>
      <c r="E198" s="6"/>
      <c r="F198" s="71"/>
      <c r="G198" s="9"/>
      <c r="H198" s="9"/>
      <c r="I198" s="186"/>
      <c r="J198" s="186"/>
      <c r="K198" s="1"/>
      <c r="L198" s="1"/>
      <c r="M198" s="10"/>
      <c r="N198" s="186"/>
      <c r="O198" s="16"/>
      <c r="P198" s="1"/>
    </row>
    <row r="199" spans="1:16">
      <c r="A199" s="6"/>
      <c r="B199" s="174"/>
      <c r="C199" s="67"/>
      <c r="D199" s="176"/>
      <c r="E199" s="176"/>
      <c r="F199" s="71"/>
      <c r="G199" s="9"/>
      <c r="H199" s="9"/>
      <c r="I199" s="186"/>
      <c r="J199" s="186"/>
      <c r="K199" s="1"/>
      <c r="L199" s="1"/>
      <c r="M199" s="10"/>
      <c r="N199" s="186"/>
      <c r="O199" s="16"/>
      <c r="P199" s="1"/>
    </row>
    <row r="200" spans="1:16">
      <c r="A200" s="6"/>
      <c r="B200" s="7"/>
      <c r="C200" s="67"/>
      <c r="D200" s="6"/>
      <c r="E200" s="6"/>
      <c r="F200" s="71"/>
      <c r="G200" s="9"/>
      <c r="H200" s="9"/>
      <c r="I200" s="186"/>
      <c r="J200" s="186"/>
      <c r="K200" s="1"/>
      <c r="L200" s="1"/>
      <c r="M200" s="10"/>
      <c r="N200" s="186"/>
      <c r="O200" s="16"/>
      <c r="P200" s="1"/>
    </row>
    <row r="201" spans="1:16">
      <c r="A201" s="6"/>
      <c r="B201" s="7"/>
      <c r="C201" s="67"/>
      <c r="D201" s="6"/>
      <c r="E201" s="6"/>
      <c r="F201" s="71"/>
      <c r="G201" s="9"/>
      <c r="H201" s="9"/>
      <c r="I201" s="186"/>
      <c r="J201" s="186"/>
      <c r="K201" s="1"/>
      <c r="L201" s="1"/>
      <c r="M201" s="10"/>
      <c r="N201" s="186"/>
      <c r="O201" s="16"/>
      <c r="P201" s="1"/>
    </row>
    <row r="202" spans="1:16">
      <c r="A202" s="6"/>
      <c r="B202" s="7"/>
      <c r="C202" s="67"/>
      <c r="D202" s="6"/>
      <c r="E202" s="6"/>
      <c r="F202" s="71"/>
      <c r="G202" s="9"/>
      <c r="H202" s="9"/>
      <c r="I202" s="186"/>
      <c r="J202" s="186"/>
      <c r="K202" s="1"/>
      <c r="L202" s="1"/>
      <c r="M202" s="10"/>
      <c r="N202" s="186"/>
      <c r="O202" s="16"/>
      <c r="P202" s="1"/>
    </row>
    <row r="203" spans="1:16">
      <c r="A203" s="6"/>
      <c r="B203" s="7"/>
      <c r="C203" s="67"/>
      <c r="D203" s="6"/>
      <c r="E203" s="6"/>
      <c r="F203" s="71"/>
      <c r="G203" s="9"/>
      <c r="H203" s="9"/>
      <c r="I203" s="186"/>
      <c r="J203" s="186"/>
      <c r="K203" s="1"/>
      <c r="L203" s="1"/>
      <c r="M203" s="10"/>
      <c r="N203" s="186"/>
      <c r="O203" s="16"/>
      <c r="P203" s="1"/>
    </row>
    <row r="204" spans="1:16">
      <c r="A204" s="6"/>
      <c r="B204" s="7"/>
      <c r="C204" s="67"/>
      <c r="D204" s="6"/>
      <c r="E204" s="6"/>
      <c r="F204" s="71"/>
      <c r="G204" s="9"/>
      <c r="H204" s="9"/>
      <c r="I204" s="186"/>
      <c r="J204" s="186"/>
      <c r="K204" s="1"/>
      <c r="L204" s="1"/>
      <c r="M204" s="10"/>
      <c r="N204" s="186"/>
      <c r="O204" s="16"/>
      <c r="P204" s="1"/>
    </row>
    <row r="205" spans="1:16">
      <c r="A205" s="6"/>
      <c r="B205" s="7"/>
      <c r="C205" s="67"/>
      <c r="D205" s="6"/>
      <c r="E205" s="6"/>
      <c r="F205" s="71"/>
      <c r="G205" s="9"/>
      <c r="H205" s="9"/>
      <c r="I205" s="186"/>
      <c r="J205" s="186"/>
      <c r="K205" s="1"/>
      <c r="L205" s="1"/>
      <c r="M205" s="10"/>
      <c r="N205" s="186"/>
      <c r="O205" s="16"/>
      <c r="P205" s="1"/>
    </row>
    <row r="206" spans="1:16">
      <c r="A206" s="6"/>
      <c r="B206" s="7"/>
      <c r="C206" s="67"/>
      <c r="D206" s="6"/>
      <c r="E206" s="6"/>
      <c r="F206" s="71"/>
      <c r="G206" s="9"/>
      <c r="H206" s="9"/>
      <c r="I206" s="186"/>
      <c r="J206" s="186"/>
      <c r="K206" s="1"/>
      <c r="L206" s="1"/>
      <c r="M206" s="10"/>
      <c r="N206" s="186"/>
      <c r="O206" s="16"/>
      <c r="P206" s="1"/>
    </row>
    <row r="207" spans="1:16">
      <c r="A207" s="6"/>
      <c r="B207" s="7"/>
      <c r="C207" s="67"/>
      <c r="D207" s="6"/>
      <c r="E207" s="6"/>
      <c r="F207" s="71"/>
      <c r="G207" s="9"/>
      <c r="H207" s="9"/>
      <c r="I207" s="186"/>
      <c r="J207" s="186"/>
      <c r="K207" s="1"/>
      <c r="L207" s="1"/>
      <c r="M207" s="10"/>
      <c r="N207" s="186"/>
      <c r="O207" s="16"/>
      <c r="P207" s="1"/>
    </row>
    <row r="208" spans="1:16">
      <c r="A208" s="6"/>
      <c r="B208" s="7"/>
      <c r="C208" s="67"/>
      <c r="D208" s="6"/>
      <c r="E208" s="6"/>
      <c r="F208" s="71"/>
      <c r="G208" s="9"/>
      <c r="H208" s="9"/>
      <c r="I208" s="186"/>
      <c r="J208" s="186"/>
      <c r="K208" s="1"/>
      <c r="L208" s="1"/>
      <c r="M208" s="10"/>
      <c r="N208" s="186"/>
      <c r="O208" s="16"/>
      <c r="P208" s="1"/>
    </row>
    <row r="209" spans="1:16">
      <c r="A209" s="6"/>
      <c r="B209" s="7"/>
      <c r="C209" s="67"/>
      <c r="D209" s="6"/>
      <c r="E209" s="6"/>
      <c r="F209" s="71"/>
      <c r="G209" s="9"/>
      <c r="H209" s="9"/>
      <c r="I209" s="186"/>
      <c r="J209" s="186"/>
      <c r="K209" s="1"/>
      <c r="L209" s="1"/>
      <c r="M209" s="10"/>
      <c r="N209" s="186"/>
      <c r="O209" s="16"/>
      <c r="P209" s="1"/>
    </row>
    <row r="210" spans="1:16">
      <c r="A210" s="6"/>
      <c r="B210" s="7"/>
      <c r="C210" s="67"/>
      <c r="D210" s="6"/>
      <c r="E210" s="6"/>
      <c r="F210" s="71"/>
      <c r="G210" s="9"/>
      <c r="H210" s="9"/>
      <c r="I210" s="186"/>
      <c r="J210" s="186"/>
      <c r="K210" s="1"/>
      <c r="L210" s="1"/>
      <c r="M210" s="10"/>
      <c r="N210" s="186"/>
      <c r="O210" s="16"/>
      <c r="P210" s="1"/>
    </row>
    <row r="211" spans="1:16">
      <c r="A211" s="6"/>
      <c r="B211" s="7"/>
      <c r="C211" s="67"/>
      <c r="D211" s="6"/>
      <c r="E211" s="6"/>
      <c r="F211" s="71"/>
      <c r="G211" s="9"/>
      <c r="H211" s="9"/>
      <c r="I211" s="186"/>
      <c r="J211" s="186"/>
      <c r="K211" s="1"/>
      <c r="L211" s="1"/>
      <c r="M211" s="10"/>
      <c r="N211" s="186"/>
      <c r="O211" s="16"/>
      <c r="P211" s="1"/>
    </row>
    <row r="212" spans="1:16">
      <c r="A212" s="6"/>
      <c r="B212" s="7"/>
      <c r="C212" s="67"/>
      <c r="D212" s="6"/>
      <c r="E212" s="6"/>
      <c r="F212" s="71"/>
      <c r="G212" s="9"/>
      <c r="H212" s="9"/>
      <c r="I212" s="186"/>
      <c r="J212" s="186"/>
      <c r="K212" s="1"/>
      <c r="L212" s="1"/>
      <c r="M212" s="10"/>
      <c r="N212" s="186"/>
      <c r="O212" s="16"/>
      <c r="P212" s="1"/>
    </row>
    <row r="213" spans="1:16">
      <c r="A213" s="6"/>
      <c r="B213" s="7"/>
      <c r="C213" s="67"/>
      <c r="D213" s="6"/>
      <c r="E213" s="6"/>
      <c r="F213" s="71"/>
      <c r="G213" s="9"/>
      <c r="H213" s="9"/>
      <c r="I213" s="186"/>
      <c r="J213" s="186"/>
      <c r="K213" s="1"/>
      <c r="L213" s="1"/>
      <c r="M213" s="10"/>
      <c r="N213" s="186"/>
      <c r="O213" s="16"/>
      <c r="P213" s="1"/>
    </row>
    <row r="214" spans="1:16">
      <c r="A214" s="6"/>
      <c r="B214" s="7"/>
      <c r="C214" s="67"/>
      <c r="D214" s="6"/>
      <c r="E214" s="6"/>
      <c r="F214" s="71"/>
      <c r="G214" s="9"/>
      <c r="H214" s="9"/>
      <c r="I214" s="186"/>
      <c r="J214" s="186"/>
      <c r="K214" s="1"/>
      <c r="L214" s="1"/>
      <c r="M214" s="10"/>
      <c r="N214" s="186"/>
      <c r="O214" s="16"/>
      <c r="P214" s="1"/>
    </row>
    <row r="215" spans="1:16">
      <c r="A215" s="6"/>
      <c r="B215" s="7"/>
      <c r="C215" s="67"/>
      <c r="D215" s="6"/>
      <c r="E215" s="6"/>
      <c r="F215" s="71"/>
      <c r="G215" s="9"/>
      <c r="H215" s="9"/>
      <c r="I215" s="186"/>
      <c r="J215" s="186"/>
      <c r="K215" s="1"/>
      <c r="L215" s="1"/>
      <c r="M215" s="10"/>
      <c r="N215" s="186"/>
      <c r="O215" s="16"/>
      <c r="P215" s="1"/>
    </row>
    <row r="216" spans="1:16">
      <c r="A216" s="6"/>
      <c r="B216" s="7"/>
      <c r="C216" s="67"/>
      <c r="D216" s="6"/>
      <c r="E216" s="6"/>
      <c r="F216" s="71"/>
      <c r="G216" s="9"/>
      <c r="H216" s="9"/>
      <c r="I216" s="186"/>
      <c r="J216" s="186"/>
      <c r="K216" s="1"/>
      <c r="L216" s="1"/>
      <c r="M216" s="10"/>
      <c r="N216" s="186"/>
      <c r="O216" s="16"/>
      <c r="P216" s="1"/>
    </row>
    <row r="217" spans="1:16">
      <c r="A217" s="6"/>
      <c r="B217" s="7"/>
      <c r="C217" s="67"/>
      <c r="D217" s="6"/>
      <c r="E217" s="6"/>
      <c r="F217" s="71"/>
      <c r="G217" s="9"/>
      <c r="H217" s="9"/>
      <c r="I217" s="186"/>
      <c r="J217" s="186"/>
      <c r="K217" s="1"/>
      <c r="L217" s="1"/>
      <c r="M217" s="10"/>
      <c r="N217" s="186"/>
      <c r="O217" s="16"/>
      <c r="P217" s="1"/>
    </row>
    <row r="218" spans="1:16">
      <c r="A218" s="6"/>
      <c r="B218" s="7"/>
      <c r="C218" s="67"/>
      <c r="D218" s="6"/>
      <c r="E218" s="6"/>
      <c r="F218" s="71"/>
      <c r="G218" s="9"/>
      <c r="H218" s="9"/>
      <c r="I218" s="186"/>
      <c r="J218" s="186"/>
      <c r="K218" s="1"/>
      <c r="L218" s="1"/>
      <c r="M218" s="10"/>
      <c r="N218" s="186"/>
      <c r="O218" s="16"/>
      <c r="P218" s="1"/>
    </row>
    <row r="219" spans="1:16">
      <c r="A219" s="6"/>
      <c r="B219" s="7"/>
      <c r="C219" s="67"/>
      <c r="D219" s="6"/>
      <c r="E219" s="6"/>
      <c r="F219" s="71"/>
      <c r="G219" s="9"/>
      <c r="H219" s="9"/>
      <c r="I219" s="186"/>
      <c r="J219" s="186"/>
      <c r="K219" s="1"/>
      <c r="L219" s="1"/>
      <c r="M219" s="10"/>
      <c r="N219" s="186"/>
      <c r="O219" s="16"/>
      <c r="P219" s="1"/>
    </row>
    <row r="220" spans="1:16">
      <c r="A220" s="6"/>
      <c r="B220" s="7"/>
      <c r="C220" s="67"/>
      <c r="D220" s="6"/>
      <c r="E220" s="6"/>
      <c r="F220" s="71"/>
      <c r="G220" s="9"/>
      <c r="H220" s="9"/>
      <c r="I220" s="186"/>
      <c r="J220" s="186"/>
      <c r="K220" s="1"/>
      <c r="L220" s="1"/>
      <c r="M220" s="10"/>
      <c r="N220" s="186"/>
      <c r="O220" s="16"/>
      <c r="P220" s="1"/>
    </row>
    <row r="221" spans="1:16">
      <c r="A221" s="6"/>
      <c r="B221" s="7"/>
      <c r="C221" s="67"/>
      <c r="D221" s="6"/>
      <c r="E221" s="6"/>
      <c r="F221" s="71"/>
      <c r="G221" s="9"/>
      <c r="H221" s="9"/>
      <c r="I221" s="186"/>
      <c r="J221" s="186"/>
      <c r="K221" s="1"/>
      <c r="L221" s="1"/>
      <c r="M221" s="10"/>
      <c r="N221" s="186"/>
      <c r="O221" s="16"/>
      <c r="P221" s="1"/>
    </row>
    <row r="222" spans="1:16">
      <c r="A222" s="6"/>
      <c r="B222" s="7"/>
      <c r="C222" s="67"/>
      <c r="D222" s="6"/>
      <c r="E222" s="6"/>
      <c r="F222" s="71"/>
      <c r="G222" s="9"/>
      <c r="H222" s="9"/>
      <c r="I222" s="186"/>
      <c r="J222" s="186"/>
      <c r="K222" s="1"/>
      <c r="L222" s="1"/>
      <c r="M222" s="10"/>
      <c r="N222" s="186"/>
      <c r="O222" s="16"/>
      <c r="P222" s="1"/>
    </row>
    <row r="223" spans="1:16">
      <c r="A223" s="6"/>
      <c r="B223" s="7"/>
      <c r="C223" s="67"/>
      <c r="D223" s="6"/>
      <c r="E223" s="6"/>
      <c r="F223" s="71"/>
      <c r="G223" s="9"/>
      <c r="H223" s="9"/>
      <c r="I223" s="186"/>
      <c r="J223" s="186"/>
      <c r="K223" s="1"/>
      <c r="L223" s="1"/>
      <c r="M223" s="10"/>
      <c r="N223" s="186"/>
      <c r="O223" s="16"/>
      <c r="P223" s="1"/>
    </row>
    <row r="224" spans="1:16">
      <c r="A224" s="6"/>
      <c r="B224" s="7"/>
      <c r="C224" s="67"/>
      <c r="D224" s="6"/>
      <c r="E224" s="6"/>
      <c r="F224" s="71"/>
      <c r="G224" s="9"/>
      <c r="H224" s="9"/>
      <c r="I224" s="186"/>
      <c r="J224" s="186"/>
      <c r="K224" s="1"/>
      <c r="L224" s="1"/>
      <c r="M224" s="10"/>
      <c r="N224" s="186"/>
      <c r="O224" s="16"/>
      <c r="P224" s="1"/>
    </row>
    <row r="225" spans="1:16">
      <c r="A225" s="6"/>
      <c r="B225" s="7"/>
      <c r="C225" s="67"/>
      <c r="D225" s="6"/>
      <c r="E225" s="6"/>
      <c r="F225" s="71"/>
      <c r="G225" s="9"/>
      <c r="H225" s="9"/>
      <c r="I225" s="186"/>
      <c r="J225" s="186"/>
      <c r="K225" s="1"/>
      <c r="L225" s="1"/>
      <c r="M225" s="10"/>
      <c r="N225" s="186"/>
      <c r="O225" s="16"/>
      <c r="P225" s="1"/>
    </row>
    <row r="226" spans="1:16">
      <c r="A226" s="6"/>
      <c r="B226" s="7"/>
      <c r="C226" s="67"/>
      <c r="D226" s="6"/>
      <c r="E226" s="6"/>
      <c r="F226" s="71"/>
      <c r="G226" s="9"/>
      <c r="H226" s="9"/>
      <c r="I226" s="186"/>
      <c r="J226" s="186"/>
      <c r="K226" s="1"/>
      <c r="L226" s="1"/>
      <c r="M226" s="10"/>
      <c r="N226" s="186"/>
      <c r="O226" s="16"/>
      <c r="P226" s="1"/>
    </row>
    <row r="227" spans="1:16">
      <c r="A227" s="6"/>
      <c r="B227" s="7"/>
      <c r="C227" s="67"/>
      <c r="D227" s="6"/>
      <c r="E227" s="6"/>
      <c r="F227" s="71"/>
      <c r="G227" s="9"/>
      <c r="H227" s="9"/>
      <c r="I227" s="186"/>
      <c r="J227" s="186"/>
      <c r="K227" s="1"/>
      <c r="L227" s="1"/>
      <c r="M227" s="10"/>
      <c r="N227" s="186"/>
      <c r="O227" s="16"/>
      <c r="P227" s="1"/>
    </row>
    <row r="228" spans="1:16">
      <c r="A228" s="6"/>
      <c r="B228" s="7"/>
      <c r="C228" s="67"/>
      <c r="D228" s="6"/>
      <c r="E228" s="6"/>
      <c r="F228" s="71"/>
      <c r="G228" s="9"/>
      <c r="H228" s="9"/>
      <c r="I228" s="186"/>
      <c r="J228" s="186"/>
      <c r="K228" s="1"/>
      <c r="L228" s="1"/>
      <c r="M228" s="10"/>
      <c r="N228" s="186"/>
      <c r="O228" s="16"/>
      <c r="P228" s="1"/>
    </row>
    <row r="229" spans="1:16">
      <c r="A229" s="6"/>
      <c r="B229" s="7"/>
      <c r="C229" s="67"/>
      <c r="D229" s="6"/>
      <c r="E229" s="6"/>
      <c r="F229" s="71"/>
      <c r="G229" s="9"/>
      <c r="H229" s="9"/>
      <c r="I229" s="186"/>
      <c r="J229" s="186"/>
      <c r="K229" s="1"/>
      <c r="L229" s="1"/>
      <c r="M229" s="10"/>
      <c r="N229" s="186"/>
      <c r="O229" s="16"/>
      <c r="P229" s="1"/>
    </row>
    <row r="230" spans="1:16">
      <c r="A230" s="6"/>
      <c r="B230" s="7"/>
      <c r="C230" s="67"/>
      <c r="D230" s="6"/>
      <c r="E230" s="6"/>
      <c r="F230" s="71"/>
      <c r="G230" s="9"/>
      <c r="H230" s="9"/>
      <c r="I230" s="186"/>
      <c r="J230" s="186"/>
      <c r="K230" s="1"/>
      <c r="L230" s="1"/>
      <c r="M230" s="10"/>
      <c r="N230" s="186"/>
      <c r="O230" s="16"/>
      <c r="P230" s="1"/>
    </row>
    <row r="231" spans="1:16">
      <c r="A231" s="6"/>
      <c r="B231" s="7"/>
      <c r="C231" s="67"/>
      <c r="D231" s="6"/>
      <c r="E231" s="6"/>
      <c r="F231" s="71"/>
      <c r="G231" s="9"/>
      <c r="H231" s="9"/>
      <c r="I231" s="186"/>
      <c r="J231" s="186"/>
      <c r="K231" s="1"/>
      <c r="L231" s="1"/>
      <c r="M231" s="10"/>
      <c r="N231" s="186"/>
      <c r="O231" s="16"/>
      <c r="P231" s="1"/>
    </row>
    <row r="232" spans="1:16">
      <c r="A232" s="6"/>
      <c r="B232" s="7"/>
      <c r="C232" s="67"/>
      <c r="D232" s="6"/>
      <c r="E232" s="6"/>
      <c r="F232" s="71"/>
      <c r="G232" s="9"/>
      <c r="H232" s="9"/>
      <c r="I232" s="186"/>
      <c r="J232" s="186"/>
      <c r="K232" s="1"/>
      <c r="L232" s="1"/>
      <c r="M232" s="10"/>
      <c r="N232" s="186"/>
      <c r="O232" s="16"/>
      <c r="P232" s="1"/>
    </row>
    <row r="233" spans="1:16">
      <c r="A233" s="6"/>
      <c r="B233" s="7"/>
      <c r="C233" s="67"/>
      <c r="D233" s="6"/>
      <c r="E233" s="6"/>
      <c r="F233" s="71"/>
      <c r="G233" s="9"/>
      <c r="H233" s="9"/>
      <c r="I233" s="186"/>
      <c r="J233" s="186"/>
      <c r="K233" s="1"/>
      <c r="L233" s="1"/>
      <c r="M233" s="10"/>
      <c r="N233" s="186"/>
      <c r="O233" s="16"/>
      <c r="P233" s="1"/>
    </row>
    <row r="234" spans="1:16">
      <c r="A234" s="6"/>
      <c r="B234" s="7"/>
      <c r="C234" s="67"/>
      <c r="D234" s="6"/>
      <c r="E234" s="6"/>
      <c r="F234" s="71"/>
      <c r="G234" s="9"/>
      <c r="H234" s="9"/>
      <c r="I234" s="186"/>
      <c r="J234" s="186"/>
      <c r="K234" s="1"/>
      <c r="L234" s="1"/>
      <c r="M234" s="10"/>
      <c r="N234" s="186"/>
      <c r="O234" s="16"/>
      <c r="P234" s="1"/>
    </row>
    <row r="235" spans="1:16">
      <c r="A235" s="6"/>
      <c r="B235" s="7"/>
      <c r="C235" s="67"/>
      <c r="D235" s="6"/>
      <c r="E235" s="6"/>
      <c r="F235" s="71"/>
      <c r="G235" s="9"/>
      <c r="H235" s="9"/>
      <c r="I235" s="186"/>
      <c r="J235" s="186"/>
      <c r="K235" s="1"/>
      <c r="L235" s="1"/>
      <c r="M235" s="10"/>
      <c r="N235" s="186"/>
      <c r="O235" s="16"/>
      <c r="P235" s="1"/>
    </row>
    <row r="236" spans="1:16">
      <c r="A236" s="6"/>
      <c r="B236" s="7"/>
      <c r="C236" s="67"/>
      <c r="D236" s="6"/>
      <c r="E236" s="6"/>
      <c r="F236" s="71"/>
      <c r="G236" s="9"/>
      <c r="H236" s="9"/>
      <c r="I236" s="186"/>
      <c r="J236" s="186"/>
      <c r="K236" s="1"/>
      <c r="L236" s="1"/>
      <c r="M236" s="10"/>
      <c r="N236" s="186"/>
      <c r="O236" s="16"/>
      <c r="P236" s="1"/>
    </row>
    <row r="237" spans="1:16">
      <c r="A237" s="6"/>
      <c r="B237" s="7"/>
      <c r="C237" s="67"/>
      <c r="D237" s="6"/>
      <c r="E237" s="6"/>
      <c r="F237" s="71"/>
      <c r="G237" s="9"/>
      <c r="H237" s="9"/>
      <c r="I237" s="186"/>
      <c r="J237" s="186"/>
      <c r="K237" s="1"/>
      <c r="L237" s="1"/>
      <c r="M237" s="10"/>
      <c r="N237" s="186"/>
      <c r="O237" s="16"/>
      <c r="P237" s="1"/>
    </row>
    <row r="238" spans="1:16">
      <c r="A238" s="6"/>
      <c r="B238" s="7"/>
      <c r="C238" s="67"/>
      <c r="D238" s="6"/>
      <c r="E238" s="6"/>
      <c r="F238" s="71"/>
      <c r="G238" s="9"/>
      <c r="H238" s="9"/>
      <c r="I238" s="186"/>
      <c r="J238" s="186"/>
      <c r="K238" s="1"/>
      <c r="L238" s="1"/>
      <c r="M238" s="10"/>
      <c r="N238" s="186"/>
      <c r="O238" s="16"/>
      <c r="P238" s="1"/>
    </row>
    <row r="239" spans="1:16">
      <c r="A239" s="6"/>
      <c r="B239" s="7"/>
      <c r="C239" s="67"/>
      <c r="D239" s="6"/>
      <c r="E239" s="6"/>
      <c r="F239" s="71"/>
      <c r="G239" s="9"/>
      <c r="H239" s="9"/>
      <c r="I239" s="186"/>
      <c r="J239" s="186"/>
      <c r="K239" s="1"/>
      <c r="L239" s="1"/>
      <c r="M239" s="10"/>
      <c r="N239" s="186"/>
      <c r="O239" s="16"/>
      <c r="P239" s="1"/>
    </row>
    <row r="240" spans="1:16">
      <c r="A240" s="6"/>
      <c r="B240" s="7"/>
      <c r="C240" s="67"/>
      <c r="D240" s="6"/>
      <c r="E240" s="6"/>
      <c r="F240" s="71"/>
      <c r="G240" s="9"/>
      <c r="H240" s="9"/>
      <c r="I240" s="186"/>
      <c r="J240" s="186"/>
      <c r="K240" s="1"/>
      <c r="L240" s="1"/>
      <c r="M240" s="10"/>
      <c r="N240" s="186"/>
      <c r="O240" s="16"/>
      <c r="P240" s="1"/>
    </row>
    <row r="241" spans="1:16">
      <c r="A241" s="6"/>
      <c r="B241" s="7"/>
      <c r="C241" s="67"/>
      <c r="D241" s="6"/>
      <c r="E241" s="6"/>
      <c r="F241" s="71"/>
      <c r="G241" s="9"/>
      <c r="H241" s="9"/>
      <c r="I241" s="186"/>
      <c r="J241" s="186"/>
      <c r="K241" s="1"/>
      <c r="L241" s="1"/>
      <c r="M241" s="10"/>
      <c r="N241" s="186"/>
      <c r="O241" s="16"/>
      <c r="P241" s="1"/>
    </row>
    <row r="242" spans="1:16">
      <c r="A242" s="6"/>
      <c r="B242" s="7"/>
      <c r="C242" s="67"/>
      <c r="D242" s="6"/>
      <c r="E242" s="6"/>
      <c r="F242" s="71"/>
      <c r="G242" s="9"/>
      <c r="H242" s="9"/>
      <c r="I242" s="186"/>
      <c r="J242" s="186"/>
      <c r="K242" s="1"/>
      <c r="L242" s="1"/>
      <c r="M242" s="10"/>
      <c r="N242" s="186"/>
      <c r="O242" s="16"/>
      <c r="P242" s="1"/>
    </row>
    <row r="243" spans="1:16">
      <c r="A243" s="6"/>
      <c r="B243" s="7"/>
      <c r="C243" s="67"/>
      <c r="D243" s="6"/>
      <c r="E243" s="6"/>
      <c r="F243" s="71"/>
      <c r="G243" s="9"/>
      <c r="H243" s="9"/>
      <c r="I243" s="186"/>
      <c r="J243" s="186"/>
      <c r="K243" s="1"/>
      <c r="L243" s="1"/>
      <c r="M243" s="10"/>
      <c r="N243" s="186"/>
      <c r="O243" s="16"/>
      <c r="P243" s="1"/>
    </row>
    <row r="244" spans="1:16">
      <c r="A244" s="6"/>
      <c r="B244" s="7"/>
      <c r="C244" s="67"/>
      <c r="D244" s="6"/>
      <c r="E244" s="6"/>
      <c r="F244" s="71"/>
      <c r="G244" s="9"/>
      <c r="H244" s="9"/>
      <c r="I244" s="186"/>
      <c r="J244" s="186"/>
      <c r="K244" s="1"/>
      <c r="L244" s="1"/>
      <c r="M244" s="10"/>
      <c r="N244" s="186"/>
      <c r="O244" s="16"/>
      <c r="P244" s="1"/>
    </row>
    <row r="245" spans="1:16">
      <c r="A245" s="6"/>
      <c r="B245" s="174"/>
      <c r="C245" s="67"/>
      <c r="D245" s="176"/>
      <c r="E245" s="176"/>
      <c r="F245" s="71"/>
      <c r="G245" s="9"/>
      <c r="H245" s="9"/>
      <c r="I245" s="186"/>
      <c r="J245" s="186"/>
      <c r="K245" s="1"/>
      <c r="L245" s="1"/>
      <c r="M245" s="10"/>
      <c r="N245" s="186"/>
      <c r="O245" s="16"/>
      <c r="P245" s="1"/>
    </row>
    <row r="246" spans="1:16">
      <c r="A246" s="6"/>
      <c r="B246" s="174"/>
      <c r="C246" s="67"/>
      <c r="D246" s="176"/>
      <c r="E246" s="176"/>
      <c r="F246" s="71"/>
      <c r="G246" s="9"/>
      <c r="H246" s="9"/>
      <c r="I246" s="186"/>
      <c r="J246" s="186"/>
      <c r="K246" s="1"/>
      <c r="L246" s="1"/>
      <c r="M246" s="10"/>
      <c r="N246" s="186"/>
      <c r="O246" s="16"/>
      <c r="P246" s="1"/>
    </row>
    <row r="247" spans="1:16">
      <c r="A247" s="6"/>
      <c r="B247" s="174"/>
      <c r="C247" s="67"/>
      <c r="D247" s="176"/>
      <c r="E247" s="176"/>
      <c r="F247" s="71"/>
      <c r="G247" s="9"/>
      <c r="H247" s="9"/>
      <c r="I247" s="186"/>
      <c r="J247" s="186"/>
      <c r="K247" s="1"/>
      <c r="L247" s="1"/>
      <c r="M247" s="10"/>
      <c r="N247" s="186"/>
      <c r="O247" s="16"/>
      <c r="P247" s="1"/>
    </row>
    <row r="248" spans="1:16">
      <c r="A248" s="6"/>
      <c r="B248" s="174"/>
      <c r="C248" s="67"/>
      <c r="D248" s="176"/>
      <c r="E248" s="176"/>
      <c r="F248" s="71"/>
      <c r="G248" s="9"/>
      <c r="H248" s="9"/>
      <c r="I248" s="186"/>
      <c r="J248" s="186"/>
      <c r="K248" s="1"/>
      <c r="L248" s="1"/>
      <c r="M248" s="10"/>
      <c r="N248" s="186"/>
      <c r="O248" s="16"/>
      <c r="P248" s="1"/>
    </row>
    <row r="249" spans="1:16">
      <c r="A249" s="6"/>
      <c r="B249" s="7"/>
      <c r="C249" s="67"/>
      <c r="D249" s="176"/>
      <c r="E249" s="176"/>
      <c r="F249" s="71"/>
      <c r="G249" s="9"/>
      <c r="H249" s="9"/>
      <c r="I249" s="186"/>
      <c r="J249" s="186"/>
      <c r="K249" s="1"/>
      <c r="L249" s="1"/>
      <c r="M249" s="10"/>
      <c r="N249" s="186"/>
      <c r="O249" s="16"/>
      <c r="P249" s="1"/>
    </row>
    <row r="250" spans="1:16">
      <c r="A250" s="6"/>
      <c r="B250" s="7"/>
      <c r="C250" s="67"/>
      <c r="D250" s="6"/>
      <c r="E250" s="176"/>
      <c r="F250" s="71"/>
      <c r="G250" s="9"/>
      <c r="H250" s="9"/>
      <c r="I250" s="186"/>
      <c r="J250" s="186"/>
      <c r="K250" s="1"/>
      <c r="L250" s="1"/>
      <c r="M250" s="10"/>
      <c r="N250" s="186"/>
      <c r="O250" s="186"/>
      <c r="P250" s="1"/>
    </row>
    <row r="251" spans="1:16">
      <c r="A251" s="6"/>
      <c r="B251" s="7"/>
      <c r="C251" s="148"/>
      <c r="D251" s="176"/>
      <c r="E251" s="176"/>
      <c r="F251" s="71"/>
      <c r="G251" s="9"/>
      <c r="H251" s="9"/>
      <c r="I251" s="186"/>
      <c r="J251" s="186"/>
      <c r="K251" s="1"/>
      <c r="L251" s="1"/>
      <c r="M251" s="10"/>
      <c r="N251" s="186"/>
      <c r="O251" s="16"/>
      <c r="P251" s="1"/>
    </row>
    <row r="252" spans="1:16">
      <c r="A252" s="6"/>
      <c r="B252" s="174"/>
      <c r="C252" s="67"/>
      <c r="D252" s="176"/>
      <c r="E252" s="176"/>
      <c r="F252" s="71"/>
      <c r="G252" s="9"/>
      <c r="H252" s="9"/>
      <c r="I252" s="186"/>
      <c r="J252" s="186"/>
      <c r="K252" s="1"/>
      <c r="L252" s="1"/>
      <c r="M252" s="10"/>
      <c r="N252" s="186"/>
      <c r="O252" s="16"/>
      <c r="P252" s="1"/>
    </row>
    <row r="253" spans="1:16">
      <c r="A253" s="6"/>
      <c r="B253" s="7"/>
      <c r="C253" s="67"/>
      <c r="D253" s="6"/>
      <c r="E253" s="6"/>
      <c r="F253" s="71"/>
      <c r="G253" s="9"/>
      <c r="H253" s="9"/>
      <c r="I253" s="186"/>
      <c r="J253" s="186"/>
      <c r="K253" s="1"/>
      <c r="L253" s="1"/>
      <c r="M253" s="10"/>
      <c r="N253" s="186"/>
      <c r="O253" s="16"/>
      <c r="P253" s="1"/>
    </row>
    <row r="254" spans="1:16">
      <c r="A254" s="6"/>
      <c r="B254" s="7"/>
      <c r="C254" s="67"/>
      <c r="D254" s="6"/>
      <c r="E254" s="6"/>
      <c r="F254" s="71"/>
      <c r="G254" s="9"/>
      <c r="H254" s="9"/>
      <c r="I254" s="186"/>
      <c r="J254" s="186"/>
      <c r="K254" s="1"/>
      <c r="L254" s="1"/>
      <c r="M254" s="10"/>
      <c r="N254" s="186"/>
      <c r="O254" s="16"/>
      <c r="P254" s="1"/>
    </row>
    <row r="255" spans="1:16">
      <c r="A255" s="6"/>
      <c r="B255" s="7"/>
      <c r="C255" s="67"/>
      <c r="D255" s="6"/>
      <c r="E255" s="6"/>
      <c r="F255" s="71"/>
      <c r="G255" s="9"/>
      <c r="H255" s="9"/>
      <c r="I255" s="186"/>
      <c r="J255" s="186"/>
      <c r="K255" s="1"/>
      <c r="L255" s="1"/>
      <c r="M255" s="10"/>
      <c r="N255" s="186"/>
      <c r="O255" s="16"/>
      <c r="P255" s="1"/>
    </row>
    <row r="256" spans="1:16">
      <c r="A256" s="6"/>
      <c r="B256" s="7"/>
      <c r="C256" s="67"/>
      <c r="D256" s="176"/>
      <c r="E256" s="6"/>
      <c r="F256" s="71"/>
      <c r="G256" s="9"/>
      <c r="H256" s="9"/>
      <c r="I256" s="186"/>
      <c r="J256" s="186"/>
      <c r="K256" s="1"/>
      <c r="L256" s="1"/>
      <c r="M256" s="10"/>
      <c r="N256" s="186"/>
      <c r="O256" s="16"/>
      <c r="P256" s="1"/>
    </row>
    <row r="257" spans="1:16">
      <c r="A257" s="6"/>
      <c r="B257" s="7"/>
      <c r="C257" s="67"/>
      <c r="D257" s="6"/>
      <c r="E257" s="6"/>
      <c r="F257" s="71"/>
      <c r="G257" s="9"/>
      <c r="H257" s="9"/>
      <c r="I257" s="186"/>
      <c r="J257" s="186"/>
      <c r="K257" s="1"/>
      <c r="L257" s="1"/>
      <c r="M257" s="10"/>
      <c r="N257" s="186"/>
      <c r="O257" s="16"/>
      <c r="P257" s="1"/>
    </row>
    <row r="258" spans="1:16">
      <c r="A258" s="6"/>
      <c r="B258" s="7"/>
      <c r="C258" s="67"/>
      <c r="D258" s="6"/>
      <c r="E258" s="6"/>
      <c r="F258" s="71"/>
      <c r="G258" s="9"/>
      <c r="H258" s="9"/>
      <c r="I258" s="186"/>
      <c r="J258" s="186"/>
      <c r="K258" s="1"/>
      <c r="L258" s="1"/>
      <c r="M258" s="10"/>
      <c r="N258" s="186"/>
      <c r="O258" s="16"/>
      <c r="P258" s="1"/>
    </row>
    <row r="259" spans="1:16">
      <c r="A259" s="6"/>
      <c r="B259" s="7"/>
      <c r="C259" s="67"/>
      <c r="D259" s="6"/>
      <c r="E259" s="6"/>
      <c r="F259" s="71"/>
      <c r="G259" s="9"/>
      <c r="H259" s="9"/>
      <c r="I259" s="186"/>
      <c r="J259" s="186"/>
      <c r="K259" s="1"/>
      <c r="L259" s="1"/>
      <c r="M259" s="10"/>
      <c r="N259" s="186"/>
      <c r="O259" s="16"/>
      <c r="P259" s="1"/>
    </row>
    <row r="260" spans="1:16">
      <c r="A260" s="6"/>
      <c r="B260" s="7"/>
      <c r="C260" s="67"/>
      <c r="D260" s="6"/>
      <c r="E260" s="6"/>
      <c r="F260" s="71"/>
      <c r="G260" s="9"/>
      <c r="H260" s="9"/>
      <c r="I260" s="186"/>
      <c r="J260" s="186"/>
      <c r="K260" s="1"/>
      <c r="L260" s="1"/>
      <c r="M260" s="10"/>
      <c r="N260" s="186"/>
      <c r="O260" s="16"/>
      <c r="P260" s="1"/>
    </row>
    <row r="261" spans="1:16">
      <c r="A261" s="6"/>
      <c r="B261" s="7"/>
      <c r="C261" s="67"/>
      <c r="D261" s="6"/>
      <c r="E261" s="6"/>
      <c r="F261" s="71"/>
      <c r="G261" s="9"/>
      <c r="H261" s="9"/>
      <c r="I261" s="186"/>
      <c r="J261" s="186"/>
      <c r="K261" s="1"/>
      <c r="L261" s="1"/>
      <c r="M261" s="10"/>
      <c r="N261" s="186"/>
      <c r="O261" s="16"/>
      <c r="P261" s="1"/>
    </row>
    <row r="262" spans="1:16">
      <c r="A262" s="6"/>
      <c r="B262" s="7"/>
      <c r="C262" s="67"/>
      <c r="D262" s="6"/>
      <c r="E262" s="6"/>
      <c r="F262" s="71"/>
      <c r="G262" s="9"/>
      <c r="H262" s="9"/>
      <c r="I262" s="186"/>
      <c r="J262" s="186"/>
      <c r="K262" s="1"/>
      <c r="L262" s="1"/>
      <c r="M262" s="10"/>
      <c r="N262" s="186"/>
      <c r="O262" s="16"/>
      <c r="P262" s="1"/>
    </row>
    <row r="263" spans="1:16">
      <c r="A263" s="6"/>
      <c r="B263" s="7"/>
      <c r="C263" s="67"/>
      <c r="D263" s="6"/>
      <c r="E263" s="6"/>
      <c r="F263" s="71"/>
      <c r="G263" s="9"/>
      <c r="H263" s="9"/>
      <c r="I263" s="186"/>
      <c r="J263" s="186"/>
      <c r="K263" s="1"/>
      <c r="L263" s="1"/>
      <c r="M263" s="10"/>
      <c r="N263" s="186"/>
      <c r="O263" s="16"/>
      <c r="P263" s="1"/>
    </row>
    <row r="264" spans="1:16">
      <c r="A264" s="6"/>
      <c r="B264" s="7"/>
      <c r="C264" s="67"/>
      <c r="D264" s="6"/>
      <c r="E264" s="6"/>
      <c r="F264" s="71"/>
      <c r="G264" s="9"/>
      <c r="H264" s="9"/>
      <c r="I264" s="186"/>
      <c r="J264" s="186"/>
      <c r="K264" s="1"/>
      <c r="L264" s="1"/>
      <c r="M264" s="10"/>
      <c r="N264" s="186"/>
      <c r="O264" s="16"/>
      <c r="P264" s="1"/>
    </row>
    <row r="265" spans="1:16">
      <c r="A265" s="6"/>
      <c r="B265" s="7"/>
      <c r="C265" s="67"/>
      <c r="D265" s="6"/>
      <c r="E265" s="6"/>
      <c r="F265" s="71"/>
      <c r="G265" s="9"/>
      <c r="H265" s="9"/>
      <c r="I265" s="186"/>
      <c r="J265" s="186"/>
      <c r="K265" s="1"/>
      <c r="L265" s="1"/>
      <c r="M265" s="10"/>
      <c r="N265" s="186"/>
      <c r="O265" s="16"/>
      <c r="P265" s="1"/>
    </row>
    <row r="266" spans="1:16">
      <c r="A266" s="6"/>
      <c r="B266" s="7"/>
      <c r="C266" s="67"/>
      <c r="D266" s="6"/>
      <c r="E266" s="6"/>
      <c r="F266" s="71"/>
      <c r="G266" s="9"/>
      <c r="H266" s="9"/>
      <c r="I266" s="186"/>
      <c r="J266" s="186"/>
      <c r="K266" s="1"/>
      <c r="L266" s="1"/>
      <c r="M266" s="10"/>
      <c r="N266" s="186"/>
      <c r="O266" s="16"/>
      <c r="P266" s="1"/>
    </row>
    <row r="267" spans="1:16">
      <c r="A267" s="6"/>
      <c r="B267" s="7"/>
      <c r="C267" s="67"/>
      <c r="D267" s="6"/>
      <c r="E267" s="6"/>
      <c r="F267" s="71"/>
      <c r="G267" s="9"/>
      <c r="H267" s="9"/>
      <c r="I267" s="186"/>
      <c r="J267" s="186"/>
      <c r="K267" s="1"/>
      <c r="L267" s="1"/>
      <c r="M267" s="10"/>
      <c r="N267" s="186"/>
      <c r="O267" s="16"/>
      <c r="P267" s="1"/>
    </row>
    <row r="268" spans="1:16">
      <c r="A268" s="6"/>
      <c r="B268" s="7"/>
      <c r="C268" s="67"/>
      <c r="D268" s="6"/>
      <c r="E268" s="6"/>
      <c r="F268" s="71"/>
      <c r="G268" s="9"/>
      <c r="H268" s="9"/>
      <c r="I268" s="186"/>
      <c r="J268" s="186"/>
      <c r="K268" s="1"/>
      <c r="L268" s="1"/>
      <c r="M268" s="10"/>
      <c r="N268" s="186"/>
      <c r="O268" s="16"/>
      <c r="P268" s="1"/>
    </row>
    <row r="269" spans="1:16">
      <c r="A269" s="6"/>
      <c r="B269" s="7"/>
      <c r="C269" s="67"/>
      <c r="D269" s="6"/>
      <c r="E269" s="6"/>
      <c r="F269" s="71"/>
      <c r="G269" s="9"/>
      <c r="H269" s="9"/>
      <c r="I269" s="186"/>
      <c r="J269" s="186"/>
      <c r="K269" s="1"/>
      <c r="L269" s="1"/>
      <c r="M269" s="10"/>
      <c r="N269" s="186"/>
      <c r="O269" s="16"/>
      <c r="P269" s="1"/>
    </row>
    <row r="270" spans="1:16">
      <c r="A270" s="6"/>
      <c r="B270" s="7"/>
      <c r="C270" s="67"/>
      <c r="D270" s="6"/>
      <c r="E270" s="6"/>
      <c r="F270" s="71"/>
      <c r="G270" s="9"/>
      <c r="H270" s="9"/>
      <c r="I270" s="186"/>
      <c r="J270" s="186"/>
      <c r="K270" s="1"/>
      <c r="L270" s="1"/>
      <c r="M270" s="10"/>
      <c r="N270" s="186"/>
      <c r="O270" s="16"/>
      <c r="P270" s="1"/>
    </row>
    <row r="271" spans="1:16">
      <c r="A271" s="6"/>
      <c r="B271" s="7"/>
      <c r="C271" s="67"/>
      <c r="D271" s="6"/>
      <c r="E271" s="6"/>
      <c r="F271" s="71"/>
      <c r="G271" s="9"/>
      <c r="H271" s="9"/>
      <c r="I271" s="186"/>
      <c r="J271" s="186"/>
      <c r="K271" s="1"/>
      <c r="L271" s="1"/>
      <c r="M271" s="10"/>
      <c r="N271" s="186"/>
      <c r="O271" s="16"/>
      <c r="P271" s="1"/>
    </row>
    <row r="272" spans="1:16">
      <c r="A272" s="6"/>
      <c r="B272" s="7"/>
      <c r="C272" s="67"/>
      <c r="D272" s="6"/>
      <c r="E272" s="6"/>
      <c r="F272" s="71"/>
      <c r="G272" s="9"/>
      <c r="H272" s="9"/>
      <c r="I272" s="186"/>
      <c r="J272" s="186"/>
      <c r="K272" s="1"/>
      <c r="L272" s="1"/>
      <c r="M272" s="10"/>
      <c r="N272" s="186"/>
      <c r="O272" s="16"/>
      <c r="P272" s="1"/>
    </row>
    <row r="273" spans="1:16">
      <c r="A273" s="6"/>
      <c r="B273" s="7"/>
      <c r="C273" s="67"/>
      <c r="D273" s="6"/>
      <c r="E273" s="6"/>
      <c r="F273" s="71"/>
      <c r="G273" s="9"/>
      <c r="H273" s="9"/>
      <c r="I273" s="186"/>
      <c r="J273" s="186"/>
      <c r="K273" s="1"/>
      <c r="L273" s="1"/>
      <c r="M273" s="10"/>
      <c r="N273" s="186"/>
      <c r="O273" s="16"/>
      <c r="P273" s="1"/>
    </row>
    <row r="274" spans="1:16">
      <c r="A274" s="6"/>
      <c r="B274" s="7"/>
      <c r="C274" s="67"/>
      <c r="D274" s="6"/>
      <c r="E274" s="6"/>
      <c r="F274" s="71"/>
      <c r="G274" s="9"/>
      <c r="H274" s="9"/>
      <c r="I274" s="186"/>
      <c r="J274" s="186"/>
      <c r="K274" s="1"/>
      <c r="L274" s="1"/>
      <c r="M274" s="10"/>
      <c r="N274" s="186"/>
      <c r="O274" s="16"/>
      <c r="P274" s="1"/>
    </row>
    <row r="275" spans="1:16">
      <c r="A275" s="6"/>
      <c r="B275" s="7"/>
      <c r="C275" s="67"/>
      <c r="D275" s="6"/>
      <c r="E275" s="6"/>
      <c r="F275" s="71"/>
      <c r="G275" s="9"/>
      <c r="H275" s="9"/>
      <c r="I275" s="186"/>
      <c r="J275" s="186"/>
      <c r="K275" s="1"/>
      <c r="L275" s="1"/>
      <c r="M275" s="10"/>
      <c r="N275" s="186"/>
      <c r="O275" s="16"/>
      <c r="P275" s="1"/>
    </row>
    <row r="276" spans="1:16">
      <c r="A276" s="6"/>
      <c r="B276" s="7"/>
      <c r="C276" s="67"/>
      <c r="D276" s="6"/>
      <c r="E276" s="6"/>
      <c r="F276" s="71"/>
      <c r="G276" s="9"/>
      <c r="H276" s="9"/>
      <c r="I276" s="186"/>
      <c r="J276" s="186"/>
      <c r="K276" s="1"/>
      <c r="L276" s="1"/>
      <c r="M276" s="10"/>
      <c r="N276" s="186"/>
      <c r="O276" s="16"/>
      <c r="P276" s="1"/>
    </row>
    <row r="277" spans="1:16">
      <c r="A277" s="6"/>
      <c r="B277" s="7"/>
      <c r="C277" s="67"/>
      <c r="D277" s="6"/>
      <c r="E277" s="6"/>
      <c r="F277" s="71"/>
      <c r="G277" s="9"/>
      <c r="H277" s="9"/>
      <c r="I277" s="186"/>
      <c r="J277" s="186"/>
      <c r="K277" s="1"/>
      <c r="L277" s="1"/>
      <c r="M277" s="10"/>
      <c r="N277" s="186"/>
      <c r="O277" s="16"/>
      <c r="P277" s="1"/>
    </row>
    <row r="278" spans="1:16">
      <c r="A278" s="6"/>
      <c r="B278" s="7"/>
      <c r="C278" s="67"/>
      <c r="D278" s="6"/>
      <c r="E278" s="6"/>
      <c r="F278" s="71"/>
      <c r="G278" s="9"/>
      <c r="H278" s="9"/>
      <c r="I278" s="186"/>
      <c r="J278" s="186"/>
      <c r="K278" s="1"/>
      <c r="L278" s="1"/>
      <c r="M278" s="10"/>
      <c r="N278" s="186"/>
      <c r="O278" s="16"/>
      <c r="P278" s="1"/>
    </row>
    <row r="279" spans="1:16">
      <c r="A279" s="6"/>
      <c r="B279" s="7"/>
      <c r="C279" s="67"/>
      <c r="D279" s="6"/>
      <c r="E279" s="6"/>
      <c r="F279" s="71"/>
      <c r="G279" s="9"/>
      <c r="H279" s="9"/>
      <c r="I279" s="186"/>
      <c r="J279" s="186"/>
      <c r="K279" s="1"/>
      <c r="L279" s="1"/>
      <c r="M279" s="10"/>
      <c r="N279" s="186"/>
      <c r="O279" s="16"/>
      <c r="P279" s="1"/>
    </row>
    <row r="280" spans="1:16">
      <c r="A280" s="6"/>
      <c r="B280" s="7"/>
      <c r="C280" s="67"/>
      <c r="D280" s="6"/>
      <c r="E280" s="6"/>
      <c r="F280" s="71"/>
      <c r="G280" s="9"/>
      <c r="H280" s="9"/>
      <c r="I280" s="186"/>
      <c r="J280" s="186"/>
      <c r="K280" s="1"/>
      <c r="L280" s="1"/>
      <c r="M280" s="10"/>
      <c r="N280" s="186"/>
      <c r="O280" s="16"/>
      <c r="P280" s="1"/>
    </row>
    <row r="281" spans="1:16">
      <c r="A281" s="6"/>
      <c r="B281" s="7"/>
      <c r="C281" s="67"/>
      <c r="D281" s="6"/>
      <c r="E281" s="6"/>
      <c r="F281" s="71"/>
      <c r="G281" s="9"/>
      <c r="H281" s="9"/>
      <c r="I281" s="186"/>
      <c r="J281" s="186"/>
      <c r="K281" s="1"/>
      <c r="L281" s="1"/>
      <c r="M281" s="10"/>
      <c r="N281" s="186"/>
      <c r="O281" s="16"/>
      <c r="P281" s="1"/>
    </row>
    <row r="282" spans="1:16">
      <c r="A282" s="6"/>
      <c r="B282" s="7"/>
      <c r="C282" s="67"/>
      <c r="D282" s="6"/>
      <c r="E282" s="6"/>
      <c r="F282" s="71"/>
      <c r="G282" s="9"/>
      <c r="H282" s="9"/>
      <c r="I282" s="186"/>
      <c r="J282" s="186"/>
      <c r="K282" s="1"/>
      <c r="L282" s="1"/>
      <c r="M282" s="10"/>
      <c r="N282" s="186"/>
      <c r="O282" s="16"/>
      <c r="P282" s="1"/>
    </row>
    <row r="283" spans="1:16">
      <c r="A283" s="6"/>
      <c r="B283" s="7"/>
      <c r="C283" s="67"/>
      <c r="D283" s="6"/>
      <c r="E283" s="6"/>
      <c r="F283" s="71"/>
      <c r="G283" s="9"/>
      <c r="H283" s="9"/>
      <c r="I283" s="186"/>
      <c r="J283" s="186"/>
      <c r="K283" s="1"/>
      <c r="L283" s="1"/>
      <c r="M283" s="10"/>
      <c r="N283" s="186"/>
      <c r="O283" s="16"/>
      <c r="P283" s="1"/>
    </row>
    <row r="284" spans="1:16">
      <c r="A284" s="6"/>
      <c r="B284" s="7"/>
      <c r="C284" s="67"/>
      <c r="D284" s="6"/>
      <c r="E284" s="6"/>
      <c r="F284" s="71"/>
      <c r="G284" s="9"/>
      <c r="H284" s="9"/>
      <c r="I284" s="186"/>
      <c r="J284" s="186"/>
      <c r="K284" s="1"/>
      <c r="L284" s="1"/>
      <c r="M284" s="10"/>
      <c r="N284" s="186"/>
      <c r="O284" s="16"/>
      <c r="P284" s="1"/>
    </row>
    <row r="285" spans="1:16">
      <c r="A285" s="6"/>
      <c r="B285" s="7"/>
      <c r="C285" s="67"/>
      <c r="D285" s="6"/>
      <c r="E285" s="6"/>
      <c r="F285" s="71"/>
      <c r="G285" s="9"/>
      <c r="H285" s="9"/>
      <c r="I285" s="186"/>
      <c r="J285" s="186"/>
      <c r="K285" s="1"/>
      <c r="L285" s="1"/>
      <c r="M285" s="10"/>
      <c r="N285" s="186"/>
      <c r="O285" s="16"/>
      <c r="P285" s="1"/>
    </row>
    <row r="286" spans="1:16">
      <c r="A286" s="6"/>
      <c r="B286" s="7"/>
      <c r="C286" s="67"/>
      <c r="D286" s="6"/>
      <c r="E286" s="6"/>
      <c r="F286" s="71"/>
      <c r="G286" s="9"/>
      <c r="H286" s="9"/>
      <c r="I286" s="186"/>
      <c r="J286" s="186"/>
      <c r="K286" s="1"/>
      <c r="L286" s="1"/>
      <c r="M286" s="10"/>
      <c r="N286" s="186"/>
      <c r="O286" s="16"/>
      <c r="P286" s="1"/>
    </row>
    <row r="287" spans="1:16">
      <c r="A287" s="6"/>
      <c r="B287" s="7"/>
      <c r="C287" s="67"/>
      <c r="D287" s="6"/>
      <c r="E287" s="6"/>
      <c r="F287" s="71"/>
      <c r="G287" s="9"/>
      <c r="H287" s="9"/>
      <c r="I287" s="186"/>
      <c r="J287" s="186"/>
      <c r="K287" s="1"/>
      <c r="L287" s="1"/>
      <c r="M287" s="10"/>
      <c r="N287" s="186"/>
      <c r="O287" s="16"/>
      <c r="P287" s="1"/>
    </row>
    <row r="288" spans="1:16">
      <c r="A288" s="6"/>
      <c r="B288" s="7"/>
      <c r="C288" s="67"/>
      <c r="D288" s="6"/>
      <c r="E288" s="6"/>
      <c r="F288" s="71"/>
      <c r="G288" s="9"/>
      <c r="H288" s="9"/>
      <c r="I288" s="186"/>
      <c r="J288" s="186"/>
      <c r="K288" s="1"/>
      <c r="L288" s="1"/>
      <c r="M288" s="10"/>
      <c r="N288" s="186"/>
      <c r="O288" s="16"/>
      <c r="P288" s="1"/>
    </row>
    <row r="289" spans="1:16">
      <c r="A289" s="6"/>
      <c r="B289" s="7"/>
      <c r="C289" s="67"/>
      <c r="D289" s="6"/>
      <c r="E289" s="6"/>
      <c r="F289" s="71"/>
      <c r="G289" s="9"/>
      <c r="H289" s="9"/>
      <c r="I289" s="186"/>
      <c r="J289" s="186"/>
      <c r="K289" s="1"/>
      <c r="L289" s="1"/>
      <c r="M289" s="10"/>
      <c r="N289" s="186"/>
      <c r="O289" s="16"/>
      <c r="P289" s="1"/>
    </row>
    <row r="290" spans="1:16">
      <c r="A290" s="6"/>
      <c r="B290" s="7"/>
      <c r="C290" s="67"/>
      <c r="D290" s="6"/>
      <c r="E290" s="6"/>
      <c r="F290" s="71"/>
      <c r="G290" s="9"/>
      <c r="H290" s="9"/>
      <c r="I290" s="186"/>
      <c r="J290" s="186"/>
      <c r="K290" s="1"/>
      <c r="L290" s="1"/>
      <c r="M290" s="10"/>
      <c r="N290" s="186"/>
      <c r="O290" s="16"/>
      <c r="P290" s="1"/>
    </row>
    <row r="291" spans="1:16">
      <c r="A291" s="6"/>
      <c r="B291" s="7"/>
      <c r="C291" s="67"/>
      <c r="D291" s="6"/>
      <c r="E291" s="6"/>
      <c r="F291" s="71"/>
      <c r="G291" s="9"/>
      <c r="H291" s="9"/>
      <c r="I291" s="186"/>
      <c r="J291" s="186"/>
      <c r="K291" s="1"/>
      <c r="L291" s="1"/>
      <c r="M291" s="10"/>
      <c r="N291" s="186"/>
      <c r="O291" s="16"/>
      <c r="P291" s="1"/>
    </row>
    <row r="292" spans="1:16">
      <c r="A292" s="6"/>
      <c r="B292" s="7"/>
      <c r="C292" s="67"/>
      <c r="D292" s="6"/>
      <c r="E292" s="6"/>
      <c r="F292" s="71"/>
      <c r="G292" s="9"/>
      <c r="H292" s="9"/>
      <c r="I292" s="186"/>
      <c r="J292" s="186"/>
      <c r="K292" s="1"/>
      <c r="L292" s="1"/>
      <c r="M292" s="10"/>
      <c r="N292" s="186"/>
      <c r="O292" s="16"/>
      <c r="P292" s="1"/>
    </row>
    <row r="293" spans="1:16">
      <c r="A293" s="6"/>
      <c r="B293" s="7"/>
      <c r="C293" s="67"/>
      <c r="D293" s="6"/>
      <c r="E293" s="6"/>
      <c r="F293" s="71"/>
      <c r="G293" s="9"/>
      <c r="H293" s="9"/>
      <c r="I293" s="186"/>
      <c r="J293" s="186"/>
      <c r="K293" s="1"/>
      <c r="L293" s="1"/>
      <c r="M293" s="10"/>
      <c r="N293" s="186"/>
      <c r="O293" s="16"/>
      <c r="P293" s="1"/>
    </row>
    <row r="294" spans="1:16">
      <c r="A294" s="6"/>
      <c r="B294" s="7"/>
      <c r="C294" s="67"/>
      <c r="D294" s="6"/>
      <c r="E294" s="6"/>
      <c r="F294" s="71"/>
      <c r="G294" s="9"/>
      <c r="H294" s="9"/>
      <c r="I294" s="186"/>
      <c r="J294" s="186"/>
      <c r="K294" s="1"/>
      <c r="L294" s="1"/>
      <c r="M294" s="10"/>
      <c r="N294" s="186"/>
      <c r="O294" s="16"/>
      <c r="P294" s="1"/>
    </row>
    <row r="295" spans="1:16">
      <c r="A295" s="6"/>
      <c r="B295" s="7"/>
      <c r="C295" s="67"/>
      <c r="D295" s="6"/>
      <c r="E295" s="6"/>
      <c r="F295" s="71"/>
      <c r="G295" s="9"/>
      <c r="H295" s="9"/>
      <c r="I295" s="186"/>
      <c r="J295" s="186"/>
      <c r="K295" s="1"/>
      <c r="L295" s="1"/>
      <c r="M295" s="10"/>
      <c r="N295" s="186"/>
      <c r="O295" s="16"/>
      <c r="P295" s="1"/>
    </row>
    <row r="296" spans="1:16">
      <c r="A296" s="6"/>
      <c r="B296" s="7"/>
      <c r="C296" s="67"/>
      <c r="D296" s="6"/>
      <c r="E296" s="6"/>
      <c r="F296" s="71"/>
      <c r="G296" s="9"/>
      <c r="H296" s="9"/>
      <c r="I296" s="186"/>
      <c r="J296" s="186"/>
      <c r="K296" s="1"/>
      <c r="L296" s="1"/>
      <c r="M296" s="10"/>
      <c r="N296" s="186"/>
      <c r="O296" s="16"/>
      <c r="P296" s="1"/>
    </row>
    <row r="297" spans="1:16">
      <c r="A297" s="6"/>
      <c r="B297" s="7"/>
      <c r="C297" s="67"/>
      <c r="D297" s="6"/>
      <c r="E297" s="6"/>
      <c r="F297" s="71"/>
      <c r="G297" s="9"/>
      <c r="H297" s="9"/>
      <c r="I297" s="186"/>
      <c r="J297" s="186"/>
      <c r="K297" s="1"/>
      <c r="L297" s="1"/>
      <c r="M297" s="10"/>
      <c r="N297" s="186"/>
      <c r="O297" s="16"/>
      <c r="P297" s="1"/>
    </row>
    <row r="298" spans="1:16">
      <c r="A298" s="6"/>
      <c r="B298" s="7"/>
      <c r="C298" s="67"/>
      <c r="D298" s="6"/>
      <c r="E298" s="6"/>
      <c r="F298" s="71"/>
      <c r="G298" s="9"/>
      <c r="H298" s="9"/>
      <c r="I298" s="186"/>
      <c r="J298" s="186"/>
      <c r="K298" s="1"/>
      <c r="L298" s="1"/>
      <c r="M298" s="10"/>
      <c r="N298" s="186"/>
      <c r="O298" s="16"/>
      <c r="P298" s="1"/>
    </row>
    <row r="299" spans="1:16">
      <c r="A299" s="6"/>
      <c r="B299" s="7"/>
      <c r="C299" s="67"/>
      <c r="D299" s="6"/>
      <c r="E299" s="6"/>
      <c r="F299" s="71"/>
      <c r="G299" s="9"/>
      <c r="H299" s="9"/>
      <c r="I299" s="186"/>
      <c r="J299" s="186"/>
      <c r="K299" s="1"/>
      <c r="L299" s="1"/>
      <c r="M299" s="10"/>
      <c r="N299" s="186"/>
      <c r="O299" s="16"/>
      <c r="P299" s="1"/>
    </row>
    <row r="300" spans="1:16">
      <c r="A300" s="6"/>
      <c r="B300" s="7"/>
      <c r="C300" s="67"/>
      <c r="D300" s="6"/>
      <c r="E300" s="6"/>
      <c r="F300" s="71"/>
      <c r="G300" s="9"/>
      <c r="H300" s="9"/>
      <c r="I300" s="186"/>
      <c r="J300" s="186"/>
      <c r="K300" s="1"/>
      <c r="L300" s="1"/>
      <c r="M300" s="10"/>
      <c r="N300" s="186"/>
      <c r="O300" s="16"/>
      <c r="P300" s="1"/>
    </row>
    <row r="301" spans="1:16">
      <c r="A301" s="6"/>
      <c r="B301" s="7"/>
      <c r="C301" s="67"/>
      <c r="D301" s="6"/>
      <c r="E301" s="6"/>
      <c r="F301" s="71"/>
      <c r="G301" s="9"/>
      <c r="H301" s="9"/>
      <c r="I301" s="186"/>
      <c r="J301" s="186"/>
      <c r="K301" s="1"/>
      <c r="L301" s="1"/>
      <c r="M301" s="10"/>
      <c r="N301" s="186"/>
      <c r="O301" s="16"/>
      <c r="P301" s="1"/>
    </row>
    <row r="302" spans="1:16">
      <c r="A302" s="6"/>
      <c r="B302" s="7"/>
      <c r="C302" s="67"/>
      <c r="D302" s="6"/>
      <c r="E302" s="6"/>
      <c r="F302" s="71"/>
      <c r="G302" s="9"/>
      <c r="H302" s="9"/>
      <c r="I302" s="186"/>
      <c r="J302" s="186"/>
      <c r="K302" s="1"/>
      <c r="L302" s="1"/>
      <c r="M302" s="10"/>
      <c r="N302" s="186"/>
      <c r="O302" s="16"/>
      <c r="P302" s="1"/>
    </row>
    <row r="303" spans="1:16">
      <c r="A303" s="6"/>
      <c r="B303" s="7"/>
      <c r="C303" s="67"/>
      <c r="D303" s="6"/>
      <c r="E303" s="6"/>
      <c r="F303" s="71"/>
      <c r="G303" s="9"/>
      <c r="H303" s="9"/>
      <c r="I303" s="186"/>
      <c r="J303" s="186"/>
      <c r="K303" s="1"/>
      <c r="L303" s="1"/>
      <c r="M303" s="10"/>
      <c r="N303" s="186"/>
      <c r="O303" s="16"/>
      <c r="P303" s="1"/>
    </row>
    <row r="304" spans="1:16">
      <c r="A304" s="6"/>
      <c r="B304" s="7"/>
      <c r="C304" s="67"/>
      <c r="D304" s="6"/>
      <c r="E304" s="6"/>
      <c r="F304" s="71"/>
      <c r="G304" s="9"/>
      <c r="H304" s="9"/>
      <c r="I304" s="186"/>
      <c r="J304" s="186"/>
      <c r="K304" s="1"/>
      <c r="L304" s="1"/>
      <c r="M304" s="10"/>
      <c r="N304" s="186"/>
      <c r="O304" s="16"/>
      <c r="P304" s="1"/>
    </row>
    <row r="305" spans="1:16">
      <c r="A305" s="6"/>
      <c r="B305" s="6"/>
      <c r="C305" s="6"/>
      <c r="D305" s="6"/>
      <c r="E305" s="6"/>
      <c r="F305" s="6"/>
      <c r="G305" s="9"/>
      <c r="H305" s="9"/>
      <c r="I305" s="186"/>
      <c r="J305" s="186"/>
      <c r="K305" s="1"/>
      <c r="L305" s="1"/>
      <c r="M305" s="10"/>
      <c r="N305" s="186"/>
      <c r="O305" s="16"/>
      <c r="P305" s="1"/>
    </row>
    <row r="306" spans="1:16">
      <c r="A306" s="6"/>
      <c r="B306" s="7"/>
      <c r="C306" s="67"/>
      <c r="D306" s="6"/>
      <c r="E306" s="6"/>
      <c r="F306" s="71"/>
      <c r="G306" s="9"/>
      <c r="H306" s="9"/>
      <c r="I306" s="186"/>
      <c r="J306" s="186"/>
      <c r="K306" s="1"/>
      <c r="L306" s="1"/>
      <c r="M306" s="10"/>
      <c r="N306" s="186"/>
      <c r="O306" s="16"/>
      <c r="P306" s="1"/>
    </row>
    <row r="307" spans="1:16">
      <c r="A307" s="6"/>
      <c r="B307" s="7"/>
      <c r="C307" s="67"/>
      <c r="D307" s="6"/>
      <c r="E307" s="6"/>
      <c r="F307" s="71"/>
      <c r="G307" s="9"/>
      <c r="H307" s="9"/>
      <c r="I307" s="186"/>
      <c r="J307" s="186"/>
      <c r="K307" s="1"/>
      <c r="L307" s="1"/>
      <c r="M307" s="10"/>
      <c r="N307" s="186"/>
      <c r="O307" s="16"/>
      <c r="P307" s="1"/>
    </row>
    <row r="308" spans="1:16">
      <c r="A308" s="6"/>
      <c r="B308" s="7"/>
      <c r="C308" s="67"/>
      <c r="D308" s="6"/>
      <c r="E308" s="6"/>
      <c r="F308" s="71"/>
      <c r="G308" s="9"/>
      <c r="H308" s="9"/>
      <c r="I308" s="186"/>
      <c r="J308" s="186"/>
      <c r="K308" s="1"/>
      <c r="L308" s="1"/>
      <c r="M308" s="10"/>
      <c r="N308" s="186"/>
      <c r="O308" s="16"/>
      <c r="P308" s="1"/>
    </row>
    <row r="309" spans="1:16">
      <c r="A309" s="6"/>
      <c r="B309" s="7"/>
      <c r="C309" s="67"/>
      <c r="D309" s="6"/>
      <c r="E309" s="6"/>
      <c r="F309" s="71"/>
      <c r="G309" s="9"/>
      <c r="H309" s="9"/>
      <c r="I309" s="186"/>
      <c r="J309" s="186"/>
      <c r="K309" s="1"/>
      <c r="L309" s="1"/>
      <c r="M309" s="10"/>
      <c r="N309" s="186"/>
      <c r="O309" s="16"/>
      <c r="P309" s="1"/>
    </row>
    <row r="310" spans="1:16">
      <c r="A310" s="6"/>
      <c r="B310" s="7"/>
      <c r="C310" s="67"/>
      <c r="D310" s="6"/>
      <c r="E310" s="6"/>
      <c r="F310" s="71"/>
      <c r="G310" s="9"/>
      <c r="H310" s="9"/>
      <c r="I310" s="186"/>
      <c r="J310" s="186"/>
      <c r="K310" s="1"/>
      <c r="L310" s="1"/>
      <c r="M310" s="10"/>
      <c r="N310" s="186"/>
      <c r="O310" s="16"/>
      <c r="P310" s="1"/>
    </row>
    <row r="311" spans="1:16">
      <c r="A311" s="6"/>
      <c r="B311" s="7"/>
      <c r="C311" s="67"/>
      <c r="D311" s="6"/>
      <c r="E311" s="6"/>
      <c r="F311" s="71"/>
      <c r="G311" s="9"/>
      <c r="H311" s="9"/>
      <c r="I311" s="186"/>
      <c r="J311" s="186"/>
      <c r="K311" s="1"/>
      <c r="L311" s="1"/>
      <c r="M311" s="10"/>
      <c r="N311" s="186"/>
      <c r="O311" s="16"/>
      <c r="P311" s="1"/>
    </row>
    <row r="312" spans="1:16">
      <c r="A312" s="6"/>
      <c r="B312" s="7"/>
      <c r="C312" s="67"/>
      <c r="D312" s="6"/>
      <c r="E312" s="6"/>
      <c r="F312" s="71"/>
      <c r="G312" s="9"/>
      <c r="H312" s="9"/>
      <c r="I312" s="186"/>
      <c r="J312" s="186"/>
      <c r="K312" s="1"/>
      <c r="L312" s="1"/>
      <c r="M312" s="10"/>
      <c r="N312" s="186"/>
      <c r="O312" s="16"/>
      <c r="P312" s="1"/>
    </row>
    <row r="313" spans="1:16">
      <c r="A313" s="6"/>
      <c r="B313" s="7"/>
      <c r="C313" s="67"/>
      <c r="D313" s="6"/>
      <c r="E313" s="6"/>
      <c r="F313" s="71"/>
      <c r="G313" s="9"/>
      <c r="H313" s="9"/>
      <c r="I313" s="186"/>
      <c r="J313" s="186"/>
      <c r="K313" s="1"/>
      <c r="L313" s="1"/>
      <c r="M313" s="10"/>
      <c r="N313" s="186"/>
      <c r="O313" s="16"/>
      <c r="P313" s="1"/>
    </row>
    <row r="314" spans="1:16">
      <c r="A314" s="6"/>
      <c r="B314" s="7"/>
      <c r="C314" s="67"/>
      <c r="D314" s="6"/>
      <c r="E314" s="6"/>
      <c r="F314" s="71"/>
      <c r="G314" s="9"/>
      <c r="H314" s="9"/>
      <c r="I314" s="186"/>
      <c r="J314" s="186"/>
      <c r="K314" s="1"/>
      <c r="L314" s="1"/>
      <c r="M314" s="10"/>
      <c r="N314" s="186"/>
      <c r="O314" s="16"/>
      <c r="P314" s="1"/>
    </row>
    <row r="315" spans="1:16">
      <c r="A315" s="6"/>
      <c r="B315" s="7"/>
      <c r="C315" s="67"/>
      <c r="D315" s="6"/>
      <c r="E315" s="6"/>
      <c r="F315" s="71"/>
      <c r="G315" s="9"/>
      <c r="H315" s="9"/>
      <c r="I315" s="186"/>
      <c r="J315" s="186"/>
      <c r="K315" s="1"/>
      <c r="L315" s="1"/>
      <c r="M315" s="10"/>
      <c r="N315" s="186"/>
      <c r="O315" s="16"/>
      <c r="P315" s="1"/>
    </row>
    <row r="316" spans="1:16">
      <c r="A316" s="6"/>
      <c r="B316" s="7"/>
      <c r="C316" s="67"/>
      <c r="D316" s="6"/>
      <c r="E316" s="6"/>
      <c r="F316" s="71"/>
      <c r="G316" s="9"/>
      <c r="H316" s="9"/>
      <c r="I316" s="186"/>
      <c r="J316" s="186"/>
      <c r="K316" s="1"/>
      <c r="L316" s="1"/>
      <c r="M316" s="10"/>
      <c r="N316" s="186"/>
      <c r="O316" s="16"/>
      <c r="P316" s="1"/>
    </row>
    <row r="317" spans="1:16">
      <c r="A317" s="6"/>
      <c r="B317" s="7"/>
      <c r="C317" s="67"/>
      <c r="D317" s="6"/>
      <c r="E317" s="6"/>
      <c r="F317" s="71"/>
      <c r="G317" s="9"/>
      <c r="H317" s="9"/>
      <c r="I317" s="186"/>
      <c r="J317" s="186"/>
      <c r="K317" s="1"/>
      <c r="L317" s="1"/>
      <c r="M317" s="10"/>
      <c r="N317" s="186"/>
      <c r="O317" s="16"/>
      <c r="P317" s="1"/>
    </row>
    <row r="318" spans="1:16">
      <c r="A318" s="6"/>
      <c r="B318" s="7"/>
      <c r="C318" s="67"/>
      <c r="D318" s="6"/>
      <c r="E318" s="6"/>
      <c r="F318" s="71"/>
      <c r="G318" s="9"/>
      <c r="H318" s="9"/>
      <c r="I318" s="186"/>
      <c r="J318" s="186"/>
      <c r="K318" s="1"/>
      <c r="L318" s="1"/>
      <c r="M318" s="10"/>
      <c r="N318" s="186"/>
      <c r="O318" s="16"/>
      <c r="P318" s="1"/>
    </row>
    <row r="319" spans="1:16">
      <c r="A319" s="6"/>
      <c r="B319" s="7"/>
      <c r="C319" s="67"/>
      <c r="D319" s="6"/>
      <c r="E319" s="6"/>
      <c r="F319" s="71"/>
      <c r="G319" s="9"/>
      <c r="H319" s="9"/>
      <c r="I319" s="186"/>
      <c r="J319" s="186"/>
      <c r="K319" s="1"/>
      <c r="L319" s="1"/>
      <c r="M319" s="10"/>
      <c r="N319" s="186"/>
      <c r="O319" s="16"/>
      <c r="P319" s="1"/>
    </row>
    <row r="320" spans="1:16">
      <c r="A320" s="6"/>
      <c r="B320" s="7"/>
      <c r="C320" s="67"/>
      <c r="D320" s="6"/>
      <c r="E320" s="6"/>
      <c r="F320" s="71"/>
      <c r="G320" s="9"/>
      <c r="H320" s="9"/>
      <c r="I320" s="186"/>
      <c r="J320" s="186"/>
      <c r="K320" s="1"/>
      <c r="L320" s="1"/>
      <c r="M320" s="10"/>
      <c r="N320" s="186"/>
      <c r="O320" s="16"/>
      <c r="P320" s="1"/>
    </row>
    <row r="321" spans="1:16">
      <c r="A321" s="6"/>
      <c r="B321" s="7"/>
      <c r="C321" s="67"/>
      <c r="D321" s="6"/>
      <c r="E321" s="6"/>
      <c r="F321" s="71"/>
      <c r="G321" s="9"/>
      <c r="H321" s="9"/>
      <c r="I321" s="186"/>
      <c r="J321" s="186"/>
      <c r="K321" s="1"/>
      <c r="L321" s="1"/>
      <c r="M321" s="10"/>
      <c r="N321" s="186"/>
      <c r="O321" s="16"/>
      <c r="P321" s="1"/>
    </row>
    <row r="322" spans="1:16">
      <c r="A322" s="6"/>
      <c r="B322" s="7"/>
      <c r="C322" s="67"/>
      <c r="D322" s="6"/>
      <c r="E322" s="6"/>
      <c r="F322" s="71"/>
      <c r="G322" s="9"/>
      <c r="H322" s="9"/>
      <c r="I322" s="186"/>
      <c r="J322" s="186"/>
      <c r="K322" s="1"/>
      <c r="L322" s="1"/>
      <c r="M322" s="10"/>
      <c r="N322" s="186"/>
      <c r="O322" s="16"/>
      <c r="P322" s="1"/>
    </row>
    <row r="323" spans="1:16">
      <c r="A323" s="6"/>
      <c r="B323" s="7"/>
      <c r="C323" s="67"/>
      <c r="D323" s="6"/>
      <c r="E323" s="6"/>
      <c r="F323" s="71"/>
      <c r="G323" s="9"/>
      <c r="H323" s="9"/>
      <c r="I323" s="186"/>
      <c r="J323" s="186"/>
      <c r="K323" s="1"/>
      <c r="L323" s="1"/>
      <c r="M323" s="10"/>
      <c r="N323" s="186"/>
      <c r="O323" s="16"/>
      <c r="P323" s="1"/>
    </row>
    <row r="324" spans="1:16">
      <c r="A324" s="6"/>
      <c r="B324" s="7"/>
      <c r="C324" s="67"/>
      <c r="D324" s="6"/>
      <c r="E324" s="6"/>
      <c r="F324" s="71"/>
      <c r="G324" s="9"/>
      <c r="H324" s="9"/>
      <c r="I324" s="186"/>
      <c r="J324" s="186"/>
      <c r="K324" s="1"/>
      <c r="L324" s="1"/>
      <c r="M324" s="10"/>
      <c r="N324" s="186"/>
      <c r="O324" s="16"/>
      <c r="P324" s="1"/>
    </row>
    <row r="325" spans="1:16">
      <c r="A325" s="6"/>
      <c r="B325" s="7"/>
      <c r="C325" s="67"/>
      <c r="D325" s="6"/>
      <c r="E325" s="6"/>
      <c r="F325" s="71"/>
      <c r="G325" s="9"/>
      <c r="H325" s="9"/>
      <c r="I325" s="186"/>
      <c r="J325" s="186"/>
      <c r="K325" s="1"/>
      <c r="L325" s="1"/>
      <c r="M325" s="10"/>
      <c r="N325" s="186"/>
      <c r="O325" s="16"/>
      <c r="P325" s="1"/>
    </row>
    <row r="326" spans="1:16">
      <c r="A326" s="6"/>
      <c r="B326" s="7"/>
      <c r="C326" s="67"/>
      <c r="D326" s="6"/>
      <c r="E326" s="6"/>
      <c r="F326" s="71"/>
      <c r="G326" s="9"/>
      <c r="H326" s="9"/>
      <c r="I326" s="186"/>
      <c r="J326" s="186"/>
      <c r="K326" s="1"/>
      <c r="L326" s="1"/>
      <c r="M326" s="10"/>
      <c r="N326" s="186"/>
      <c r="O326" s="16"/>
      <c r="P326" s="1"/>
    </row>
    <row r="327" spans="1:16">
      <c r="A327" s="6"/>
      <c r="B327" s="7"/>
      <c r="C327" s="67"/>
      <c r="D327" s="6"/>
      <c r="E327" s="6"/>
      <c r="F327" s="71"/>
      <c r="G327" s="9"/>
      <c r="H327" s="9"/>
      <c r="I327" s="186"/>
      <c r="J327" s="186"/>
      <c r="K327" s="1"/>
      <c r="L327" s="1"/>
      <c r="M327" s="10"/>
      <c r="N327" s="186"/>
      <c r="O327" s="16"/>
      <c r="P327" s="1"/>
    </row>
    <row r="328" spans="1:16">
      <c r="A328" s="6"/>
      <c r="B328" s="7"/>
      <c r="C328" s="67"/>
      <c r="D328" s="6"/>
      <c r="E328" s="6"/>
      <c r="F328" s="71"/>
      <c r="G328" s="9"/>
      <c r="H328" s="9"/>
      <c r="I328" s="186"/>
      <c r="J328" s="186"/>
      <c r="K328" s="1"/>
      <c r="L328" s="1"/>
      <c r="M328" s="10"/>
      <c r="N328" s="186"/>
      <c r="O328" s="16"/>
      <c r="P328" s="1"/>
    </row>
    <row r="329" spans="1:16">
      <c r="A329" s="6"/>
      <c r="B329" s="7"/>
      <c r="C329" s="67"/>
      <c r="D329" s="6"/>
      <c r="E329" s="6"/>
      <c r="F329" s="71"/>
      <c r="G329" s="9"/>
      <c r="H329" s="9"/>
      <c r="I329" s="186"/>
      <c r="J329" s="186"/>
      <c r="K329" s="1"/>
      <c r="L329" s="1"/>
      <c r="M329" s="10"/>
      <c r="N329" s="186"/>
      <c r="O329" s="16"/>
      <c r="P329" s="1"/>
    </row>
    <row r="330" spans="1:16">
      <c r="A330" s="6"/>
      <c r="B330" s="7"/>
      <c r="C330" s="67"/>
      <c r="D330" s="6"/>
      <c r="E330" s="6"/>
      <c r="F330" s="71"/>
      <c r="G330" s="9"/>
      <c r="H330" s="9"/>
      <c r="I330" s="186"/>
      <c r="J330" s="186"/>
      <c r="K330" s="1"/>
      <c r="L330" s="1"/>
      <c r="M330" s="10"/>
      <c r="N330" s="186"/>
      <c r="O330" s="16"/>
      <c r="P330" s="1"/>
    </row>
    <row r="331" spans="1:16">
      <c r="A331" s="6"/>
      <c r="B331" s="7"/>
      <c r="C331" s="67"/>
      <c r="D331" s="6"/>
      <c r="E331" s="6"/>
      <c r="F331" s="71"/>
      <c r="G331" s="9"/>
      <c r="H331" s="9"/>
      <c r="I331" s="186"/>
      <c r="J331" s="186"/>
      <c r="K331" s="1"/>
      <c r="L331" s="1"/>
      <c r="M331" s="10"/>
      <c r="N331" s="186"/>
      <c r="O331" s="16"/>
      <c r="P331" s="1"/>
    </row>
    <row r="332" spans="1:16">
      <c r="A332" s="6"/>
      <c r="B332" s="7"/>
      <c r="C332" s="67"/>
      <c r="D332" s="6"/>
      <c r="E332" s="6"/>
      <c r="F332" s="71"/>
      <c r="G332" s="9"/>
      <c r="H332" s="9"/>
      <c r="I332" s="186"/>
      <c r="J332" s="186"/>
      <c r="K332" s="1"/>
      <c r="L332" s="1"/>
      <c r="M332" s="10"/>
      <c r="N332" s="186"/>
      <c r="O332" s="16"/>
      <c r="P332" s="1"/>
    </row>
    <row r="333" spans="1:16">
      <c r="A333" s="6"/>
      <c r="B333" s="7"/>
      <c r="C333" s="67"/>
      <c r="D333" s="6"/>
      <c r="E333" s="6"/>
      <c r="F333" s="71"/>
      <c r="G333" s="9"/>
      <c r="H333" s="9"/>
      <c r="I333" s="186"/>
      <c r="J333" s="186"/>
      <c r="K333" s="1"/>
      <c r="L333" s="1"/>
      <c r="M333" s="10"/>
      <c r="N333" s="186"/>
      <c r="O333" s="16"/>
      <c r="P333" s="1"/>
    </row>
    <row r="334" spans="1:16">
      <c r="A334" s="6"/>
      <c r="B334" s="7"/>
      <c r="C334" s="67"/>
      <c r="D334" s="6"/>
      <c r="E334" s="6"/>
      <c r="F334" s="71"/>
      <c r="G334" s="9"/>
      <c r="H334" s="9"/>
      <c r="I334" s="186"/>
      <c r="J334" s="186"/>
      <c r="K334" s="1"/>
      <c r="L334" s="1"/>
      <c r="M334" s="10"/>
      <c r="N334" s="186"/>
      <c r="O334" s="16"/>
      <c r="P334" s="1"/>
    </row>
    <row r="335" spans="1:16">
      <c r="A335" s="6"/>
      <c r="B335" s="7"/>
      <c r="C335" s="67"/>
      <c r="D335" s="6"/>
      <c r="E335" s="6"/>
      <c r="F335" s="71"/>
      <c r="G335" s="9"/>
      <c r="H335" s="9"/>
      <c r="I335" s="186"/>
      <c r="J335" s="186"/>
      <c r="K335" s="1"/>
      <c r="L335" s="1"/>
      <c r="M335" s="10"/>
      <c r="N335" s="186"/>
      <c r="O335" s="16"/>
      <c r="P335" s="1"/>
    </row>
    <row r="336" spans="1:16">
      <c r="A336" s="6"/>
      <c r="B336" s="7"/>
      <c r="C336" s="67"/>
      <c r="D336" s="6"/>
      <c r="E336" s="6"/>
      <c r="F336" s="71"/>
      <c r="G336" s="9"/>
      <c r="H336" s="9"/>
      <c r="I336" s="186"/>
      <c r="J336" s="186"/>
      <c r="K336" s="1"/>
      <c r="L336" s="1"/>
      <c r="M336" s="10"/>
      <c r="N336" s="186"/>
      <c r="O336" s="16"/>
      <c r="P336" s="1"/>
    </row>
    <row r="337" spans="1:16">
      <c r="A337" s="6"/>
      <c r="B337" s="7"/>
      <c r="C337" s="67"/>
      <c r="D337" s="6"/>
      <c r="E337" s="6"/>
      <c r="F337" s="71"/>
      <c r="G337" s="9"/>
      <c r="H337" s="9"/>
      <c r="I337" s="186"/>
      <c r="J337" s="186"/>
      <c r="K337" s="1"/>
      <c r="L337" s="1"/>
      <c r="M337" s="10"/>
      <c r="N337" s="186"/>
      <c r="O337" s="16"/>
      <c r="P337" s="1"/>
    </row>
    <row r="338" spans="1:16">
      <c r="A338" s="6"/>
      <c r="B338" s="7"/>
      <c r="C338" s="67"/>
      <c r="D338" s="6"/>
      <c r="E338" s="6"/>
      <c r="F338" s="71"/>
      <c r="G338" s="9"/>
      <c r="H338" s="9"/>
      <c r="I338" s="186"/>
      <c r="J338" s="186"/>
      <c r="K338" s="1"/>
      <c r="L338" s="1"/>
      <c r="M338" s="10"/>
      <c r="N338" s="186"/>
      <c r="O338" s="16"/>
      <c r="P338" s="1"/>
    </row>
    <row r="339" spans="1:16">
      <c r="A339" s="6"/>
      <c r="B339" s="7"/>
      <c r="C339" s="67"/>
      <c r="D339" s="6"/>
      <c r="E339" s="6"/>
      <c r="F339" s="71"/>
      <c r="G339" s="9"/>
      <c r="H339" s="9"/>
      <c r="I339" s="186"/>
      <c r="J339" s="186"/>
      <c r="K339" s="1"/>
      <c r="L339" s="1"/>
      <c r="M339" s="10"/>
      <c r="N339" s="186"/>
      <c r="O339" s="16"/>
      <c r="P339" s="1"/>
    </row>
    <row r="340" spans="1:16">
      <c r="A340" s="6"/>
      <c r="B340" s="7"/>
      <c r="C340" s="67"/>
      <c r="D340" s="6"/>
      <c r="E340" s="6"/>
      <c r="F340" s="71"/>
      <c r="G340" s="9"/>
      <c r="H340" s="9"/>
      <c r="I340" s="186"/>
      <c r="J340" s="186"/>
      <c r="K340" s="1"/>
      <c r="L340" s="1"/>
      <c r="M340" s="10"/>
      <c r="N340" s="186"/>
      <c r="O340" s="16"/>
      <c r="P340" s="1"/>
    </row>
    <row r="341" spans="1:16">
      <c r="A341" s="6"/>
      <c r="B341" s="68"/>
      <c r="C341" s="67"/>
      <c r="D341" s="6"/>
      <c r="E341" s="6"/>
      <c r="F341" s="71"/>
      <c r="G341" s="9"/>
      <c r="H341" s="9"/>
      <c r="I341" s="186"/>
      <c r="J341" s="186"/>
      <c r="K341" s="1"/>
      <c r="L341" s="1"/>
      <c r="M341" s="9"/>
      <c r="N341" s="186"/>
      <c r="O341" s="16"/>
      <c r="P341" s="1"/>
    </row>
    <row r="342" spans="1:16">
      <c r="A342" s="6"/>
      <c r="B342" s="68"/>
      <c r="C342" s="67"/>
      <c r="D342" s="6"/>
      <c r="E342" s="6"/>
      <c r="F342" s="71"/>
      <c r="G342" s="9"/>
      <c r="H342" s="9"/>
      <c r="I342" s="186"/>
      <c r="J342" s="186"/>
      <c r="K342" s="1"/>
      <c r="L342" s="1"/>
      <c r="M342" s="9"/>
      <c r="N342" s="186"/>
      <c r="O342" s="16"/>
      <c r="P342" s="1"/>
    </row>
    <row r="343" spans="1:16">
      <c r="A343" s="6"/>
      <c r="B343" s="68"/>
      <c r="C343" s="67"/>
      <c r="D343" s="6"/>
      <c r="E343" s="6"/>
      <c r="F343" s="71"/>
      <c r="G343" s="9"/>
      <c r="H343" s="9"/>
      <c r="I343" s="186"/>
      <c r="J343" s="186"/>
      <c r="K343" s="1"/>
      <c r="L343" s="1"/>
      <c r="M343" s="9"/>
      <c r="N343" s="186"/>
      <c r="O343" s="16"/>
      <c r="P343" s="1"/>
    </row>
    <row r="344" spans="1:16">
      <c r="A344" s="6"/>
      <c r="B344" s="68"/>
      <c r="C344" s="67"/>
      <c r="D344" s="6"/>
      <c r="E344" s="6"/>
      <c r="F344" s="71"/>
      <c r="G344" s="9"/>
      <c r="H344" s="9"/>
      <c r="I344" s="186"/>
      <c r="J344" s="186"/>
      <c r="K344" s="1"/>
      <c r="L344" s="1"/>
      <c r="M344" s="9"/>
      <c r="N344" s="186"/>
      <c r="O344" s="16"/>
      <c r="P344" s="1"/>
    </row>
    <row r="345" spans="1:16">
      <c r="A345" s="6"/>
      <c r="B345" s="68"/>
      <c r="C345" s="67"/>
      <c r="D345" s="6"/>
      <c r="E345" s="6"/>
      <c r="F345" s="71"/>
      <c r="G345" s="9"/>
      <c r="H345" s="9"/>
      <c r="I345" s="186"/>
      <c r="J345" s="186"/>
      <c r="K345" s="1"/>
      <c r="L345" s="1"/>
      <c r="M345" s="9"/>
      <c r="N345" s="186"/>
      <c r="O345" s="16"/>
      <c r="P345" s="1"/>
    </row>
    <row r="346" spans="1:16">
      <c r="A346" s="6"/>
      <c r="B346" s="68"/>
      <c r="C346" s="67"/>
      <c r="D346" s="6"/>
      <c r="E346" s="6"/>
      <c r="F346" s="71"/>
      <c r="G346" s="9"/>
      <c r="H346" s="9"/>
      <c r="I346" s="186"/>
      <c r="J346" s="186"/>
      <c r="K346" s="1"/>
      <c r="L346" s="1"/>
      <c r="M346" s="9"/>
      <c r="N346" s="186"/>
      <c r="O346" s="16"/>
      <c r="P346" s="1"/>
    </row>
    <row r="347" spans="1:16">
      <c r="A347" s="6"/>
      <c r="B347" s="68"/>
      <c r="C347" s="67"/>
      <c r="D347" s="6"/>
      <c r="E347" s="6"/>
      <c r="F347" s="71"/>
      <c r="G347" s="9"/>
      <c r="H347" s="9"/>
      <c r="I347" s="186"/>
      <c r="J347" s="186"/>
      <c r="K347" s="1"/>
      <c r="L347" s="1"/>
      <c r="M347" s="9"/>
      <c r="N347" s="186"/>
      <c r="O347" s="16"/>
      <c r="P347" s="1"/>
    </row>
    <row r="348" spans="1:16">
      <c r="A348" s="6"/>
      <c r="B348" s="68"/>
      <c r="C348" s="67"/>
      <c r="D348" s="6"/>
      <c r="E348" s="6"/>
      <c r="F348" s="71"/>
      <c r="G348" s="72"/>
      <c r="H348" s="72"/>
      <c r="I348" s="186"/>
      <c r="J348" s="186"/>
      <c r="K348" s="1"/>
      <c r="L348" s="1"/>
      <c r="M348" s="9"/>
      <c r="N348" s="186"/>
      <c r="O348" s="16"/>
      <c r="P348" s="1"/>
    </row>
    <row r="349" spans="1:16">
      <c r="A349" s="6"/>
      <c r="B349" s="68"/>
      <c r="C349" s="67"/>
      <c r="D349" s="67"/>
      <c r="E349" s="67"/>
      <c r="F349" s="71"/>
      <c r="G349" s="9"/>
      <c r="H349" s="9"/>
      <c r="I349" s="186"/>
      <c r="J349" s="186"/>
      <c r="K349" s="1"/>
      <c r="L349" s="1"/>
      <c r="M349" s="9"/>
      <c r="N349" s="186"/>
      <c r="O349" s="16"/>
      <c r="P349" s="1"/>
    </row>
    <row r="350" spans="1:16">
      <c r="A350" s="6"/>
      <c r="B350" s="68"/>
      <c r="C350" s="67"/>
      <c r="D350" s="67"/>
      <c r="E350" s="67"/>
      <c r="F350" s="71"/>
      <c r="G350" s="9"/>
      <c r="H350" s="9"/>
      <c r="I350" s="186"/>
      <c r="J350" s="186"/>
      <c r="K350" s="1"/>
      <c r="L350" s="1"/>
      <c r="M350" s="9"/>
      <c r="N350" s="186"/>
      <c r="O350" s="16"/>
      <c r="P350" s="1"/>
    </row>
    <row r="351" spans="1:16">
      <c r="A351" s="6"/>
      <c r="B351" s="68"/>
      <c r="C351" s="67"/>
      <c r="D351" s="67"/>
      <c r="E351" s="67"/>
      <c r="F351" s="71"/>
      <c r="G351" s="72"/>
      <c r="H351" s="72"/>
      <c r="I351" s="186"/>
      <c r="J351" s="186"/>
      <c r="K351" s="1"/>
      <c r="L351" s="1"/>
      <c r="M351" s="9"/>
      <c r="N351" s="186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2"/>
      <c r="H352" s="72"/>
      <c r="I352" s="186"/>
      <c r="J352" s="186"/>
      <c r="K352" s="1"/>
      <c r="L352" s="1"/>
      <c r="M352" s="9"/>
      <c r="N352" s="186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2"/>
      <c r="H353" s="72"/>
      <c r="I353" s="186"/>
      <c r="J353" s="186"/>
      <c r="K353" s="1"/>
      <c r="L353" s="1"/>
      <c r="M353" s="9"/>
      <c r="N353" s="186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6"/>
      <c r="J354" s="186"/>
      <c r="K354" s="1"/>
      <c r="L354" s="1"/>
      <c r="M354" s="9"/>
      <c r="N354" s="186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2"/>
      <c r="H355" s="72"/>
      <c r="I355" s="186"/>
      <c r="J355" s="186"/>
      <c r="K355" s="1"/>
      <c r="L355" s="1"/>
      <c r="M355" s="9"/>
      <c r="N355" s="186"/>
      <c r="O355" s="16"/>
      <c r="P355" s="1"/>
    </row>
    <row r="356" spans="1:16">
      <c r="A356" s="6"/>
      <c r="B356" s="68"/>
      <c r="C356" s="67"/>
      <c r="D356" s="67"/>
      <c r="E356" s="67"/>
      <c r="F356" s="71"/>
      <c r="G356" s="9"/>
      <c r="H356" s="9"/>
      <c r="I356" s="186"/>
      <c r="J356" s="186"/>
      <c r="K356" s="1"/>
      <c r="L356" s="1"/>
      <c r="M356" s="9"/>
      <c r="N356" s="186"/>
      <c r="O356" s="16"/>
      <c r="P356" s="1"/>
    </row>
    <row r="357" spans="1:16">
      <c r="A357" s="6"/>
      <c r="B357" s="68"/>
      <c r="C357" s="67"/>
      <c r="D357" s="67"/>
      <c r="E357" s="67"/>
      <c r="F357" s="71"/>
      <c r="G357" s="72"/>
      <c r="H357" s="72"/>
      <c r="I357" s="186"/>
      <c r="J357" s="186"/>
      <c r="K357" s="1"/>
      <c r="L357" s="1"/>
      <c r="M357" s="9"/>
      <c r="N357" s="186"/>
      <c r="O357" s="16"/>
      <c r="P357" s="1"/>
    </row>
    <row r="358" spans="1:16">
      <c r="A358" s="6"/>
      <c r="B358" s="68"/>
      <c r="C358" s="67"/>
      <c r="D358" s="67"/>
      <c r="E358" s="67"/>
      <c r="F358" s="71"/>
      <c r="G358" s="72"/>
      <c r="H358" s="72"/>
      <c r="I358" s="186"/>
      <c r="J358" s="1"/>
      <c r="K358" s="1"/>
      <c r="L358" s="1"/>
      <c r="M358" s="1"/>
      <c r="N358" s="186"/>
      <c r="O358" s="16"/>
      <c r="P358" s="1"/>
    </row>
    <row r="359" spans="1:16">
      <c r="A359" s="6"/>
      <c r="B359" s="68"/>
      <c r="C359" s="67"/>
      <c r="D359" s="67"/>
      <c r="E359" s="67"/>
      <c r="F359" s="71"/>
      <c r="G359" s="71"/>
      <c r="H359" s="71"/>
      <c r="I359" s="181"/>
      <c r="J359" s="1"/>
      <c r="K359" s="1"/>
      <c r="L359" s="1"/>
      <c r="M359" s="1"/>
      <c r="N359" s="186"/>
      <c r="O359" s="16"/>
      <c r="P359" s="1"/>
    </row>
    <row r="360" spans="1:16">
      <c r="A360" s="6"/>
      <c r="B360" s="68"/>
      <c r="C360" s="67"/>
      <c r="D360" s="67"/>
      <c r="E360" s="67"/>
      <c r="F360" s="71"/>
      <c r="G360" s="72"/>
      <c r="H360" s="72"/>
      <c r="I360" s="181"/>
      <c r="J360" s="1"/>
      <c r="K360" s="1"/>
      <c r="L360" s="1"/>
      <c r="M360" s="1"/>
      <c r="N360" s="14"/>
      <c r="O360" s="16"/>
      <c r="P360" s="1"/>
    </row>
    <row r="361" spans="1:16">
      <c r="A361" s="6"/>
      <c r="B361" s="68"/>
      <c r="C361" s="67"/>
      <c r="D361" s="67"/>
      <c r="E361" s="67"/>
      <c r="F361" s="71"/>
      <c r="G361" s="71"/>
      <c r="H361" s="71"/>
      <c r="I361" s="181"/>
      <c r="J361" s="1"/>
      <c r="K361" s="1"/>
      <c r="L361" s="1"/>
      <c r="M361" s="1"/>
      <c r="N361" s="14"/>
      <c r="O361" s="16"/>
      <c r="P361" s="1"/>
    </row>
    <row r="362" spans="1:16">
      <c r="A362" s="6"/>
      <c r="B362" s="68"/>
      <c r="C362" s="67"/>
      <c r="D362" s="67"/>
      <c r="E362" s="67"/>
      <c r="F362" s="71"/>
      <c r="G362" s="72"/>
      <c r="H362" s="72"/>
      <c r="I362" s="181"/>
      <c r="J362" s="1"/>
      <c r="K362" s="1"/>
      <c r="L362" s="1"/>
      <c r="M362" s="1"/>
      <c r="N362" s="14"/>
      <c r="O362" s="16"/>
      <c r="P362" s="1"/>
    </row>
    <row r="363" spans="1:16">
      <c r="A363" s="6"/>
      <c r="B363" s="68"/>
      <c r="C363" s="67"/>
      <c r="D363" s="67"/>
      <c r="E363" s="67"/>
      <c r="F363" s="71"/>
      <c r="G363" s="71"/>
      <c r="H363" s="71"/>
      <c r="I363" s="181"/>
      <c r="J363" s="1"/>
      <c r="K363" s="1"/>
      <c r="L363" s="1"/>
      <c r="M363" s="1"/>
      <c r="N363" s="14"/>
      <c r="O363" s="16"/>
      <c r="P363" s="1"/>
    </row>
    <row r="364" spans="1:16">
      <c r="A364" s="6"/>
      <c r="B364" s="68"/>
      <c r="C364" s="67"/>
      <c r="D364" s="67"/>
      <c r="E364" s="67"/>
      <c r="F364" s="71"/>
      <c r="G364" s="72"/>
      <c r="H364" s="72"/>
      <c r="I364" s="181"/>
      <c r="J364" s="1"/>
      <c r="K364" s="1"/>
      <c r="L364" s="1"/>
      <c r="M364" s="1"/>
      <c r="N364" s="14"/>
      <c r="O364" s="16"/>
      <c r="P364" s="1"/>
    </row>
    <row r="365" spans="1:16">
      <c r="A365" s="6"/>
      <c r="B365" s="68"/>
      <c r="C365" s="67"/>
      <c r="D365" s="67"/>
      <c r="E365" s="67"/>
      <c r="F365" s="71"/>
      <c r="G365" s="72"/>
      <c r="H365" s="72"/>
      <c r="I365" s="181"/>
      <c r="J365" s="1"/>
      <c r="K365" s="1"/>
      <c r="L365" s="1"/>
      <c r="M365" s="1"/>
      <c r="N365" s="14"/>
      <c r="O365" s="16"/>
      <c r="P365" s="1"/>
    </row>
    <row r="366" spans="1:16">
      <c r="A366" s="6"/>
      <c r="B366" s="68"/>
      <c r="C366" s="67"/>
      <c r="D366" s="67"/>
      <c r="E366" s="67"/>
      <c r="F366" s="71"/>
      <c r="G366" s="72"/>
      <c r="H366" s="72"/>
      <c r="I366" s="181"/>
      <c r="J366" s="1"/>
      <c r="K366" s="1"/>
      <c r="L366" s="1"/>
      <c r="M366" s="1"/>
      <c r="N366" s="14"/>
      <c r="O366" s="16"/>
      <c r="P366" s="1"/>
    </row>
    <row r="367" spans="1:16">
      <c r="A367" s="6"/>
      <c r="B367" s="68"/>
      <c r="C367" s="67"/>
      <c r="D367" s="67"/>
      <c r="E367" s="67"/>
      <c r="F367" s="71"/>
      <c r="G367" s="71"/>
      <c r="H367" s="71"/>
      <c r="I367" s="181"/>
      <c r="J367" s="1"/>
      <c r="K367" s="1"/>
      <c r="L367" s="1"/>
      <c r="M367" s="1"/>
      <c r="N367" s="14"/>
      <c r="O367" s="16"/>
      <c r="P367" s="1"/>
    </row>
    <row r="368" spans="1:16">
      <c r="A368" s="6"/>
      <c r="B368" s="68"/>
      <c r="C368" s="67"/>
      <c r="D368" s="67"/>
      <c r="E368" s="67"/>
      <c r="F368" s="71"/>
      <c r="G368" s="72"/>
      <c r="H368" s="72"/>
      <c r="I368" s="181"/>
      <c r="J368" s="1"/>
      <c r="K368" s="1"/>
      <c r="L368" s="1"/>
      <c r="M368" s="1"/>
      <c r="N368" s="14"/>
      <c r="O368" s="16"/>
      <c r="P368" s="1"/>
    </row>
    <row r="369" spans="1:16">
      <c r="A369" s="6"/>
      <c r="B369" s="68"/>
      <c r="C369" s="67"/>
      <c r="D369" s="67"/>
      <c r="E369" s="67"/>
      <c r="F369" s="71"/>
      <c r="G369" s="71"/>
      <c r="H369" s="71"/>
      <c r="I369" s="181"/>
      <c r="J369" s="1"/>
      <c r="K369" s="1"/>
      <c r="L369" s="1"/>
      <c r="M369" s="1"/>
      <c r="N369" s="14"/>
      <c r="O369" s="16"/>
      <c r="P369" s="1"/>
    </row>
    <row r="370" spans="1:16">
      <c r="A370" s="6"/>
      <c r="B370" s="68"/>
      <c r="C370" s="67"/>
      <c r="D370" s="67"/>
      <c r="E370" s="67"/>
      <c r="F370" s="71"/>
      <c r="G370" s="72"/>
      <c r="H370" s="72"/>
      <c r="I370" s="181"/>
      <c r="J370" s="1"/>
      <c r="K370" s="1"/>
      <c r="L370" s="1"/>
      <c r="M370" s="1"/>
      <c r="N370" s="14"/>
      <c r="O370" s="16"/>
      <c r="P370" s="1"/>
    </row>
    <row r="371" spans="1:16">
      <c r="A371" s="6"/>
      <c r="B371" s="68"/>
      <c r="C371" s="67"/>
      <c r="D371" s="67"/>
      <c r="E371" s="67"/>
      <c r="F371" s="71"/>
      <c r="G371" s="72"/>
      <c r="H371" s="72"/>
      <c r="I371" s="181"/>
      <c r="J371" s="1"/>
      <c r="K371" s="1"/>
      <c r="L371" s="1"/>
      <c r="M371" s="1"/>
      <c r="N371" s="14"/>
      <c r="O371" s="16"/>
      <c r="P371" s="1"/>
    </row>
    <row r="372" spans="1:16">
      <c r="A372" s="6"/>
      <c r="B372" s="68"/>
      <c r="C372" s="67"/>
      <c r="D372" s="67"/>
      <c r="E372" s="67"/>
      <c r="F372" s="71"/>
      <c r="G372" s="72"/>
      <c r="H372" s="72"/>
      <c r="I372" s="181"/>
      <c r="J372" s="1"/>
      <c r="K372" s="1"/>
      <c r="L372" s="1"/>
      <c r="M372" s="1"/>
      <c r="N372" s="14"/>
      <c r="O372" s="16"/>
      <c r="P372" s="1"/>
    </row>
    <row r="373" spans="1:16">
      <c r="A373" s="6"/>
      <c r="B373" s="68"/>
      <c r="C373" s="67"/>
      <c r="D373" s="67"/>
      <c r="E373" s="67"/>
      <c r="F373" s="71"/>
      <c r="G373" s="71"/>
      <c r="H373" s="71"/>
      <c r="I373" s="181"/>
      <c r="J373" s="1"/>
      <c r="K373" s="1"/>
      <c r="L373" s="1"/>
      <c r="M373" s="1"/>
      <c r="N373" s="14"/>
      <c r="O373" s="16"/>
      <c r="P373" s="1"/>
    </row>
    <row r="374" spans="1:16">
      <c r="A374" s="6"/>
      <c r="B374" s="68"/>
      <c r="C374" s="67"/>
      <c r="D374" s="67"/>
      <c r="E374" s="67"/>
      <c r="F374" s="71"/>
      <c r="G374" s="72"/>
      <c r="H374" s="71"/>
      <c r="I374" s="181"/>
      <c r="J374" s="1"/>
      <c r="K374" s="1"/>
      <c r="L374" s="1"/>
      <c r="M374" s="1"/>
      <c r="N374" s="14"/>
      <c r="O374" s="16"/>
      <c r="P374" s="1"/>
    </row>
    <row r="375" spans="1:16">
      <c r="A375" s="6"/>
      <c r="B375" s="68"/>
      <c r="C375" s="67"/>
      <c r="D375" s="67"/>
      <c r="E375" s="67"/>
      <c r="F375" s="71"/>
      <c r="G375" s="72"/>
      <c r="H375" s="71"/>
      <c r="I375" s="181"/>
      <c r="J375" s="1"/>
      <c r="K375" s="1"/>
      <c r="L375" s="1"/>
      <c r="M375" s="1"/>
      <c r="N375" s="14"/>
      <c r="O375" s="16"/>
      <c r="P375" s="1"/>
    </row>
    <row r="376" spans="1:16">
      <c r="A376" s="6"/>
      <c r="B376" s="68"/>
      <c r="C376" s="67"/>
      <c r="D376" s="67"/>
      <c r="E376" s="67"/>
      <c r="F376" s="71"/>
      <c r="G376" s="72"/>
      <c r="H376" s="72"/>
      <c r="I376" s="181"/>
      <c r="J376" s="1"/>
      <c r="K376" s="1"/>
      <c r="L376" s="1"/>
      <c r="M376" s="1"/>
      <c r="N376" s="14"/>
      <c r="O376" s="16"/>
      <c r="P376" s="1"/>
    </row>
    <row r="377" spans="1:16">
      <c r="A377" s="6"/>
      <c r="B377" s="68"/>
      <c r="C377" s="67"/>
      <c r="D377" s="67"/>
      <c r="E377" s="67"/>
      <c r="F377" s="71"/>
      <c r="G377" s="72"/>
      <c r="H377" s="72"/>
      <c r="I377" s="181"/>
      <c r="J377" s="1"/>
      <c r="K377" s="1"/>
      <c r="L377" s="1"/>
      <c r="M377" s="1"/>
      <c r="N377" s="14"/>
      <c r="O377" s="16"/>
      <c r="P377" s="1"/>
    </row>
    <row r="378" spans="1:16">
      <c r="A378" s="6"/>
      <c r="B378" s="68"/>
      <c r="C378" s="67"/>
      <c r="D378" s="67"/>
      <c r="E378" s="67"/>
      <c r="F378" s="71"/>
      <c r="G378" s="72"/>
      <c r="H378" s="72"/>
      <c r="I378" s="181"/>
      <c r="J378" s="1"/>
      <c r="K378" s="1"/>
      <c r="L378" s="1"/>
      <c r="M378" s="1"/>
      <c r="N378" s="14"/>
      <c r="O378" s="16"/>
      <c r="P378" s="1"/>
    </row>
    <row r="379" spans="1:16">
      <c r="A379" s="6"/>
      <c r="B379" s="68"/>
      <c r="C379" s="67"/>
      <c r="D379" s="67"/>
      <c r="E379" s="67"/>
      <c r="F379" s="71"/>
      <c r="G379" s="71"/>
      <c r="H379" s="71"/>
      <c r="I379" s="181"/>
      <c r="J379" s="1"/>
      <c r="K379" s="1"/>
      <c r="L379" s="1"/>
      <c r="M379" s="1"/>
      <c r="N379" s="14"/>
      <c r="O379" s="16"/>
      <c r="P379" s="1"/>
    </row>
    <row r="380" spans="1:16">
      <c r="A380" s="6"/>
      <c r="B380" s="68"/>
      <c r="C380" s="67"/>
      <c r="D380" s="67"/>
      <c r="E380" s="67"/>
      <c r="F380" s="71"/>
      <c r="G380" s="72"/>
      <c r="H380" s="71"/>
      <c r="I380" s="181"/>
      <c r="J380" s="1"/>
      <c r="K380" s="1"/>
      <c r="L380" s="1"/>
      <c r="M380" s="1"/>
      <c r="N380" s="14"/>
      <c r="O380" s="16"/>
      <c r="P380" s="1"/>
    </row>
    <row r="381" spans="1:16">
      <c r="A381" s="6"/>
      <c r="B381" s="7"/>
      <c r="C381" s="6"/>
      <c r="D381" s="6"/>
      <c r="E381" s="6"/>
      <c r="F381" s="1"/>
      <c r="G381" s="9"/>
      <c r="H381" s="9"/>
      <c r="I381" s="5"/>
      <c r="J381" s="1"/>
      <c r="K381" s="1"/>
      <c r="L381" s="1"/>
      <c r="M381" s="1"/>
      <c r="N381" s="14"/>
      <c r="O381" s="16"/>
      <c r="P381" s="1"/>
    </row>
    <row r="382" spans="1:16">
      <c r="A382" s="6"/>
      <c r="B382" s="7"/>
      <c r="C382" s="6"/>
      <c r="D382" s="6"/>
      <c r="E382" s="6"/>
      <c r="F382" s="1"/>
      <c r="G382" s="9"/>
      <c r="H382" s="1"/>
      <c r="I382" s="5"/>
      <c r="J382" s="1"/>
      <c r="K382" s="1"/>
      <c r="L382" s="1"/>
      <c r="M382" s="1"/>
      <c r="N382" s="14"/>
      <c r="O382" s="16"/>
      <c r="P382" s="1"/>
    </row>
    <row r="383" spans="1:16">
      <c r="A383" s="6"/>
      <c r="B383" s="7"/>
      <c r="C383" s="6"/>
      <c r="D383" s="6"/>
      <c r="E383" s="6"/>
      <c r="F383" s="1"/>
      <c r="G383" s="9"/>
      <c r="H383" s="9"/>
      <c r="I383" s="5"/>
      <c r="J383" s="1"/>
      <c r="K383" s="1"/>
      <c r="L383" s="1"/>
      <c r="M383" s="1"/>
      <c r="N383" s="14"/>
      <c r="O383" s="16"/>
      <c r="P383" s="1"/>
    </row>
    <row r="384" spans="1:16">
      <c r="A384" s="6"/>
      <c r="B384" s="7"/>
      <c r="C384" s="6"/>
      <c r="D384" s="6"/>
      <c r="E384" s="6"/>
      <c r="F384" s="1"/>
      <c r="G384" s="9"/>
      <c r="H384" s="1"/>
      <c r="I384" s="5"/>
      <c r="J384" s="1"/>
      <c r="K384" s="1"/>
      <c r="L384" s="1"/>
      <c r="M384" s="1"/>
      <c r="N384" s="14"/>
      <c r="O384" s="16"/>
      <c r="P384" s="1"/>
    </row>
    <row r="385" spans="1:16">
      <c r="A385" s="6"/>
      <c r="B385" s="7"/>
      <c r="C385" s="6"/>
      <c r="D385" s="6"/>
      <c r="E385" s="6"/>
      <c r="F385" s="1"/>
      <c r="G385" s="1"/>
      <c r="H385" s="1"/>
      <c r="I385" s="5"/>
      <c r="J385" s="1"/>
      <c r="K385" s="1"/>
      <c r="L385" s="1"/>
      <c r="M385" s="1"/>
      <c r="N385" s="14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9"/>
      <c r="I386" s="5"/>
      <c r="J386" s="1"/>
      <c r="K386" s="1"/>
      <c r="L386" s="1"/>
      <c r="M386" s="1"/>
      <c r="N386" s="14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9"/>
      <c r="I387" s="5"/>
      <c r="J387" s="1"/>
      <c r="K387" s="1"/>
      <c r="L387" s="1"/>
      <c r="M387" s="1"/>
      <c r="N387" s="14"/>
      <c r="O387" s="16"/>
      <c r="P387" s="1"/>
    </row>
    <row r="388" spans="1:16">
      <c r="A388" s="6"/>
      <c r="B388" s="7"/>
      <c r="C388" s="6"/>
      <c r="D388" s="6"/>
      <c r="E388" s="6"/>
      <c r="F388" s="1"/>
      <c r="G388" s="9"/>
      <c r="H388" s="9"/>
      <c r="I388" s="5"/>
      <c r="J388" s="1"/>
      <c r="K388" s="1"/>
      <c r="L388" s="1"/>
      <c r="M388" s="1"/>
      <c r="N388" s="14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5"/>
      <c r="J389" s="1"/>
      <c r="K389" s="1"/>
      <c r="L389" s="1"/>
      <c r="M389" s="1"/>
      <c r="N389" s="14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9"/>
      <c r="I390" s="5"/>
      <c r="J390" s="1"/>
      <c r="K390" s="1"/>
      <c r="L390" s="1"/>
      <c r="M390" s="1"/>
      <c r="N390" s="14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9"/>
      <c r="I391" s="5"/>
      <c r="J391" s="1"/>
      <c r="K391" s="1"/>
      <c r="L391" s="1"/>
      <c r="M391" s="1"/>
      <c r="N391" s="14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1"/>
      <c r="I392" s="5"/>
      <c r="J392" s="1"/>
      <c r="K392" s="1"/>
      <c r="L392" s="1"/>
      <c r="M392" s="1"/>
      <c r="N392" s="14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1"/>
      <c r="I393" s="5"/>
      <c r="J393" s="1"/>
      <c r="K393" s="1"/>
      <c r="L393" s="1"/>
      <c r="M393" s="1"/>
      <c r="N393" s="14"/>
      <c r="O393" s="16"/>
      <c r="P393" s="1"/>
    </row>
    <row r="394" spans="1:16">
      <c r="A394" s="6"/>
      <c r="B394" s="7"/>
      <c r="C394" s="6"/>
      <c r="D394" s="6"/>
      <c r="E394" s="6"/>
      <c r="F394" s="1"/>
      <c r="G394" s="1"/>
      <c r="H394" s="1"/>
      <c r="I394" s="5"/>
      <c r="J394" s="1"/>
      <c r="K394" s="1"/>
      <c r="L394" s="1"/>
      <c r="M394" s="1"/>
      <c r="N394" s="14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5"/>
      <c r="J395" s="1"/>
      <c r="K395" s="1"/>
      <c r="L395" s="1"/>
      <c r="M395" s="1"/>
      <c r="N395" s="14"/>
      <c r="O395" s="16"/>
      <c r="P395" s="1"/>
    </row>
    <row r="396" spans="1:16">
      <c r="A396" s="6"/>
      <c r="B396" s="7"/>
      <c r="C396" s="6"/>
      <c r="D396" s="6"/>
      <c r="E396" s="6"/>
      <c r="F396" s="1"/>
      <c r="G396" s="1"/>
      <c r="H396" s="1"/>
      <c r="I396" s="5"/>
      <c r="J396" s="1"/>
      <c r="K396" s="1"/>
      <c r="L396" s="1"/>
      <c r="M396" s="1"/>
      <c r="N396" s="14"/>
      <c r="O396" s="16"/>
      <c r="P396" s="1"/>
    </row>
    <row r="397" spans="1:16">
      <c r="A397" s="6"/>
      <c r="B397" s="7"/>
      <c r="C397" s="6"/>
      <c r="D397" s="6"/>
      <c r="E397" s="6"/>
      <c r="F397" s="1"/>
      <c r="G397" s="9"/>
      <c r="H397" s="9"/>
      <c r="I397" s="5"/>
      <c r="J397" s="1"/>
      <c r="K397" s="1"/>
      <c r="L397" s="1"/>
      <c r="M397" s="1"/>
      <c r="N397" s="14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1"/>
      <c r="I398" s="5"/>
      <c r="J398" s="1"/>
      <c r="K398" s="1"/>
      <c r="L398" s="1"/>
      <c r="M398" s="1"/>
      <c r="N398" s="14"/>
      <c r="O398" s="16"/>
      <c r="P398" s="1"/>
    </row>
    <row r="399" spans="1:16">
      <c r="A399" s="6"/>
      <c r="B399" s="7"/>
      <c r="C399" s="6"/>
      <c r="D399" s="6"/>
      <c r="E399" s="6"/>
      <c r="F399" s="1"/>
      <c r="G399" s="9"/>
      <c r="H399" s="9"/>
      <c r="I399" s="5"/>
      <c r="J399" s="1"/>
      <c r="K399" s="1"/>
      <c r="L399" s="1"/>
      <c r="M399" s="1"/>
      <c r="N399" s="14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9"/>
      <c r="I400" s="5"/>
      <c r="J400" s="1"/>
      <c r="K400" s="1"/>
      <c r="L400" s="1"/>
      <c r="M400" s="1"/>
      <c r="N400" s="14"/>
      <c r="O400" s="16"/>
      <c r="P400" s="1"/>
    </row>
    <row r="401" spans="1:16">
      <c r="A401" s="6"/>
      <c r="B401" s="7"/>
      <c r="C401" s="6"/>
      <c r="D401" s="6"/>
      <c r="E401" s="6"/>
      <c r="F401" s="1"/>
      <c r="G401" s="1"/>
      <c r="H401" s="1"/>
      <c r="I401" s="5"/>
      <c r="J401" s="1"/>
      <c r="K401" s="1"/>
      <c r="L401" s="1"/>
      <c r="M401" s="1"/>
      <c r="N401" s="14"/>
      <c r="O401" s="16"/>
      <c r="P401" s="1"/>
    </row>
    <row r="402" spans="1:16">
      <c r="A402" s="6"/>
      <c r="B402" s="7"/>
      <c r="C402" s="6"/>
      <c r="D402" s="6"/>
      <c r="E402" s="6"/>
      <c r="F402" s="1"/>
      <c r="G402" s="9"/>
      <c r="H402" s="1"/>
      <c r="I402" s="5"/>
      <c r="J402" s="1"/>
      <c r="K402" s="1"/>
      <c r="L402" s="1"/>
      <c r="M402" s="1"/>
      <c r="N402" s="14"/>
      <c r="O402" s="16"/>
      <c r="P402" s="1"/>
    </row>
    <row r="403" spans="1:16">
      <c r="A403" s="6"/>
      <c r="B403" s="7"/>
      <c r="C403" s="6"/>
      <c r="D403" s="6"/>
      <c r="E403" s="6"/>
      <c r="F403" s="1"/>
      <c r="G403" s="9"/>
      <c r="H403" s="1"/>
      <c r="I403" s="5"/>
      <c r="J403" s="1"/>
      <c r="K403" s="1"/>
      <c r="L403" s="1"/>
      <c r="M403" s="1"/>
      <c r="N403" s="14"/>
      <c r="O403" s="16"/>
      <c r="P403" s="1"/>
    </row>
    <row r="404" spans="1:16">
      <c r="A404" s="6"/>
      <c r="B404" s="7"/>
      <c r="C404" s="6"/>
      <c r="D404" s="6"/>
      <c r="E404" s="6"/>
      <c r="F404" s="1"/>
      <c r="G404" s="1"/>
      <c r="H404" s="1"/>
      <c r="I404" s="5"/>
      <c r="J404" s="1"/>
      <c r="K404" s="1"/>
      <c r="L404" s="1"/>
      <c r="M404" s="1"/>
      <c r="N404" s="14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9"/>
      <c r="I405" s="5"/>
      <c r="J405" s="1"/>
      <c r="K405" s="1"/>
      <c r="L405" s="1"/>
      <c r="M405" s="1"/>
      <c r="N405" s="14"/>
      <c r="O405" s="16"/>
      <c r="P405" s="1"/>
    </row>
    <row r="406" spans="1:16">
      <c r="A406" s="6"/>
      <c r="B406" s="7"/>
      <c r="C406" s="6"/>
      <c r="D406" s="6"/>
      <c r="E406" s="6"/>
      <c r="F406" s="1"/>
      <c r="G406" s="1"/>
      <c r="H406" s="1"/>
      <c r="I406" s="5"/>
      <c r="J406" s="1"/>
      <c r="K406" s="1"/>
      <c r="L406" s="1"/>
      <c r="M406" s="1"/>
      <c r="N406" s="14"/>
      <c r="O406" s="16"/>
      <c r="P406" s="1"/>
    </row>
    <row r="407" spans="1:16">
      <c r="A407" s="6"/>
      <c r="B407" s="7"/>
      <c r="C407" s="6"/>
      <c r="D407" s="6"/>
      <c r="E407" s="6"/>
      <c r="F407" s="1"/>
      <c r="G407" s="9"/>
      <c r="H407" s="9"/>
      <c r="I407" s="5"/>
      <c r="J407" s="1"/>
      <c r="K407" s="1"/>
      <c r="L407" s="1"/>
      <c r="M407" s="1"/>
      <c r="N407" s="14"/>
      <c r="O407" s="16"/>
      <c r="P407" s="1"/>
    </row>
    <row r="408" spans="1:16">
      <c r="A408" s="6"/>
      <c r="B408" s="7"/>
      <c r="C408" s="6"/>
      <c r="D408" s="6"/>
      <c r="E408" s="6"/>
      <c r="F408" s="1"/>
      <c r="G408" s="9"/>
      <c r="H408" s="9"/>
      <c r="I408" s="5"/>
      <c r="J408" s="1"/>
      <c r="K408" s="1"/>
      <c r="L408" s="1"/>
      <c r="M408" s="1"/>
      <c r="N408" s="14"/>
      <c r="O408" s="16"/>
      <c r="P408" s="1"/>
    </row>
    <row r="409" spans="1:16">
      <c r="A409" s="6"/>
      <c r="B409" s="7"/>
      <c r="C409" s="6"/>
      <c r="D409" s="6"/>
      <c r="E409" s="6"/>
      <c r="F409" s="1"/>
      <c r="G409" s="9"/>
      <c r="H409" s="9"/>
      <c r="I409" s="5"/>
      <c r="J409" s="1"/>
      <c r="K409" s="1"/>
      <c r="L409" s="1"/>
      <c r="M409" s="1"/>
      <c r="N409" s="14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5"/>
      <c r="J410" s="1"/>
      <c r="K410" s="1"/>
      <c r="L410" s="1"/>
      <c r="M410" s="1"/>
      <c r="N410" s="14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5"/>
      <c r="J411" s="1"/>
      <c r="K411" s="1"/>
      <c r="L411" s="1"/>
      <c r="M411" s="1"/>
      <c r="N411" s="14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1"/>
      <c r="I412" s="5"/>
      <c r="J412" s="1"/>
      <c r="K412" s="1"/>
      <c r="L412" s="1"/>
      <c r="M412" s="1"/>
      <c r="N412" s="14"/>
      <c r="O412" s="16"/>
      <c r="P412" s="1"/>
    </row>
    <row r="413" spans="1:16">
      <c r="A413" s="6"/>
      <c r="B413" s="7"/>
      <c r="C413" s="6"/>
      <c r="D413" s="6"/>
      <c r="E413" s="6"/>
      <c r="F413" s="1"/>
      <c r="G413" s="9"/>
      <c r="H413" s="1"/>
      <c r="I413" s="5"/>
      <c r="J413" s="1"/>
      <c r="K413" s="1"/>
      <c r="L413" s="1"/>
      <c r="M413" s="1"/>
      <c r="N413" s="14"/>
      <c r="O413" s="16"/>
      <c r="P413" s="1"/>
    </row>
    <row r="414" spans="1:16">
      <c r="A414" s="6"/>
      <c r="B414" s="7"/>
      <c r="C414" s="6"/>
      <c r="D414" s="6"/>
      <c r="E414" s="6"/>
      <c r="F414" s="1"/>
      <c r="G414" s="9"/>
      <c r="H414" s="9"/>
      <c r="I414" s="5"/>
      <c r="J414" s="1"/>
      <c r="K414" s="1"/>
      <c r="L414" s="1"/>
      <c r="M414" s="1"/>
      <c r="N414" s="14"/>
      <c r="O414" s="16"/>
      <c r="P414" s="1"/>
    </row>
    <row r="415" spans="1:16">
      <c r="A415" s="6"/>
      <c r="B415" s="7"/>
      <c r="C415" s="6"/>
      <c r="D415" s="6"/>
      <c r="E415" s="6"/>
      <c r="F415" s="1"/>
      <c r="G415" s="1"/>
      <c r="H415" s="1"/>
      <c r="I415" s="5"/>
      <c r="J415" s="1"/>
      <c r="K415" s="1"/>
      <c r="L415" s="1"/>
      <c r="M415" s="1"/>
      <c r="N415" s="14"/>
      <c r="O415" s="16"/>
      <c r="P415" s="1"/>
    </row>
    <row r="416" spans="1:16">
      <c r="A416" s="6"/>
      <c r="B416" s="7"/>
      <c r="C416" s="6"/>
      <c r="D416" s="6"/>
      <c r="E416" s="6"/>
      <c r="F416" s="1"/>
      <c r="G416" s="1"/>
      <c r="H416" s="1"/>
      <c r="I416" s="5"/>
      <c r="J416" s="1"/>
      <c r="K416" s="1"/>
      <c r="L416" s="1"/>
      <c r="M416" s="1"/>
      <c r="N416" s="14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9"/>
      <c r="I417" s="5"/>
      <c r="J417" s="1"/>
      <c r="K417" s="1"/>
      <c r="L417" s="1"/>
      <c r="M417" s="1"/>
      <c r="N417" s="14"/>
      <c r="O417" s="16"/>
      <c r="P417" s="1"/>
    </row>
    <row r="418" spans="1:16">
      <c r="A418" s="6"/>
      <c r="B418" s="7"/>
      <c r="C418" s="6"/>
      <c r="D418" s="6"/>
      <c r="E418" s="6"/>
      <c r="F418" s="1"/>
      <c r="G418" s="9"/>
      <c r="H418" s="1"/>
      <c r="I418" s="5"/>
      <c r="J418" s="1"/>
      <c r="K418" s="1"/>
      <c r="L418" s="1"/>
      <c r="M418" s="1"/>
      <c r="N418" s="14"/>
      <c r="O418" s="16"/>
      <c r="P418" s="1"/>
    </row>
    <row r="419" spans="1:16">
      <c r="A419" s="6"/>
      <c r="B419" s="7"/>
      <c r="C419" s="6"/>
      <c r="D419" s="6"/>
      <c r="E419" s="6"/>
      <c r="F419" s="1"/>
      <c r="G419" s="9"/>
      <c r="H419" s="1"/>
      <c r="I419" s="5"/>
      <c r="J419" s="1"/>
      <c r="K419" s="1"/>
      <c r="L419" s="1"/>
      <c r="M419" s="1"/>
      <c r="N419" s="14"/>
      <c r="O419" s="16"/>
      <c r="P419" s="1"/>
    </row>
    <row r="420" spans="1:16">
      <c r="A420" s="6"/>
      <c r="B420" s="7"/>
      <c r="C420" s="6"/>
      <c r="D420" s="6"/>
      <c r="E420" s="6"/>
      <c r="F420" s="1"/>
      <c r="G420" s="9"/>
      <c r="H420" s="1"/>
      <c r="I420" s="5"/>
      <c r="J420" s="1"/>
      <c r="K420" s="1"/>
      <c r="L420" s="1"/>
      <c r="M420" s="1"/>
      <c r="N420" s="14"/>
      <c r="O420" s="16"/>
      <c r="P420" s="1"/>
    </row>
    <row r="421" spans="1:16">
      <c r="A421" s="6"/>
      <c r="B421" s="7"/>
      <c r="C421" s="6"/>
      <c r="D421" s="6"/>
      <c r="E421" s="6"/>
      <c r="F421" s="1"/>
      <c r="G421" s="9"/>
      <c r="H421" s="9"/>
      <c r="I421" s="5"/>
      <c r="J421" s="1"/>
      <c r="K421" s="1"/>
      <c r="L421" s="1"/>
      <c r="M421" s="1"/>
      <c r="N421" s="14"/>
      <c r="O421" s="16"/>
      <c r="P421" s="1"/>
    </row>
    <row r="422" spans="1:16">
      <c r="A422" s="6"/>
      <c r="B422" s="7"/>
      <c r="C422" s="6"/>
      <c r="D422" s="6"/>
      <c r="E422" s="6"/>
      <c r="F422" s="1"/>
      <c r="G422" s="1"/>
      <c r="H422" s="1"/>
      <c r="I422" s="5"/>
      <c r="J422" s="1"/>
      <c r="K422" s="1"/>
      <c r="L422" s="1"/>
      <c r="M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1"/>
      <c r="H423" s="1"/>
      <c r="I423" s="5"/>
      <c r="J423" s="1"/>
      <c r="K423" s="1"/>
      <c r="L423" s="1"/>
      <c r="M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1"/>
      <c r="H424" s="1"/>
      <c r="I424" s="5"/>
      <c r="J424" s="1"/>
      <c r="K424" s="1"/>
      <c r="L424" s="1"/>
      <c r="M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1"/>
      <c r="H425" s="1"/>
      <c r="I425" s="5"/>
      <c r="J425" s="1"/>
      <c r="K425" s="1"/>
      <c r="L425" s="1"/>
      <c r="M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9"/>
      <c r="H426" s="9"/>
      <c r="I426" s="5"/>
      <c r="J426" s="1"/>
      <c r="K426" s="1"/>
      <c r="L426" s="1"/>
      <c r="M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1"/>
      <c r="H427" s="1"/>
      <c r="I427" s="5"/>
      <c r="J427" s="1"/>
      <c r="K427" s="1"/>
      <c r="L427" s="1"/>
      <c r="M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1"/>
      <c r="H428" s="1"/>
      <c r="I428" s="5"/>
      <c r="J428" s="1"/>
      <c r="K428" s="1"/>
      <c r="L428" s="1"/>
      <c r="M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1"/>
      <c r="I429" s="5"/>
      <c r="J429" s="1"/>
      <c r="K429" s="1"/>
      <c r="L429" s="1"/>
      <c r="M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9"/>
      <c r="H430" s="1"/>
      <c r="I430" s="5"/>
      <c r="J430" s="1"/>
      <c r="K430" s="1"/>
      <c r="L430" s="1"/>
      <c r="M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9"/>
      <c r="H431" s="1"/>
      <c r="I431" s="5"/>
      <c r="J431" s="1"/>
      <c r="K431" s="1"/>
      <c r="L431" s="1"/>
      <c r="M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9"/>
      <c r="I432" s="5"/>
      <c r="J432" s="1"/>
      <c r="K432" s="1"/>
      <c r="L432" s="1"/>
      <c r="M432" s="1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9"/>
      <c r="I433" s="5"/>
      <c r="J433" s="1"/>
      <c r="K433" s="1"/>
      <c r="L433" s="1"/>
      <c r="M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9"/>
      <c r="H434" s="9"/>
      <c r="I434" s="5"/>
      <c r="J434" s="1"/>
      <c r="K434" s="1"/>
      <c r="L434" s="1"/>
      <c r="M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9"/>
      <c r="H435" s="9"/>
      <c r="I435" s="5"/>
      <c r="J435" s="1"/>
      <c r="K435" s="1"/>
      <c r="L435" s="1"/>
      <c r="M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1"/>
      <c r="H436" s="1"/>
      <c r="I436" s="5"/>
      <c r="J436" s="1"/>
      <c r="K436" s="1"/>
      <c r="L436" s="1"/>
      <c r="M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1"/>
      <c r="H437" s="1"/>
      <c r="I437" s="5"/>
      <c r="J437" s="1"/>
      <c r="K437" s="1"/>
      <c r="L437" s="1"/>
      <c r="M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1"/>
      <c r="H438" s="1"/>
      <c r="I438" s="5"/>
      <c r="J438" s="1"/>
      <c r="K438" s="1"/>
      <c r="L438" s="1"/>
      <c r="M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1"/>
      <c r="H439" s="1"/>
      <c r="I439" s="5"/>
      <c r="J439" s="1"/>
      <c r="K439" s="1"/>
      <c r="L439" s="1"/>
      <c r="M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9"/>
      <c r="H440" s="9"/>
      <c r="I440" s="5"/>
      <c r="J440" s="1"/>
      <c r="K440" s="1"/>
      <c r="L440" s="1"/>
      <c r="M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9"/>
      <c r="H441" s="9"/>
      <c r="I441" s="5"/>
      <c r="J441" s="1"/>
      <c r="K441" s="1"/>
      <c r="L441" s="1"/>
      <c r="M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1"/>
      <c r="H442" s="1"/>
      <c r="I442" s="5"/>
      <c r="J442" s="1"/>
      <c r="K442" s="1"/>
      <c r="L442" s="1"/>
      <c r="M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9"/>
      <c r="H443" s="9"/>
      <c r="I443" s="5"/>
      <c r="J443" s="1"/>
      <c r="K443" s="1"/>
      <c r="L443" s="1"/>
      <c r="M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9"/>
      <c r="I444" s="5"/>
      <c r="J444" s="1"/>
      <c r="K444" s="1"/>
      <c r="L444" s="1"/>
      <c r="M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1"/>
      <c r="H445" s="1"/>
      <c r="I445" s="5"/>
      <c r="J445" s="1"/>
      <c r="K445" s="1"/>
      <c r="L445" s="1"/>
      <c r="M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5"/>
      <c r="J446" s="1"/>
      <c r="K446" s="1"/>
      <c r="L446" s="1"/>
      <c r="M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1"/>
      <c r="H447" s="1"/>
      <c r="I447" s="5"/>
      <c r="J447" s="1"/>
      <c r="K447" s="1"/>
      <c r="L447" s="1"/>
      <c r="M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9"/>
      <c r="H448" s="9"/>
      <c r="I448" s="5"/>
      <c r="J448" s="1"/>
      <c r="K448" s="1"/>
      <c r="L448" s="1"/>
      <c r="M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1"/>
      <c r="H449" s="1"/>
      <c r="I449" s="5"/>
      <c r="J449" s="1"/>
      <c r="K449" s="1"/>
      <c r="L449" s="1"/>
      <c r="M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9"/>
      <c r="H450" s="9"/>
      <c r="I450" s="5"/>
      <c r="J450" s="1"/>
      <c r="K450" s="1"/>
      <c r="L450" s="1"/>
      <c r="M450" s="1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5"/>
      <c r="J451" s="1"/>
      <c r="K451" s="1"/>
      <c r="L451" s="1"/>
      <c r="M451" s="1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9"/>
      <c r="H452" s="1"/>
      <c r="I452" s="5"/>
      <c r="J452" s="1"/>
      <c r="K452" s="1"/>
      <c r="L452" s="1"/>
      <c r="M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5"/>
      <c r="J453" s="1"/>
      <c r="K453" s="1"/>
      <c r="L453" s="1"/>
      <c r="M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1"/>
      <c r="H454" s="1"/>
      <c r="I454" s="5"/>
      <c r="J454" s="1"/>
      <c r="K454" s="1"/>
      <c r="L454" s="1"/>
      <c r="M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5"/>
      <c r="J455" s="1"/>
      <c r="K455" s="1"/>
      <c r="L455" s="1"/>
      <c r="M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9"/>
      <c r="H456" s="9"/>
      <c r="I456" s="5"/>
      <c r="J456" s="1"/>
      <c r="K456" s="1"/>
      <c r="L456" s="1"/>
      <c r="M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5"/>
      <c r="J457" s="1"/>
      <c r="K457" s="1"/>
      <c r="L457" s="1"/>
      <c r="M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1"/>
      <c r="H458" s="1"/>
      <c r="I458" s="5"/>
      <c r="J458" s="1"/>
      <c r="K458" s="1"/>
      <c r="L458" s="1"/>
      <c r="M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M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9"/>
      <c r="H460" s="9"/>
      <c r="I460" s="5"/>
      <c r="J460" s="1"/>
      <c r="K460" s="1"/>
      <c r="L460" s="1"/>
      <c r="M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M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1"/>
      <c r="H462" s="1"/>
      <c r="I462" s="5"/>
      <c r="J462" s="1"/>
      <c r="K462" s="1"/>
      <c r="L462" s="1"/>
      <c r="M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M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M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5"/>
      <c r="J465" s="1"/>
      <c r="K465" s="1"/>
      <c r="L465" s="1"/>
      <c r="M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9"/>
      <c r="H466" s="9"/>
      <c r="I466" s="5"/>
      <c r="J466" s="1"/>
      <c r="K466" s="1"/>
      <c r="L466" s="1"/>
      <c r="M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9"/>
      <c r="I467" s="5"/>
      <c r="J467" s="1"/>
      <c r="K467" s="1"/>
      <c r="L467" s="1"/>
      <c r="M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1"/>
      <c r="H468" s="1"/>
      <c r="I468" s="5"/>
      <c r="J468" s="1"/>
      <c r="K468" s="1"/>
      <c r="L468" s="1"/>
      <c r="M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9"/>
      <c r="H469" s="1"/>
      <c r="I469" s="5"/>
      <c r="J469" s="1"/>
      <c r="K469" s="1"/>
      <c r="L469" s="1"/>
      <c r="M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1"/>
      <c r="H470" s="1"/>
      <c r="I470" s="5"/>
      <c r="J470" s="1"/>
      <c r="K470" s="1"/>
      <c r="L470" s="1"/>
      <c r="M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1"/>
      <c r="H471" s="1"/>
      <c r="I471" s="5"/>
      <c r="J471" s="1"/>
      <c r="K471" s="1"/>
      <c r="L471" s="1"/>
      <c r="M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9"/>
      <c r="H472" s="9"/>
      <c r="I472" s="5"/>
      <c r="J472" s="1"/>
      <c r="K472" s="1"/>
      <c r="L472" s="1"/>
      <c r="M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1"/>
      <c r="H473" s="1"/>
      <c r="I473" s="5"/>
      <c r="J473" s="1"/>
      <c r="K473" s="1"/>
      <c r="L473" s="1"/>
      <c r="M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1"/>
      <c r="H474" s="1"/>
      <c r="I474" s="5"/>
      <c r="J474" s="1"/>
      <c r="K474" s="1"/>
      <c r="L474" s="1"/>
      <c r="M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9"/>
      <c r="H475" s="9"/>
      <c r="I475" s="5"/>
      <c r="J475" s="1"/>
      <c r="K475" s="1"/>
      <c r="L475" s="1"/>
      <c r="M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5"/>
      <c r="J476" s="1"/>
      <c r="K476" s="1"/>
      <c r="L476" s="1"/>
      <c r="M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1"/>
      <c r="H477" s="1"/>
      <c r="I477" s="5"/>
      <c r="J477" s="1"/>
      <c r="K477" s="1"/>
      <c r="L477" s="1"/>
      <c r="M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9"/>
      <c r="H478" s="9"/>
      <c r="I478" s="5"/>
      <c r="J478" s="1"/>
      <c r="K478" s="1"/>
      <c r="L478" s="1"/>
      <c r="M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M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1"/>
      <c r="H480" s="1"/>
      <c r="I480" s="5"/>
      <c r="J480" s="1"/>
      <c r="K480" s="1"/>
      <c r="L480" s="1"/>
      <c r="M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9"/>
      <c r="H481" s="9"/>
      <c r="I481" s="5"/>
      <c r="J481" s="1"/>
      <c r="K481" s="1"/>
      <c r="L481" s="1"/>
      <c r="M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1"/>
      <c r="H482" s="1"/>
      <c r="I482" s="5"/>
      <c r="J482" s="1"/>
      <c r="K482" s="1"/>
      <c r="L482" s="1"/>
      <c r="M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1"/>
      <c r="H483" s="1"/>
      <c r="I483" s="5"/>
      <c r="J483" s="1"/>
      <c r="K483" s="1"/>
      <c r="L483" s="1"/>
      <c r="M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5"/>
      <c r="J484" s="1"/>
      <c r="K484" s="1"/>
      <c r="L484" s="1"/>
      <c r="M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5"/>
      <c r="J485" s="1"/>
      <c r="K485" s="1"/>
      <c r="L485" s="1"/>
      <c r="M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9"/>
      <c r="H486" s="9"/>
      <c r="I486" s="5"/>
      <c r="J486" s="1"/>
      <c r="K486" s="1"/>
      <c r="L486" s="1"/>
      <c r="M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9"/>
      <c r="H487" s="9"/>
      <c r="I487" s="5"/>
      <c r="J487" s="1"/>
      <c r="K487" s="1"/>
      <c r="L487" s="1"/>
      <c r="M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9"/>
      <c r="H488" s="9"/>
      <c r="I488" s="5"/>
      <c r="J488" s="1"/>
      <c r="K488" s="1"/>
      <c r="L488" s="1"/>
      <c r="M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1"/>
      <c r="H489" s="1"/>
      <c r="I489" s="5"/>
      <c r="J489" s="1"/>
      <c r="K489" s="1"/>
      <c r="L489" s="1"/>
      <c r="M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1"/>
      <c r="H490" s="1"/>
      <c r="I490" s="5"/>
      <c r="J490" s="1"/>
      <c r="K490" s="1"/>
      <c r="L490" s="1"/>
      <c r="M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9"/>
      <c r="I491" s="5"/>
      <c r="J491" s="1"/>
      <c r="K491" s="1"/>
      <c r="L491" s="1"/>
      <c r="M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1"/>
      <c r="I492" s="5"/>
      <c r="J492" s="1"/>
      <c r="K492" s="1"/>
      <c r="L492" s="1"/>
      <c r="M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9"/>
      <c r="H493" s="1"/>
      <c r="I493" s="5"/>
      <c r="J493" s="1"/>
      <c r="K493" s="1"/>
      <c r="L493" s="1"/>
      <c r="M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1"/>
      <c r="I494" s="5"/>
      <c r="J494" s="1"/>
      <c r="K494" s="1"/>
      <c r="L494" s="1"/>
      <c r="M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9"/>
      <c r="H495" s="1"/>
      <c r="I495" s="5"/>
      <c r="J495" s="1"/>
      <c r="K495" s="1"/>
      <c r="L495" s="1"/>
      <c r="M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1"/>
      <c r="I496" s="5"/>
      <c r="J496" s="1"/>
      <c r="K496" s="1"/>
      <c r="L496" s="1"/>
      <c r="M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1"/>
      <c r="H497" s="1"/>
      <c r="I497" s="5"/>
      <c r="J497" s="1"/>
      <c r="K497" s="1"/>
      <c r="L497" s="1"/>
      <c r="M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9"/>
      <c r="I498" s="5"/>
      <c r="J498" s="1"/>
      <c r="K498" s="1"/>
      <c r="L498" s="1"/>
      <c r="M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1"/>
      <c r="H499" s="1"/>
      <c r="I499" s="5"/>
      <c r="J499" s="1"/>
      <c r="K499" s="1"/>
      <c r="L499" s="1"/>
      <c r="M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9"/>
      <c r="H500" s="9"/>
      <c r="I500" s="5"/>
      <c r="J500" s="1"/>
      <c r="K500" s="1"/>
      <c r="L500" s="1"/>
      <c r="M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M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1"/>
      <c r="H502" s="1"/>
      <c r="I502" s="5"/>
      <c r="J502" s="1"/>
      <c r="K502" s="1"/>
      <c r="L502" s="1"/>
      <c r="M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5"/>
      <c r="J503" s="1"/>
      <c r="K503" s="1"/>
      <c r="L503" s="1"/>
      <c r="M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1"/>
      <c r="H504" s="9"/>
      <c r="I504" s="5"/>
      <c r="J504" s="1"/>
      <c r="K504" s="1"/>
      <c r="L504" s="1"/>
      <c r="M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5"/>
      <c r="J505" s="1"/>
      <c r="K505" s="1"/>
      <c r="L505" s="1"/>
      <c r="M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9"/>
      <c r="H506" s="9"/>
      <c r="I506" s="5"/>
      <c r="J506" s="1"/>
      <c r="K506" s="1"/>
      <c r="L506" s="1"/>
      <c r="M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9"/>
      <c r="I507" s="5"/>
      <c r="J507" s="1"/>
      <c r="K507" s="1"/>
      <c r="L507" s="1"/>
      <c r="M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1"/>
      <c r="H508" s="1"/>
      <c r="I508" s="5"/>
      <c r="J508" s="1"/>
      <c r="K508" s="1"/>
      <c r="L508" s="1"/>
      <c r="M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1"/>
      <c r="I509" s="5"/>
      <c r="J509" s="1"/>
      <c r="K509" s="1"/>
      <c r="L509" s="1"/>
      <c r="M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1"/>
      <c r="I510" s="5"/>
      <c r="J510" s="1"/>
      <c r="K510" s="1"/>
      <c r="L510" s="1"/>
      <c r="M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9"/>
      <c r="H511" s="9"/>
      <c r="I511" s="5"/>
      <c r="J511" s="1"/>
      <c r="K511" s="1"/>
      <c r="L511" s="1"/>
      <c r="M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5"/>
      <c r="J512" s="1"/>
      <c r="K512" s="1"/>
      <c r="L512" s="1"/>
      <c r="M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1"/>
      <c r="H513" s="1"/>
      <c r="I513" s="5"/>
      <c r="J513" s="1"/>
      <c r="K513" s="1"/>
      <c r="L513" s="1"/>
      <c r="M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9"/>
      <c r="H514" s="9"/>
      <c r="I514" s="5"/>
      <c r="J514" s="1"/>
      <c r="K514" s="1"/>
      <c r="L514" s="1"/>
      <c r="M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1"/>
      <c r="H515" s="1"/>
      <c r="I515" s="5"/>
      <c r="J515" s="1"/>
      <c r="K515" s="1"/>
      <c r="L515" s="1"/>
      <c r="M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1"/>
      <c r="H516" s="1"/>
      <c r="I516" s="5"/>
      <c r="J516" s="1"/>
      <c r="K516" s="1"/>
      <c r="L516" s="1"/>
      <c r="M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9"/>
      <c r="H517" s="9"/>
      <c r="I517" s="5"/>
      <c r="J517" s="1"/>
      <c r="K517" s="1"/>
      <c r="L517" s="1"/>
      <c r="M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1"/>
      <c r="I518" s="5"/>
      <c r="J518" s="1"/>
      <c r="K518" s="1"/>
      <c r="L518" s="1"/>
      <c r="M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M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M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1"/>
      <c r="H521" s="1"/>
      <c r="I521" s="5"/>
      <c r="J521" s="1"/>
      <c r="K521" s="1"/>
      <c r="L521" s="1"/>
      <c r="M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9"/>
      <c r="I522" s="5"/>
      <c r="J522" s="1"/>
      <c r="K522" s="1"/>
      <c r="L522" s="1"/>
      <c r="M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M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5"/>
      <c r="J524" s="1"/>
      <c r="K524" s="1"/>
      <c r="L524" s="1"/>
      <c r="M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9"/>
      <c r="H525" s="9"/>
      <c r="I525" s="5"/>
      <c r="J525" s="1"/>
      <c r="K525" s="1"/>
      <c r="L525" s="1"/>
      <c r="M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M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1"/>
      <c r="H527" s="1"/>
      <c r="I527" s="5"/>
      <c r="J527" s="1"/>
      <c r="K527" s="1"/>
      <c r="L527" s="1"/>
      <c r="M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9"/>
      <c r="H528" s="9"/>
      <c r="I528" s="5"/>
      <c r="J528" s="1"/>
      <c r="K528" s="1"/>
      <c r="L528" s="1"/>
      <c r="M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1"/>
      <c r="H529" s="1"/>
      <c r="I529" s="5"/>
      <c r="J529" s="1"/>
      <c r="K529" s="1"/>
      <c r="L529" s="1"/>
      <c r="M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1"/>
      <c r="H530" s="1"/>
      <c r="I530" s="5"/>
      <c r="J530" s="1"/>
      <c r="K530" s="1"/>
      <c r="L530" s="1"/>
      <c r="M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M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9"/>
      <c r="H532" s="9"/>
      <c r="I532" s="5"/>
      <c r="J532" s="1"/>
      <c r="K532" s="1"/>
      <c r="L532" s="1"/>
      <c r="M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9"/>
      <c r="H533" s="9"/>
      <c r="I533" s="5"/>
      <c r="J533" s="1"/>
      <c r="K533" s="1"/>
      <c r="L533" s="1"/>
      <c r="M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1"/>
      <c r="H534" s="1"/>
      <c r="I534" s="5"/>
      <c r="J534" s="1"/>
      <c r="K534" s="1"/>
      <c r="L534" s="1"/>
      <c r="M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1"/>
      <c r="H535" s="9"/>
      <c r="I535" s="5"/>
      <c r="J535" s="1"/>
      <c r="K535" s="1"/>
      <c r="L535" s="1"/>
      <c r="M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1"/>
      <c r="H536" s="1"/>
      <c r="I536" s="5"/>
      <c r="J536" s="1"/>
      <c r="K536" s="1"/>
      <c r="L536" s="1"/>
      <c r="M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1"/>
      <c r="I537" s="5"/>
      <c r="J537" s="1"/>
      <c r="K537" s="1"/>
      <c r="L537" s="1"/>
      <c r="M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9"/>
      <c r="H538" s="1"/>
      <c r="I538" s="5"/>
      <c r="J538" s="1"/>
      <c r="K538" s="1"/>
      <c r="L538" s="1"/>
      <c r="M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9"/>
      <c r="H539" s="9"/>
      <c r="I539" s="5"/>
      <c r="J539" s="1"/>
      <c r="K539" s="1"/>
      <c r="L539" s="1"/>
      <c r="M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1"/>
      <c r="H540" s="1"/>
      <c r="I540" s="5"/>
      <c r="J540" s="1"/>
      <c r="K540" s="1"/>
      <c r="L540" s="1"/>
      <c r="M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1"/>
      <c r="H541" s="1"/>
      <c r="I541" s="5"/>
      <c r="J541" s="1"/>
      <c r="K541" s="1"/>
      <c r="L541" s="1"/>
      <c r="M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5"/>
      <c r="J542" s="1"/>
      <c r="K542" s="1"/>
      <c r="L542" s="1"/>
      <c r="M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1"/>
      <c r="H543" s="1"/>
      <c r="I543" s="5"/>
      <c r="J543" s="1"/>
      <c r="K543" s="1"/>
      <c r="L543" s="1"/>
      <c r="M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9"/>
      <c r="I544" s="5"/>
      <c r="J544" s="1"/>
      <c r="K544" s="1"/>
      <c r="L544" s="1"/>
      <c r="M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1"/>
      <c r="H545" s="1"/>
      <c r="I545" s="5"/>
      <c r="J545" s="1"/>
      <c r="K545" s="1"/>
      <c r="L545" s="1"/>
      <c r="M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9"/>
      <c r="H546" s="9"/>
      <c r="I546" s="5"/>
      <c r="J546" s="1"/>
      <c r="K546" s="1"/>
      <c r="L546" s="1"/>
      <c r="M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1"/>
      <c r="H547" s="1"/>
      <c r="I547" s="5"/>
      <c r="J547" s="1"/>
      <c r="K547" s="1"/>
      <c r="L547" s="1"/>
      <c r="M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1"/>
      <c r="H548" s="1"/>
      <c r="I548" s="5"/>
      <c r="J548" s="1"/>
      <c r="K548" s="1"/>
      <c r="L548" s="1"/>
      <c r="M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9"/>
      <c r="H549" s="9"/>
      <c r="I549" s="5"/>
      <c r="J549" s="1"/>
      <c r="K549" s="1"/>
      <c r="L549" s="1"/>
      <c r="M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1"/>
      <c r="H550" s="1"/>
      <c r="I550" s="5"/>
      <c r="J550" s="1"/>
      <c r="K550" s="1"/>
      <c r="L550" s="1"/>
      <c r="M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1"/>
      <c r="H551" s="1"/>
      <c r="I551" s="5"/>
      <c r="J551" s="1"/>
      <c r="K551" s="1"/>
      <c r="L551" s="1"/>
      <c r="M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1"/>
      <c r="H552" s="1"/>
      <c r="I552" s="5"/>
      <c r="J552" s="1"/>
      <c r="K552" s="1"/>
      <c r="L552" s="1"/>
      <c r="M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5"/>
      <c r="J553" s="1"/>
      <c r="K553" s="1"/>
      <c r="L553" s="1"/>
      <c r="M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1"/>
      <c r="H554" s="1"/>
      <c r="I554" s="5"/>
      <c r="J554" s="1"/>
      <c r="K554" s="1"/>
      <c r="L554" s="1"/>
      <c r="M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9"/>
      <c r="H555" s="9"/>
      <c r="I555" s="5"/>
      <c r="J555" s="1"/>
      <c r="K555" s="1"/>
      <c r="L555" s="1"/>
      <c r="M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5"/>
      <c r="J556" s="1"/>
      <c r="K556" s="1"/>
      <c r="L556" s="1"/>
      <c r="M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1"/>
      <c r="H557" s="1"/>
      <c r="I557" s="5"/>
      <c r="J557" s="1"/>
      <c r="K557" s="1"/>
      <c r="L557" s="1"/>
      <c r="M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5"/>
      <c r="J558" s="1"/>
      <c r="K558" s="1"/>
      <c r="L558" s="1"/>
      <c r="M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M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5"/>
      <c r="J560" s="1"/>
      <c r="K560" s="1"/>
      <c r="L560" s="1"/>
      <c r="M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M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9"/>
      <c r="H562" s="9"/>
      <c r="I562" s="5"/>
      <c r="J562" s="1"/>
      <c r="K562" s="1"/>
      <c r="L562" s="1"/>
      <c r="M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M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1"/>
      <c r="H564" s="1"/>
      <c r="I564" s="5"/>
      <c r="J564" s="1"/>
      <c r="K564" s="1"/>
      <c r="L564" s="1"/>
      <c r="M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M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1"/>
      <c r="H566" s="1"/>
      <c r="I566" s="5"/>
      <c r="J566" s="1"/>
      <c r="K566" s="1"/>
      <c r="L566" s="1"/>
      <c r="M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9"/>
      <c r="H567" s="9"/>
      <c r="I567" s="5"/>
      <c r="J567" s="1"/>
      <c r="K567" s="1"/>
      <c r="L567" s="1"/>
      <c r="M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M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1"/>
      <c r="H569" s="1"/>
      <c r="I569" s="5"/>
      <c r="J569" s="1"/>
      <c r="K569" s="1"/>
      <c r="L569" s="1"/>
      <c r="M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9"/>
      <c r="H570" s="9"/>
      <c r="I570" s="5"/>
      <c r="J570" s="1"/>
      <c r="K570" s="1"/>
      <c r="L570" s="1"/>
      <c r="M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9"/>
      <c r="H571" s="9"/>
      <c r="I571" s="5"/>
      <c r="J571" s="1"/>
      <c r="K571" s="1"/>
      <c r="L571" s="1"/>
      <c r="M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M572" s="1"/>
      <c r="N572" s="14"/>
      <c r="O572" s="16"/>
      <c r="P572" s="1"/>
    </row>
    <row r="573" spans="1:16">
      <c r="A573" s="6"/>
      <c r="B573" s="7"/>
      <c r="C573" s="6"/>
      <c r="D573" s="6"/>
      <c r="E573" s="6"/>
      <c r="F573" s="1"/>
      <c r="G573" s="1"/>
      <c r="H573" s="1"/>
      <c r="I573" s="5"/>
      <c r="J573" s="1"/>
      <c r="K573" s="1"/>
      <c r="L573" s="1"/>
      <c r="M573" s="1"/>
      <c r="N573" s="14"/>
      <c r="O573" s="16"/>
      <c r="P573" s="1"/>
    </row>
    <row r="574" spans="1:16">
      <c r="A574" s="6"/>
      <c r="B574" s="7"/>
      <c r="C574" s="6"/>
      <c r="D574" s="6"/>
      <c r="E574" s="6"/>
      <c r="F574" s="1"/>
      <c r="G574" s="1"/>
      <c r="H574" s="1"/>
      <c r="I574" s="5"/>
      <c r="J574" s="1"/>
      <c r="K574" s="1"/>
      <c r="L574" s="1"/>
      <c r="M574" s="1"/>
      <c r="N574" s="14"/>
      <c r="O574" s="16"/>
      <c r="P574" s="1"/>
    </row>
    <row r="575" spans="1:16">
      <c r="B575" s="7"/>
      <c r="C575" s="6"/>
      <c r="D575" s="6"/>
      <c r="E575" s="6"/>
      <c r="F575" s="1"/>
      <c r="G575" s="9"/>
      <c r="H575" s="9"/>
      <c r="I575" s="5"/>
      <c r="J575" s="1"/>
      <c r="K575" s="1"/>
      <c r="L575" s="1"/>
      <c r="M575" s="1"/>
      <c r="N575" s="14"/>
      <c r="O575" s="16"/>
      <c r="P575" s="1"/>
    </row>
    <row r="576" spans="1:16">
      <c r="B576" s="7"/>
      <c r="C576" s="59"/>
      <c r="D576" s="6"/>
      <c r="E576" s="6"/>
      <c r="F576" s="1"/>
      <c r="G576" s="1"/>
      <c r="H576" s="1"/>
      <c r="I576" s="5"/>
      <c r="J576" s="1"/>
      <c r="K576" s="1"/>
      <c r="L576" s="1"/>
      <c r="M576" s="1"/>
      <c r="N576" s="14"/>
      <c r="O576" s="16"/>
      <c r="P576" s="1"/>
    </row>
    <row r="577" spans="1:16">
      <c r="B577" s="7"/>
      <c r="C577" s="59"/>
      <c r="D577" s="6"/>
      <c r="E577" s="6"/>
      <c r="F577" s="1"/>
      <c r="G577" s="9"/>
      <c r="H577" s="9"/>
      <c r="I577" s="5"/>
      <c r="J577" s="1"/>
      <c r="K577" s="1"/>
      <c r="L577" s="1"/>
      <c r="M577" s="1"/>
      <c r="N577" s="14"/>
      <c r="O577" s="16"/>
      <c r="P577" s="1"/>
    </row>
    <row r="578" spans="1:16">
      <c r="B578" s="7"/>
      <c r="C578" s="59"/>
      <c r="D578" s="6"/>
      <c r="E578" s="62"/>
      <c r="F578" s="1"/>
      <c r="G578" s="9"/>
      <c r="H578" s="9"/>
      <c r="I578" s="5"/>
      <c r="J578" s="1"/>
      <c r="K578" s="1"/>
      <c r="L578" s="1"/>
      <c r="M578" s="1"/>
      <c r="N578" s="14"/>
      <c r="O578" s="16"/>
      <c r="P578" s="1"/>
    </row>
    <row r="579" spans="1:16">
      <c r="B579" s="7"/>
      <c r="C579" s="59"/>
      <c r="D579" s="6"/>
      <c r="E579" s="6"/>
      <c r="F579" s="1"/>
      <c r="G579" s="9"/>
      <c r="H579" s="1"/>
      <c r="I579" s="5"/>
      <c r="J579" s="1"/>
      <c r="K579" s="1"/>
      <c r="L579" s="1"/>
      <c r="M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9"/>
      <c r="H580" s="9"/>
      <c r="I580" s="5"/>
      <c r="J580" s="1"/>
      <c r="K580" s="1"/>
      <c r="L580" s="1"/>
      <c r="M580" s="1"/>
      <c r="N580" s="14"/>
      <c r="O580" s="16"/>
      <c r="P580" s="1"/>
    </row>
    <row r="581" spans="1:16">
      <c r="B581" s="7"/>
      <c r="C581" s="59"/>
      <c r="D581" s="6"/>
      <c r="E581" s="6"/>
      <c r="F581" s="1"/>
      <c r="G581" s="9"/>
      <c r="H581" s="9"/>
      <c r="I581" s="5"/>
      <c r="J581" s="1"/>
      <c r="K581" s="1"/>
      <c r="L581" s="1"/>
      <c r="M581" s="1"/>
      <c r="N581" s="14"/>
      <c r="O581" s="16"/>
      <c r="P581" s="1"/>
    </row>
    <row r="582" spans="1:16">
      <c r="B582" s="7"/>
      <c r="C582" s="59"/>
      <c r="D582" s="6"/>
      <c r="E582" s="6"/>
      <c r="F582" s="1"/>
      <c r="G582" s="9"/>
      <c r="H582" s="9"/>
      <c r="I582" s="5"/>
      <c r="J582" s="1"/>
      <c r="K582" s="1"/>
      <c r="L582" s="1"/>
      <c r="M582" s="1"/>
      <c r="N582" s="14"/>
      <c r="O582" s="16"/>
      <c r="P582" s="1"/>
    </row>
    <row r="583" spans="1:16">
      <c r="A583" s="63"/>
      <c r="B583" s="9"/>
      <c r="D583" s="1"/>
      <c r="F583" s="1"/>
      <c r="G583" s="9"/>
      <c r="H583" s="9"/>
      <c r="I583" s="5"/>
      <c r="J583" s="1"/>
      <c r="K583" s="1"/>
      <c r="L583" s="1"/>
      <c r="M583" s="1"/>
      <c r="N583" s="5"/>
      <c r="O583" s="16"/>
      <c r="P583" s="1"/>
    </row>
    <row r="584" spans="1:16">
      <c r="B584" s="7"/>
      <c r="C584" s="59"/>
      <c r="D584" s="6"/>
      <c r="E584" s="64"/>
      <c r="F584" s="1"/>
      <c r="G584" s="9"/>
      <c r="H584" s="9"/>
      <c r="I584" s="5"/>
      <c r="J584" s="1"/>
      <c r="K584" s="1"/>
      <c r="L584" s="1"/>
      <c r="M584" s="1"/>
      <c r="N584" s="14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M585" s="1"/>
      <c r="N585" s="5"/>
      <c r="O585" s="16"/>
      <c r="P585" s="1"/>
    </row>
    <row r="586" spans="1:16">
      <c r="A586" s="65"/>
      <c r="B586" s="9"/>
      <c r="D586" s="1"/>
      <c r="F586" s="1"/>
      <c r="G586" s="9"/>
      <c r="H586" s="9"/>
      <c r="I586" s="5"/>
      <c r="J586" s="1"/>
      <c r="K586" s="1"/>
      <c r="L586" s="1"/>
      <c r="M586" s="1"/>
      <c r="N586" s="5"/>
      <c r="O586" s="16"/>
      <c r="P586" s="1"/>
    </row>
    <row r="587" spans="1:16">
      <c r="B587" s="7"/>
      <c r="C587" s="59"/>
      <c r="D587" s="6"/>
      <c r="E587" s="6"/>
      <c r="F587" s="1"/>
      <c r="G587" s="9"/>
      <c r="H587" s="9"/>
      <c r="I587" s="5"/>
      <c r="J587" s="1"/>
      <c r="K587" s="1"/>
      <c r="L587" s="1"/>
      <c r="M587" s="1"/>
      <c r="N587" s="14"/>
      <c r="O587" s="16"/>
      <c r="P587" s="1"/>
    </row>
    <row r="588" spans="1:16">
      <c r="B588" s="7"/>
      <c r="C588" s="59"/>
      <c r="D588" s="59"/>
      <c r="E588" s="6"/>
      <c r="F588" s="1"/>
      <c r="G588" s="9"/>
      <c r="H588" s="9"/>
      <c r="I588" s="5"/>
      <c r="J588" s="1"/>
      <c r="K588" s="1"/>
      <c r="L588" s="1"/>
      <c r="M588" s="1"/>
      <c r="N588" s="14"/>
      <c r="O588" s="16"/>
      <c r="P588" s="1"/>
    </row>
    <row r="589" spans="1:16">
      <c r="B589" s="7"/>
      <c r="C589" s="59"/>
      <c r="D589" s="6"/>
      <c r="E589" s="6"/>
      <c r="F589" s="1"/>
      <c r="G589" s="9"/>
      <c r="H589" s="9"/>
      <c r="I589" s="5"/>
      <c r="J589" s="1"/>
      <c r="K589" s="1"/>
      <c r="L589" s="1"/>
      <c r="M589" s="1"/>
      <c r="N589" s="14"/>
      <c r="O589" s="16"/>
      <c r="P589" s="1"/>
    </row>
    <row r="590" spans="1:16">
      <c r="B590" s="7"/>
      <c r="C590" s="59"/>
      <c r="D590" s="6"/>
      <c r="E590" s="6"/>
      <c r="F590" s="1"/>
      <c r="G590" s="9"/>
      <c r="H590" s="9"/>
      <c r="I590" s="5"/>
      <c r="J590" s="1"/>
      <c r="K590" s="1"/>
      <c r="L590" s="1"/>
      <c r="M590" s="1"/>
      <c r="N590" s="14"/>
      <c r="O590" s="16"/>
      <c r="P590" s="1"/>
    </row>
    <row r="591" spans="1:16">
      <c r="B591" s="7"/>
      <c r="C591" s="59"/>
      <c r="D591" s="59"/>
      <c r="E591" s="59"/>
      <c r="F591" s="1"/>
      <c r="G591" s="9"/>
      <c r="H591" s="9"/>
      <c r="I591" s="5"/>
      <c r="J591" s="1"/>
      <c r="K591" s="1"/>
      <c r="L591" s="1"/>
      <c r="M591" s="1"/>
      <c r="N591" s="14"/>
      <c r="O591" s="16"/>
      <c r="P591" s="1"/>
    </row>
    <row r="592" spans="1:16">
      <c r="B592" s="7"/>
      <c r="C592" s="59"/>
      <c r="D592" s="6"/>
      <c r="E592" s="6"/>
      <c r="F592" s="1"/>
      <c r="G592" s="9"/>
      <c r="H592" s="9"/>
      <c r="I592" s="5"/>
      <c r="J592" s="1"/>
      <c r="K592" s="1"/>
      <c r="L592" s="1"/>
      <c r="M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M593" s="1"/>
      <c r="N593" s="14"/>
      <c r="O593" s="16"/>
      <c r="P593" s="1"/>
    </row>
    <row r="594" spans="2:16">
      <c r="B594" s="7"/>
      <c r="C594" s="59"/>
      <c r="D594" s="59"/>
      <c r="E594" s="6"/>
      <c r="F594" s="1"/>
      <c r="G594" s="9"/>
      <c r="H594" s="9"/>
      <c r="I594" s="5"/>
      <c r="J594" s="1"/>
      <c r="K594" s="1"/>
      <c r="L594" s="1"/>
      <c r="M594" s="1"/>
      <c r="N594" s="14"/>
      <c r="O594" s="16"/>
      <c r="P594" s="1"/>
    </row>
    <row r="595" spans="2:16">
      <c r="B595" s="7"/>
      <c r="C595" s="59"/>
      <c r="D595" s="6"/>
      <c r="E595" s="6"/>
      <c r="F595" s="1"/>
      <c r="G595" s="9"/>
      <c r="H595" s="9"/>
      <c r="I595" s="5"/>
      <c r="J595" s="1"/>
      <c r="K595" s="1"/>
      <c r="L595" s="1"/>
      <c r="M595" s="1"/>
      <c r="N595" s="14"/>
      <c r="O595" s="16"/>
      <c r="P595" s="1"/>
    </row>
    <row r="596" spans="2:16">
      <c r="B596" s="7"/>
      <c r="C596" s="59"/>
      <c r="D596" s="59"/>
      <c r="E596" s="59"/>
      <c r="F596" s="1"/>
      <c r="G596" s="9"/>
      <c r="H596" s="9"/>
      <c r="I596" s="5"/>
      <c r="J596" s="1"/>
      <c r="K596" s="1"/>
      <c r="L596" s="1"/>
      <c r="M596" s="1"/>
      <c r="N596" s="14"/>
      <c r="O596" s="16"/>
      <c r="P596" s="1"/>
    </row>
    <row r="597" spans="2:16">
      <c r="B597" s="7"/>
      <c r="C597" s="59"/>
      <c r="D597" s="59"/>
      <c r="E597" s="59"/>
      <c r="F597" s="1"/>
      <c r="G597" s="1"/>
      <c r="H597" s="1"/>
      <c r="I597" s="5"/>
      <c r="J597" s="1"/>
      <c r="K597" s="1"/>
      <c r="L597" s="1"/>
      <c r="M597" s="1"/>
      <c r="N597" s="14"/>
      <c r="O597" s="16"/>
      <c r="P597" s="1"/>
    </row>
    <row r="598" spans="2:16">
      <c r="B598" s="7"/>
      <c r="C598" s="59"/>
      <c r="D598" s="59"/>
      <c r="E598" s="59"/>
      <c r="F598" s="1"/>
      <c r="G598" s="1"/>
      <c r="H598" s="1"/>
      <c r="I598" s="5"/>
      <c r="J598" s="1"/>
      <c r="K598" s="1"/>
      <c r="L598" s="1"/>
      <c r="M598" s="1"/>
      <c r="N598" s="14"/>
      <c r="O598" s="16"/>
    </row>
    <row r="599" spans="2:16">
      <c r="B599" s="7"/>
      <c r="C599" s="59"/>
      <c r="D599" s="59"/>
      <c r="E599" s="59"/>
      <c r="F599" s="1"/>
      <c r="G599" s="1"/>
      <c r="H599" s="1"/>
      <c r="I599" s="5"/>
      <c r="J599" s="1"/>
      <c r="K599" s="1"/>
      <c r="L599" s="1"/>
      <c r="M599" s="1"/>
      <c r="N599" s="14"/>
      <c r="O599" s="16"/>
      <c r="P599" s="1"/>
    </row>
    <row r="600" spans="2:16">
      <c r="B600" s="7"/>
      <c r="C600" s="59"/>
      <c r="D600" s="59"/>
      <c r="E600" s="59"/>
      <c r="F600" s="1"/>
      <c r="G600" s="1"/>
      <c r="H600" s="1"/>
      <c r="I600" s="5"/>
      <c r="J600" s="1" t="s">
        <v>17</v>
      </c>
      <c r="K600" s="1"/>
      <c r="L600" s="1" t="s">
        <v>18</v>
      </c>
      <c r="M600" s="9"/>
      <c r="N600" s="14"/>
      <c r="O600" s="16"/>
      <c r="P600" s="1"/>
    </row>
    <row r="601" spans="2:16">
      <c r="G601" s="10"/>
      <c r="H601" s="10"/>
    </row>
  </sheetData>
  <conditionalFormatting sqref="A3:A60">
    <cfRule type="duplicateValues" dxfId="403" priority="159"/>
  </conditionalFormatting>
  <conditionalFormatting sqref="A3:A182 A184:A304 A306:A340">
    <cfRule type="duplicateValues" dxfId="402" priority="61"/>
    <cfRule type="duplicateValues" dxfId="401" priority="832"/>
    <cfRule type="duplicateValues" dxfId="400" priority="834"/>
  </conditionalFormatting>
  <conditionalFormatting sqref="A86">
    <cfRule type="cellIs" dxfId="399" priority="335" operator="equal">
      <formula>"CANCELADO"</formula>
    </cfRule>
  </conditionalFormatting>
  <conditionalFormatting sqref="A183">
    <cfRule type="duplicateValues" dxfId="398" priority="13"/>
    <cfRule type="duplicateValues" dxfId="397" priority="14"/>
    <cfRule type="duplicateValues" dxfId="396" priority="15"/>
    <cfRule type="duplicateValues" dxfId="395" priority="16"/>
  </conditionalFormatting>
  <conditionalFormatting sqref="A305">
    <cfRule type="duplicateValues" dxfId="394" priority="5"/>
    <cfRule type="duplicateValues" dxfId="393" priority="6"/>
    <cfRule type="duplicateValues" dxfId="392" priority="7"/>
    <cfRule type="duplicateValues" dxfId="391" priority="8"/>
  </conditionalFormatting>
  <conditionalFormatting sqref="A583">
    <cfRule type="duplicateValues" dxfId="390" priority="341"/>
  </conditionalFormatting>
  <conditionalFormatting sqref="A586">
    <cfRule type="duplicateValues" dxfId="389" priority="340"/>
  </conditionalFormatting>
  <conditionalFormatting sqref="B183:C183">
    <cfRule type="duplicateValues" dxfId="388" priority="9"/>
    <cfRule type="duplicateValues" dxfId="387" priority="10"/>
    <cfRule type="duplicateValues" dxfId="386" priority="11"/>
    <cfRule type="duplicateValues" dxfId="385" priority="12"/>
  </conditionalFormatting>
  <conditionalFormatting sqref="B305:E305">
    <cfRule type="duplicateValues" dxfId="384" priority="1"/>
    <cfRule type="duplicateValues" dxfId="383" priority="2"/>
    <cfRule type="duplicateValues" dxfId="382" priority="3"/>
    <cfRule type="duplicateValues" dxfId="381" priority="4"/>
  </conditionalFormatting>
  <conditionalFormatting sqref="C3">
    <cfRule type="cellIs" dxfId="380" priority="339" operator="equal">
      <formula>"CANCELADO"</formula>
    </cfRule>
  </conditionalFormatting>
  <conditionalFormatting sqref="C25">
    <cfRule type="cellIs" dxfId="379" priority="338" operator="equal">
      <formula>"CANCELADO"</formula>
    </cfRule>
  </conditionalFormatting>
  <conditionalFormatting sqref="C50">
    <cfRule type="cellIs" dxfId="378" priority="337" operator="equal">
      <formula>"CANCELADO"</formula>
    </cfRule>
  </conditionalFormatting>
  <conditionalFormatting sqref="C80">
    <cfRule type="cellIs" dxfId="377" priority="336" operator="equal">
      <formula>"CANCELADO"</formula>
    </cfRule>
  </conditionalFormatting>
  <conditionalFormatting sqref="E3:E16">
    <cfRule type="cellIs" dxfId="376" priority="187" operator="equal">
      <formula>"Interior"</formula>
    </cfRule>
  </conditionalFormatting>
  <conditionalFormatting sqref="E199">
    <cfRule type="cellIs" dxfId="375" priority="25" operator="equal">
      <formula>"Interior"</formula>
    </cfRule>
  </conditionalFormatting>
  <conditionalFormatting sqref="E245:E252">
    <cfRule type="cellIs" dxfId="374" priority="17" operator="equal">
      <formula>"Interior"</formula>
    </cfRule>
  </conditionalFormatting>
  <conditionalFormatting sqref="F101">
    <cfRule type="cellIs" dxfId="373" priority="99" operator="equal">
      <formula>"Interior"</formula>
    </cfRule>
  </conditionalFormatting>
  <conditionalFormatting sqref="L3:L600">
    <cfRule type="cellIs" dxfId="372" priority="63" operator="equal">
      <formula>"LANÇADO"</formula>
    </cfRule>
    <cfRule type="cellIs" dxfId="371" priority="64" operator="equal">
      <formula>"PENDENTE"</formula>
    </cfRule>
  </conditionalFormatting>
  <conditionalFormatting sqref="O1:O3 O85:O86 O88:O249 O251:O1048576">
    <cfRule type="cellIs" dxfId="370" priority="342" operator="lessThan">
      <formula>0</formula>
    </cfRule>
  </conditionalFormatting>
  <conditionalFormatting sqref="O3:O83">
    <cfRule type="cellIs" dxfId="369" priority="279" operator="lessThan">
      <formula>0</formula>
    </cfRule>
  </conditionalFormatting>
  <dataValidations count="6">
    <dataValidation type="list" allowBlank="1" showInputMessage="1" showErrorMessage="1" sqref="K600 K3:K356" xr:uid="{F19E9679-FCC1-4587-846D-285D7CCE385B}">
      <formula1>"PENDENTE,ANEXADO,ISENTO"</formula1>
    </dataValidation>
    <dataValidation type="list" allowBlank="1" showInputMessage="1" showErrorMessage="1" sqref="K357:K436" xr:uid="{CBD9C5D8-551C-478B-8C78-AA8731C3E904}">
      <formula1>"PENDENTE,ANEXADO"</formula1>
    </dataValidation>
    <dataValidation type="list" allowBlank="1" showInputMessage="1" showErrorMessage="1" sqref="J358:J436" xr:uid="{7605C9F0-805E-44F4-9DA8-5E22532D1B03}">
      <formula1>"PENDENTE,OK"</formula1>
    </dataValidation>
    <dataValidation type="list" allowBlank="1" showInputMessage="1" showErrorMessage="1" sqref="C210 C318 L3:L133 L160 L163:L600" xr:uid="{9CA14243-FC8D-4F3E-8D41-B62F298346D4}">
      <formula1>"LANÇADO,PENDENTE"</formula1>
    </dataValidation>
    <dataValidation type="list" allowBlank="1" showInputMessage="1" showErrorMessage="1" sqref="J600 J3:J357" xr:uid="{B5B00884-211D-42E4-B64C-B29A465647F0}">
      <formula1>"PENDENTE,OK,ISENTO"</formula1>
    </dataValidation>
    <dataValidation type="list" allowBlank="1" showInputMessage="1" showErrorMessage="1" sqref="L134:L159 L161:L162" xr:uid="{60A1FF70-6527-49EB-B6C7-B873BA75E72D}">
      <formula1>"PENDENTE,LANÇADO"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BF23-05B5-4BE5-B1B2-CDCD4BDDE2BD}">
  <dimension ref="A1:P599"/>
  <sheetViews>
    <sheetView showGridLines="0" topLeftCell="D1" zoomScale="80" zoomScaleNormal="80" workbookViewId="0">
      <pane ySplit="2" topLeftCell="A176" activePane="bottomLeft" state="frozen"/>
      <selection pane="bottomLeft" activeCell="D3" sqref="A3:XFD200"/>
    </sheetView>
  </sheetViews>
  <sheetFormatPr defaultRowHeight="15"/>
  <cols>
    <col min="1" max="1" width="12.28515625" style="1" customWidth="1"/>
    <col min="2" max="2" width="12.85546875" customWidth="1"/>
    <col min="3" max="3" width="22.140625" customWidth="1"/>
    <col min="4" max="4" width="41.85546875" customWidth="1"/>
    <col min="5" max="5" width="31.42578125" customWidth="1"/>
    <col min="6" max="6" width="52" customWidth="1"/>
    <col min="7" max="7" width="13.5703125" customWidth="1"/>
    <col min="8" max="8" width="11.42578125" customWidth="1"/>
    <col min="9" max="9" width="12.85546875" style="60" customWidth="1"/>
    <col min="10" max="10" width="11" customWidth="1"/>
    <col min="11" max="11" width="13.28515625" customWidth="1"/>
    <col min="12" max="12" width="15.7109375" customWidth="1"/>
    <col min="13" max="13" width="20.140625" style="1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SUBTOTAL(9,Tabela1389101112[Match_Planilha])</f>
        <v>0</v>
      </c>
      <c r="O1" s="15">
        <f>SUBTOTAL(9,Tabela1389101112[Dif])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22" t="s">
        <v>12</v>
      </c>
      <c r="N2" s="23" t="s">
        <v>13</v>
      </c>
      <c r="O2" s="24" t="s">
        <v>14</v>
      </c>
      <c r="P2" s="22" t="s">
        <v>15</v>
      </c>
    </row>
    <row r="3" spans="1:16">
      <c r="A3" s="6"/>
      <c r="B3" s="6"/>
      <c r="C3" s="6"/>
      <c r="D3" s="6"/>
      <c r="E3" s="6"/>
      <c r="F3" s="6"/>
      <c r="G3" s="7"/>
      <c r="H3" s="7"/>
      <c r="I3" s="186"/>
      <c r="J3" s="1"/>
      <c r="K3" s="1"/>
      <c r="L3" s="1"/>
      <c r="M3" s="9"/>
      <c r="N3" s="186"/>
      <c r="O3" s="16"/>
      <c r="P3" s="1"/>
    </row>
    <row r="4" spans="1:16">
      <c r="A4" s="6"/>
      <c r="B4" s="6"/>
      <c r="C4" s="6"/>
      <c r="D4" s="6"/>
      <c r="E4" s="6"/>
      <c r="F4" s="6"/>
      <c r="G4" s="7"/>
      <c r="H4" s="7"/>
      <c r="I4" s="186"/>
      <c r="J4" s="1"/>
      <c r="K4" s="1"/>
      <c r="L4" s="1"/>
      <c r="M4" s="9"/>
      <c r="N4" s="186"/>
      <c r="O4" s="16"/>
      <c r="P4" s="1"/>
    </row>
    <row r="5" spans="1:16">
      <c r="A5" s="6"/>
      <c r="B5" s="6"/>
      <c r="C5" s="6"/>
      <c r="D5" s="6"/>
      <c r="E5" s="6"/>
      <c r="F5" s="6"/>
      <c r="G5" s="7"/>
      <c r="H5" s="7"/>
      <c r="I5" s="186"/>
      <c r="J5" s="1"/>
      <c r="K5" s="1"/>
      <c r="L5" s="1"/>
      <c r="M5" s="9"/>
      <c r="N5" s="186"/>
      <c r="O5" s="16"/>
      <c r="P5" s="1"/>
    </row>
    <row r="6" spans="1:16">
      <c r="A6" s="6"/>
      <c r="B6" s="6"/>
      <c r="C6" s="6"/>
      <c r="D6" s="6"/>
      <c r="E6" s="6"/>
      <c r="F6" s="6"/>
      <c r="G6" s="7"/>
      <c r="H6" s="7"/>
      <c r="I6" s="186"/>
      <c r="J6" s="1"/>
      <c r="K6" s="1"/>
      <c r="L6" s="1"/>
      <c r="M6" s="9"/>
      <c r="N6" s="186"/>
      <c r="O6" s="16"/>
      <c r="P6" s="1"/>
    </row>
    <row r="7" spans="1:16">
      <c r="A7" s="188"/>
      <c r="B7" s="6"/>
      <c r="C7" s="6"/>
      <c r="D7" s="6"/>
      <c r="E7" s="6"/>
      <c r="F7" s="6"/>
      <c r="G7" s="7"/>
      <c r="H7" s="7"/>
      <c r="I7" s="186"/>
      <c r="J7" s="1"/>
      <c r="K7" s="1"/>
      <c r="L7" s="1"/>
      <c r="M7" s="9"/>
      <c r="N7" s="186"/>
      <c r="O7" s="16"/>
      <c r="P7" s="1"/>
    </row>
    <row r="8" spans="1:16">
      <c r="A8" s="6"/>
      <c r="B8" s="6"/>
      <c r="C8" s="6"/>
      <c r="D8" s="6"/>
      <c r="E8" s="6"/>
      <c r="F8" s="6"/>
      <c r="G8" s="7"/>
      <c r="H8" s="7"/>
      <c r="I8" s="186"/>
      <c r="J8" s="1"/>
      <c r="K8" s="1"/>
      <c r="L8" s="1"/>
      <c r="M8" s="9"/>
      <c r="N8" s="186"/>
      <c r="O8" s="16"/>
      <c r="P8" s="1"/>
    </row>
    <row r="9" spans="1:16">
      <c r="A9" s="6"/>
      <c r="B9" s="6"/>
      <c r="C9" s="6"/>
      <c r="D9" s="6"/>
      <c r="E9" s="6"/>
      <c r="F9" s="6"/>
      <c r="G9" s="7"/>
      <c r="H9" s="7"/>
      <c r="I9" s="186"/>
      <c r="J9" s="1"/>
      <c r="K9" s="1"/>
      <c r="L9" s="1"/>
      <c r="M9" s="9"/>
      <c r="N9" s="186"/>
      <c r="O9" s="16"/>
      <c r="P9" s="1"/>
    </row>
    <row r="10" spans="1:16">
      <c r="A10" s="6"/>
      <c r="B10" s="6"/>
      <c r="C10" s="6"/>
      <c r="D10" s="6"/>
      <c r="E10" s="6"/>
      <c r="F10" s="6"/>
      <c r="G10" s="7"/>
      <c r="H10" s="7"/>
      <c r="I10" s="186"/>
      <c r="J10" s="1"/>
      <c r="K10" s="1"/>
      <c r="L10" s="1"/>
      <c r="M10" s="9"/>
      <c r="N10" s="186"/>
      <c r="O10" s="16"/>
      <c r="P10" s="1"/>
    </row>
    <row r="11" spans="1:16">
      <c r="A11" s="6"/>
      <c r="B11" s="6"/>
      <c r="C11" s="6"/>
      <c r="D11" s="6"/>
      <c r="E11" s="6"/>
      <c r="F11" s="6"/>
      <c r="G11" s="7"/>
      <c r="H11" s="7"/>
      <c r="I11" s="186"/>
      <c r="J11" s="1"/>
      <c r="K11" s="1"/>
      <c r="L11" s="1"/>
      <c r="M11" s="9"/>
      <c r="N11" s="186"/>
      <c r="O11" s="16"/>
      <c r="P11" s="1"/>
    </row>
    <row r="12" spans="1:16">
      <c r="A12" s="6"/>
      <c r="B12" s="6"/>
      <c r="C12" s="6"/>
      <c r="D12" s="6"/>
      <c r="E12" s="6"/>
      <c r="F12" s="6"/>
      <c r="G12" s="7"/>
      <c r="H12" s="7"/>
      <c r="I12" s="186"/>
      <c r="J12" s="1"/>
      <c r="K12" s="1"/>
      <c r="L12" s="1"/>
      <c r="M12" s="9"/>
      <c r="N12" s="186"/>
      <c r="O12" s="16"/>
      <c r="P12" s="1"/>
    </row>
    <row r="13" spans="1:16">
      <c r="A13" s="6"/>
      <c r="B13" s="6"/>
      <c r="C13" s="6"/>
      <c r="D13" s="6"/>
      <c r="E13" s="6"/>
      <c r="F13" s="6"/>
      <c r="G13" s="7"/>
      <c r="H13" s="7"/>
      <c r="I13" s="186"/>
      <c r="J13" s="1"/>
      <c r="K13" s="1"/>
      <c r="L13" s="1"/>
      <c r="M13" s="9"/>
      <c r="N13" s="186"/>
      <c r="O13" s="16"/>
      <c r="P13" s="1"/>
    </row>
    <row r="14" spans="1:16">
      <c r="A14" s="6"/>
      <c r="B14" s="6"/>
      <c r="C14" s="6"/>
      <c r="D14" s="6"/>
      <c r="E14" s="6"/>
      <c r="F14" s="6"/>
      <c r="G14" s="7"/>
      <c r="H14" s="7"/>
      <c r="I14" s="186"/>
      <c r="J14" s="1"/>
      <c r="K14" s="1"/>
      <c r="L14" s="1"/>
      <c r="M14" s="9"/>
      <c r="N14" s="186"/>
      <c r="O14" s="16"/>
      <c r="P14" s="1"/>
    </row>
    <row r="15" spans="1:16">
      <c r="A15" s="6"/>
      <c r="B15" s="6"/>
      <c r="C15" s="6"/>
      <c r="D15" s="6"/>
      <c r="E15" s="6"/>
      <c r="F15" s="6"/>
      <c r="G15" s="7"/>
      <c r="H15" s="7"/>
      <c r="I15" s="186"/>
      <c r="J15" s="1"/>
      <c r="K15" s="1"/>
      <c r="L15" s="1"/>
      <c r="M15" s="9"/>
      <c r="N15" s="186"/>
      <c r="O15" s="16"/>
      <c r="P15" s="1"/>
    </row>
    <row r="16" spans="1:16">
      <c r="A16" s="6"/>
      <c r="B16" s="6"/>
      <c r="C16" s="6"/>
      <c r="D16" s="6"/>
      <c r="E16" s="6"/>
      <c r="F16" s="6"/>
      <c r="G16" s="7"/>
      <c r="H16" s="7"/>
      <c r="I16" s="186"/>
      <c r="J16" s="1"/>
      <c r="K16" s="1"/>
      <c r="L16" s="1"/>
      <c r="M16" s="9"/>
      <c r="N16" s="186"/>
      <c r="O16" s="16"/>
      <c r="P16" s="1"/>
    </row>
    <row r="17" spans="1:16">
      <c r="A17" s="6"/>
      <c r="B17" s="6"/>
      <c r="C17" s="6"/>
      <c r="D17" s="6"/>
      <c r="E17" s="6"/>
      <c r="F17" s="6"/>
      <c r="G17" s="7"/>
      <c r="H17" s="7"/>
      <c r="I17" s="186"/>
      <c r="J17" s="1"/>
      <c r="K17" s="1"/>
      <c r="L17" s="1"/>
      <c r="M17" s="9"/>
      <c r="N17" s="186"/>
      <c r="O17" s="16"/>
      <c r="P17" s="1"/>
    </row>
    <row r="18" spans="1:16">
      <c r="A18" s="6"/>
      <c r="B18" s="6"/>
      <c r="C18" s="6"/>
      <c r="D18" s="6"/>
      <c r="E18" s="6"/>
      <c r="F18" s="6"/>
      <c r="G18" s="7"/>
      <c r="H18" s="7"/>
      <c r="I18" s="186"/>
      <c r="J18" s="1"/>
      <c r="K18" s="1"/>
      <c r="L18" s="1"/>
      <c r="M18" s="9"/>
      <c r="N18" s="186"/>
      <c r="O18" s="16"/>
      <c r="P18" s="1"/>
    </row>
    <row r="19" spans="1:16">
      <c r="A19" s="6"/>
      <c r="B19" s="6"/>
      <c r="C19" s="6"/>
      <c r="D19" s="6"/>
      <c r="E19" s="6"/>
      <c r="F19" s="6"/>
      <c r="G19" s="7"/>
      <c r="H19" s="7"/>
      <c r="I19" s="186"/>
      <c r="J19" s="1"/>
      <c r="K19" s="1"/>
      <c r="L19" s="1"/>
      <c r="M19" s="9"/>
      <c r="N19" s="186"/>
      <c r="O19" s="16"/>
      <c r="P19" s="1"/>
    </row>
    <row r="20" spans="1:16">
      <c r="A20" s="6"/>
      <c r="B20" s="6"/>
      <c r="C20" s="6"/>
      <c r="D20" s="6"/>
      <c r="E20" s="6"/>
      <c r="F20" s="6"/>
      <c r="G20" s="7"/>
      <c r="H20" s="7"/>
      <c r="I20" s="186"/>
      <c r="J20" s="1"/>
      <c r="K20" s="1"/>
      <c r="L20" s="1"/>
      <c r="M20" s="9"/>
      <c r="N20" s="186"/>
      <c r="O20" s="16"/>
      <c r="P20" s="1"/>
    </row>
    <row r="21" spans="1:16">
      <c r="A21" s="6"/>
      <c r="B21" s="6"/>
      <c r="C21" s="6"/>
      <c r="D21" s="6"/>
      <c r="E21" s="6"/>
      <c r="F21" s="6"/>
      <c r="G21" s="7"/>
      <c r="H21" s="7"/>
      <c r="I21" s="186"/>
      <c r="J21" s="1"/>
      <c r="K21" s="1"/>
      <c r="L21" s="1"/>
      <c r="M21" s="9"/>
      <c r="N21" s="186"/>
      <c r="O21" s="16"/>
      <c r="P21" s="1"/>
    </row>
    <row r="22" spans="1:16">
      <c r="A22" s="6"/>
      <c r="B22" s="6"/>
      <c r="C22" s="6"/>
      <c r="D22" s="6"/>
      <c r="E22" s="6"/>
      <c r="F22" s="6"/>
      <c r="G22" s="7"/>
      <c r="H22" s="7"/>
      <c r="I22" s="186"/>
      <c r="J22" s="1"/>
      <c r="K22" s="1"/>
      <c r="L22" s="1"/>
      <c r="M22" s="9"/>
      <c r="N22" s="186"/>
      <c r="O22" s="16"/>
      <c r="P22" s="1"/>
    </row>
    <row r="23" spans="1:16">
      <c r="A23" s="6"/>
      <c r="B23" s="6"/>
      <c r="C23" s="6"/>
      <c r="D23" s="6"/>
      <c r="E23" s="6"/>
      <c r="F23" s="6"/>
      <c r="G23" s="7"/>
      <c r="H23" s="7"/>
      <c r="I23" s="186"/>
      <c r="J23" s="1"/>
      <c r="K23" s="1"/>
      <c r="L23" s="1"/>
      <c r="M23" s="9"/>
      <c r="N23" s="186"/>
      <c r="O23" s="16"/>
      <c r="P23" s="1"/>
    </row>
    <row r="24" spans="1:16">
      <c r="A24" s="6"/>
      <c r="B24" s="6"/>
      <c r="C24" s="6"/>
      <c r="D24" s="6"/>
      <c r="E24" s="6"/>
      <c r="F24" s="6"/>
      <c r="G24" s="7"/>
      <c r="H24" s="7"/>
      <c r="I24" s="186"/>
      <c r="J24" s="1"/>
      <c r="K24" s="1"/>
      <c r="L24" s="1"/>
      <c r="M24" s="9"/>
      <c r="N24" s="186"/>
      <c r="O24" s="16"/>
      <c r="P24" s="1"/>
    </row>
    <row r="25" spans="1:16">
      <c r="A25" s="6"/>
      <c r="B25" s="6"/>
      <c r="C25" s="6"/>
      <c r="D25" s="6"/>
      <c r="E25" s="6"/>
      <c r="F25" s="6"/>
      <c r="G25" s="7"/>
      <c r="H25" s="7"/>
      <c r="I25" s="186"/>
      <c r="J25" s="1"/>
      <c r="K25" s="1"/>
      <c r="L25" s="1"/>
      <c r="M25" s="9"/>
      <c r="N25" s="186"/>
      <c r="O25" s="16"/>
      <c r="P25" s="1"/>
    </row>
    <row r="26" spans="1:16">
      <c r="A26" s="6"/>
      <c r="B26" s="6"/>
      <c r="C26" s="6"/>
      <c r="D26" s="6"/>
      <c r="E26" s="6"/>
      <c r="F26" s="6"/>
      <c r="G26" s="7"/>
      <c r="H26" s="7"/>
      <c r="I26" s="186"/>
      <c r="J26" s="1"/>
      <c r="K26" s="1"/>
      <c r="L26" s="1"/>
      <c r="M26" s="9"/>
      <c r="N26" s="186"/>
      <c r="O26" s="16"/>
      <c r="P26" s="1"/>
    </row>
    <row r="27" spans="1:16">
      <c r="A27" s="6"/>
      <c r="B27" s="6"/>
      <c r="C27" s="6"/>
      <c r="D27" s="6"/>
      <c r="E27" s="6"/>
      <c r="F27" s="6"/>
      <c r="G27" s="7"/>
      <c r="H27" s="7"/>
      <c r="I27" s="186"/>
      <c r="J27" s="1"/>
      <c r="K27" s="1"/>
      <c r="L27" s="1"/>
      <c r="M27" s="9"/>
      <c r="N27" s="186"/>
      <c r="O27" s="16"/>
      <c r="P27" s="1"/>
    </row>
    <row r="28" spans="1:16">
      <c r="A28" s="6"/>
      <c r="B28" s="6"/>
      <c r="C28" s="6"/>
      <c r="D28" s="6"/>
      <c r="E28" s="6"/>
      <c r="F28" s="6"/>
      <c r="G28" s="7"/>
      <c r="H28" s="7"/>
      <c r="I28" s="186"/>
      <c r="J28" s="1"/>
      <c r="K28" s="1"/>
      <c r="L28" s="1"/>
      <c r="M28" s="9"/>
      <c r="N28" s="186"/>
      <c r="O28" s="16"/>
      <c r="P28" s="1"/>
    </row>
    <row r="29" spans="1:16">
      <c r="A29" s="6"/>
      <c r="B29" s="6"/>
      <c r="C29" s="6"/>
      <c r="D29" s="6"/>
      <c r="E29" s="6"/>
      <c r="F29" s="6"/>
      <c r="G29" s="7"/>
      <c r="H29" s="7"/>
      <c r="I29" s="186"/>
      <c r="J29" s="1"/>
      <c r="K29" s="1"/>
      <c r="L29" s="1"/>
      <c r="M29" s="9"/>
      <c r="N29" s="186"/>
      <c r="O29" s="16"/>
      <c r="P29" s="1"/>
    </row>
    <row r="30" spans="1:16">
      <c r="A30" s="6"/>
      <c r="B30" s="6"/>
      <c r="C30" s="6"/>
      <c r="D30" s="6"/>
      <c r="E30" s="6"/>
      <c r="F30" s="6"/>
      <c r="G30" s="7"/>
      <c r="H30" s="7"/>
      <c r="I30" s="186"/>
      <c r="J30" s="1"/>
      <c r="K30" s="1"/>
      <c r="L30" s="1"/>
      <c r="M30" s="9"/>
      <c r="N30" s="186"/>
      <c r="O30" s="16"/>
      <c r="P30" s="1"/>
    </row>
    <row r="31" spans="1:16">
      <c r="A31" s="6"/>
      <c r="B31" s="6"/>
      <c r="C31" s="6"/>
      <c r="D31" s="6"/>
      <c r="E31" s="6"/>
      <c r="F31" s="6"/>
      <c r="G31" s="7"/>
      <c r="H31" s="7"/>
      <c r="I31" s="186"/>
      <c r="J31" s="1"/>
      <c r="K31" s="1"/>
      <c r="L31" s="1"/>
      <c r="M31" s="9"/>
      <c r="N31" s="186"/>
      <c r="O31" s="16"/>
      <c r="P31" s="1"/>
    </row>
    <row r="32" spans="1:16">
      <c r="A32" s="6"/>
      <c r="B32" s="6"/>
      <c r="C32" s="6"/>
      <c r="D32" s="6"/>
      <c r="E32" s="6"/>
      <c r="F32" s="6"/>
      <c r="G32" s="7"/>
      <c r="H32" s="7"/>
      <c r="I32" s="186"/>
      <c r="J32" s="1"/>
      <c r="K32" s="1"/>
      <c r="L32" s="1"/>
      <c r="M32" s="9"/>
      <c r="N32" s="186"/>
      <c r="O32" s="16"/>
      <c r="P32" s="1"/>
    </row>
    <row r="33" spans="1:16">
      <c r="A33" s="6"/>
      <c r="B33" s="6"/>
      <c r="C33" s="6"/>
      <c r="D33" s="6"/>
      <c r="E33" s="6"/>
      <c r="F33" s="6"/>
      <c r="G33" s="7"/>
      <c r="H33" s="7"/>
      <c r="I33" s="186"/>
      <c r="J33" s="1"/>
      <c r="K33" s="1"/>
      <c r="L33" s="1"/>
      <c r="M33" s="9"/>
      <c r="N33" s="186"/>
      <c r="O33" s="16"/>
      <c r="P33" s="1"/>
    </row>
    <row r="34" spans="1:16">
      <c r="A34" s="6"/>
      <c r="B34" s="6"/>
      <c r="C34" s="6"/>
      <c r="D34" s="6"/>
      <c r="E34" s="6"/>
      <c r="F34" s="6"/>
      <c r="G34" s="7"/>
      <c r="H34" s="7"/>
      <c r="I34" s="186"/>
      <c r="J34" s="1"/>
      <c r="K34" s="1"/>
      <c r="L34" s="1"/>
      <c r="M34" s="9"/>
      <c r="N34" s="186"/>
      <c r="O34" s="16"/>
      <c r="P34" s="1"/>
    </row>
    <row r="35" spans="1:16">
      <c r="A35" s="6"/>
      <c r="B35" s="6"/>
      <c r="C35" s="6"/>
      <c r="D35" s="6"/>
      <c r="E35" s="6"/>
      <c r="F35" s="6"/>
      <c r="G35" s="7"/>
      <c r="H35" s="7"/>
      <c r="I35" s="186"/>
      <c r="J35" s="1"/>
      <c r="K35" s="1"/>
      <c r="L35" s="1"/>
      <c r="M35" s="9"/>
      <c r="N35" s="186"/>
      <c r="O35" s="16"/>
      <c r="P35" s="1"/>
    </row>
    <row r="36" spans="1:16">
      <c r="A36" s="6"/>
      <c r="B36" s="6"/>
      <c r="C36" s="6"/>
      <c r="D36" s="6"/>
      <c r="E36" s="6"/>
      <c r="F36" s="6"/>
      <c r="G36" s="7"/>
      <c r="H36" s="7"/>
      <c r="I36" s="186"/>
      <c r="J36" s="1"/>
      <c r="K36" s="1"/>
      <c r="L36" s="1"/>
      <c r="M36" s="9"/>
      <c r="N36" s="186"/>
      <c r="O36" s="16"/>
      <c r="P36" s="1"/>
    </row>
    <row r="37" spans="1:16">
      <c r="A37" s="6"/>
      <c r="B37" s="6"/>
      <c r="C37" s="6"/>
      <c r="D37" s="6"/>
      <c r="E37" s="6"/>
      <c r="F37" s="6"/>
      <c r="G37" s="7"/>
      <c r="H37" s="7"/>
      <c r="I37" s="186"/>
      <c r="J37" s="1"/>
      <c r="K37" s="1"/>
      <c r="L37" s="1"/>
      <c r="M37" s="9"/>
      <c r="N37" s="186"/>
      <c r="O37" s="16"/>
      <c r="P37" s="1"/>
    </row>
    <row r="38" spans="1:16">
      <c r="A38" s="6"/>
      <c r="B38" s="6"/>
      <c r="C38" s="6"/>
      <c r="D38" s="6"/>
      <c r="E38" s="6"/>
      <c r="F38" s="6"/>
      <c r="G38" s="7"/>
      <c r="H38" s="7"/>
      <c r="I38" s="186"/>
      <c r="J38" s="1"/>
      <c r="K38" s="1"/>
      <c r="L38" s="1"/>
      <c r="M38" s="9"/>
      <c r="N38" s="186"/>
      <c r="O38" s="16"/>
      <c r="P38" s="1"/>
    </row>
    <row r="39" spans="1:16">
      <c r="A39" s="6"/>
      <c r="B39" s="6"/>
      <c r="C39" s="6"/>
      <c r="D39" s="6"/>
      <c r="E39" s="6"/>
      <c r="F39" s="6"/>
      <c r="G39" s="7"/>
      <c r="H39" s="7"/>
      <c r="I39" s="186"/>
      <c r="J39" s="1"/>
      <c r="K39" s="1"/>
      <c r="L39" s="1"/>
      <c r="M39" s="9"/>
      <c r="N39" s="186"/>
      <c r="O39" s="16"/>
      <c r="P39" s="1"/>
    </row>
    <row r="40" spans="1:16">
      <c r="A40" s="6"/>
      <c r="B40" s="6"/>
      <c r="C40" s="6"/>
      <c r="D40" s="6"/>
      <c r="E40" s="6"/>
      <c r="F40" s="6"/>
      <c r="G40" s="7"/>
      <c r="H40" s="7"/>
      <c r="I40" s="186"/>
      <c r="J40" s="1"/>
      <c r="K40" s="1"/>
      <c r="L40" s="1"/>
      <c r="M40" s="9"/>
      <c r="N40" s="186"/>
      <c r="O40" s="16"/>
      <c r="P40" s="1"/>
    </row>
    <row r="41" spans="1:16">
      <c r="A41" s="6"/>
      <c r="B41" s="6"/>
      <c r="C41" s="6"/>
      <c r="D41" s="6"/>
      <c r="E41" s="6"/>
      <c r="F41" s="6"/>
      <c r="G41" s="7"/>
      <c r="H41" s="7"/>
      <c r="I41" s="186"/>
      <c r="J41" s="1"/>
      <c r="K41" s="1"/>
      <c r="L41" s="1"/>
      <c r="M41" s="9"/>
      <c r="N41" s="186"/>
      <c r="O41" s="16"/>
      <c r="P41" s="1"/>
    </row>
    <row r="42" spans="1:16">
      <c r="A42" s="6"/>
      <c r="B42" s="6"/>
      <c r="C42" s="6"/>
      <c r="D42" s="6"/>
      <c r="E42" s="6"/>
      <c r="F42" s="6"/>
      <c r="G42" s="7"/>
      <c r="H42" s="7"/>
      <c r="I42" s="186"/>
      <c r="J42" s="1"/>
      <c r="K42" s="1"/>
      <c r="L42" s="1"/>
      <c r="M42" s="9"/>
      <c r="N42" s="186"/>
      <c r="O42" s="16"/>
      <c r="P42" s="1"/>
    </row>
    <row r="43" spans="1:16">
      <c r="A43" s="6"/>
      <c r="B43" s="6"/>
      <c r="C43" s="6"/>
      <c r="D43" s="6"/>
      <c r="E43" s="6"/>
      <c r="F43" s="6"/>
      <c r="G43" s="7"/>
      <c r="H43" s="7"/>
      <c r="I43" s="186"/>
      <c r="J43" s="1"/>
      <c r="K43" s="1"/>
      <c r="L43" s="1"/>
      <c r="M43" s="9"/>
      <c r="N43" s="186"/>
      <c r="O43" s="16"/>
      <c r="P43" s="1"/>
    </row>
    <row r="44" spans="1:16">
      <c r="A44" s="6"/>
      <c r="B44" s="6"/>
      <c r="C44" s="6"/>
      <c r="D44" s="6"/>
      <c r="E44" s="6"/>
      <c r="F44" s="6"/>
      <c r="G44" s="7"/>
      <c r="H44" s="7"/>
      <c r="I44" s="186"/>
      <c r="J44" s="1"/>
      <c r="K44" s="1"/>
      <c r="L44" s="1"/>
      <c r="M44" s="9"/>
      <c r="N44" s="186"/>
      <c r="O44" s="16"/>
      <c r="P44" s="1"/>
    </row>
    <row r="45" spans="1:16">
      <c r="A45" s="6"/>
      <c r="B45" s="6"/>
      <c r="C45" s="6"/>
      <c r="D45" s="6"/>
      <c r="E45" s="6"/>
      <c r="F45" s="6"/>
      <c r="G45" s="7"/>
      <c r="H45" s="7"/>
      <c r="I45" s="186"/>
      <c r="J45" s="1"/>
      <c r="K45" s="1"/>
      <c r="L45" s="1"/>
      <c r="M45" s="9"/>
      <c r="N45" s="186"/>
      <c r="O45" s="16"/>
      <c r="P45" s="1"/>
    </row>
    <row r="46" spans="1:16">
      <c r="A46" s="6"/>
      <c r="B46" s="6"/>
      <c r="C46" s="6"/>
      <c r="D46" s="6"/>
      <c r="E46" s="6"/>
      <c r="F46" s="6"/>
      <c r="G46" s="7"/>
      <c r="H46" s="7"/>
      <c r="I46" s="186"/>
      <c r="J46" s="1"/>
      <c r="K46" s="1"/>
      <c r="L46" s="1"/>
      <c r="M46" s="9"/>
      <c r="N46" s="186"/>
      <c r="O46" s="16"/>
      <c r="P46" s="1"/>
    </row>
    <row r="47" spans="1:16">
      <c r="A47" s="6"/>
      <c r="B47" s="6"/>
      <c r="C47" s="6"/>
      <c r="D47" s="6"/>
      <c r="E47" s="6"/>
      <c r="F47" s="6"/>
      <c r="G47" s="7"/>
      <c r="H47" s="7"/>
      <c r="I47" s="186"/>
      <c r="J47" s="1"/>
      <c r="K47" s="1"/>
      <c r="L47" s="1"/>
      <c r="M47" s="9"/>
      <c r="N47" s="186"/>
      <c r="O47" s="16"/>
      <c r="P47" s="1"/>
    </row>
    <row r="48" spans="1:16">
      <c r="A48" s="6"/>
      <c r="B48" s="6"/>
      <c r="C48" s="6"/>
      <c r="D48" s="6"/>
      <c r="E48" s="6"/>
      <c r="F48" s="6"/>
      <c r="G48" s="7"/>
      <c r="H48" s="7"/>
      <c r="I48" s="186"/>
      <c r="J48" s="1"/>
      <c r="K48" s="1"/>
      <c r="L48" s="1"/>
      <c r="M48" s="9"/>
      <c r="N48" s="186"/>
      <c r="O48" s="16"/>
      <c r="P48" s="1"/>
    </row>
    <row r="49" spans="1:16">
      <c r="A49" s="6"/>
      <c r="B49" s="6"/>
      <c r="C49" s="6"/>
      <c r="D49" s="6"/>
      <c r="E49" s="6"/>
      <c r="F49" s="6"/>
      <c r="G49" s="7"/>
      <c r="H49" s="7"/>
      <c r="I49" s="186"/>
      <c r="J49" s="1"/>
      <c r="K49" s="1"/>
      <c r="L49" s="1"/>
      <c r="M49" s="9"/>
      <c r="N49" s="186"/>
      <c r="O49" s="16"/>
      <c r="P49" s="1"/>
    </row>
    <row r="50" spans="1:16">
      <c r="A50" s="6"/>
      <c r="B50" s="6"/>
      <c r="C50" s="6"/>
      <c r="D50" s="6"/>
      <c r="E50" s="6"/>
      <c r="F50" s="6"/>
      <c r="G50" s="7"/>
      <c r="H50" s="7"/>
      <c r="I50" s="186"/>
      <c r="J50" s="1"/>
      <c r="K50" s="1"/>
      <c r="L50" s="1"/>
      <c r="M50" s="9"/>
      <c r="N50" s="186"/>
      <c r="O50" s="16"/>
      <c r="P50" s="1"/>
    </row>
    <row r="51" spans="1:16">
      <c r="A51" s="6"/>
      <c r="B51" s="6"/>
      <c r="C51" s="6"/>
      <c r="D51" s="6"/>
      <c r="E51" s="6"/>
      <c r="F51" s="6"/>
      <c r="G51" s="7"/>
      <c r="H51" s="7"/>
      <c r="I51" s="186"/>
      <c r="J51" s="1"/>
      <c r="K51" s="1"/>
      <c r="L51" s="1"/>
      <c r="M51" s="9"/>
      <c r="N51" s="186"/>
      <c r="O51" s="16"/>
      <c r="P51" s="1"/>
    </row>
    <row r="52" spans="1:16">
      <c r="A52" s="6"/>
      <c r="B52" s="6"/>
      <c r="C52" s="6"/>
      <c r="D52" s="6"/>
      <c r="E52" s="6"/>
      <c r="F52" s="6"/>
      <c r="G52" s="7"/>
      <c r="H52" s="7"/>
      <c r="I52" s="186"/>
      <c r="J52" s="1"/>
      <c r="K52" s="1"/>
      <c r="L52" s="1"/>
      <c r="M52" s="9"/>
      <c r="N52" s="186"/>
      <c r="O52" s="16"/>
      <c r="P52" s="1"/>
    </row>
    <row r="53" spans="1:16">
      <c r="A53" s="6"/>
      <c r="B53" s="6"/>
      <c r="C53" s="6"/>
      <c r="D53" s="6"/>
      <c r="E53" s="6"/>
      <c r="F53" s="6"/>
      <c r="G53" s="7"/>
      <c r="H53" s="7"/>
      <c r="I53" s="186"/>
      <c r="J53" s="1"/>
      <c r="K53" s="1"/>
      <c r="L53" s="1"/>
      <c r="M53" s="9"/>
      <c r="N53" s="186"/>
      <c r="O53" s="16"/>
      <c r="P53" s="1"/>
    </row>
    <row r="54" spans="1:16">
      <c r="A54" s="6"/>
      <c r="B54" s="6"/>
      <c r="C54" s="6"/>
      <c r="D54" s="6"/>
      <c r="E54" s="6"/>
      <c r="F54" s="6"/>
      <c r="G54" s="7"/>
      <c r="H54" s="7"/>
      <c r="I54" s="186"/>
      <c r="J54" s="1"/>
      <c r="K54" s="1"/>
      <c r="L54" s="1"/>
      <c r="M54" s="9"/>
      <c r="N54" s="186"/>
      <c r="O54" s="16"/>
      <c r="P54" s="1"/>
    </row>
    <row r="55" spans="1:16">
      <c r="A55" s="6"/>
      <c r="B55" s="6"/>
      <c r="C55" s="6"/>
      <c r="D55" s="6"/>
      <c r="E55" s="6"/>
      <c r="F55" s="6"/>
      <c r="G55" s="7"/>
      <c r="H55" s="7"/>
      <c r="I55" s="186"/>
      <c r="J55" s="1"/>
      <c r="K55" s="1"/>
      <c r="L55" s="1"/>
      <c r="M55" s="9"/>
      <c r="N55" s="186"/>
      <c r="O55" s="16"/>
      <c r="P55" s="1"/>
    </row>
    <row r="56" spans="1:16">
      <c r="A56" s="6"/>
      <c r="B56" s="6"/>
      <c r="C56" s="6"/>
      <c r="D56" s="6"/>
      <c r="E56" s="6"/>
      <c r="F56" s="6"/>
      <c r="G56" s="7"/>
      <c r="H56" s="7"/>
      <c r="I56" s="186"/>
      <c r="J56" s="1"/>
      <c r="K56" s="1"/>
      <c r="L56" s="1"/>
      <c r="M56" s="9"/>
      <c r="N56" s="186"/>
      <c r="O56" s="16"/>
      <c r="P56" s="1"/>
    </row>
    <row r="57" spans="1:16">
      <c r="A57" s="6"/>
      <c r="B57" s="6"/>
      <c r="C57" s="6"/>
      <c r="D57" s="6"/>
      <c r="E57" s="6"/>
      <c r="F57" s="1"/>
      <c r="G57" s="7"/>
      <c r="H57" s="7"/>
      <c r="I57" s="186"/>
      <c r="J57" s="1"/>
      <c r="K57" s="1"/>
      <c r="L57" s="1"/>
      <c r="M57" s="9"/>
      <c r="N57" s="186"/>
      <c r="O57" s="16"/>
      <c r="P57" s="1"/>
    </row>
    <row r="58" spans="1:16">
      <c r="A58" s="6"/>
      <c r="B58" s="6"/>
      <c r="C58" s="6"/>
      <c r="D58" s="6"/>
      <c r="E58" s="6"/>
      <c r="F58" s="6"/>
      <c r="G58" s="7"/>
      <c r="H58" s="7"/>
      <c r="I58" s="186"/>
      <c r="J58" s="1"/>
      <c r="K58" s="1"/>
      <c r="L58" s="1"/>
      <c r="M58" s="9"/>
      <c r="N58" s="186"/>
      <c r="O58" s="16"/>
      <c r="P58" s="1"/>
    </row>
    <row r="59" spans="1:16">
      <c r="A59" s="6"/>
      <c r="B59" s="6"/>
      <c r="C59" s="6"/>
      <c r="D59" s="6"/>
      <c r="E59" s="6"/>
      <c r="F59" s="6"/>
      <c r="G59" s="7"/>
      <c r="H59" s="7"/>
      <c r="I59" s="186"/>
      <c r="J59" s="1"/>
      <c r="K59" s="1"/>
      <c r="L59" s="1"/>
      <c r="M59" s="9"/>
      <c r="N59" s="186"/>
      <c r="O59" s="16"/>
      <c r="P59" s="1"/>
    </row>
    <row r="60" spans="1:16">
      <c r="A60" s="6"/>
      <c r="B60" s="6"/>
      <c r="C60" s="6"/>
      <c r="D60" s="6"/>
      <c r="E60" s="6"/>
      <c r="F60" s="6"/>
      <c r="G60" s="7"/>
      <c r="H60" s="7"/>
      <c r="I60" s="186"/>
      <c r="J60" s="1"/>
      <c r="K60" s="1"/>
      <c r="L60" s="1"/>
      <c r="M60" s="9"/>
      <c r="N60" s="186"/>
      <c r="O60" s="16"/>
      <c r="P60" s="1"/>
    </row>
    <row r="61" spans="1:16">
      <c r="A61" s="6"/>
      <c r="B61" s="6"/>
      <c r="C61" s="6"/>
      <c r="D61" s="6"/>
      <c r="E61" s="6"/>
      <c r="F61" s="6"/>
      <c r="G61" s="7"/>
      <c r="H61" s="7"/>
      <c r="I61" s="186"/>
      <c r="J61" s="1"/>
      <c r="K61" s="1"/>
      <c r="L61" s="1"/>
      <c r="M61" s="9"/>
      <c r="N61" s="186"/>
      <c r="O61" s="16"/>
      <c r="P61" s="1"/>
    </row>
    <row r="62" spans="1:16">
      <c r="A62" s="6"/>
      <c r="B62" s="6"/>
      <c r="C62" s="6"/>
      <c r="D62" s="6"/>
      <c r="E62" s="6"/>
      <c r="F62" s="6"/>
      <c r="G62" s="7"/>
      <c r="H62" s="7"/>
      <c r="I62" s="186"/>
      <c r="J62" s="1"/>
      <c r="K62" s="1"/>
      <c r="L62" s="1"/>
      <c r="M62" s="9"/>
      <c r="N62" s="186"/>
      <c r="O62" s="16"/>
      <c r="P62" s="1"/>
    </row>
    <row r="63" spans="1:16">
      <c r="A63" s="6"/>
      <c r="B63" s="6"/>
      <c r="C63" s="6"/>
      <c r="D63" s="6"/>
      <c r="E63" s="6"/>
      <c r="F63" s="6"/>
      <c r="G63" s="7"/>
      <c r="H63" s="7"/>
      <c r="I63" s="186"/>
      <c r="J63" s="1"/>
      <c r="K63" s="1"/>
      <c r="L63" s="1"/>
      <c r="M63" s="9"/>
      <c r="N63" s="186"/>
      <c r="O63" s="16"/>
      <c r="P63" s="1"/>
    </row>
    <row r="64" spans="1:16">
      <c r="A64" s="6"/>
      <c r="B64" s="6"/>
      <c r="C64" s="6"/>
      <c r="D64" s="6"/>
      <c r="E64" s="6"/>
      <c r="F64" s="6"/>
      <c r="G64" s="7"/>
      <c r="H64" s="7"/>
      <c r="I64" s="186"/>
      <c r="J64" s="1"/>
      <c r="K64" s="1"/>
      <c r="L64" s="1"/>
      <c r="M64" s="9"/>
      <c r="N64" s="186"/>
      <c r="O64" s="16"/>
      <c r="P64" s="1"/>
    </row>
    <row r="65" spans="1:16">
      <c r="A65" s="6"/>
      <c r="B65" s="6"/>
      <c r="C65" s="6"/>
      <c r="D65" s="6"/>
      <c r="E65" s="6"/>
      <c r="F65" s="6"/>
      <c r="G65" s="7"/>
      <c r="H65" s="7"/>
      <c r="I65" s="186"/>
      <c r="J65" s="1"/>
      <c r="K65" s="1"/>
      <c r="L65" s="1"/>
      <c r="M65" s="9"/>
      <c r="N65" s="186"/>
      <c r="O65" s="16"/>
      <c r="P65" s="1"/>
    </row>
    <row r="66" spans="1:16">
      <c r="A66" s="6"/>
      <c r="B66" s="6"/>
      <c r="C66" s="6"/>
      <c r="D66" s="6"/>
      <c r="E66" s="6"/>
      <c r="F66" s="6"/>
      <c r="G66" s="7"/>
      <c r="H66" s="7"/>
      <c r="I66" s="186"/>
      <c r="J66" s="1"/>
      <c r="K66" s="1"/>
      <c r="L66" s="1"/>
      <c r="M66" s="9"/>
      <c r="N66" s="186"/>
      <c r="O66" s="16"/>
      <c r="P66" s="1"/>
    </row>
    <row r="67" spans="1:16">
      <c r="A67" s="6"/>
      <c r="B67" s="6"/>
      <c r="C67" s="6"/>
      <c r="D67" s="6"/>
      <c r="E67" s="6"/>
      <c r="F67" s="6"/>
      <c r="G67" s="7"/>
      <c r="H67" s="7"/>
      <c r="I67" s="186"/>
      <c r="J67" s="1"/>
      <c r="K67" s="1"/>
      <c r="L67" s="1"/>
      <c r="M67" s="9"/>
      <c r="N67" s="186"/>
      <c r="O67" s="16"/>
      <c r="P67" s="1"/>
    </row>
    <row r="68" spans="1:16">
      <c r="A68" s="6"/>
      <c r="B68" s="190"/>
      <c r="C68" s="6"/>
      <c r="D68" s="6"/>
      <c r="E68" s="6"/>
      <c r="F68" s="6"/>
      <c r="G68" s="7"/>
      <c r="H68" s="7"/>
      <c r="I68" s="186"/>
      <c r="J68" s="1"/>
      <c r="K68" s="1"/>
      <c r="L68" s="1"/>
      <c r="M68" s="9"/>
      <c r="N68" s="186"/>
      <c r="O68" s="16"/>
      <c r="P68" s="1"/>
    </row>
    <row r="69" spans="1:16">
      <c r="A69" s="6"/>
      <c r="B69" s="6"/>
      <c r="C69" s="6"/>
      <c r="D69" s="6"/>
      <c r="E69" s="6"/>
      <c r="F69" s="6"/>
      <c r="G69" s="7"/>
      <c r="H69" s="7"/>
      <c r="I69" s="186"/>
      <c r="J69" s="1"/>
      <c r="K69" s="1"/>
      <c r="L69" s="1"/>
      <c r="M69" s="9"/>
      <c r="N69" s="186"/>
      <c r="O69" s="16"/>
      <c r="P69" s="1"/>
    </row>
    <row r="70" spans="1:16">
      <c r="A70" s="6"/>
      <c r="B70" s="6"/>
      <c r="C70" s="6"/>
      <c r="D70" s="6"/>
      <c r="E70" s="6"/>
      <c r="F70" s="6"/>
      <c r="G70" s="7"/>
      <c r="H70" s="7"/>
      <c r="I70" s="186"/>
      <c r="J70" s="1"/>
      <c r="K70" s="1"/>
      <c r="L70" s="1"/>
      <c r="M70" s="9"/>
      <c r="N70" s="186"/>
      <c r="O70" s="16"/>
      <c r="P70" s="1"/>
    </row>
    <row r="71" spans="1:16">
      <c r="A71" s="6"/>
      <c r="B71" s="6"/>
      <c r="C71" s="6"/>
      <c r="D71" s="6"/>
      <c r="E71" s="6"/>
      <c r="F71" s="6"/>
      <c r="G71" s="7"/>
      <c r="H71" s="7"/>
      <c r="I71" s="186"/>
      <c r="J71" s="1"/>
      <c r="K71" s="1"/>
      <c r="L71" s="1"/>
      <c r="M71" s="9"/>
      <c r="N71" s="186"/>
      <c r="O71" s="16"/>
      <c r="P71" s="1"/>
    </row>
    <row r="72" spans="1:16">
      <c r="A72" s="6"/>
      <c r="B72" s="6"/>
      <c r="C72" s="6"/>
      <c r="D72" s="6"/>
      <c r="E72" s="6"/>
      <c r="F72" s="6"/>
      <c r="G72" s="7"/>
      <c r="H72" s="7"/>
      <c r="I72" s="186"/>
      <c r="J72" s="1"/>
      <c r="K72" s="1"/>
      <c r="L72" s="1"/>
      <c r="M72" s="9"/>
      <c r="N72" s="186"/>
      <c r="O72" s="16"/>
      <c r="P72" s="1"/>
    </row>
    <row r="73" spans="1:16">
      <c r="A73" s="6"/>
      <c r="B73" s="6"/>
      <c r="C73" s="6"/>
      <c r="D73" s="6"/>
      <c r="E73" s="6"/>
      <c r="F73" s="6"/>
      <c r="G73" s="7"/>
      <c r="H73" s="7"/>
      <c r="I73" s="186"/>
      <c r="J73" s="1"/>
      <c r="K73" s="1"/>
      <c r="L73" s="1"/>
      <c r="M73" s="9"/>
      <c r="N73" s="186"/>
      <c r="O73" s="16"/>
      <c r="P73" s="1"/>
    </row>
    <row r="74" spans="1:16">
      <c r="A74" s="6"/>
      <c r="B74" s="6"/>
      <c r="C74" s="6"/>
      <c r="D74" s="6"/>
      <c r="E74" s="6"/>
      <c r="F74" s="6"/>
      <c r="G74" s="7"/>
      <c r="H74" s="7"/>
      <c r="I74" s="186"/>
      <c r="J74" s="1"/>
      <c r="K74" s="1"/>
      <c r="L74" s="1"/>
      <c r="M74" s="9"/>
      <c r="N74" s="186"/>
      <c r="O74" s="16"/>
      <c r="P74" s="1"/>
    </row>
    <row r="75" spans="1:16">
      <c r="A75" s="6"/>
      <c r="B75" s="190"/>
      <c r="C75" s="6"/>
      <c r="D75" s="6"/>
      <c r="E75" s="6"/>
      <c r="F75" s="6"/>
      <c r="G75" s="7"/>
      <c r="H75" s="7"/>
      <c r="I75" s="186"/>
      <c r="J75" s="1"/>
      <c r="K75" s="1"/>
      <c r="L75" s="1"/>
      <c r="M75" s="9"/>
      <c r="N75" s="186"/>
      <c r="O75" s="16"/>
      <c r="P75" s="1"/>
    </row>
    <row r="76" spans="1:16">
      <c r="A76" s="6"/>
      <c r="B76" s="6"/>
      <c r="C76" s="6"/>
      <c r="D76" s="6"/>
      <c r="E76" s="6"/>
      <c r="F76" s="6"/>
      <c r="G76" s="7"/>
      <c r="H76" s="7"/>
      <c r="I76" s="186"/>
      <c r="J76" s="1"/>
      <c r="K76" s="1"/>
      <c r="L76" s="1"/>
      <c r="M76" s="9"/>
      <c r="N76" s="186"/>
      <c r="O76" s="16"/>
      <c r="P76" s="1"/>
    </row>
    <row r="77" spans="1:16">
      <c r="A77" s="6"/>
      <c r="B77" s="6"/>
      <c r="C77" s="6"/>
      <c r="D77" s="6"/>
      <c r="E77" s="6"/>
      <c r="F77" s="6"/>
      <c r="G77" s="7"/>
      <c r="H77" s="7"/>
      <c r="I77" s="186"/>
      <c r="J77" s="1"/>
      <c r="K77" s="1"/>
      <c r="L77" s="1"/>
      <c r="M77" s="9"/>
      <c r="N77" s="186"/>
      <c r="O77" s="16"/>
      <c r="P77" s="1"/>
    </row>
    <row r="78" spans="1:16">
      <c r="A78" s="6"/>
      <c r="B78" s="6"/>
      <c r="C78" s="6"/>
      <c r="D78" s="6"/>
      <c r="E78" s="6"/>
      <c r="F78" s="6"/>
      <c r="G78" s="7"/>
      <c r="H78" s="7"/>
      <c r="I78" s="186"/>
      <c r="J78" s="1"/>
      <c r="K78" s="1"/>
      <c r="L78" s="1"/>
      <c r="M78" s="9"/>
      <c r="N78" s="186"/>
      <c r="O78" s="16"/>
      <c r="P78" s="1"/>
    </row>
    <row r="79" spans="1:16">
      <c r="A79" s="6"/>
      <c r="B79" s="6"/>
      <c r="C79" s="6"/>
      <c r="D79" s="6"/>
      <c r="E79" s="6"/>
      <c r="F79" s="6"/>
      <c r="G79" s="7"/>
      <c r="H79" s="7"/>
      <c r="I79" s="186"/>
      <c r="J79" s="1"/>
      <c r="K79" s="1"/>
      <c r="L79" s="1"/>
      <c r="M79" s="9"/>
      <c r="N79" s="186"/>
      <c r="O79" s="16"/>
      <c r="P79" s="1"/>
    </row>
    <row r="80" spans="1:16">
      <c r="A80" s="6"/>
      <c r="B80" s="6"/>
      <c r="C80" s="6"/>
      <c r="D80" s="6"/>
      <c r="E80" s="6"/>
      <c r="F80" s="6"/>
      <c r="G80" s="7"/>
      <c r="H80" s="7"/>
      <c r="I80" s="186"/>
      <c r="J80" s="1"/>
      <c r="K80" s="1"/>
      <c r="L80" s="1"/>
      <c r="M80" s="9"/>
      <c r="N80" s="186"/>
      <c r="O80" s="16"/>
      <c r="P80" s="1"/>
    </row>
    <row r="81" spans="1:16">
      <c r="A81" s="6"/>
      <c r="B81" s="6"/>
      <c r="C81" s="6"/>
      <c r="D81" s="6"/>
      <c r="E81" s="6"/>
      <c r="F81" s="6"/>
      <c r="G81" s="7"/>
      <c r="H81" s="7"/>
      <c r="I81" s="186"/>
      <c r="J81" s="1"/>
      <c r="K81" s="1"/>
      <c r="L81" s="1"/>
      <c r="M81" s="9"/>
      <c r="N81" s="186"/>
      <c r="O81" s="16"/>
      <c r="P81" s="1"/>
    </row>
    <row r="82" spans="1:16">
      <c r="A82" s="6"/>
      <c r="B82" s="6"/>
      <c r="C82" s="6"/>
      <c r="D82" s="6"/>
      <c r="E82" s="6"/>
      <c r="F82" s="6"/>
      <c r="G82" s="7"/>
      <c r="H82" s="7"/>
      <c r="I82" s="186"/>
      <c r="J82" s="1"/>
      <c r="K82" s="1"/>
      <c r="L82" s="1"/>
      <c r="M82" s="9"/>
      <c r="N82" s="186"/>
      <c r="O82" s="16"/>
      <c r="P82" s="1"/>
    </row>
    <row r="83" spans="1:16">
      <c r="A83" s="6"/>
      <c r="B83" s="6"/>
      <c r="C83" s="6"/>
      <c r="D83" s="6"/>
      <c r="E83" s="6"/>
      <c r="F83" s="6"/>
      <c r="G83" s="7"/>
      <c r="H83" s="7"/>
      <c r="I83" s="186"/>
      <c r="J83" s="1"/>
      <c r="K83" s="1"/>
      <c r="L83" s="1"/>
      <c r="M83" s="9"/>
      <c r="N83" s="186"/>
      <c r="O83" s="16"/>
      <c r="P83" s="1"/>
    </row>
    <row r="84" spans="1:16">
      <c r="A84" s="6"/>
      <c r="B84" s="6"/>
      <c r="C84" s="6"/>
      <c r="D84" s="6"/>
      <c r="E84" s="6"/>
      <c r="F84" s="6"/>
      <c r="G84" s="7"/>
      <c r="H84" s="7"/>
      <c r="I84" s="186"/>
      <c r="J84" s="1"/>
      <c r="K84" s="1"/>
      <c r="L84" s="1"/>
      <c r="M84" s="9"/>
      <c r="N84" s="186"/>
      <c r="O84" s="186"/>
      <c r="P84" s="1"/>
    </row>
    <row r="85" spans="1:16">
      <c r="A85" s="6"/>
      <c r="B85" s="6"/>
      <c r="C85" s="6"/>
      <c r="D85" s="6"/>
      <c r="E85" s="6"/>
      <c r="F85" s="6"/>
      <c r="G85" s="7"/>
      <c r="H85" s="7"/>
      <c r="I85" s="186"/>
      <c r="J85" s="1"/>
      <c r="K85" s="1"/>
      <c r="L85" s="1"/>
      <c r="M85" s="9"/>
      <c r="N85" s="186"/>
      <c r="O85" s="16"/>
      <c r="P85" s="1"/>
    </row>
    <row r="86" spans="1:16">
      <c r="A86" s="6"/>
      <c r="B86" s="6"/>
      <c r="C86" s="6"/>
      <c r="D86" s="6"/>
      <c r="E86" s="6"/>
      <c r="F86" s="6"/>
      <c r="G86" s="7"/>
      <c r="H86" s="7"/>
      <c r="I86" s="186"/>
      <c r="J86" s="1"/>
      <c r="K86" s="1"/>
      <c r="L86" s="1"/>
      <c r="M86" s="9"/>
      <c r="N86" s="186"/>
      <c r="O86" s="16"/>
      <c r="P86" s="1"/>
    </row>
    <row r="87" spans="1:16">
      <c r="A87" s="6"/>
      <c r="B87" s="6"/>
      <c r="C87" s="6"/>
      <c r="D87" s="6"/>
      <c r="E87" s="6"/>
      <c r="F87" s="6"/>
      <c r="G87" s="7"/>
      <c r="H87" s="7"/>
      <c r="I87" s="186"/>
      <c r="J87" s="1"/>
      <c r="K87" s="1"/>
      <c r="L87" s="1"/>
      <c r="M87" s="9"/>
      <c r="N87" s="186"/>
      <c r="O87" s="186"/>
      <c r="P87" s="1"/>
    </row>
    <row r="88" spans="1:16">
      <c r="A88" s="6"/>
      <c r="B88" s="6"/>
      <c r="C88" s="6"/>
      <c r="D88" s="6"/>
      <c r="E88" s="6"/>
      <c r="F88" s="6"/>
      <c r="G88" s="7"/>
      <c r="H88" s="7"/>
      <c r="I88" s="186"/>
      <c r="J88" s="1"/>
      <c r="K88" s="1"/>
      <c r="L88" s="1"/>
      <c r="M88" s="9"/>
      <c r="N88" s="186"/>
      <c r="O88" s="16"/>
      <c r="P88" s="1"/>
    </row>
    <row r="89" spans="1:16">
      <c r="A89" s="6"/>
      <c r="B89" s="6"/>
      <c r="C89" s="6"/>
      <c r="D89" s="6"/>
      <c r="E89" s="6"/>
      <c r="F89" s="6"/>
      <c r="G89" s="7"/>
      <c r="H89" s="7"/>
      <c r="I89" s="186"/>
      <c r="J89" s="1"/>
      <c r="K89" s="1"/>
      <c r="L89" s="1"/>
      <c r="M89" s="9"/>
      <c r="N89" s="186"/>
      <c r="O89" s="16"/>
      <c r="P89" s="1"/>
    </row>
    <row r="90" spans="1:16">
      <c r="A90" s="6"/>
      <c r="B90" s="6"/>
      <c r="C90" s="6"/>
      <c r="D90" s="6"/>
      <c r="E90" s="6"/>
      <c r="F90" s="6"/>
      <c r="G90" s="7"/>
      <c r="H90" s="7"/>
      <c r="I90" s="186"/>
      <c r="J90" s="1"/>
      <c r="K90" s="1"/>
      <c r="L90" s="1"/>
      <c r="M90" s="9"/>
      <c r="N90" s="186"/>
      <c r="O90" s="16"/>
      <c r="P90" s="1"/>
    </row>
    <row r="91" spans="1:16">
      <c r="A91" s="6"/>
      <c r="B91" s="6"/>
      <c r="C91" s="6"/>
      <c r="D91" s="6"/>
      <c r="E91" s="6"/>
      <c r="F91" s="6"/>
      <c r="G91" s="7"/>
      <c r="H91" s="7"/>
      <c r="I91" s="186"/>
      <c r="J91" s="1"/>
      <c r="K91" s="1"/>
      <c r="L91" s="1"/>
      <c r="M91" s="9"/>
      <c r="N91" s="186"/>
      <c r="O91" s="16"/>
      <c r="P91" s="1"/>
    </row>
    <row r="92" spans="1:16">
      <c r="A92" s="6"/>
      <c r="B92" s="6"/>
      <c r="C92" s="6"/>
      <c r="D92" s="6"/>
      <c r="E92" s="6"/>
      <c r="F92" s="6"/>
      <c r="G92" s="7"/>
      <c r="H92" s="7"/>
      <c r="I92" s="186"/>
      <c r="J92" s="1"/>
      <c r="K92" s="1"/>
      <c r="L92" s="1"/>
      <c r="M92" s="9"/>
      <c r="N92" s="186"/>
      <c r="O92" s="16"/>
      <c r="P92" s="1"/>
    </row>
    <row r="93" spans="1:16">
      <c r="A93" s="6"/>
      <c r="B93" s="6"/>
      <c r="C93" s="6"/>
      <c r="D93" s="6"/>
      <c r="E93" s="6"/>
      <c r="F93" s="6"/>
      <c r="G93" s="7"/>
      <c r="H93" s="7"/>
      <c r="I93" s="186"/>
      <c r="J93" s="1"/>
      <c r="K93" s="1"/>
      <c r="L93" s="1"/>
      <c r="M93" s="9"/>
      <c r="N93" s="186"/>
      <c r="O93" s="16"/>
      <c r="P93" s="1"/>
    </row>
    <row r="94" spans="1:16">
      <c r="A94" s="6"/>
      <c r="B94" s="6"/>
      <c r="C94" s="6"/>
      <c r="D94" s="6"/>
      <c r="E94" s="6"/>
      <c r="F94" s="6"/>
      <c r="G94" s="7"/>
      <c r="H94" s="7"/>
      <c r="I94" s="186"/>
      <c r="J94" s="1"/>
      <c r="K94" s="1"/>
      <c r="L94" s="1"/>
      <c r="M94" s="9"/>
      <c r="N94" s="186"/>
      <c r="O94" s="16"/>
      <c r="P94" s="1"/>
    </row>
    <row r="95" spans="1:16">
      <c r="A95" s="6"/>
      <c r="B95" s="6"/>
      <c r="C95" s="6"/>
      <c r="D95" s="6"/>
      <c r="E95" s="6"/>
      <c r="F95" s="6"/>
      <c r="G95" s="7"/>
      <c r="H95" s="7"/>
      <c r="I95" s="186"/>
      <c r="J95" s="1"/>
      <c r="K95" s="1"/>
      <c r="L95" s="1"/>
      <c r="M95" s="9"/>
      <c r="N95" s="186"/>
      <c r="O95" s="16"/>
      <c r="P95" s="1"/>
    </row>
    <row r="96" spans="1:16">
      <c r="A96" s="6"/>
      <c r="B96" s="6"/>
      <c r="C96" s="6"/>
      <c r="D96" s="6"/>
      <c r="E96" s="6"/>
      <c r="F96" s="6"/>
      <c r="G96" s="7"/>
      <c r="H96" s="7"/>
      <c r="I96" s="186"/>
      <c r="J96" s="1"/>
      <c r="K96" s="1"/>
      <c r="L96" s="1"/>
      <c r="M96" s="9"/>
      <c r="N96" s="186"/>
      <c r="O96" s="16"/>
      <c r="P96" s="1"/>
    </row>
    <row r="97" spans="1:16">
      <c r="A97" s="6"/>
      <c r="B97" s="6"/>
      <c r="C97" s="6"/>
      <c r="D97" s="6"/>
      <c r="E97" s="6"/>
      <c r="F97" s="6"/>
      <c r="G97" s="7"/>
      <c r="H97" s="7"/>
      <c r="I97" s="186"/>
      <c r="J97" s="1"/>
      <c r="K97" s="1"/>
      <c r="L97" s="1"/>
      <c r="M97" s="9"/>
      <c r="N97" s="186"/>
      <c r="O97" s="16"/>
      <c r="P97" s="1"/>
    </row>
    <row r="98" spans="1:16">
      <c r="A98" s="6"/>
      <c r="B98" s="6"/>
      <c r="C98" s="6"/>
      <c r="D98" s="6"/>
      <c r="E98" s="6"/>
      <c r="F98" s="6"/>
      <c r="G98" s="7"/>
      <c r="H98" s="7"/>
      <c r="I98" s="186"/>
      <c r="J98" s="1"/>
      <c r="K98" s="1"/>
      <c r="L98" s="1"/>
      <c r="M98" s="9"/>
      <c r="N98" s="186"/>
      <c r="O98" s="16"/>
      <c r="P98" s="1"/>
    </row>
    <row r="99" spans="1:16">
      <c r="A99" s="6"/>
      <c r="B99" s="6"/>
      <c r="C99" s="6"/>
      <c r="D99" s="6"/>
      <c r="E99" s="6"/>
      <c r="F99" s="6"/>
      <c r="G99" s="7"/>
      <c r="H99" s="7"/>
      <c r="I99" s="186"/>
      <c r="J99" s="1"/>
      <c r="K99" s="1"/>
      <c r="L99" s="1"/>
      <c r="M99" s="9"/>
      <c r="N99" s="186"/>
      <c r="O99" s="16"/>
      <c r="P99" s="1"/>
    </row>
    <row r="100" spans="1:16">
      <c r="A100" s="6"/>
      <c r="B100" s="6"/>
      <c r="C100" s="6"/>
      <c r="D100" s="6"/>
      <c r="E100" s="6"/>
      <c r="F100" s="6"/>
      <c r="G100" s="7"/>
      <c r="H100" s="7"/>
      <c r="I100" s="186"/>
      <c r="J100" s="1"/>
      <c r="K100" s="1"/>
      <c r="L100" s="1"/>
      <c r="M100" s="9"/>
      <c r="N100" s="186"/>
      <c r="O100" s="16"/>
      <c r="P100" s="1"/>
    </row>
    <row r="101" spans="1:16">
      <c r="A101" s="6"/>
      <c r="B101" s="6"/>
      <c r="C101" s="6"/>
      <c r="D101" s="6"/>
      <c r="E101" s="6"/>
      <c r="F101" s="176"/>
      <c r="G101" s="7"/>
      <c r="H101" s="7"/>
      <c r="I101" s="186"/>
      <c r="J101" s="1"/>
      <c r="K101" s="1"/>
      <c r="L101" s="1"/>
      <c r="M101" s="9"/>
      <c r="N101" s="186"/>
      <c r="O101" s="16"/>
      <c r="P101" s="1"/>
    </row>
    <row r="102" spans="1:16">
      <c r="A102" s="6"/>
      <c r="B102" s="6"/>
      <c r="C102" s="6"/>
      <c r="D102" s="6"/>
      <c r="E102" s="6"/>
      <c r="F102" s="6"/>
      <c r="G102" s="7"/>
      <c r="H102" s="7"/>
      <c r="I102" s="186"/>
      <c r="J102" s="1"/>
      <c r="K102" s="1"/>
      <c r="L102" s="1"/>
      <c r="M102" s="9"/>
      <c r="N102" s="186"/>
      <c r="O102" s="16"/>
      <c r="P102" s="1"/>
    </row>
    <row r="103" spans="1:16">
      <c r="A103" s="6"/>
      <c r="B103" s="6"/>
      <c r="C103" s="6"/>
      <c r="D103" s="6"/>
      <c r="E103" s="6"/>
      <c r="F103" s="6"/>
      <c r="G103" s="7"/>
      <c r="H103" s="7"/>
      <c r="I103" s="186"/>
      <c r="J103" s="1"/>
      <c r="K103" s="1"/>
      <c r="L103" s="1"/>
      <c r="M103" s="9"/>
      <c r="N103" s="186"/>
      <c r="O103" s="16"/>
      <c r="P103" s="1"/>
    </row>
    <row r="104" spans="1:16">
      <c r="A104" s="6"/>
      <c r="B104" s="6"/>
      <c r="C104" s="6"/>
      <c r="D104" s="6"/>
      <c r="E104" s="6"/>
      <c r="F104" s="6"/>
      <c r="G104" s="7"/>
      <c r="H104" s="7"/>
      <c r="I104" s="186"/>
      <c r="J104" s="1"/>
      <c r="K104" s="1"/>
      <c r="L104" s="1"/>
      <c r="M104" s="9"/>
      <c r="N104" s="186"/>
      <c r="O104" s="16"/>
      <c r="P104" s="1"/>
    </row>
    <row r="105" spans="1:16">
      <c r="A105" s="6"/>
      <c r="B105" s="6"/>
      <c r="C105" s="6"/>
      <c r="D105" s="6"/>
      <c r="E105" s="6"/>
      <c r="F105" s="6"/>
      <c r="G105" s="7"/>
      <c r="H105" s="7"/>
      <c r="I105" s="186"/>
      <c r="J105" s="1"/>
      <c r="K105" s="1"/>
      <c r="L105" s="1"/>
      <c r="M105" s="9"/>
      <c r="N105" s="186"/>
      <c r="O105" s="16"/>
      <c r="P105" s="1"/>
    </row>
    <row r="106" spans="1:16">
      <c r="A106" s="6"/>
      <c r="B106" s="6"/>
      <c r="C106" s="6"/>
      <c r="D106" s="6"/>
      <c r="E106" s="6"/>
      <c r="F106" s="6"/>
      <c r="G106" s="7"/>
      <c r="H106" s="7"/>
      <c r="I106" s="186"/>
      <c r="J106" s="1"/>
      <c r="K106" s="1"/>
      <c r="L106" s="1"/>
      <c r="M106" s="9"/>
      <c r="N106" s="186"/>
      <c r="O106" s="16"/>
      <c r="P106" s="1"/>
    </row>
    <row r="107" spans="1:16">
      <c r="A107" s="6"/>
      <c r="B107" s="6"/>
      <c r="C107" s="6"/>
      <c r="D107" s="6"/>
      <c r="E107" s="6"/>
      <c r="F107" s="6"/>
      <c r="G107" s="7"/>
      <c r="H107" s="7"/>
      <c r="I107" s="186"/>
      <c r="J107" s="1"/>
      <c r="K107" s="1"/>
      <c r="L107" s="1"/>
      <c r="M107" s="9"/>
      <c r="N107" s="186"/>
      <c r="O107" s="16"/>
      <c r="P107" s="1"/>
    </row>
    <row r="108" spans="1:16">
      <c r="A108" s="6"/>
      <c r="B108" s="6"/>
      <c r="C108" s="6"/>
      <c r="D108" s="6"/>
      <c r="E108" s="6"/>
      <c r="F108" s="6"/>
      <c r="G108" s="7"/>
      <c r="H108" s="7"/>
      <c r="I108" s="186"/>
      <c r="J108" s="1"/>
      <c r="K108" s="1"/>
      <c r="L108" s="1"/>
      <c r="M108" s="9"/>
      <c r="N108" s="186"/>
      <c r="O108" s="16"/>
      <c r="P108" s="1"/>
    </row>
    <row r="109" spans="1:16">
      <c r="A109" s="6"/>
      <c r="B109" s="6"/>
      <c r="C109" s="6"/>
      <c r="D109" s="6"/>
      <c r="E109" s="6"/>
      <c r="F109" s="6"/>
      <c r="G109" s="7"/>
      <c r="H109" s="7"/>
      <c r="I109" s="186"/>
      <c r="J109" s="1"/>
      <c r="K109" s="1"/>
      <c r="L109" s="1"/>
      <c r="M109" s="9"/>
      <c r="N109" s="186"/>
      <c r="O109" s="16"/>
      <c r="P109" s="1"/>
    </row>
    <row r="110" spans="1:16">
      <c r="A110" s="6"/>
      <c r="B110" s="190"/>
      <c r="C110" s="6"/>
      <c r="D110" s="6"/>
      <c r="E110" s="6"/>
      <c r="F110" s="6"/>
      <c r="G110" s="7"/>
      <c r="H110" s="7"/>
      <c r="I110" s="186"/>
      <c r="J110" s="1"/>
      <c r="K110" s="1"/>
      <c r="L110" s="1"/>
      <c r="M110" s="9"/>
      <c r="N110" s="186"/>
      <c r="O110" s="16"/>
      <c r="P110" s="1"/>
    </row>
    <row r="111" spans="1:16">
      <c r="A111" s="6"/>
      <c r="B111" s="6"/>
      <c r="C111" s="6"/>
      <c r="D111" s="6"/>
      <c r="E111" s="6"/>
      <c r="F111" s="6"/>
      <c r="G111" s="7"/>
      <c r="H111" s="7"/>
      <c r="I111" s="186"/>
      <c r="J111" s="1"/>
      <c r="K111" s="1"/>
      <c r="L111" s="1"/>
      <c r="M111" s="9"/>
      <c r="N111" s="186"/>
      <c r="O111" s="16"/>
      <c r="P111" s="1"/>
    </row>
    <row r="112" spans="1:16">
      <c r="A112" s="6"/>
      <c r="B112" s="6"/>
      <c r="C112" s="6"/>
      <c r="D112" s="6"/>
      <c r="E112" s="6"/>
      <c r="F112" s="6"/>
      <c r="G112" s="7"/>
      <c r="H112" s="7"/>
      <c r="I112" s="186"/>
      <c r="J112" s="1"/>
      <c r="K112" s="1"/>
      <c r="L112" s="1"/>
      <c r="M112" s="9"/>
      <c r="N112" s="186"/>
      <c r="O112" s="16"/>
      <c r="P112" s="1"/>
    </row>
    <row r="113" spans="1:16">
      <c r="A113" s="6"/>
      <c r="B113" s="6"/>
      <c r="C113" s="6"/>
      <c r="D113" s="6"/>
      <c r="E113" s="6"/>
      <c r="F113" s="1"/>
      <c r="G113" s="7"/>
      <c r="H113" s="7"/>
      <c r="I113" s="186"/>
      <c r="J113" s="1"/>
      <c r="K113" s="1"/>
      <c r="L113" s="1"/>
      <c r="M113" s="9"/>
      <c r="N113" s="186"/>
      <c r="O113" s="16"/>
      <c r="P113" s="1"/>
    </row>
    <row r="114" spans="1:16">
      <c r="A114" s="6"/>
      <c r="B114" s="6"/>
      <c r="C114" s="6"/>
      <c r="D114" s="6"/>
      <c r="E114" s="6"/>
      <c r="F114" s="1"/>
      <c r="G114" s="7"/>
      <c r="H114" s="7"/>
      <c r="I114" s="186"/>
      <c r="J114" s="1"/>
      <c r="K114" s="1"/>
      <c r="L114" s="1"/>
      <c r="M114" s="9"/>
      <c r="N114" s="186"/>
      <c r="O114" s="16"/>
      <c r="P114" s="1"/>
    </row>
    <row r="115" spans="1:16">
      <c r="A115" s="6"/>
      <c r="B115" s="6"/>
      <c r="C115" s="6"/>
      <c r="D115" s="6"/>
      <c r="E115" s="6"/>
      <c r="F115" s="1"/>
      <c r="G115" s="7"/>
      <c r="H115" s="7"/>
      <c r="I115" s="186"/>
      <c r="J115" s="1"/>
      <c r="K115" s="1"/>
      <c r="L115" s="1"/>
      <c r="M115" s="9"/>
      <c r="N115" s="186"/>
      <c r="O115" s="16"/>
      <c r="P115" s="1"/>
    </row>
    <row r="116" spans="1:16">
      <c r="A116" s="6"/>
      <c r="B116" s="6"/>
      <c r="C116" s="6"/>
      <c r="D116" s="6"/>
      <c r="E116" s="6"/>
      <c r="F116" s="1"/>
      <c r="G116" s="7"/>
      <c r="H116" s="7"/>
      <c r="I116" s="186"/>
      <c r="J116" s="1"/>
      <c r="K116" s="1"/>
      <c r="L116" s="1"/>
      <c r="M116" s="9"/>
      <c r="N116" s="186"/>
      <c r="O116" s="16"/>
      <c r="P116" s="1"/>
    </row>
    <row r="117" spans="1:16">
      <c r="A117" s="6"/>
      <c r="B117" s="6"/>
      <c r="C117" s="6"/>
      <c r="D117" s="6"/>
      <c r="E117" s="6"/>
      <c r="F117" s="1"/>
      <c r="G117" s="7"/>
      <c r="H117" s="7"/>
      <c r="I117" s="186"/>
      <c r="J117" s="1"/>
      <c r="K117" s="1"/>
      <c r="L117" s="1"/>
      <c r="M117" s="9"/>
      <c r="N117" s="186"/>
      <c r="O117" s="16"/>
      <c r="P117" s="1"/>
    </row>
    <row r="118" spans="1:16">
      <c r="A118" s="6"/>
      <c r="B118" s="6"/>
      <c r="C118" s="6"/>
      <c r="D118" s="6"/>
      <c r="E118" s="6"/>
      <c r="F118" s="1"/>
      <c r="G118" s="9"/>
      <c r="H118" s="9"/>
      <c r="I118" s="186"/>
      <c r="J118" s="1"/>
      <c r="K118" s="1"/>
      <c r="L118" s="1"/>
      <c r="M118" s="9"/>
      <c r="N118" s="186"/>
      <c r="O118" s="16"/>
      <c r="P118" s="1"/>
    </row>
    <row r="119" spans="1:16">
      <c r="A119" s="6"/>
      <c r="B119" s="6"/>
      <c r="C119" s="6"/>
      <c r="D119" s="6"/>
      <c r="E119" s="6"/>
      <c r="F119" s="71"/>
      <c r="G119" s="7"/>
      <c r="H119" s="7"/>
      <c r="I119" s="186"/>
      <c r="J119" s="1"/>
      <c r="K119" s="1"/>
      <c r="L119" s="1"/>
      <c r="M119" s="9"/>
      <c r="N119" s="186"/>
      <c r="O119" s="16"/>
      <c r="P119" s="1"/>
    </row>
    <row r="120" spans="1:16">
      <c r="A120" s="6"/>
      <c r="B120" s="6"/>
      <c r="C120" s="6"/>
      <c r="D120" s="6"/>
      <c r="E120" s="6"/>
      <c r="F120" s="71"/>
      <c r="G120" s="7"/>
      <c r="H120" s="7"/>
      <c r="I120" s="186"/>
      <c r="J120" s="1"/>
      <c r="K120" s="1"/>
      <c r="L120" s="1"/>
      <c r="M120" s="9"/>
      <c r="N120" s="186"/>
      <c r="O120" s="16"/>
      <c r="P120" s="1"/>
    </row>
    <row r="121" spans="1:16">
      <c r="A121" s="6"/>
      <c r="B121" s="6"/>
      <c r="C121" s="6"/>
      <c r="D121" s="6"/>
      <c r="E121" s="6"/>
      <c r="F121" s="71"/>
      <c r="G121" s="9"/>
      <c r="H121" s="9"/>
      <c r="I121" s="186"/>
      <c r="J121" s="1"/>
      <c r="K121" s="1"/>
      <c r="L121" s="1"/>
      <c r="M121" s="9"/>
      <c r="N121" s="186"/>
      <c r="O121" s="16"/>
      <c r="P121" s="1"/>
    </row>
    <row r="122" spans="1:16">
      <c r="A122" s="6"/>
      <c r="B122" s="6"/>
      <c r="C122" s="6"/>
      <c r="D122" s="6"/>
      <c r="E122" s="6"/>
      <c r="F122" s="71"/>
      <c r="G122" s="9"/>
      <c r="H122" s="9"/>
      <c r="I122" s="186"/>
      <c r="J122" s="1"/>
      <c r="K122" s="1"/>
      <c r="L122" s="1"/>
      <c r="M122" s="9"/>
      <c r="N122" s="186"/>
      <c r="O122" s="16"/>
      <c r="P122" s="1"/>
    </row>
    <row r="123" spans="1:16">
      <c r="A123" s="6"/>
      <c r="B123" s="6"/>
      <c r="C123" s="6"/>
      <c r="D123" s="6"/>
      <c r="E123" s="6"/>
      <c r="F123" s="71"/>
      <c r="G123" s="9"/>
      <c r="H123" s="9"/>
      <c r="I123" s="186"/>
      <c r="J123" s="1"/>
      <c r="K123" s="1"/>
      <c r="L123" s="1"/>
      <c r="M123" s="9"/>
      <c r="N123" s="186"/>
      <c r="O123" s="16"/>
      <c r="P123" s="1"/>
    </row>
    <row r="124" spans="1:16">
      <c r="A124" s="6"/>
      <c r="B124" s="6"/>
      <c r="C124" s="6"/>
      <c r="D124" s="6"/>
      <c r="E124" s="6"/>
      <c r="F124" s="71"/>
      <c r="G124" s="7"/>
      <c r="H124" s="7"/>
      <c r="I124" s="186"/>
      <c r="J124" s="1"/>
      <c r="K124" s="1"/>
      <c r="L124" s="1"/>
      <c r="M124" s="9"/>
      <c r="N124" s="186"/>
      <c r="O124" s="16"/>
      <c r="P124" s="1"/>
    </row>
    <row r="125" spans="1:16">
      <c r="A125" s="6"/>
      <c r="B125" s="6"/>
      <c r="C125" s="6"/>
      <c r="D125" s="6"/>
      <c r="E125" s="6"/>
      <c r="F125" s="71"/>
      <c r="G125" s="9"/>
      <c r="H125" s="9"/>
      <c r="I125" s="186"/>
      <c r="J125" s="186"/>
      <c r="K125" s="1"/>
      <c r="L125" s="1"/>
      <c r="M125" s="9"/>
      <c r="N125" s="186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186"/>
      <c r="J126" s="186"/>
      <c r="K126" s="1"/>
      <c r="L126" s="1"/>
      <c r="M126" s="9"/>
      <c r="N126" s="186"/>
      <c r="O126" s="16"/>
      <c r="P126" s="1"/>
    </row>
    <row r="127" spans="1:16">
      <c r="A127" s="6"/>
      <c r="B127" s="7"/>
      <c r="C127" s="67"/>
      <c r="D127" s="6"/>
      <c r="E127" s="6"/>
      <c r="F127" s="71"/>
      <c r="G127" s="9"/>
      <c r="H127" s="9"/>
      <c r="I127" s="186"/>
      <c r="J127" s="186"/>
      <c r="K127" s="1"/>
      <c r="L127" s="1"/>
      <c r="M127" s="9"/>
      <c r="N127" s="186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186"/>
      <c r="J128" s="186"/>
      <c r="K128" s="1"/>
      <c r="L128" s="1"/>
      <c r="M128" s="9"/>
      <c r="N128" s="186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186"/>
      <c r="J129" s="186"/>
      <c r="K129" s="1"/>
      <c r="L129" s="1"/>
      <c r="M129" s="9"/>
      <c r="N129" s="186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186"/>
      <c r="J130" s="186"/>
      <c r="K130" s="1"/>
      <c r="L130" s="1"/>
      <c r="M130" s="9"/>
      <c r="N130" s="186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186"/>
      <c r="J131" s="186"/>
      <c r="K131" s="1"/>
      <c r="L131" s="1"/>
      <c r="M131" s="9"/>
      <c r="N131" s="186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186"/>
      <c r="J132" s="186"/>
      <c r="K132" s="1"/>
      <c r="L132" s="1"/>
      <c r="M132" s="9"/>
      <c r="N132" s="186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186"/>
      <c r="J133" s="186"/>
      <c r="K133" s="1"/>
      <c r="L133" s="1"/>
      <c r="M133" s="9"/>
      <c r="N133" s="186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186"/>
      <c r="J134" s="186"/>
      <c r="K134" s="1"/>
      <c r="L134" s="1"/>
      <c r="M134" s="9"/>
      <c r="N134" s="186"/>
      <c r="O134" s="16"/>
      <c r="P134" s="1"/>
    </row>
    <row r="135" spans="1:16">
      <c r="A135" s="6"/>
      <c r="B135" s="7"/>
      <c r="C135" s="67"/>
      <c r="D135" s="6"/>
      <c r="E135" s="6"/>
      <c r="F135" s="71"/>
      <c r="G135" s="9"/>
      <c r="H135" s="9"/>
      <c r="I135" s="186"/>
      <c r="J135" s="186"/>
      <c r="K135" s="1"/>
      <c r="L135" s="1"/>
      <c r="M135" s="9"/>
      <c r="N135" s="186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186"/>
      <c r="J136" s="186"/>
      <c r="K136" s="1"/>
      <c r="L136" s="1"/>
      <c r="M136" s="9"/>
      <c r="N136" s="186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186"/>
      <c r="J137" s="186"/>
      <c r="K137" s="1"/>
      <c r="L137" s="1"/>
      <c r="M137" s="9"/>
      <c r="N137" s="186"/>
      <c r="O137" s="16"/>
      <c r="P137" s="1"/>
    </row>
    <row r="138" spans="1:16">
      <c r="A138" s="6"/>
      <c r="B138" s="7"/>
      <c r="C138" s="67"/>
      <c r="D138" s="6"/>
      <c r="E138" s="6"/>
      <c r="F138" s="71"/>
      <c r="G138" s="9"/>
      <c r="H138" s="9"/>
      <c r="I138" s="186"/>
      <c r="J138" s="186"/>
      <c r="K138" s="1"/>
      <c r="L138" s="1"/>
      <c r="M138" s="9"/>
      <c r="N138" s="186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186"/>
      <c r="J139" s="186"/>
      <c r="K139" s="1"/>
      <c r="L139" s="1"/>
      <c r="M139" s="9"/>
      <c r="N139" s="186"/>
      <c r="O139" s="16"/>
      <c r="P139" s="1"/>
    </row>
    <row r="140" spans="1:16">
      <c r="A140" s="6"/>
      <c r="B140" s="7"/>
      <c r="C140" s="67"/>
      <c r="D140" s="6"/>
      <c r="E140" s="6"/>
      <c r="F140" s="71"/>
      <c r="G140" s="9"/>
      <c r="H140" s="9"/>
      <c r="I140" s="186"/>
      <c r="J140" s="186"/>
      <c r="K140" s="1"/>
      <c r="L140" s="1"/>
      <c r="M140" s="9"/>
      <c r="N140" s="186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186"/>
      <c r="J141" s="186"/>
      <c r="K141" s="1"/>
      <c r="L141" s="1"/>
      <c r="M141" s="9"/>
      <c r="N141" s="186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186"/>
      <c r="J142" s="186"/>
      <c r="K142" s="1"/>
      <c r="L142" s="1"/>
      <c r="M142" s="9"/>
      <c r="N142" s="186"/>
      <c r="O142" s="16"/>
      <c r="P142" s="1"/>
    </row>
    <row r="143" spans="1:16">
      <c r="A143" s="6"/>
      <c r="B143" s="7"/>
      <c r="C143" s="67"/>
      <c r="D143" s="6"/>
      <c r="E143" s="6"/>
      <c r="F143" s="71"/>
      <c r="G143" s="9"/>
      <c r="H143" s="9"/>
      <c r="I143" s="186"/>
      <c r="J143" s="186"/>
      <c r="K143" s="1"/>
      <c r="L143" s="1"/>
      <c r="M143" s="9"/>
      <c r="N143" s="186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186"/>
      <c r="J144" s="186"/>
      <c r="K144" s="1"/>
      <c r="L144" s="1"/>
      <c r="M144" s="9"/>
      <c r="N144" s="186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186"/>
      <c r="J145" s="186"/>
      <c r="K145" s="1"/>
      <c r="L145" s="1"/>
      <c r="M145" s="9"/>
      <c r="N145" s="186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186"/>
      <c r="J146" s="186"/>
      <c r="K146" s="1"/>
      <c r="L146" s="1"/>
      <c r="M146" s="9"/>
      <c r="N146" s="186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186"/>
      <c r="J147" s="186"/>
      <c r="K147" s="1"/>
      <c r="L147" s="1"/>
      <c r="M147" s="9"/>
      <c r="N147" s="186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186"/>
      <c r="J148" s="186"/>
      <c r="K148" s="1"/>
      <c r="L148" s="1"/>
      <c r="M148" s="9"/>
      <c r="N148" s="186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186"/>
      <c r="J149" s="186"/>
      <c r="K149" s="1"/>
      <c r="L149" s="1"/>
      <c r="M149" s="9"/>
      <c r="N149" s="186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186"/>
      <c r="J150" s="186"/>
      <c r="K150" s="1"/>
      <c r="L150" s="1"/>
      <c r="M150" s="9"/>
      <c r="N150" s="186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186"/>
      <c r="J151" s="186"/>
      <c r="K151" s="1"/>
      <c r="L151" s="1"/>
      <c r="M151" s="9"/>
      <c r="N151" s="186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186"/>
      <c r="J152" s="186"/>
      <c r="K152" s="1"/>
      <c r="L152" s="1"/>
      <c r="M152" s="9"/>
      <c r="N152" s="186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186"/>
      <c r="J153" s="186"/>
      <c r="K153" s="1"/>
      <c r="L153" s="1"/>
      <c r="M153" s="9"/>
      <c r="N153" s="186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186"/>
      <c r="J154" s="186"/>
      <c r="K154" s="1"/>
      <c r="L154" s="1"/>
      <c r="M154" s="9"/>
      <c r="N154" s="186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186"/>
      <c r="J155" s="186"/>
      <c r="K155" s="1"/>
      <c r="L155" s="1"/>
      <c r="M155" s="9"/>
      <c r="N155" s="186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186"/>
      <c r="J156" s="186"/>
      <c r="K156" s="1"/>
      <c r="L156" s="1"/>
      <c r="M156" s="9"/>
      <c r="N156" s="186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186"/>
      <c r="J157" s="186"/>
      <c r="K157" s="1"/>
      <c r="L157" s="1"/>
      <c r="M157" s="9"/>
      <c r="N157" s="186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186"/>
      <c r="J158" s="186"/>
      <c r="K158" s="1"/>
      <c r="L158" s="1"/>
      <c r="M158" s="9"/>
      <c r="N158" s="186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186"/>
      <c r="J159" s="186"/>
      <c r="K159" s="1"/>
      <c r="L159" s="1"/>
      <c r="M159" s="9"/>
      <c r="N159" s="186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186"/>
      <c r="J160" s="186"/>
      <c r="K160" s="1"/>
      <c r="L160" s="1"/>
      <c r="M160" s="9"/>
      <c r="N160" s="186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186"/>
      <c r="J161" s="186"/>
      <c r="K161" s="1"/>
      <c r="L161" s="1"/>
      <c r="M161" s="9"/>
      <c r="N161" s="186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186"/>
      <c r="J162" s="186"/>
      <c r="K162" s="1"/>
      <c r="L162" s="1"/>
      <c r="M162" s="9"/>
      <c r="N162" s="186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186"/>
      <c r="J163" s="186"/>
      <c r="K163" s="1"/>
      <c r="L163" s="1"/>
      <c r="M163" s="9"/>
      <c r="N163" s="186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186"/>
      <c r="J164" s="186"/>
      <c r="K164" s="1"/>
      <c r="L164" s="1"/>
      <c r="M164" s="9"/>
      <c r="N164" s="186"/>
      <c r="O164" s="16"/>
      <c r="P164" s="1"/>
    </row>
    <row r="165" spans="1:16">
      <c r="A165" s="6"/>
      <c r="B165" s="7"/>
      <c r="C165" s="67"/>
      <c r="D165" s="6"/>
      <c r="E165" s="6"/>
      <c r="F165" s="71"/>
      <c r="G165" s="9"/>
      <c r="H165" s="9"/>
      <c r="I165" s="186"/>
      <c r="J165" s="186"/>
      <c r="K165" s="1"/>
      <c r="L165" s="1"/>
      <c r="M165" s="9"/>
      <c r="N165" s="186"/>
      <c r="O165" s="16"/>
      <c r="P165" s="1"/>
    </row>
    <row r="166" spans="1:16">
      <c r="A166" s="6"/>
      <c r="B166" s="7"/>
      <c r="C166" s="67"/>
      <c r="D166" s="6"/>
      <c r="E166" s="6"/>
      <c r="F166" s="71"/>
      <c r="G166" s="9"/>
      <c r="H166" s="9"/>
      <c r="I166" s="186"/>
      <c r="J166" s="186"/>
      <c r="K166" s="1"/>
      <c r="L166" s="1"/>
      <c r="M166" s="9"/>
      <c r="N166" s="186"/>
      <c r="O166" s="16"/>
      <c r="P166" s="1"/>
    </row>
    <row r="167" spans="1:16">
      <c r="A167" s="6"/>
      <c r="B167" s="7"/>
      <c r="C167" s="67"/>
      <c r="D167" s="6"/>
      <c r="E167" s="6"/>
      <c r="F167" s="71"/>
      <c r="G167" s="9"/>
      <c r="H167" s="9"/>
      <c r="I167" s="186"/>
      <c r="J167" s="186"/>
      <c r="K167" s="1"/>
      <c r="L167" s="1"/>
      <c r="M167" s="9"/>
      <c r="N167" s="186"/>
      <c r="O167" s="16"/>
      <c r="P167" s="1"/>
    </row>
    <row r="168" spans="1:16">
      <c r="A168" s="6"/>
      <c r="B168" s="7"/>
      <c r="C168" s="67"/>
      <c r="D168" s="6"/>
      <c r="E168" s="6"/>
      <c r="F168" s="71"/>
      <c r="G168" s="9"/>
      <c r="H168" s="9"/>
      <c r="I168" s="186"/>
      <c r="J168" s="186"/>
      <c r="K168" s="1"/>
      <c r="L168" s="1"/>
      <c r="M168" s="9"/>
      <c r="N168" s="186"/>
      <c r="O168" s="16"/>
      <c r="P168" s="1"/>
    </row>
    <row r="169" spans="1:16">
      <c r="A169" s="6"/>
      <c r="B169" s="7"/>
      <c r="C169" s="67"/>
      <c r="D169" s="6"/>
      <c r="E169" s="6"/>
      <c r="F169" s="71"/>
      <c r="G169" s="9"/>
      <c r="H169" s="9"/>
      <c r="I169" s="186"/>
      <c r="J169" s="186"/>
      <c r="K169" s="1"/>
      <c r="L169" s="1"/>
      <c r="M169" s="9"/>
      <c r="N169" s="186"/>
      <c r="O169" s="16"/>
      <c r="P169" s="1"/>
    </row>
    <row r="170" spans="1:16">
      <c r="A170" s="6"/>
      <c r="B170" s="7"/>
      <c r="C170" s="67"/>
      <c r="D170" s="6"/>
      <c r="E170" s="6"/>
      <c r="F170" s="71"/>
      <c r="G170" s="9"/>
      <c r="H170" s="9"/>
      <c r="I170" s="186"/>
      <c r="J170" s="186"/>
      <c r="K170" s="1"/>
      <c r="L170" s="1"/>
      <c r="M170" s="9"/>
      <c r="N170" s="186"/>
      <c r="O170" s="16"/>
      <c r="P170" s="1"/>
    </row>
    <row r="171" spans="1:16">
      <c r="A171" s="6"/>
      <c r="B171" s="7"/>
      <c r="C171" s="67"/>
      <c r="D171" s="6"/>
      <c r="E171" s="6"/>
      <c r="F171" s="71"/>
      <c r="G171" s="9"/>
      <c r="H171" s="9"/>
      <c r="I171" s="186"/>
      <c r="J171" s="186"/>
      <c r="K171" s="1"/>
      <c r="L171" s="1"/>
      <c r="M171" s="9"/>
      <c r="N171" s="186"/>
      <c r="O171" s="16"/>
      <c r="P171" s="1"/>
    </row>
    <row r="172" spans="1:16">
      <c r="A172" s="6"/>
      <c r="B172" s="7"/>
      <c r="C172" s="67"/>
      <c r="D172" s="6"/>
      <c r="E172" s="6"/>
      <c r="F172" s="71"/>
      <c r="G172" s="9"/>
      <c r="H172" s="9"/>
      <c r="I172" s="186"/>
      <c r="J172" s="186"/>
      <c r="K172" s="1"/>
      <c r="L172" s="1"/>
      <c r="M172" s="9"/>
      <c r="N172" s="186"/>
      <c r="O172" s="16"/>
      <c r="P172" s="1"/>
    </row>
    <row r="173" spans="1:16">
      <c r="A173" s="6"/>
      <c r="B173" s="7"/>
      <c r="C173" s="67"/>
      <c r="D173" s="6"/>
      <c r="E173" s="6"/>
      <c r="F173" s="71"/>
      <c r="G173" s="9"/>
      <c r="H173" s="9"/>
      <c r="I173" s="186"/>
      <c r="J173" s="186"/>
      <c r="K173" s="1"/>
      <c r="L173" s="1"/>
      <c r="M173" s="9"/>
      <c r="N173" s="186"/>
      <c r="O173" s="16"/>
      <c r="P173" s="1"/>
    </row>
    <row r="174" spans="1:16">
      <c r="A174" s="6"/>
      <c r="B174" s="7"/>
      <c r="C174" s="67"/>
      <c r="D174" s="6"/>
      <c r="E174" s="6"/>
      <c r="F174" s="71"/>
      <c r="G174" s="9"/>
      <c r="H174" s="9"/>
      <c r="I174" s="186"/>
      <c r="J174" s="186"/>
      <c r="K174" s="1"/>
      <c r="L174" s="1"/>
      <c r="M174" s="9"/>
      <c r="N174" s="186"/>
      <c r="O174" s="16"/>
      <c r="P174" s="1"/>
    </row>
    <row r="175" spans="1:16">
      <c r="A175" s="6"/>
      <c r="B175" s="7"/>
      <c r="C175" s="67"/>
      <c r="D175" s="6"/>
      <c r="E175" s="6"/>
      <c r="F175" s="71"/>
      <c r="G175" s="9"/>
      <c r="H175" s="9"/>
      <c r="I175" s="186"/>
      <c r="J175" s="186"/>
      <c r="K175" s="1"/>
      <c r="L175" s="1"/>
      <c r="M175" s="9"/>
      <c r="N175" s="186"/>
      <c r="O175" s="16"/>
      <c r="P175" s="1"/>
    </row>
    <row r="176" spans="1:16">
      <c r="A176" s="6"/>
      <c r="B176" s="7"/>
      <c r="C176" s="67"/>
      <c r="D176" s="6"/>
      <c r="E176" s="6"/>
      <c r="F176" s="71"/>
      <c r="G176" s="9"/>
      <c r="H176" s="9"/>
      <c r="I176" s="186"/>
      <c r="J176" s="186"/>
      <c r="K176" s="1"/>
      <c r="L176" s="1"/>
      <c r="M176" s="9"/>
      <c r="N176" s="186"/>
      <c r="O176" s="16"/>
      <c r="P176" s="1"/>
    </row>
    <row r="177" spans="1:16">
      <c r="A177" s="6"/>
      <c r="B177" s="7"/>
      <c r="C177" s="67"/>
      <c r="D177" s="6"/>
      <c r="E177" s="6"/>
      <c r="F177" s="71"/>
      <c r="G177" s="9"/>
      <c r="H177" s="9"/>
      <c r="I177" s="186"/>
      <c r="J177" s="186"/>
      <c r="K177" s="1"/>
      <c r="L177" s="1"/>
      <c r="M177" s="9"/>
      <c r="N177" s="186"/>
      <c r="O177" s="16"/>
      <c r="P177" s="1"/>
    </row>
    <row r="178" spans="1:16">
      <c r="A178" s="6"/>
      <c r="B178" s="7"/>
      <c r="C178" s="67"/>
      <c r="D178" s="6"/>
      <c r="E178" s="6"/>
      <c r="F178" s="71"/>
      <c r="G178" s="9"/>
      <c r="H178" s="9"/>
      <c r="I178" s="186"/>
      <c r="J178" s="186"/>
      <c r="K178" s="1"/>
      <c r="L178" s="1"/>
      <c r="M178" s="9"/>
      <c r="N178" s="186"/>
      <c r="O178" s="16"/>
      <c r="P178" s="1"/>
    </row>
    <row r="179" spans="1:16">
      <c r="A179" s="6"/>
      <c r="B179" s="7"/>
      <c r="C179" s="67"/>
      <c r="D179" s="6"/>
      <c r="E179" s="6"/>
      <c r="F179" s="71"/>
      <c r="G179" s="9"/>
      <c r="H179" s="9"/>
      <c r="I179" s="186"/>
      <c r="J179" s="186"/>
      <c r="K179" s="1"/>
      <c r="L179" s="1"/>
      <c r="M179" s="9"/>
      <c r="N179" s="186"/>
      <c r="O179" s="16"/>
      <c r="P179" s="1"/>
    </row>
    <row r="180" spans="1:16">
      <c r="A180" s="6"/>
      <c r="B180" s="7"/>
      <c r="C180" s="67"/>
      <c r="D180" s="6"/>
      <c r="E180" s="6"/>
      <c r="F180" s="71"/>
      <c r="G180" s="9"/>
      <c r="H180" s="9"/>
      <c r="I180" s="186"/>
      <c r="J180" s="186"/>
      <c r="K180" s="1"/>
      <c r="L180" s="1"/>
      <c r="M180" s="9"/>
      <c r="N180" s="186"/>
      <c r="O180" s="16"/>
      <c r="P180" s="1"/>
    </row>
    <row r="181" spans="1:16">
      <c r="A181" s="6"/>
      <c r="B181" s="7"/>
      <c r="C181" s="67"/>
      <c r="D181" s="6"/>
      <c r="E181" s="6"/>
      <c r="F181" s="71"/>
      <c r="G181" s="9"/>
      <c r="H181" s="9"/>
      <c r="I181" s="186"/>
      <c r="J181" s="186"/>
      <c r="K181" s="1"/>
      <c r="L181" s="1"/>
      <c r="M181" s="9"/>
      <c r="N181" s="186"/>
      <c r="O181" s="16"/>
      <c r="P181" s="1"/>
    </row>
    <row r="182" spans="1:16">
      <c r="A182" s="6"/>
      <c r="B182" s="7"/>
      <c r="C182" s="67"/>
      <c r="D182" s="6"/>
      <c r="E182" s="6"/>
      <c r="F182" s="71"/>
      <c r="G182" s="9"/>
      <c r="H182" s="9"/>
      <c r="I182" s="186"/>
      <c r="J182" s="186"/>
      <c r="K182" s="1"/>
      <c r="L182" s="1"/>
      <c r="M182" s="9"/>
      <c r="N182" s="186"/>
      <c r="O182" s="16"/>
      <c r="P182" s="1"/>
    </row>
    <row r="183" spans="1:16">
      <c r="A183" s="6"/>
      <c r="B183" s="7"/>
      <c r="C183" s="67"/>
      <c r="D183" s="6"/>
      <c r="E183" s="6"/>
      <c r="F183" s="71"/>
      <c r="G183" s="9"/>
      <c r="H183" s="9"/>
      <c r="I183" s="186"/>
      <c r="J183" s="186"/>
      <c r="K183" s="1"/>
      <c r="L183" s="1"/>
      <c r="M183" s="9"/>
      <c r="N183" s="186"/>
      <c r="O183" s="16"/>
      <c r="P183" s="1"/>
    </row>
    <row r="184" spans="1:16">
      <c r="A184" s="6"/>
      <c r="B184" s="7"/>
      <c r="C184" s="67"/>
      <c r="D184" s="6"/>
      <c r="E184" s="6"/>
      <c r="F184" s="71"/>
      <c r="G184" s="9"/>
      <c r="H184" s="9"/>
      <c r="I184" s="186"/>
      <c r="J184" s="186"/>
      <c r="K184" s="1"/>
      <c r="L184" s="1"/>
      <c r="M184" s="9"/>
      <c r="N184" s="186"/>
      <c r="O184" s="16"/>
      <c r="P184" s="1"/>
    </row>
    <row r="185" spans="1:16">
      <c r="A185" s="6"/>
      <c r="B185" s="7"/>
      <c r="C185" s="67"/>
      <c r="D185" s="6"/>
      <c r="E185" s="6"/>
      <c r="F185" s="71"/>
      <c r="G185" s="9"/>
      <c r="H185" s="9"/>
      <c r="I185" s="186"/>
      <c r="J185" s="186"/>
      <c r="K185" s="1"/>
      <c r="L185" s="1"/>
      <c r="M185" s="9"/>
      <c r="N185" s="186"/>
      <c r="O185" s="16"/>
      <c r="P185" s="1"/>
    </row>
    <row r="186" spans="1:16">
      <c r="A186" s="6"/>
      <c r="B186" s="7"/>
      <c r="C186" s="67"/>
      <c r="D186" s="6"/>
      <c r="E186" s="6"/>
      <c r="F186" s="71"/>
      <c r="G186" s="9"/>
      <c r="H186" s="9"/>
      <c r="I186" s="186"/>
      <c r="J186" s="186"/>
      <c r="K186" s="1"/>
      <c r="L186" s="1"/>
      <c r="M186" s="9"/>
      <c r="N186" s="186"/>
      <c r="O186" s="16"/>
      <c r="P186" s="1"/>
    </row>
    <row r="187" spans="1:16">
      <c r="A187" s="6"/>
      <c r="B187" s="7"/>
      <c r="C187" s="67"/>
      <c r="D187" s="6"/>
      <c r="E187" s="6"/>
      <c r="F187" s="71"/>
      <c r="G187" s="9"/>
      <c r="H187" s="9"/>
      <c r="I187" s="186"/>
      <c r="J187" s="186"/>
      <c r="K187" s="1"/>
      <c r="L187" s="1"/>
      <c r="M187" s="9"/>
      <c r="N187" s="186"/>
      <c r="O187" s="16"/>
      <c r="P187" s="1"/>
    </row>
    <row r="188" spans="1:16">
      <c r="A188" s="6"/>
      <c r="B188" s="7"/>
      <c r="C188" s="67"/>
      <c r="D188" s="6"/>
      <c r="E188" s="6"/>
      <c r="F188" s="71"/>
      <c r="G188" s="9"/>
      <c r="H188" s="9"/>
      <c r="I188" s="186"/>
      <c r="J188" s="186"/>
      <c r="K188" s="1"/>
      <c r="L188" s="1"/>
      <c r="M188" s="9"/>
      <c r="N188" s="186"/>
      <c r="O188" s="16"/>
      <c r="P188" s="1"/>
    </row>
    <row r="189" spans="1:16">
      <c r="A189" s="6"/>
      <c r="B189" s="7"/>
      <c r="C189" s="67"/>
      <c r="D189" s="6"/>
      <c r="E189" s="6"/>
      <c r="F189" s="71"/>
      <c r="G189" s="9"/>
      <c r="H189" s="9"/>
      <c r="I189" s="186"/>
      <c r="J189" s="186"/>
      <c r="K189" s="1"/>
      <c r="L189" s="1"/>
      <c r="M189" s="9"/>
      <c r="N189" s="186"/>
      <c r="O189" s="16"/>
      <c r="P189" s="1"/>
    </row>
    <row r="190" spans="1:16">
      <c r="A190" s="6"/>
      <c r="B190" s="7"/>
      <c r="C190" s="67"/>
      <c r="D190" s="6"/>
      <c r="E190" s="6"/>
      <c r="F190" s="71"/>
      <c r="G190" s="9"/>
      <c r="H190" s="9"/>
      <c r="I190" s="186"/>
      <c r="J190" s="186"/>
      <c r="K190" s="1"/>
      <c r="L190" s="1"/>
      <c r="M190" s="9"/>
      <c r="N190" s="186"/>
      <c r="O190" s="16"/>
      <c r="P190" s="1"/>
    </row>
    <row r="191" spans="1:16">
      <c r="A191" s="6"/>
      <c r="B191" s="7"/>
      <c r="C191" s="67"/>
      <c r="D191" s="6"/>
      <c r="E191" s="6"/>
      <c r="F191" s="71"/>
      <c r="G191" s="9"/>
      <c r="H191" s="9"/>
      <c r="I191" s="186"/>
      <c r="J191" s="186"/>
      <c r="K191" s="1"/>
      <c r="L191" s="1"/>
      <c r="M191" s="9"/>
      <c r="N191" s="186"/>
      <c r="O191" s="16"/>
      <c r="P191" s="1"/>
    </row>
    <row r="192" spans="1:16">
      <c r="A192" s="6"/>
      <c r="B192" s="7"/>
      <c r="C192" s="67"/>
      <c r="D192" s="6"/>
      <c r="E192" s="6"/>
      <c r="F192" s="71"/>
      <c r="G192" s="9"/>
      <c r="H192" s="9"/>
      <c r="I192" s="186"/>
      <c r="J192" s="186"/>
      <c r="K192" s="1"/>
      <c r="L192" s="1"/>
      <c r="M192" s="9"/>
      <c r="N192" s="186"/>
      <c r="O192" s="16"/>
      <c r="P192" s="1"/>
    </row>
    <row r="193" spans="1:16">
      <c r="A193" s="6"/>
      <c r="B193" s="7"/>
      <c r="C193" s="67"/>
      <c r="D193" s="6"/>
      <c r="E193" s="6"/>
      <c r="F193" s="71"/>
      <c r="G193" s="9"/>
      <c r="H193" s="9"/>
      <c r="I193" s="186"/>
      <c r="J193" s="186"/>
      <c r="K193" s="1"/>
      <c r="L193" s="1"/>
      <c r="M193" s="9"/>
      <c r="N193" s="186"/>
      <c r="O193" s="16"/>
      <c r="P193" s="1"/>
    </row>
    <row r="194" spans="1:16">
      <c r="A194" s="6"/>
      <c r="B194" s="7"/>
      <c r="C194" s="67"/>
      <c r="D194" s="6"/>
      <c r="E194" s="6"/>
      <c r="F194" s="71"/>
      <c r="G194" s="9"/>
      <c r="H194" s="9"/>
      <c r="I194" s="186"/>
      <c r="J194" s="186"/>
      <c r="K194" s="1"/>
      <c r="L194" s="1"/>
      <c r="M194" s="9"/>
      <c r="N194" s="186"/>
      <c r="O194" s="16"/>
      <c r="P194" s="1"/>
    </row>
    <row r="195" spans="1:16">
      <c r="A195" s="6"/>
      <c r="B195" s="7"/>
      <c r="C195" s="67"/>
      <c r="D195" s="6"/>
      <c r="E195" s="6"/>
      <c r="F195" s="71"/>
      <c r="G195" s="9"/>
      <c r="H195" s="9"/>
      <c r="I195" s="186"/>
      <c r="J195" s="186"/>
      <c r="K195" s="1"/>
      <c r="L195" s="1"/>
      <c r="M195" s="9"/>
      <c r="N195" s="186"/>
      <c r="O195" s="16"/>
      <c r="P195" s="1"/>
    </row>
    <row r="196" spans="1:16">
      <c r="A196" s="6"/>
      <c r="B196" s="7"/>
      <c r="C196" s="67"/>
      <c r="D196" s="6"/>
      <c r="E196" s="6"/>
      <c r="F196" s="71"/>
      <c r="G196" s="9"/>
      <c r="H196" s="9"/>
      <c r="I196" s="186"/>
      <c r="J196" s="186"/>
      <c r="K196" s="1"/>
      <c r="L196" s="1"/>
      <c r="M196" s="9"/>
      <c r="N196" s="186"/>
      <c r="O196" s="16"/>
      <c r="P196" s="1"/>
    </row>
    <row r="197" spans="1:16">
      <c r="A197" s="6"/>
      <c r="B197" s="7"/>
      <c r="C197" s="67"/>
      <c r="D197" s="6"/>
      <c r="E197" s="6"/>
      <c r="F197" s="71"/>
      <c r="G197" s="9"/>
      <c r="H197" s="9"/>
      <c r="I197" s="186"/>
      <c r="J197" s="186"/>
      <c r="K197" s="1"/>
      <c r="L197" s="1"/>
      <c r="M197" s="9"/>
      <c r="N197" s="186"/>
      <c r="O197" s="16"/>
      <c r="P197" s="1"/>
    </row>
    <row r="198" spans="1:16">
      <c r="A198" s="6"/>
      <c r="B198" s="7"/>
      <c r="C198" s="67"/>
      <c r="D198" s="6"/>
      <c r="E198" s="6"/>
      <c r="F198" s="71"/>
      <c r="G198" s="9"/>
      <c r="H198" s="9"/>
      <c r="I198" s="186"/>
      <c r="J198" s="186"/>
      <c r="K198" s="1"/>
      <c r="L198" s="1"/>
      <c r="M198" s="9"/>
      <c r="N198" s="186"/>
      <c r="O198" s="16"/>
      <c r="P198" s="1"/>
    </row>
    <row r="199" spans="1:16">
      <c r="A199" s="6"/>
      <c r="B199" s="7"/>
      <c r="C199" s="67"/>
      <c r="D199" s="6"/>
      <c r="E199" s="6"/>
      <c r="F199" s="71"/>
      <c r="G199" s="9"/>
      <c r="H199" s="9"/>
      <c r="I199" s="186"/>
      <c r="J199" s="186"/>
      <c r="K199" s="1"/>
      <c r="L199" s="1"/>
      <c r="M199" s="9"/>
      <c r="N199" s="186"/>
      <c r="O199" s="16"/>
      <c r="P199" s="1"/>
    </row>
    <row r="200" spans="1:16">
      <c r="A200" s="6"/>
      <c r="B200" s="7"/>
      <c r="C200" s="67"/>
      <c r="D200" s="6"/>
      <c r="E200" s="6"/>
      <c r="F200" s="71"/>
      <c r="G200" s="9"/>
      <c r="H200" s="9"/>
      <c r="I200" s="186"/>
      <c r="J200" s="186"/>
      <c r="K200" s="1"/>
      <c r="L200" s="1"/>
      <c r="M200" s="9"/>
      <c r="N200" s="186"/>
      <c r="O200" s="16"/>
      <c r="P200" s="1"/>
    </row>
    <row r="201" spans="1:16">
      <c r="A201" s="6"/>
      <c r="B201" s="7"/>
      <c r="C201" s="67"/>
      <c r="D201" s="6"/>
      <c r="E201" s="6"/>
      <c r="F201" s="71"/>
      <c r="G201" s="9"/>
      <c r="H201" s="9"/>
      <c r="I201" s="186"/>
      <c r="J201" s="186"/>
      <c r="K201" s="1"/>
      <c r="L201" s="1"/>
      <c r="M201" s="9"/>
      <c r="N201" s="186"/>
      <c r="O201" s="16"/>
      <c r="P201" s="1"/>
    </row>
    <row r="202" spans="1:16">
      <c r="A202" s="6"/>
      <c r="B202" s="7"/>
      <c r="C202" s="67"/>
      <c r="D202" s="6"/>
      <c r="E202" s="6"/>
      <c r="F202" s="71"/>
      <c r="G202" s="9"/>
      <c r="H202" s="9"/>
      <c r="I202" s="186"/>
      <c r="J202" s="186"/>
      <c r="K202" s="1"/>
      <c r="L202" s="1"/>
      <c r="M202" s="9"/>
      <c r="N202" s="186"/>
      <c r="O202" s="16"/>
      <c r="P202" s="1"/>
    </row>
    <row r="203" spans="1:16">
      <c r="A203" s="6"/>
      <c r="B203" s="7"/>
      <c r="C203" s="67"/>
      <c r="D203" s="6"/>
      <c r="E203" s="6"/>
      <c r="F203" s="71"/>
      <c r="G203" s="9"/>
      <c r="H203" s="9"/>
      <c r="I203" s="186"/>
      <c r="J203" s="186"/>
      <c r="K203" s="1"/>
      <c r="L203" s="1"/>
      <c r="M203" s="9"/>
      <c r="N203" s="186"/>
      <c r="O203" s="16"/>
      <c r="P203" s="1"/>
    </row>
    <row r="204" spans="1:16">
      <c r="A204" s="6"/>
      <c r="B204" s="7"/>
      <c r="C204" s="67"/>
      <c r="D204" s="6"/>
      <c r="E204" s="6"/>
      <c r="F204" s="71"/>
      <c r="G204" s="9"/>
      <c r="H204" s="9"/>
      <c r="I204" s="186"/>
      <c r="J204" s="186"/>
      <c r="K204" s="1"/>
      <c r="L204" s="1"/>
      <c r="M204" s="9"/>
      <c r="N204" s="186"/>
      <c r="O204" s="16"/>
      <c r="P204" s="1"/>
    </row>
    <row r="205" spans="1:16">
      <c r="A205" s="6"/>
      <c r="B205" s="7"/>
      <c r="C205" s="67"/>
      <c r="D205" s="6"/>
      <c r="E205" s="6"/>
      <c r="F205" s="71"/>
      <c r="G205" s="9"/>
      <c r="H205" s="9"/>
      <c r="I205" s="186"/>
      <c r="J205" s="186"/>
      <c r="K205" s="1"/>
      <c r="L205" s="1"/>
      <c r="M205" s="9"/>
      <c r="N205" s="186"/>
      <c r="O205" s="16"/>
      <c r="P205" s="1"/>
    </row>
    <row r="206" spans="1:16">
      <c r="A206" s="6"/>
      <c r="B206" s="7"/>
      <c r="C206" s="67"/>
      <c r="D206" s="6"/>
      <c r="E206" s="6"/>
      <c r="F206" s="71"/>
      <c r="G206" s="9"/>
      <c r="H206" s="9"/>
      <c r="I206" s="186"/>
      <c r="J206" s="186"/>
      <c r="K206" s="1"/>
      <c r="L206" s="1"/>
      <c r="M206" s="9"/>
      <c r="N206" s="186"/>
      <c r="O206" s="16"/>
      <c r="P206" s="1"/>
    </row>
    <row r="207" spans="1:16">
      <c r="A207" s="6"/>
      <c r="B207" s="7"/>
      <c r="C207" s="67"/>
      <c r="D207" s="6"/>
      <c r="E207" s="6"/>
      <c r="F207" s="71"/>
      <c r="G207" s="9"/>
      <c r="H207" s="9"/>
      <c r="I207" s="186"/>
      <c r="J207" s="186"/>
      <c r="K207" s="1"/>
      <c r="L207" s="1"/>
      <c r="M207" s="9"/>
      <c r="N207" s="186"/>
      <c r="O207" s="16"/>
      <c r="P207" s="1"/>
    </row>
    <row r="208" spans="1:16">
      <c r="A208" s="6"/>
      <c r="B208" s="7"/>
      <c r="C208" s="67"/>
      <c r="D208" s="6"/>
      <c r="E208" s="6"/>
      <c r="F208" s="71"/>
      <c r="G208" s="9"/>
      <c r="H208" s="9"/>
      <c r="I208" s="186"/>
      <c r="J208" s="186"/>
      <c r="K208" s="1"/>
      <c r="L208" s="1"/>
      <c r="M208" s="9"/>
      <c r="N208" s="186"/>
      <c r="O208" s="16"/>
      <c r="P208" s="1"/>
    </row>
    <row r="209" spans="1:16">
      <c r="A209" s="6"/>
      <c r="B209" s="7"/>
      <c r="C209" s="67"/>
      <c r="D209" s="6"/>
      <c r="E209" s="191"/>
      <c r="F209" s="71"/>
      <c r="G209" s="9"/>
      <c r="H209" s="9"/>
      <c r="I209" s="186"/>
      <c r="J209" s="186"/>
      <c r="K209" s="1"/>
      <c r="L209" s="1"/>
      <c r="M209" s="9"/>
      <c r="N209" s="186"/>
      <c r="O209" s="16"/>
      <c r="P209" s="1"/>
    </row>
    <row r="210" spans="1:16">
      <c r="A210" s="6"/>
      <c r="B210" s="7"/>
      <c r="C210" s="67"/>
      <c r="D210" s="6"/>
      <c r="E210" s="6"/>
      <c r="F210" s="71"/>
      <c r="G210" s="9"/>
      <c r="H210" s="9"/>
      <c r="I210" s="186"/>
      <c r="J210" s="186"/>
      <c r="K210" s="1"/>
      <c r="L210" s="1"/>
      <c r="M210" s="9"/>
      <c r="N210" s="186"/>
      <c r="O210" s="16"/>
      <c r="P210" s="1"/>
    </row>
    <row r="211" spans="1:16">
      <c r="A211" s="6"/>
      <c r="B211" s="7"/>
      <c r="C211" s="67"/>
      <c r="D211" s="6"/>
      <c r="E211" s="6"/>
      <c r="F211" s="71"/>
      <c r="G211" s="9"/>
      <c r="H211" s="9"/>
      <c r="I211" s="186"/>
      <c r="J211" s="186"/>
      <c r="K211" s="1"/>
      <c r="L211" s="1"/>
      <c r="M211" s="9"/>
      <c r="N211" s="186"/>
      <c r="O211" s="16"/>
      <c r="P211" s="1"/>
    </row>
    <row r="212" spans="1:16">
      <c r="A212" s="6"/>
      <c r="B212" s="7"/>
      <c r="C212" s="67"/>
      <c r="D212" s="6"/>
      <c r="E212" s="6"/>
      <c r="F212" s="71"/>
      <c r="G212" s="9"/>
      <c r="H212" s="9"/>
      <c r="I212" s="186"/>
      <c r="J212" s="186"/>
      <c r="K212" s="1"/>
      <c r="L212" s="1"/>
      <c r="M212" s="9"/>
      <c r="N212" s="186"/>
      <c r="O212" s="16"/>
      <c r="P212" s="1"/>
    </row>
    <row r="213" spans="1:16">
      <c r="A213" s="6"/>
      <c r="B213" s="7"/>
      <c r="C213" s="67"/>
      <c r="D213" s="6"/>
      <c r="E213" s="6"/>
      <c r="F213" s="71"/>
      <c r="G213" s="9"/>
      <c r="H213" s="9"/>
      <c r="I213" s="186"/>
      <c r="J213" s="186"/>
      <c r="K213" s="1"/>
      <c r="L213" s="1"/>
      <c r="M213" s="9"/>
      <c r="N213" s="186"/>
      <c r="O213" s="16"/>
      <c r="P213" s="1"/>
    </row>
    <row r="214" spans="1:16">
      <c r="A214" s="6"/>
      <c r="B214" s="7"/>
      <c r="C214" s="67"/>
      <c r="D214" s="6"/>
      <c r="E214" s="6"/>
      <c r="F214" s="71"/>
      <c r="G214" s="9"/>
      <c r="H214" s="9"/>
      <c r="I214" s="186"/>
      <c r="J214" s="186"/>
      <c r="K214" s="1"/>
      <c r="L214" s="1"/>
      <c r="M214" s="9"/>
      <c r="N214" s="186"/>
      <c r="O214" s="16"/>
      <c r="P214" s="1"/>
    </row>
    <row r="215" spans="1:16">
      <c r="A215" s="6"/>
      <c r="B215" s="7"/>
      <c r="C215" s="67"/>
      <c r="D215" s="6"/>
      <c r="E215" s="6"/>
      <c r="F215" s="71"/>
      <c r="G215" s="9"/>
      <c r="H215" s="9"/>
      <c r="I215" s="186"/>
      <c r="J215" s="186"/>
      <c r="K215" s="1"/>
      <c r="L215" s="1"/>
      <c r="M215" s="9"/>
      <c r="N215" s="186"/>
      <c r="O215" s="16"/>
      <c r="P215" s="1"/>
    </row>
    <row r="216" spans="1:16">
      <c r="A216" s="6"/>
      <c r="B216" s="7"/>
      <c r="C216" s="67"/>
      <c r="D216" s="6"/>
      <c r="E216" s="6"/>
      <c r="F216" s="71"/>
      <c r="G216" s="9"/>
      <c r="H216" s="9"/>
      <c r="I216" s="186"/>
      <c r="J216" s="186"/>
      <c r="K216" s="1"/>
      <c r="L216" s="1"/>
      <c r="M216" s="9"/>
      <c r="N216" s="186"/>
      <c r="O216" s="16"/>
      <c r="P216" s="1"/>
    </row>
    <row r="217" spans="1:16">
      <c r="A217" s="6"/>
      <c r="B217" s="7"/>
      <c r="C217" s="67"/>
      <c r="D217" s="6"/>
      <c r="E217" s="6"/>
      <c r="F217" s="71"/>
      <c r="G217" s="9"/>
      <c r="H217" s="9"/>
      <c r="I217" s="186"/>
      <c r="J217" s="186"/>
      <c r="K217" s="1"/>
      <c r="L217" s="1"/>
      <c r="M217" s="9"/>
      <c r="N217" s="186"/>
      <c r="O217" s="16"/>
      <c r="P217" s="1"/>
    </row>
    <row r="218" spans="1:16">
      <c r="A218" s="6"/>
      <c r="B218" s="7"/>
      <c r="C218" s="67"/>
      <c r="D218" s="6"/>
      <c r="E218" s="6"/>
      <c r="F218" s="71"/>
      <c r="G218" s="9"/>
      <c r="H218" s="9"/>
      <c r="I218" s="186"/>
      <c r="J218" s="186"/>
      <c r="K218" s="1"/>
      <c r="L218" s="1"/>
      <c r="M218" s="9"/>
      <c r="N218" s="186"/>
      <c r="O218" s="16"/>
      <c r="P218" s="1"/>
    </row>
    <row r="219" spans="1:16">
      <c r="A219" s="6"/>
      <c r="B219" s="7"/>
      <c r="C219" s="67"/>
      <c r="D219" s="6"/>
      <c r="E219" s="6"/>
      <c r="F219" s="71"/>
      <c r="G219" s="9"/>
      <c r="H219" s="9"/>
      <c r="I219" s="186"/>
      <c r="J219" s="186"/>
      <c r="K219" s="1"/>
      <c r="L219" s="1"/>
      <c r="M219" s="9"/>
      <c r="N219" s="186"/>
      <c r="O219" s="16"/>
      <c r="P219" s="1"/>
    </row>
    <row r="220" spans="1:16">
      <c r="A220" s="6"/>
      <c r="B220" s="7"/>
      <c r="C220" s="67"/>
      <c r="D220" s="6"/>
      <c r="E220" s="6"/>
      <c r="F220" s="71"/>
      <c r="G220" s="9"/>
      <c r="H220" s="9"/>
      <c r="I220" s="186"/>
      <c r="J220" s="186"/>
      <c r="K220" s="1"/>
      <c r="L220" s="1"/>
      <c r="M220" s="9"/>
      <c r="N220" s="186"/>
      <c r="O220" s="16"/>
      <c r="P220" s="1"/>
    </row>
    <row r="221" spans="1:16">
      <c r="A221" s="6"/>
      <c r="B221" s="7"/>
      <c r="C221" s="67"/>
      <c r="D221" s="6"/>
      <c r="E221" s="6"/>
      <c r="F221" s="71"/>
      <c r="G221" s="9"/>
      <c r="H221" s="9"/>
      <c r="I221" s="186"/>
      <c r="J221" s="186"/>
      <c r="K221" s="1"/>
      <c r="L221" s="1"/>
      <c r="M221" s="9"/>
      <c r="N221" s="186"/>
      <c r="O221" s="16"/>
      <c r="P221" s="1"/>
    </row>
    <row r="222" spans="1:16">
      <c r="A222" s="6"/>
      <c r="B222" s="7"/>
      <c r="C222" s="67"/>
      <c r="D222" s="6"/>
      <c r="E222" s="6"/>
      <c r="F222" s="71"/>
      <c r="G222" s="9"/>
      <c r="H222" s="9"/>
      <c r="I222" s="186"/>
      <c r="J222" s="186"/>
      <c r="K222" s="1"/>
      <c r="L222" s="1"/>
      <c r="M222" s="9"/>
      <c r="N222" s="186"/>
      <c r="O222" s="16"/>
      <c r="P222" s="1"/>
    </row>
    <row r="223" spans="1:16">
      <c r="A223" s="6"/>
      <c r="B223" s="7"/>
      <c r="C223" s="67"/>
      <c r="D223" s="6"/>
      <c r="E223" s="6"/>
      <c r="F223" s="71"/>
      <c r="G223" s="9"/>
      <c r="H223" s="9"/>
      <c r="I223" s="186"/>
      <c r="J223" s="186"/>
      <c r="K223" s="1"/>
      <c r="L223" s="1"/>
      <c r="M223" s="9"/>
      <c r="N223" s="186"/>
      <c r="O223" s="16"/>
      <c r="P223" s="1"/>
    </row>
    <row r="224" spans="1:16">
      <c r="A224" s="6"/>
      <c r="B224" s="7"/>
      <c r="C224" s="67"/>
      <c r="D224" s="6"/>
      <c r="E224" s="6"/>
      <c r="F224" s="71"/>
      <c r="G224" s="9"/>
      <c r="H224" s="9"/>
      <c r="I224" s="186"/>
      <c r="J224" s="186"/>
      <c r="K224" s="1"/>
      <c r="L224" s="1"/>
      <c r="M224" s="9"/>
      <c r="N224" s="186"/>
      <c r="O224" s="16"/>
      <c r="P224" s="1"/>
    </row>
    <row r="225" spans="1:16">
      <c r="A225" s="6"/>
      <c r="B225" s="7"/>
      <c r="C225" s="67"/>
      <c r="D225" s="6"/>
      <c r="E225" s="6"/>
      <c r="F225" s="71"/>
      <c r="G225" s="9"/>
      <c r="H225" s="9"/>
      <c r="I225" s="186"/>
      <c r="J225" s="186"/>
      <c r="K225" s="1"/>
      <c r="L225" s="1"/>
      <c r="M225" s="9"/>
      <c r="N225" s="186"/>
      <c r="O225" s="16"/>
      <c r="P225" s="1"/>
    </row>
    <row r="226" spans="1:16">
      <c r="A226" s="6"/>
      <c r="B226" s="7"/>
      <c r="C226" s="67"/>
      <c r="D226" s="6"/>
      <c r="E226" s="6"/>
      <c r="F226" s="71"/>
      <c r="G226" s="9"/>
      <c r="H226" s="9"/>
      <c r="I226" s="186"/>
      <c r="J226" s="186"/>
      <c r="K226" s="1"/>
      <c r="L226" s="1"/>
      <c r="M226" s="9"/>
      <c r="N226" s="186"/>
      <c r="O226" s="16"/>
      <c r="P226" s="1"/>
    </row>
    <row r="227" spans="1:16">
      <c r="A227" s="6"/>
      <c r="B227" s="7"/>
      <c r="C227" s="67"/>
      <c r="D227" s="6"/>
      <c r="E227" s="6"/>
      <c r="F227" s="71"/>
      <c r="G227" s="9"/>
      <c r="H227" s="9"/>
      <c r="I227" s="186"/>
      <c r="J227" s="186"/>
      <c r="K227" s="1"/>
      <c r="L227" s="1"/>
      <c r="M227" s="9"/>
      <c r="N227" s="186"/>
      <c r="O227" s="16"/>
      <c r="P227" s="1"/>
    </row>
    <row r="228" spans="1:16">
      <c r="A228" s="6"/>
      <c r="B228" s="7"/>
      <c r="C228" s="67"/>
      <c r="D228" s="6"/>
      <c r="E228" s="6"/>
      <c r="F228" s="71"/>
      <c r="G228" s="9"/>
      <c r="H228" s="9"/>
      <c r="I228" s="186"/>
      <c r="J228" s="186"/>
      <c r="K228" s="1"/>
      <c r="L228" s="1"/>
      <c r="M228" s="9"/>
      <c r="N228" s="186"/>
      <c r="O228" s="16"/>
      <c r="P228" s="1"/>
    </row>
    <row r="229" spans="1:16">
      <c r="A229" s="6"/>
      <c r="B229" s="7"/>
      <c r="C229" s="67"/>
      <c r="D229" s="6"/>
      <c r="E229" s="6"/>
      <c r="F229" s="71"/>
      <c r="G229" s="9"/>
      <c r="H229" s="9"/>
      <c r="I229" s="186"/>
      <c r="J229" s="186"/>
      <c r="K229" s="1"/>
      <c r="L229" s="1"/>
      <c r="M229" s="9"/>
      <c r="N229" s="186"/>
      <c r="O229" s="16"/>
      <c r="P229" s="1"/>
    </row>
    <row r="230" spans="1:16">
      <c r="A230" s="6"/>
      <c r="B230" s="7"/>
      <c r="C230" s="67"/>
      <c r="D230" s="6"/>
      <c r="E230" s="6"/>
      <c r="F230" s="71"/>
      <c r="G230" s="9"/>
      <c r="H230" s="9"/>
      <c r="I230" s="186"/>
      <c r="J230" s="186"/>
      <c r="K230" s="1"/>
      <c r="L230" s="1"/>
      <c r="M230" s="9"/>
      <c r="N230" s="186"/>
      <c r="O230" s="16"/>
      <c r="P230" s="1"/>
    </row>
    <row r="231" spans="1:16">
      <c r="A231" s="6"/>
      <c r="B231" s="7"/>
      <c r="C231" s="67"/>
      <c r="D231" s="6"/>
      <c r="E231" s="6"/>
      <c r="F231" s="71"/>
      <c r="G231" s="9"/>
      <c r="H231" s="9"/>
      <c r="I231" s="186"/>
      <c r="J231" s="186"/>
      <c r="K231" s="1"/>
      <c r="L231" s="1"/>
      <c r="M231" s="9"/>
      <c r="N231" s="186"/>
      <c r="O231" s="16"/>
      <c r="P231" s="1"/>
    </row>
    <row r="232" spans="1:16">
      <c r="A232" s="6"/>
      <c r="B232" s="7"/>
      <c r="C232" s="67"/>
      <c r="D232" s="6"/>
      <c r="E232" s="6"/>
      <c r="F232" s="71"/>
      <c r="G232" s="9"/>
      <c r="H232" s="9"/>
      <c r="I232" s="186"/>
      <c r="J232" s="186"/>
      <c r="K232" s="1"/>
      <c r="L232" s="1"/>
      <c r="M232" s="9"/>
      <c r="N232" s="186"/>
      <c r="O232" s="16"/>
      <c r="P232" s="1"/>
    </row>
    <row r="233" spans="1:16">
      <c r="A233" s="6"/>
      <c r="B233" s="7"/>
      <c r="C233" s="67"/>
      <c r="D233" s="6"/>
      <c r="E233" s="6"/>
      <c r="F233" s="71"/>
      <c r="G233" s="9"/>
      <c r="H233" s="9"/>
      <c r="I233" s="186"/>
      <c r="J233" s="186"/>
      <c r="K233" s="1"/>
      <c r="L233" s="1"/>
      <c r="M233" s="9"/>
      <c r="N233" s="186"/>
      <c r="O233" s="16"/>
      <c r="P233" s="1"/>
    </row>
    <row r="234" spans="1:16">
      <c r="A234" s="6"/>
      <c r="B234" s="7"/>
      <c r="C234" s="67"/>
      <c r="D234" s="6"/>
      <c r="E234" s="6"/>
      <c r="F234" s="71"/>
      <c r="G234" s="9"/>
      <c r="H234" s="9"/>
      <c r="I234" s="186"/>
      <c r="J234" s="186"/>
      <c r="K234" s="1"/>
      <c r="L234" s="1"/>
      <c r="M234" s="9"/>
      <c r="N234" s="186"/>
      <c r="O234" s="16"/>
      <c r="P234" s="1"/>
    </row>
    <row r="235" spans="1:16">
      <c r="A235" s="6"/>
      <c r="B235" s="7"/>
      <c r="C235" s="67"/>
      <c r="D235" s="6"/>
      <c r="E235" s="6"/>
      <c r="F235" s="71"/>
      <c r="G235" s="9"/>
      <c r="H235" s="9"/>
      <c r="I235" s="186"/>
      <c r="J235" s="186"/>
      <c r="K235" s="1"/>
      <c r="L235" s="1"/>
      <c r="M235" s="9"/>
      <c r="N235" s="186"/>
      <c r="O235" s="16"/>
      <c r="P235" s="1"/>
    </row>
    <row r="236" spans="1:16">
      <c r="A236" s="6"/>
      <c r="B236" s="7"/>
      <c r="C236" s="67"/>
      <c r="D236" s="6"/>
      <c r="E236" s="6"/>
      <c r="F236" s="71"/>
      <c r="G236" s="9"/>
      <c r="H236" s="9"/>
      <c r="I236" s="186"/>
      <c r="J236" s="186"/>
      <c r="K236" s="1"/>
      <c r="L236" s="1"/>
      <c r="M236" s="9"/>
      <c r="N236" s="186"/>
      <c r="O236" s="16"/>
      <c r="P236" s="1"/>
    </row>
    <row r="237" spans="1:16">
      <c r="A237" s="6"/>
      <c r="B237" s="7"/>
      <c r="C237" s="67"/>
      <c r="D237" s="6"/>
      <c r="E237" s="6"/>
      <c r="F237" s="71"/>
      <c r="G237" s="9"/>
      <c r="H237" s="9"/>
      <c r="I237" s="186"/>
      <c r="J237" s="186"/>
      <c r="K237" s="1"/>
      <c r="L237" s="1"/>
      <c r="M237" s="9"/>
      <c r="N237" s="186"/>
      <c r="O237" s="16"/>
      <c r="P237" s="1"/>
    </row>
    <row r="238" spans="1:16">
      <c r="A238" s="6"/>
      <c r="B238" s="7"/>
      <c r="C238" s="67"/>
      <c r="D238" s="6"/>
      <c r="E238" s="6"/>
      <c r="F238" s="71"/>
      <c r="G238" s="9"/>
      <c r="H238" s="9"/>
      <c r="I238" s="186"/>
      <c r="J238" s="186"/>
      <c r="K238" s="1"/>
      <c r="L238" s="1"/>
      <c r="M238" s="9"/>
      <c r="N238" s="186"/>
      <c r="O238" s="16"/>
      <c r="P238" s="1"/>
    </row>
    <row r="239" spans="1:16">
      <c r="A239" s="6"/>
      <c r="B239" s="7"/>
      <c r="C239" s="67"/>
      <c r="D239" s="6"/>
      <c r="E239" s="6"/>
      <c r="F239" s="71"/>
      <c r="G239" s="9"/>
      <c r="H239" s="9"/>
      <c r="I239" s="186"/>
      <c r="J239" s="186"/>
      <c r="K239" s="1"/>
      <c r="L239" s="1"/>
      <c r="M239" s="9"/>
      <c r="N239" s="186"/>
      <c r="O239" s="16"/>
      <c r="P239" s="1"/>
    </row>
    <row r="240" spans="1:16">
      <c r="A240" s="6"/>
      <c r="B240" s="7"/>
      <c r="C240" s="67"/>
      <c r="D240" s="6"/>
      <c r="E240" s="6"/>
      <c r="F240" s="71"/>
      <c r="G240" s="9"/>
      <c r="H240" s="9"/>
      <c r="I240" s="186"/>
      <c r="J240" s="186"/>
      <c r="K240" s="1"/>
      <c r="L240" s="1"/>
      <c r="M240" s="9"/>
      <c r="N240" s="186"/>
      <c r="O240" s="16"/>
      <c r="P240" s="1"/>
    </row>
    <row r="241" spans="1:16">
      <c r="A241" s="6"/>
      <c r="B241" s="7"/>
      <c r="C241" s="67"/>
      <c r="D241" s="6"/>
      <c r="E241" s="6"/>
      <c r="F241" s="71"/>
      <c r="G241" s="9"/>
      <c r="H241" s="9"/>
      <c r="I241" s="186"/>
      <c r="J241" s="186"/>
      <c r="K241" s="1"/>
      <c r="L241" s="1"/>
      <c r="M241" s="9"/>
      <c r="N241" s="186"/>
      <c r="O241" s="16"/>
      <c r="P241" s="1"/>
    </row>
    <row r="242" spans="1:16">
      <c r="A242" s="6"/>
      <c r="B242" s="7"/>
      <c r="C242" s="67"/>
      <c r="D242" s="6"/>
      <c r="E242" s="6"/>
      <c r="F242" s="71"/>
      <c r="G242" s="9"/>
      <c r="H242" s="9"/>
      <c r="I242" s="186"/>
      <c r="J242" s="186"/>
      <c r="K242" s="1"/>
      <c r="L242" s="1"/>
      <c r="M242" s="9"/>
      <c r="N242" s="186"/>
      <c r="O242" s="16"/>
      <c r="P242" s="1"/>
    </row>
    <row r="243" spans="1:16">
      <c r="A243" s="6"/>
      <c r="B243" s="7"/>
      <c r="C243" s="67"/>
      <c r="D243" s="6"/>
      <c r="E243" s="6"/>
      <c r="F243" s="71"/>
      <c r="G243" s="9"/>
      <c r="H243" s="9"/>
      <c r="I243" s="186"/>
      <c r="J243" s="186"/>
      <c r="K243" s="7"/>
      <c r="L243" s="1"/>
      <c r="M243" s="6"/>
      <c r="N243" s="186"/>
      <c r="O243" s="71"/>
      <c r="P243" s="9"/>
    </row>
    <row r="244" spans="1:16">
      <c r="A244" s="6"/>
      <c r="B244" s="7"/>
      <c r="C244" s="67"/>
      <c r="D244" s="6"/>
      <c r="E244" s="6"/>
      <c r="F244" s="71"/>
      <c r="G244" s="9"/>
      <c r="H244" s="9"/>
      <c r="I244" s="186"/>
      <c r="J244" s="186"/>
      <c r="K244" s="7"/>
      <c r="L244" s="1"/>
      <c r="M244" s="6"/>
      <c r="N244" s="186"/>
      <c r="O244" s="71"/>
      <c r="P244" s="9"/>
    </row>
    <row r="245" spans="1:16">
      <c r="A245" s="6"/>
      <c r="B245" s="7"/>
      <c r="C245" s="67"/>
      <c r="D245" s="6"/>
      <c r="E245" s="6"/>
      <c r="F245" s="71"/>
      <c r="G245" s="9"/>
      <c r="H245" s="9"/>
      <c r="I245" s="186"/>
      <c r="J245" s="186"/>
      <c r="K245" s="1"/>
      <c r="L245" s="1"/>
      <c r="M245" s="9"/>
      <c r="N245" s="186"/>
      <c r="O245" s="16"/>
      <c r="P245" s="1"/>
    </row>
    <row r="246" spans="1:16">
      <c r="A246" s="6"/>
      <c r="B246" s="7"/>
      <c r="C246" s="67"/>
      <c r="D246" s="6"/>
      <c r="E246" s="6"/>
      <c r="F246" s="71"/>
      <c r="G246" s="9"/>
      <c r="H246" s="9"/>
      <c r="I246" s="186"/>
      <c r="J246" s="186"/>
      <c r="K246" s="1"/>
      <c r="L246" s="1"/>
      <c r="M246" s="9"/>
      <c r="N246" s="186"/>
      <c r="O246" s="16"/>
      <c r="P246" s="1"/>
    </row>
    <row r="247" spans="1:16">
      <c r="A247" s="6"/>
      <c r="B247" s="7"/>
      <c r="C247" s="67"/>
      <c r="D247" s="6"/>
      <c r="E247" s="6"/>
      <c r="F247" s="71"/>
      <c r="G247" s="9"/>
      <c r="H247" s="9"/>
      <c r="I247" s="186"/>
      <c r="J247" s="186"/>
      <c r="K247" s="1"/>
      <c r="L247" s="1"/>
      <c r="M247" s="9"/>
      <c r="N247" s="186"/>
      <c r="O247" s="16"/>
      <c r="P247" s="1"/>
    </row>
    <row r="248" spans="1:16">
      <c r="A248" s="6"/>
      <c r="B248" s="7"/>
      <c r="C248" s="67"/>
      <c r="D248" s="6"/>
      <c r="E248" s="6"/>
      <c r="F248" s="71"/>
      <c r="G248" s="9"/>
      <c r="H248" s="9"/>
      <c r="I248" s="186"/>
      <c r="J248" s="186"/>
      <c r="K248" s="1"/>
      <c r="L248" s="1"/>
      <c r="M248" s="9"/>
      <c r="N248" s="186"/>
      <c r="O248" s="16"/>
      <c r="P248" s="1"/>
    </row>
    <row r="249" spans="1:16">
      <c r="A249" s="6"/>
      <c r="B249" s="7"/>
      <c r="C249" s="67"/>
      <c r="D249" s="6"/>
      <c r="E249" s="6"/>
      <c r="F249" s="71"/>
      <c r="G249" s="9"/>
      <c r="H249" s="9"/>
      <c r="I249" s="186"/>
      <c r="J249" s="186"/>
      <c r="K249" s="1"/>
      <c r="L249" s="1"/>
      <c r="M249" s="9"/>
      <c r="N249" s="186"/>
      <c r="O249" s="186"/>
      <c r="P249" s="1"/>
    </row>
    <row r="250" spans="1:16">
      <c r="A250" s="6"/>
      <c r="B250" s="7"/>
      <c r="C250" s="67"/>
      <c r="D250" s="6"/>
      <c r="E250" s="6"/>
      <c r="F250" s="71"/>
      <c r="G250" s="9"/>
      <c r="H250" s="9"/>
      <c r="I250" s="186"/>
      <c r="J250" s="186"/>
      <c r="K250" s="1"/>
      <c r="L250" s="1"/>
      <c r="M250" s="9"/>
      <c r="N250" s="186"/>
      <c r="O250" s="16"/>
      <c r="P250" s="1"/>
    </row>
    <row r="251" spans="1:16">
      <c r="A251" s="6"/>
      <c r="B251" s="7"/>
      <c r="C251" s="67"/>
      <c r="D251" s="6"/>
      <c r="E251" s="6"/>
      <c r="F251" s="71"/>
      <c r="G251" s="9"/>
      <c r="H251" s="9"/>
      <c r="I251" s="186"/>
      <c r="J251" s="186"/>
      <c r="K251" s="1"/>
      <c r="L251" s="1"/>
      <c r="M251" s="9"/>
      <c r="N251" s="186"/>
      <c r="O251" s="16"/>
      <c r="P251" s="1"/>
    </row>
    <row r="252" spans="1:16">
      <c r="A252" s="6"/>
      <c r="B252" s="7"/>
      <c r="C252" s="67"/>
      <c r="D252" s="6"/>
      <c r="E252" s="6"/>
      <c r="F252" s="71"/>
      <c r="G252" s="9"/>
      <c r="H252" s="9"/>
      <c r="I252" s="186"/>
      <c r="J252" s="186"/>
      <c r="K252" s="1"/>
      <c r="L252" s="1"/>
      <c r="M252" s="9"/>
      <c r="N252" s="186"/>
      <c r="O252" s="16"/>
      <c r="P252" s="1"/>
    </row>
    <row r="253" spans="1:16">
      <c r="A253" s="6"/>
      <c r="B253" s="7"/>
      <c r="C253" s="67"/>
      <c r="D253" s="6"/>
      <c r="E253" s="6"/>
      <c r="F253" s="71"/>
      <c r="G253" s="9"/>
      <c r="H253" s="9"/>
      <c r="I253" s="186"/>
      <c r="J253" s="186"/>
      <c r="K253" s="1"/>
      <c r="L253" s="1"/>
      <c r="M253" s="9"/>
      <c r="N253" s="186"/>
      <c r="O253" s="16"/>
      <c r="P253" s="1"/>
    </row>
    <row r="254" spans="1:16">
      <c r="A254" s="6"/>
      <c r="B254" s="7"/>
      <c r="C254" s="67"/>
      <c r="D254" s="6"/>
      <c r="E254" s="6"/>
      <c r="F254" s="71"/>
      <c r="G254" s="9"/>
      <c r="H254" s="9"/>
      <c r="I254" s="186"/>
      <c r="J254" s="186"/>
      <c r="K254" s="1"/>
      <c r="L254" s="1"/>
      <c r="M254" s="9"/>
      <c r="N254" s="186"/>
      <c r="O254" s="16"/>
      <c r="P254" s="1"/>
    </row>
    <row r="255" spans="1:16">
      <c r="A255" s="6"/>
      <c r="B255" s="7"/>
      <c r="C255" s="67"/>
      <c r="D255" s="6"/>
      <c r="E255" s="6"/>
      <c r="F255" s="71"/>
      <c r="G255" s="9"/>
      <c r="H255" s="9"/>
      <c r="I255" s="186"/>
      <c r="J255" s="186"/>
      <c r="K255" s="1"/>
      <c r="L255" s="1"/>
      <c r="M255" s="9"/>
      <c r="N255" s="186"/>
      <c r="O255" s="16"/>
      <c r="P255" s="1"/>
    </row>
    <row r="256" spans="1:16">
      <c r="A256" s="6"/>
      <c r="B256" s="7"/>
      <c r="C256" s="67"/>
      <c r="D256" s="6"/>
      <c r="E256" s="6"/>
      <c r="F256" s="71"/>
      <c r="G256" s="9"/>
      <c r="H256" s="9"/>
      <c r="I256" s="186"/>
      <c r="J256" s="186"/>
      <c r="K256" s="1"/>
      <c r="L256" s="1"/>
      <c r="M256" s="9"/>
      <c r="N256" s="186"/>
      <c r="O256" s="16"/>
      <c r="P256" s="1"/>
    </row>
    <row r="257" spans="1:16">
      <c r="A257" s="6"/>
      <c r="B257" s="7"/>
      <c r="C257" s="67"/>
      <c r="D257" s="6"/>
      <c r="E257" s="6"/>
      <c r="F257" s="71"/>
      <c r="G257" s="9"/>
      <c r="H257" s="9"/>
      <c r="I257" s="186"/>
      <c r="J257" s="186"/>
      <c r="K257" s="1"/>
      <c r="L257" s="1"/>
      <c r="M257" s="9"/>
      <c r="N257" s="186"/>
      <c r="O257" s="16"/>
      <c r="P257" s="1"/>
    </row>
    <row r="258" spans="1:16">
      <c r="A258" s="6"/>
      <c r="B258" s="7"/>
      <c r="C258" s="67"/>
      <c r="D258" s="6"/>
      <c r="E258" s="6"/>
      <c r="F258" s="71"/>
      <c r="G258" s="9"/>
      <c r="H258" s="9"/>
      <c r="I258" s="186"/>
      <c r="J258" s="186"/>
      <c r="K258" s="1"/>
      <c r="L258" s="1"/>
      <c r="M258" s="9"/>
      <c r="N258" s="186"/>
      <c r="O258" s="16"/>
      <c r="P258" s="1"/>
    </row>
    <row r="259" spans="1:16">
      <c r="A259" s="6"/>
      <c r="B259" s="7"/>
      <c r="C259" s="67"/>
      <c r="D259" s="6"/>
      <c r="E259" s="6"/>
      <c r="F259" s="71"/>
      <c r="G259" s="9"/>
      <c r="H259" s="9"/>
      <c r="I259" s="186"/>
      <c r="J259" s="186"/>
      <c r="K259" s="1"/>
      <c r="L259" s="1"/>
      <c r="M259" s="9"/>
      <c r="N259" s="186"/>
      <c r="O259" s="16"/>
      <c r="P259" s="1"/>
    </row>
    <row r="260" spans="1:16">
      <c r="A260" s="6"/>
      <c r="B260" s="7"/>
      <c r="C260" s="67"/>
      <c r="D260" s="6"/>
      <c r="E260" s="6"/>
      <c r="F260" s="71"/>
      <c r="G260" s="9"/>
      <c r="H260" s="9"/>
      <c r="I260" s="186"/>
      <c r="J260" s="186"/>
      <c r="K260" s="1"/>
      <c r="L260" s="1"/>
      <c r="M260" s="9"/>
      <c r="N260" s="186"/>
      <c r="O260" s="16"/>
      <c r="P260" s="1"/>
    </row>
    <row r="261" spans="1:16">
      <c r="A261" s="6"/>
      <c r="B261" s="7"/>
      <c r="C261" s="67"/>
      <c r="D261" s="6"/>
      <c r="E261" s="6"/>
      <c r="F261" s="71"/>
      <c r="G261" s="9"/>
      <c r="H261" s="9"/>
      <c r="I261" s="186"/>
      <c r="J261" s="186"/>
      <c r="K261" s="1"/>
      <c r="L261" s="1"/>
      <c r="M261" s="9"/>
      <c r="N261" s="186"/>
      <c r="O261" s="16"/>
      <c r="P261" s="1"/>
    </row>
    <row r="262" spans="1:16">
      <c r="A262" s="6"/>
      <c r="B262" s="7"/>
      <c r="C262" s="67"/>
      <c r="D262" s="6"/>
      <c r="E262" s="6"/>
      <c r="F262" s="71"/>
      <c r="G262" s="9"/>
      <c r="H262" s="9"/>
      <c r="I262" s="186"/>
      <c r="J262" s="186"/>
      <c r="K262" s="1"/>
      <c r="L262" s="1"/>
      <c r="M262" s="9"/>
      <c r="N262" s="186"/>
      <c r="O262" s="16"/>
      <c r="P262" s="1"/>
    </row>
    <row r="263" spans="1:16">
      <c r="A263" s="6"/>
      <c r="B263" s="7"/>
      <c r="C263" s="67"/>
      <c r="D263" s="6"/>
      <c r="E263" s="6"/>
      <c r="F263" s="71"/>
      <c r="G263" s="9"/>
      <c r="H263" s="9"/>
      <c r="I263" s="186"/>
      <c r="J263" s="186"/>
      <c r="K263" s="1"/>
      <c r="L263" s="1"/>
      <c r="M263" s="9"/>
      <c r="N263" s="186"/>
      <c r="O263" s="16"/>
      <c r="P263" s="1"/>
    </row>
    <row r="264" spans="1:16">
      <c r="A264" s="6"/>
      <c r="B264" s="7"/>
      <c r="C264" s="67"/>
      <c r="D264" s="6"/>
      <c r="E264" s="6"/>
      <c r="F264" s="71"/>
      <c r="G264" s="9"/>
      <c r="H264" s="9"/>
      <c r="I264" s="186"/>
      <c r="J264" s="186"/>
      <c r="K264" s="1"/>
      <c r="L264" s="1"/>
      <c r="M264" s="9"/>
      <c r="N264" s="186"/>
      <c r="O264" s="16"/>
      <c r="P264" s="1"/>
    </row>
    <row r="265" spans="1:16">
      <c r="A265" s="6"/>
      <c r="B265" s="7"/>
      <c r="C265" s="67"/>
      <c r="D265" s="6"/>
      <c r="E265" s="6"/>
      <c r="F265" s="71"/>
      <c r="G265" s="9"/>
      <c r="H265" s="9"/>
      <c r="I265" s="186"/>
      <c r="J265" s="186"/>
      <c r="K265" s="1"/>
      <c r="L265" s="1"/>
      <c r="M265" s="9"/>
      <c r="N265" s="186"/>
      <c r="O265" s="16"/>
      <c r="P265" s="1"/>
    </row>
    <row r="266" spans="1:16">
      <c r="A266" s="6"/>
      <c r="B266" s="7"/>
      <c r="C266" s="67"/>
      <c r="D266" s="6"/>
      <c r="E266" s="6"/>
      <c r="F266" s="71"/>
      <c r="G266" s="9"/>
      <c r="H266" s="9"/>
      <c r="I266" s="186"/>
      <c r="J266" s="186"/>
      <c r="K266" s="1"/>
      <c r="L266" s="1"/>
      <c r="M266" s="9"/>
      <c r="N266" s="186"/>
      <c r="O266" s="16"/>
      <c r="P266" s="1"/>
    </row>
    <row r="267" spans="1:16">
      <c r="A267" s="6"/>
      <c r="B267" s="7"/>
      <c r="C267" s="67"/>
      <c r="D267" s="6"/>
      <c r="E267" s="6"/>
      <c r="F267" s="71"/>
      <c r="G267" s="9"/>
      <c r="H267" s="9"/>
      <c r="I267" s="186"/>
      <c r="J267" s="186"/>
      <c r="K267" s="1"/>
      <c r="L267" s="1"/>
      <c r="M267" s="9"/>
      <c r="N267" s="186"/>
      <c r="O267" s="16"/>
      <c r="P267" s="1"/>
    </row>
    <row r="268" spans="1:16">
      <c r="A268" s="6"/>
      <c r="B268" s="7"/>
      <c r="C268" s="67"/>
      <c r="D268" s="6"/>
      <c r="E268" s="6"/>
      <c r="F268" s="71"/>
      <c r="G268" s="9"/>
      <c r="H268" s="9"/>
      <c r="I268" s="186"/>
      <c r="J268" s="186"/>
      <c r="K268" s="1"/>
      <c r="L268" s="1"/>
      <c r="M268" s="9"/>
      <c r="N268" s="186"/>
      <c r="O268" s="16"/>
      <c r="P268" s="1"/>
    </row>
    <row r="269" spans="1:16">
      <c r="A269" s="6"/>
      <c r="B269" s="7"/>
      <c r="C269" s="67"/>
      <c r="D269" s="6"/>
      <c r="E269" s="6"/>
      <c r="F269" s="71"/>
      <c r="G269" s="9"/>
      <c r="H269" s="9"/>
      <c r="I269" s="186"/>
      <c r="J269" s="186"/>
      <c r="K269" s="1"/>
      <c r="L269" s="1"/>
      <c r="M269" s="9"/>
      <c r="N269" s="186"/>
      <c r="O269" s="16"/>
      <c r="P269" s="1"/>
    </row>
    <row r="270" spans="1:16">
      <c r="A270" s="6"/>
      <c r="B270" s="7"/>
      <c r="C270" s="67"/>
      <c r="D270" s="6"/>
      <c r="E270" s="6"/>
      <c r="F270" s="71"/>
      <c r="G270" s="9"/>
      <c r="H270" s="9"/>
      <c r="I270" s="186"/>
      <c r="J270" s="186"/>
      <c r="K270" s="1"/>
      <c r="L270" s="1"/>
      <c r="M270" s="9"/>
      <c r="N270" s="186"/>
      <c r="O270" s="16"/>
      <c r="P270" s="1"/>
    </row>
    <row r="271" spans="1:16">
      <c r="A271" s="6"/>
      <c r="B271" s="7"/>
      <c r="C271" s="67"/>
      <c r="D271" s="6"/>
      <c r="E271" s="6"/>
      <c r="F271" s="71"/>
      <c r="G271" s="9"/>
      <c r="H271" s="9"/>
      <c r="I271" s="186"/>
      <c r="J271" s="186"/>
      <c r="K271" s="1"/>
      <c r="L271" s="1"/>
      <c r="M271" s="9"/>
      <c r="N271" s="186"/>
      <c r="O271" s="16"/>
      <c r="P271" s="1"/>
    </row>
    <row r="272" spans="1:16">
      <c r="A272" s="6"/>
      <c r="B272" s="7"/>
      <c r="C272" s="67"/>
      <c r="D272" s="6"/>
      <c r="E272" s="6"/>
      <c r="F272" s="71"/>
      <c r="G272" s="9"/>
      <c r="H272" s="9"/>
      <c r="I272" s="186"/>
      <c r="J272" s="186"/>
      <c r="K272" s="1"/>
      <c r="L272" s="1"/>
      <c r="M272" s="9"/>
      <c r="N272" s="186"/>
      <c r="O272" s="16"/>
      <c r="P272" s="1"/>
    </row>
    <row r="273" spans="1:16">
      <c r="A273" s="6"/>
      <c r="B273" s="7"/>
      <c r="C273" s="67"/>
      <c r="D273" s="6"/>
      <c r="E273" s="6"/>
      <c r="F273" s="71"/>
      <c r="G273" s="9"/>
      <c r="H273" s="9"/>
      <c r="I273" s="186"/>
      <c r="J273" s="186"/>
      <c r="K273" s="1"/>
      <c r="L273" s="1"/>
      <c r="M273" s="9"/>
      <c r="N273" s="186"/>
      <c r="O273" s="16"/>
      <c r="P273" s="1"/>
    </row>
    <row r="274" spans="1:16">
      <c r="A274" s="6"/>
      <c r="B274" s="7"/>
      <c r="C274" s="67"/>
      <c r="D274" s="6"/>
      <c r="E274" s="6"/>
      <c r="F274" s="71"/>
      <c r="G274" s="9"/>
      <c r="H274" s="9"/>
      <c r="I274" s="186"/>
      <c r="J274" s="186"/>
      <c r="K274" s="1"/>
      <c r="L274" s="1"/>
      <c r="M274" s="9"/>
      <c r="N274" s="186"/>
      <c r="O274" s="16"/>
      <c r="P274" s="1"/>
    </row>
    <row r="275" spans="1:16">
      <c r="A275" s="6"/>
      <c r="B275" s="7"/>
      <c r="C275" s="67"/>
      <c r="D275" s="6"/>
      <c r="E275" s="6"/>
      <c r="F275" s="71"/>
      <c r="G275" s="9"/>
      <c r="H275" s="9"/>
      <c r="I275" s="186"/>
      <c r="J275" s="186"/>
      <c r="K275" s="1"/>
      <c r="L275" s="1"/>
      <c r="M275" s="9"/>
      <c r="N275" s="186"/>
      <c r="O275" s="16"/>
      <c r="P275" s="1"/>
    </row>
    <row r="276" spans="1:16">
      <c r="A276" s="6"/>
      <c r="B276" s="7"/>
      <c r="C276" s="67"/>
      <c r="D276" s="6"/>
      <c r="E276" s="6"/>
      <c r="F276" s="71"/>
      <c r="G276" s="9"/>
      <c r="H276" s="9"/>
      <c r="I276" s="186"/>
      <c r="J276" s="186"/>
      <c r="K276" s="1"/>
      <c r="L276" s="1"/>
      <c r="M276" s="9"/>
      <c r="N276" s="186"/>
      <c r="O276" s="16"/>
      <c r="P276" s="1"/>
    </row>
    <row r="277" spans="1:16">
      <c r="A277" s="6"/>
      <c r="B277" s="7"/>
      <c r="C277" s="67"/>
      <c r="D277" s="6"/>
      <c r="E277" s="6"/>
      <c r="F277" s="71"/>
      <c r="G277" s="9"/>
      <c r="H277" s="9"/>
      <c r="I277" s="186"/>
      <c r="J277" s="186"/>
      <c r="K277" s="1"/>
      <c r="L277" s="1"/>
      <c r="M277" s="9"/>
      <c r="N277" s="186"/>
      <c r="O277" s="16"/>
      <c r="P277" s="1"/>
    </row>
    <row r="278" spans="1:16">
      <c r="A278" s="6"/>
      <c r="B278" s="7"/>
      <c r="C278" s="67"/>
      <c r="D278" s="6"/>
      <c r="E278" s="6"/>
      <c r="F278" s="71"/>
      <c r="G278" s="9"/>
      <c r="H278" s="9"/>
      <c r="I278" s="186"/>
      <c r="J278" s="186"/>
      <c r="K278" s="1"/>
      <c r="L278" s="1"/>
      <c r="M278" s="9"/>
      <c r="N278" s="186"/>
      <c r="O278" s="16"/>
      <c r="P278" s="1"/>
    </row>
    <row r="279" spans="1:16">
      <c r="A279" s="6"/>
      <c r="B279" s="7"/>
      <c r="C279" s="67"/>
      <c r="D279" s="6"/>
      <c r="E279" s="6"/>
      <c r="F279" s="71"/>
      <c r="G279" s="9"/>
      <c r="H279" s="9"/>
      <c r="I279" s="186"/>
      <c r="J279" s="186"/>
      <c r="K279" s="1"/>
      <c r="L279" s="1"/>
      <c r="M279" s="9"/>
      <c r="N279" s="186"/>
      <c r="O279" s="16"/>
      <c r="P279" s="1"/>
    </row>
    <row r="280" spans="1:16">
      <c r="A280" s="6"/>
      <c r="B280" s="7"/>
      <c r="C280" s="67"/>
      <c r="D280" s="6"/>
      <c r="E280" s="6"/>
      <c r="F280" s="71"/>
      <c r="G280" s="9"/>
      <c r="H280" s="9"/>
      <c r="I280" s="186"/>
      <c r="J280" s="186"/>
      <c r="K280" s="1"/>
      <c r="L280" s="1"/>
      <c r="M280" s="9"/>
      <c r="N280" s="186"/>
      <c r="O280" s="16"/>
      <c r="P280" s="1"/>
    </row>
    <row r="281" spans="1:16">
      <c r="A281" s="6"/>
      <c r="B281" s="7"/>
      <c r="C281" s="67"/>
      <c r="D281" s="6"/>
      <c r="E281" s="6"/>
      <c r="F281" s="71"/>
      <c r="G281" s="9"/>
      <c r="H281" s="9"/>
      <c r="I281" s="186"/>
      <c r="J281" s="186"/>
      <c r="K281" s="1"/>
      <c r="L281" s="1"/>
      <c r="M281" s="9"/>
      <c r="N281" s="186"/>
      <c r="O281" s="16"/>
      <c r="P281" s="1"/>
    </row>
    <row r="282" spans="1:16">
      <c r="A282" s="6"/>
      <c r="B282" s="7"/>
      <c r="C282" s="67"/>
      <c r="D282" s="6"/>
      <c r="E282" s="6"/>
      <c r="F282" s="71"/>
      <c r="G282" s="9"/>
      <c r="H282" s="9"/>
      <c r="I282" s="186"/>
      <c r="J282" s="186"/>
      <c r="K282" s="1"/>
      <c r="L282" s="1"/>
      <c r="M282" s="9"/>
      <c r="N282" s="186"/>
      <c r="O282" s="16"/>
      <c r="P282" s="1"/>
    </row>
    <row r="283" spans="1:16">
      <c r="A283" s="6"/>
      <c r="B283" s="7"/>
      <c r="C283" s="67"/>
      <c r="D283" s="6"/>
      <c r="E283" s="6"/>
      <c r="F283" s="71"/>
      <c r="G283" s="9"/>
      <c r="H283" s="9"/>
      <c r="I283" s="186"/>
      <c r="J283" s="186"/>
      <c r="K283" s="1"/>
      <c r="L283" s="1"/>
      <c r="M283" s="9"/>
      <c r="N283" s="186"/>
      <c r="O283" s="16"/>
      <c r="P283" s="1"/>
    </row>
    <row r="284" spans="1:16">
      <c r="A284" s="6"/>
      <c r="B284" s="7"/>
      <c r="C284" s="67"/>
      <c r="D284" s="6"/>
      <c r="E284" s="6"/>
      <c r="F284" s="71"/>
      <c r="G284" s="9"/>
      <c r="H284" s="9"/>
      <c r="I284" s="186"/>
      <c r="J284" s="186"/>
      <c r="K284" s="1"/>
      <c r="L284" s="1"/>
      <c r="M284" s="9"/>
      <c r="N284" s="186"/>
      <c r="O284" s="16"/>
      <c r="P284" s="1"/>
    </row>
    <row r="285" spans="1:16">
      <c r="A285" s="6"/>
      <c r="B285" s="7"/>
      <c r="C285" s="67"/>
      <c r="D285" s="6"/>
      <c r="E285" s="6"/>
      <c r="F285" s="71"/>
      <c r="G285" s="9"/>
      <c r="H285" s="9"/>
      <c r="I285" s="186"/>
      <c r="J285" s="186"/>
      <c r="K285" s="1"/>
      <c r="L285" s="1"/>
      <c r="M285" s="9"/>
      <c r="N285" s="186"/>
      <c r="O285" s="16"/>
      <c r="P285" s="1"/>
    </row>
    <row r="286" spans="1:16">
      <c r="A286" s="6"/>
      <c r="B286" s="7"/>
      <c r="C286" s="67"/>
      <c r="D286" s="6"/>
      <c r="E286" s="6"/>
      <c r="F286" s="71"/>
      <c r="G286" s="9"/>
      <c r="H286" s="9"/>
      <c r="I286" s="186"/>
      <c r="J286" s="186"/>
      <c r="K286" s="1"/>
      <c r="L286" s="1"/>
      <c r="M286" s="9"/>
      <c r="N286" s="186"/>
      <c r="O286" s="16"/>
      <c r="P286" s="1"/>
    </row>
    <row r="287" spans="1:16">
      <c r="A287" s="6"/>
      <c r="B287" s="7"/>
      <c r="C287" s="67"/>
      <c r="D287" s="6"/>
      <c r="E287" s="6"/>
      <c r="F287" s="71"/>
      <c r="G287" s="9"/>
      <c r="H287" s="9"/>
      <c r="I287" s="186"/>
      <c r="J287" s="186"/>
      <c r="K287" s="1"/>
      <c r="L287" s="1"/>
      <c r="M287" s="9"/>
      <c r="N287" s="186"/>
      <c r="O287" s="16"/>
      <c r="P287" s="1"/>
    </row>
    <row r="288" spans="1:16">
      <c r="A288" s="6"/>
      <c r="B288" s="7"/>
      <c r="C288" s="67"/>
      <c r="D288" s="6"/>
      <c r="E288" s="6"/>
      <c r="F288" s="71"/>
      <c r="G288" s="9"/>
      <c r="H288" s="9"/>
      <c r="I288" s="186"/>
      <c r="J288" s="186"/>
      <c r="K288" s="1"/>
      <c r="L288" s="1"/>
      <c r="M288" s="9"/>
      <c r="N288" s="186"/>
      <c r="O288" s="16"/>
      <c r="P288" s="1"/>
    </row>
    <row r="289" spans="1:16">
      <c r="A289" s="6"/>
      <c r="B289" s="7"/>
      <c r="C289" s="67"/>
      <c r="D289" s="6"/>
      <c r="E289" s="6"/>
      <c r="F289" s="71"/>
      <c r="G289" s="9"/>
      <c r="H289" s="9"/>
      <c r="I289" s="186"/>
      <c r="J289" s="186"/>
      <c r="K289" s="1"/>
      <c r="L289" s="1"/>
      <c r="M289" s="9"/>
      <c r="N289" s="186"/>
      <c r="O289" s="16"/>
      <c r="P289" s="1"/>
    </row>
    <row r="290" spans="1:16">
      <c r="A290" s="6"/>
      <c r="B290" s="7"/>
      <c r="C290" s="67"/>
      <c r="D290" s="6"/>
      <c r="E290" s="6"/>
      <c r="F290" s="71"/>
      <c r="G290" s="9"/>
      <c r="H290" s="9"/>
      <c r="I290" s="186"/>
      <c r="J290" s="186"/>
      <c r="K290" s="1"/>
      <c r="L290" s="1"/>
      <c r="M290" s="9"/>
      <c r="N290" s="186"/>
      <c r="O290" s="16"/>
      <c r="P290" s="1"/>
    </row>
    <row r="291" spans="1:16">
      <c r="A291" s="6"/>
      <c r="B291" s="7"/>
      <c r="C291" s="67"/>
      <c r="D291" s="6"/>
      <c r="E291" s="6"/>
      <c r="F291" s="71"/>
      <c r="G291" s="9"/>
      <c r="H291" s="9"/>
      <c r="I291" s="186"/>
      <c r="J291" s="186"/>
      <c r="K291" s="1"/>
      <c r="L291" s="1"/>
      <c r="M291" s="9"/>
      <c r="N291" s="186"/>
      <c r="O291" s="16"/>
      <c r="P291" s="1"/>
    </row>
    <row r="292" spans="1:16">
      <c r="A292" s="6"/>
      <c r="B292" s="7"/>
      <c r="C292" s="67"/>
      <c r="D292" s="6"/>
      <c r="E292" s="6"/>
      <c r="F292" s="71"/>
      <c r="G292" s="9"/>
      <c r="H292" s="9"/>
      <c r="I292" s="186"/>
      <c r="J292" s="186"/>
      <c r="K292" s="1"/>
      <c r="L292" s="1"/>
      <c r="M292" s="9"/>
      <c r="N292" s="186"/>
      <c r="O292" s="16"/>
      <c r="P292" s="1"/>
    </row>
    <row r="293" spans="1:16">
      <c r="A293" s="6"/>
      <c r="B293" s="7"/>
      <c r="C293" s="67"/>
      <c r="D293" s="6"/>
      <c r="E293" s="6"/>
      <c r="F293" s="71"/>
      <c r="G293" s="9"/>
      <c r="H293" s="9"/>
      <c r="I293" s="186"/>
      <c r="J293" s="186"/>
      <c r="K293" s="1"/>
      <c r="L293" s="1"/>
      <c r="M293" s="9"/>
      <c r="N293" s="186"/>
      <c r="O293" s="16"/>
      <c r="P293" s="1"/>
    </row>
    <row r="294" spans="1:16">
      <c r="A294" s="6"/>
      <c r="B294" s="7"/>
      <c r="C294" s="67"/>
      <c r="D294" s="6"/>
      <c r="E294" s="6"/>
      <c r="F294" s="71"/>
      <c r="G294" s="9"/>
      <c r="H294" s="9"/>
      <c r="I294" s="186"/>
      <c r="J294" s="186"/>
      <c r="K294" s="1"/>
      <c r="L294" s="1"/>
      <c r="M294" s="9"/>
      <c r="N294" s="186"/>
      <c r="O294" s="16"/>
      <c r="P294" s="1"/>
    </row>
    <row r="295" spans="1:16">
      <c r="A295" s="6"/>
      <c r="B295" s="7"/>
      <c r="C295" s="67"/>
      <c r="D295" s="6"/>
      <c r="E295" s="6"/>
      <c r="F295" s="71"/>
      <c r="G295" s="9"/>
      <c r="H295" s="9"/>
      <c r="I295" s="186"/>
      <c r="J295" s="186"/>
      <c r="K295" s="1"/>
      <c r="L295" s="1"/>
      <c r="M295" s="9"/>
      <c r="N295" s="186"/>
      <c r="O295" s="16"/>
      <c r="P295" s="1"/>
    </row>
    <row r="296" spans="1:16">
      <c r="A296" s="6"/>
      <c r="B296" s="7"/>
      <c r="C296" s="67"/>
      <c r="D296" s="6"/>
      <c r="E296" s="6"/>
      <c r="F296" s="71"/>
      <c r="G296" s="9"/>
      <c r="H296" s="9"/>
      <c r="I296" s="186"/>
      <c r="J296" s="186"/>
      <c r="K296" s="1"/>
      <c r="L296" s="1"/>
      <c r="M296" s="9"/>
      <c r="N296" s="186"/>
      <c r="O296" s="16"/>
      <c r="P296" s="1"/>
    </row>
    <row r="297" spans="1:16">
      <c r="A297" s="6"/>
      <c r="B297" s="7"/>
      <c r="C297" s="67"/>
      <c r="D297" s="6"/>
      <c r="E297" s="6"/>
      <c r="F297" s="71"/>
      <c r="G297" s="9"/>
      <c r="H297" s="9"/>
      <c r="I297" s="186"/>
      <c r="J297" s="186"/>
      <c r="K297" s="1"/>
      <c r="L297" s="1"/>
      <c r="M297" s="9"/>
      <c r="N297" s="186"/>
      <c r="O297" s="16"/>
      <c r="P297" s="1"/>
    </row>
    <row r="298" spans="1:16">
      <c r="A298" s="6"/>
      <c r="B298" s="7"/>
      <c r="C298" s="67"/>
      <c r="D298" s="6"/>
      <c r="E298" s="6"/>
      <c r="F298" s="71"/>
      <c r="G298" s="9"/>
      <c r="H298" s="9"/>
      <c r="I298" s="186"/>
      <c r="J298" s="186"/>
      <c r="K298" s="1"/>
      <c r="L298" s="1"/>
      <c r="M298" s="9"/>
      <c r="N298" s="186"/>
      <c r="O298" s="16"/>
      <c r="P298" s="1"/>
    </row>
    <row r="299" spans="1:16">
      <c r="A299" s="6"/>
      <c r="B299" s="7"/>
      <c r="C299" s="67"/>
      <c r="D299" s="6"/>
      <c r="E299" s="6"/>
      <c r="F299" s="71"/>
      <c r="G299" s="9"/>
      <c r="H299" s="9"/>
      <c r="I299" s="186"/>
      <c r="J299" s="186"/>
      <c r="K299" s="1"/>
      <c r="L299" s="1"/>
      <c r="M299" s="9"/>
      <c r="N299" s="186"/>
      <c r="O299" s="16"/>
      <c r="P299" s="1"/>
    </row>
    <row r="300" spans="1:16">
      <c r="A300" s="6"/>
      <c r="B300" s="7"/>
      <c r="C300" s="67"/>
      <c r="D300" s="6"/>
      <c r="E300" s="6"/>
      <c r="F300" s="71"/>
      <c r="G300" s="9"/>
      <c r="H300" s="9"/>
      <c r="I300" s="186"/>
      <c r="J300" s="186"/>
      <c r="K300" s="1"/>
      <c r="L300" s="1"/>
      <c r="M300" s="9"/>
      <c r="N300" s="186"/>
      <c r="O300" s="16"/>
      <c r="P300" s="1"/>
    </row>
    <row r="301" spans="1:16">
      <c r="A301" s="6"/>
      <c r="B301" s="7"/>
      <c r="C301" s="67"/>
      <c r="D301" s="6"/>
      <c r="E301" s="6"/>
      <c r="F301" s="71"/>
      <c r="G301" s="9"/>
      <c r="H301" s="9"/>
      <c r="I301" s="186"/>
      <c r="J301" s="186"/>
      <c r="K301" s="1"/>
      <c r="L301" s="1"/>
      <c r="M301" s="9"/>
      <c r="N301" s="186"/>
      <c r="O301" s="16"/>
      <c r="P301" s="1"/>
    </row>
    <row r="302" spans="1:16">
      <c r="A302" s="6"/>
      <c r="B302" s="7"/>
      <c r="C302" s="67"/>
      <c r="D302" s="6"/>
      <c r="E302" s="6"/>
      <c r="F302" s="71"/>
      <c r="G302" s="9"/>
      <c r="H302" s="9"/>
      <c r="I302" s="186"/>
      <c r="J302" s="186"/>
      <c r="K302" s="1"/>
      <c r="L302" s="1"/>
      <c r="M302" s="9"/>
      <c r="N302" s="186"/>
      <c r="O302" s="16"/>
      <c r="P302" s="1"/>
    </row>
    <row r="303" spans="1:16">
      <c r="A303" s="6"/>
      <c r="B303" s="7"/>
      <c r="C303" s="67"/>
      <c r="D303" s="6"/>
      <c r="E303" s="6"/>
      <c r="F303" s="71"/>
      <c r="G303" s="9"/>
      <c r="H303" s="9"/>
      <c r="I303" s="186"/>
      <c r="J303" s="186"/>
      <c r="K303" s="1"/>
      <c r="L303" s="1"/>
      <c r="M303" s="9"/>
      <c r="N303" s="186"/>
      <c r="O303" s="16"/>
      <c r="P303" s="1"/>
    </row>
    <row r="304" spans="1:16">
      <c r="A304" s="6"/>
      <c r="B304" s="7"/>
      <c r="C304" s="67"/>
      <c r="D304" s="6"/>
      <c r="E304" s="6"/>
      <c r="F304" s="71"/>
      <c r="G304" s="9"/>
      <c r="H304" s="9"/>
      <c r="I304" s="186"/>
      <c r="J304" s="186"/>
      <c r="K304" s="1"/>
      <c r="L304" s="1"/>
      <c r="M304" s="9"/>
      <c r="N304" s="186"/>
      <c r="O304" s="16"/>
      <c r="P304" s="1"/>
    </row>
    <row r="305" spans="1:16">
      <c r="A305" s="6"/>
      <c r="B305" s="7"/>
      <c r="C305" s="67"/>
      <c r="D305" s="6"/>
      <c r="E305" s="6"/>
      <c r="F305" s="71"/>
      <c r="G305" s="9"/>
      <c r="H305" s="9"/>
      <c r="I305" s="186"/>
      <c r="J305" s="186"/>
      <c r="K305" s="1"/>
      <c r="L305" s="1"/>
      <c r="M305" s="9"/>
      <c r="N305" s="186"/>
      <c r="O305" s="16"/>
      <c r="P305" s="1"/>
    </row>
    <row r="306" spans="1:16">
      <c r="A306" s="6"/>
      <c r="B306" s="7"/>
      <c r="C306" s="67"/>
      <c r="D306" s="6"/>
      <c r="E306" s="6"/>
      <c r="F306" s="71"/>
      <c r="G306" s="9"/>
      <c r="H306" s="9"/>
      <c r="I306" s="186"/>
      <c r="J306" s="186"/>
      <c r="K306" s="1"/>
      <c r="L306" s="1"/>
      <c r="M306" s="9"/>
      <c r="N306" s="186"/>
      <c r="O306" s="16"/>
      <c r="P306" s="1"/>
    </row>
    <row r="307" spans="1:16">
      <c r="A307" s="6"/>
      <c r="B307" s="7"/>
      <c r="C307" s="67"/>
      <c r="D307" s="6"/>
      <c r="E307" s="6"/>
      <c r="F307" s="71"/>
      <c r="G307" s="9"/>
      <c r="H307" s="9"/>
      <c r="I307" s="186"/>
      <c r="J307" s="186"/>
      <c r="K307" s="1"/>
      <c r="L307" s="1"/>
      <c r="M307" s="9"/>
      <c r="N307" s="186"/>
      <c r="O307" s="16"/>
      <c r="P307" s="1"/>
    </row>
    <row r="308" spans="1:16">
      <c r="A308" s="6"/>
      <c r="B308" s="7"/>
      <c r="C308" s="67"/>
      <c r="D308" s="6"/>
      <c r="E308" s="6"/>
      <c r="F308" s="71"/>
      <c r="G308" s="9"/>
      <c r="H308" s="9"/>
      <c r="I308" s="186"/>
      <c r="J308" s="186"/>
      <c r="K308" s="1"/>
      <c r="L308" s="1"/>
      <c r="M308" s="9"/>
      <c r="N308" s="186"/>
      <c r="O308" s="16"/>
      <c r="P308" s="1"/>
    </row>
    <row r="309" spans="1:16">
      <c r="A309" s="6"/>
      <c r="B309" s="7"/>
      <c r="C309" s="67"/>
      <c r="D309" s="6"/>
      <c r="E309" s="6"/>
      <c r="F309" s="71"/>
      <c r="G309" s="9"/>
      <c r="H309" s="9"/>
      <c r="I309" s="186"/>
      <c r="J309" s="186"/>
      <c r="K309" s="1"/>
      <c r="L309" s="1"/>
      <c r="M309" s="9"/>
      <c r="N309" s="186"/>
      <c r="O309" s="16"/>
      <c r="P309" s="1"/>
    </row>
    <row r="310" spans="1:16">
      <c r="A310" s="6"/>
      <c r="B310" s="7"/>
      <c r="C310" s="67"/>
      <c r="D310" s="6"/>
      <c r="E310" s="6"/>
      <c r="F310" s="71"/>
      <c r="G310" s="9"/>
      <c r="H310" s="9"/>
      <c r="I310" s="186"/>
      <c r="J310" s="186"/>
      <c r="K310" s="1"/>
      <c r="L310" s="1"/>
      <c r="M310" s="9"/>
      <c r="N310" s="186"/>
      <c r="O310" s="16"/>
      <c r="P310" s="1"/>
    </row>
    <row r="311" spans="1:16">
      <c r="A311" s="6"/>
      <c r="B311" s="7"/>
      <c r="C311" s="67"/>
      <c r="D311" s="6"/>
      <c r="E311" s="6"/>
      <c r="F311" s="71"/>
      <c r="G311" s="9"/>
      <c r="H311" s="9"/>
      <c r="I311" s="186"/>
      <c r="J311" s="186"/>
      <c r="K311" s="1"/>
      <c r="L311" s="1"/>
      <c r="M311" s="9"/>
      <c r="N311" s="186"/>
      <c r="O311" s="16"/>
      <c r="P311" s="1"/>
    </row>
    <row r="312" spans="1:16">
      <c r="A312" s="6"/>
      <c r="B312" s="7"/>
      <c r="C312" s="67"/>
      <c r="D312" s="6"/>
      <c r="E312" s="6"/>
      <c r="F312" s="71"/>
      <c r="G312" s="9"/>
      <c r="H312" s="9"/>
      <c r="I312" s="186"/>
      <c r="J312" s="186"/>
      <c r="K312" s="1"/>
      <c r="L312" s="1"/>
      <c r="M312" s="9"/>
      <c r="N312" s="186"/>
      <c r="O312" s="16"/>
      <c r="P312" s="1"/>
    </row>
    <row r="313" spans="1:16">
      <c r="A313" s="6"/>
      <c r="B313" s="7"/>
      <c r="C313" s="67"/>
      <c r="D313" s="6"/>
      <c r="E313" s="6"/>
      <c r="F313" s="71"/>
      <c r="G313" s="9"/>
      <c r="H313" s="9"/>
      <c r="I313" s="186"/>
      <c r="J313" s="186"/>
      <c r="K313" s="1"/>
      <c r="L313" s="1"/>
      <c r="M313" s="9"/>
      <c r="N313" s="186"/>
      <c r="O313" s="16"/>
      <c r="P313" s="1"/>
    </row>
    <row r="314" spans="1:16">
      <c r="A314" s="6"/>
      <c r="B314" s="7"/>
      <c r="C314" s="67"/>
      <c r="D314" s="6"/>
      <c r="E314" s="6"/>
      <c r="F314" s="71"/>
      <c r="G314" s="9"/>
      <c r="H314" s="9"/>
      <c r="I314" s="186"/>
      <c r="J314" s="186"/>
      <c r="K314" s="1"/>
      <c r="L314" s="1"/>
      <c r="M314" s="9"/>
      <c r="N314" s="186"/>
      <c r="O314" s="16"/>
      <c r="P314" s="1"/>
    </row>
    <row r="315" spans="1:16">
      <c r="A315" s="6"/>
      <c r="B315" s="7"/>
      <c r="C315" s="67"/>
      <c r="D315" s="6"/>
      <c r="E315" s="6"/>
      <c r="F315" s="71"/>
      <c r="G315" s="9"/>
      <c r="H315" s="9"/>
      <c r="I315" s="186"/>
      <c r="J315" s="186"/>
      <c r="K315" s="1"/>
      <c r="L315" s="1"/>
      <c r="M315" s="9"/>
      <c r="N315" s="186"/>
      <c r="O315" s="16"/>
      <c r="P315" s="1"/>
    </row>
    <row r="316" spans="1:16">
      <c r="A316" s="6"/>
      <c r="B316" s="7"/>
      <c r="C316" s="67"/>
      <c r="D316" s="6"/>
      <c r="E316" s="6"/>
      <c r="F316" s="71"/>
      <c r="G316" s="9"/>
      <c r="H316" s="9"/>
      <c r="I316" s="186"/>
      <c r="J316" s="186"/>
      <c r="K316" s="1"/>
      <c r="L316" s="1"/>
      <c r="M316" s="9"/>
      <c r="N316" s="186"/>
      <c r="O316" s="16"/>
      <c r="P316" s="1"/>
    </row>
    <row r="317" spans="1:16">
      <c r="A317" s="6"/>
      <c r="B317" s="7"/>
      <c r="C317" s="67"/>
      <c r="D317" s="6"/>
      <c r="E317" s="6"/>
      <c r="F317" s="71"/>
      <c r="G317" s="9"/>
      <c r="H317" s="9"/>
      <c r="I317" s="186"/>
      <c r="J317" s="186"/>
      <c r="K317" s="1"/>
      <c r="L317" s="1"/>
      <c r="M317" s="9"/>
      <c r="N317" s="186"/>
      <c r="O317" s="16"/>
      <c r="P317" s="1"/>
    </row>
    <row r="318" spans="1:16">
      <c r="A318" s="6"/>
      <c r="B318" s="7"/>
      <c r="C318" s="67"/>
      <c r="D318" s="6"/>
      <c r="E318" s="6"/>
      <c r="F318" s="71"/>
      <c r="G318" s="9"/>
      <c r="H318" s="9"/>
      <c r="I318" s="186"/>
      <c r="J318" s="186"/>
      <c r="K318" s="1"/>
      <c r="L318" s="1"/>
      <c r="M318" s="9"/>
      <c r="N318" s="186"/>
      <c r="O318" s="16"/>
      <c r="P318" s="1"/>
    </row>
    <row r="319" spans="1:16">
      <c r="A319" s="6"/>
      <c r="B319" s="7"/>
      <c r="C319" s="67"/>
      <c r="D319" s="6"/>
      <c r="E319" s="6"/>
      <c r="F319" s="71"/>
      <c r="G319" s="9"/>
      <c r="H319" s="9"/>
      <c r="I319" s="186"/>
      <c r="J319" s="186"/>
      <c r="K319" s="1"/>
      <c r="L319" s="1"/>
      <c r="M319" s="9"/>
      <c r="N319" s="186"/>
      <c r="O319" s="16"/>
      <c r="P319" s="1"/>
    </row>
    <row r="320" spans="1:16">
      <c r="A320" s="6"/>
      <c r="B320" s="7"/>
      <c r="C320" s="67"/>
      <c r="D320" s="6"/>
      <c r="E320" s="6"/>
      <c r="F320" s="71"/>
      <c r="G320" s="9"/>
      <c r="H320" s="9"/>
      <c r="I320" s="186"/>
      <c r="J320" s="186"/>
      <c r="K320" s="1"/>
      <c r="L320" s="1"/>
      <c r="M320" s="9"/>
      <c r="N320" s="186"/>
      <c r="O320" s="16"/>
      <c r="P320" s="1"/>
    </row>
    <row r="321" spans="1:16">
      <c r="A321" s="6"/>
      <c r="B321" s="7"/>
      <c r="C321" s="67"/>
      <c r="D321" s="6"/>
      <c r="E321" s="6"/>
      <c r="F321" s="71"/>
      <c r="G321" s="9"/>
      <c r="H321" s="9"/>
      <c r="I321" s="186"/>
      <c r="J321" s="186"/>
      <c r="K321" s="1"/>
      <c r="L321" s="1"/>
      <c r="M321" s="9"/>
      <c r="N321" s="186"/>
      <c r="O321" s="16"/>
      <c r="P321" s="1"/>
    </row>
    <row r="322" spans="1:16">
      <c r="A322" s="6"/>
      <c r="B322" s="7"/>
      <c r="C322" s="67"/>
      <c r="D322" s="6"/>
      <c r="E322" s="6"/>
      <c r="F322" s="71"/>
      <c r="G322" s="9"/>
      <c r="H322" s="9"/>
      <c r="I322" s="186"/>
      <c r="J322" s="186"/>
      <c r="K322" s="1"/>
      <c r="L322" s="1"/>
      <c r="M322" s="9"/>
      <c r="N322" s="186"/>
      <c r="O322" s="16"/>
      <c r="P322" s="1"/>
    </row>
    <row r="323" spans="1:16">
      <c r="A323" s="6"/>
      <c r="B323" s="7"/>
      <c r="C323" s="67"/>
      <c r="D323" s="6"/>
      <c r="E323" s="6"/>
      <c r="F323" s="71"/>
      <c r="G323" s="9"/>
      <c r="H323" s="9"/>
      <c r="I323" s="186"/>
      <c r="J323" s="186"/>
      <c r="K323" s="1"/>
      <c r="L323" s="1"/>
      <c r="M323" s="9"/>
      <c r="N323" s="186"/>
      <c r="O323" s="16"/>
      <c r="P323" s="1"/>
    </row>
    <row r="324" spans="1:16">
      <c r="A324" s="6"/>
      <c r="B324" s="7"/>
      <c r="C324" s="67"/>
      <c r="D324" s="6"/>
      <c r="E324" s="6"/>
      <c r="F324" s="71"/>
      <c r="G324" s="9"/>
      <c r="H324" s="9"/>
      <c r="I324" s="186"/>
      <c r="J324" s="186"/>
      <c r="K324" s="1"/>
      <c r="L324" s="1"/>
      <c r="M324" s="9"/>
      <c r="N324" s="186"/>
      <c r="O324" s="16"/>
      <c r="P324" s="1"/>
    </row>
    <row r="325" spans="1:16">
      <c r="A325" s="6"/>
      <c r="B325" s="7"/>
      <c r="C325" s="67"/>
      <c r="D325" s="6"/>
      <c r="E325" s="6"/>
      <c r="F325" s="71"/>
      <c r="G325" s="9"/>
      <c r="H325" s="9"/>
      <c r="I325" s="186"/>
      <c r="J325" s="186"/>
      <c r="K325" s="1"/>
      <c r="L325" s="1"/>
      <c r="M325" s="9"/>
      <c r="N325" s="186"/>
      <c r="O325" s="16"/>
      <c r="P325" s="1"/>
    </row>
    <row r="326" spans="1:16">
      <c r="A326" s="6"/>
      <c r="B326" s="7"/>
      <c r="C326" s="67"/>
      <c r="D326" s="6"/>
      <c r="E326" s="6"/>
      <c r="F326" s="71"/>
      <c r="G326" s="9"/>
      <c r="H326" s="9"/>
      <c r="I326" s="186"/>
      <c r="J326" s="186"/>
      <c r="K326" s="1"/>
      <c r="L326" s="1"/>
      <c r="M326" s="9"/>
      <c r="N326" s="186"/>
      <c r="O326" s="16"/>
      <c r="P326" s="1"/>
    </row>
    <row r="327" spans="1:16">
      <c r="A327" s="6"/>
      <c r="B327" s="7"/>
      <c r="C327" s="67"/>
      <c r="D327" s="6"/>
      <c r="E327" s="6"/>
      <c r="F327" s="71"/>
      <c r="G327" s="9"/>
      <c r="H327" s="9"/>
      <c r="I327" s="186"/>
      <c r="J327" s="186"/>
      <c r="K327" s="1"/>
      <c r="L327" s="1"/>
      <c r="M327" s="9"/>
      <c r="N327" s="186"/>
      <c r="O327" s="16"/>
      <c r="P327" s="1"/>
    </row>
    <row r="328" spans="1:16">
      <c r="A328" s="6"/>
      <c r="B328" s="7"/>
      <c r="C328" s="67"/>
      <c r="D328" s="6"/>
      <c r="E328" s="6"/>
      <c r="F328" s="71"/>
      <c r="G328" s="9"/>
      <c r="H328" s="9"/>
      <c r="I328" s="186"/>
      <c r="J328" s="186"/>
      <c r="K328" s="1"/>
      <c r="L328" s="1"/>
      <c r="M328" s="9"/>
      <c r="N328" s="186"/>
      <c r="O328" s="16"/>
      <c r="P328" s="1"/>
    </row>
    <row r="329" spans="1:16">
      <c r="A329" s="6"/>
      <c r="B329" s="7"/>
      <c r="C329" s="67"/>
      <c r="D329" s="192"/>
      <c r="E329" s="6"/>
      <c r="F329" s="71"/>
      <c r="G329" s="9"/>
      <c r="H329" s="9"/>
      <c r="I329" s="186"/>
      <c r="J329" s="186"/>
      <c r="K329" s="1"/>
      <c r="L329" s="1"/>
      <c r="M329" s="9"/>
      <c r="N329" s="186"/>
      <c r="O329" s="16"/>
      <c r="P329" s="1"/>
    </row>
    <row r="330" spans="1:16">
      <c r="A330" s="6"/>
      <c r="B330" s="7"/>
      <c r="C330" s="67"/>
      <c r="D330" s="6"/>
      <c r="E330" s="6"/>
      <c r="F330" s="71"/>
      <c r="G330" s="9"/>
      <c r="H330" s="9"/>
      <c r="I330" s="186"/>
      <c r="J330" s="186"/>
      <c r="K330" s="1"/>
      <c r="L330" s="1"/>
      <c r="M330" s="9"/>
      <c r="N330" s="186"/>
      <c r="O330" s="16"/>
      <c r="P330" s="1"/>
    </row>
    <row r="331" spans="1:16">
      <c r="A331" s="6"/>
      <c r="B331" s="7"/>
      <c r="C331" s="67"/>
      <c r="D331" s="6"/>
      <c r="E331" s="6"/>
      <c r="F331" s="71"/>
      <c r="G331" s="9"/>
      <c r="H331" s="9"/>
      <c r="I331" s="186"/>
      <c r="J331" s="186"/>
      <c r="K331" s="1"/>
      <c r="L331" s="1"/>
      <c r="M331" s="9"/>
      <c r="N331" s="186"/>
      <c r="O331" s="16"/>
      <c r="P331" s="1"/>
    </row>
    <row r="332" spans="1:16">
      <c r="A332" s="6"/>
      <c r="B332" s="7"/>
      <c r="C332" s="67"/>
      <c r="D332" s="6"/>
      <c r="E332" s="6"/>
      <c r="F332" s="71"/>
      <c r="G332" s="9"/>
      <c r="H332" s="9"/>
      <c r="I332" s="186"/>
      <c r="J332" s="186"/>
      <c r="K332" s="1"/>
      <c r="L332" s="1"/>
      <c r="M332" s="9"/>
      <c r="N332" s="186"/>
      <c r="O332" s="16"/>
      <c r="P332" s="1"/>
    </row>
    <row r="333" spans="1:16">
      <c r="A333" s="6"/>
      <c r="B333" s="7"/>
      <c r="C333" s="67"/>
      <c r="D333" s="6"/>
      <c r="E333" s="6"/>
      <c r="F333" s="71"/>
      <c r="G333" s="9"/>
      <c r="H333" s="9"/>
      <c r="I333" s="186"/>
      <c r="J333" s="186"/>
      <c r="K333" s="1"/>
      <c r="L333" s="1"/>
      <c r="M333" s="9"/>
      <c r="N333" s="186"/>
      <c r="O333" s="16"/>
      <c r="P333" s="1"/>
    </row>
    <row r="334" spans="1:16">
      <c r="A334" s="6"/>
      <c r="B334" s="7"/>
      <c r="C334" s="67"/>
      <c r="D334" s="6"/>
      <c r="E334" s="6"/>
      <c r="F334" s="71"/>
      <c r="G334" s="9"/>
      <c r="H334" s="9"/>
      <c r="I334" s="186"/>
      <c r="J334" s="186"/>
      <c r="K334" s="1"/>
      <c r="L334" s="1"/>
      <c r="M334" s="9"/>
      <c r="N334" s="186"/>
      <c r="O334" s="16"/>
      <c r="P334" s="1"/>
    </row>
    <row r="335" spans="1:16">
      <c r="A335" s="6"/>
      <c r="B335" s="7"/>
      <c r="C335" s="67"/>
      <c r="D335" s="6"/>
      <c r="E335" s="6"/>
      <c r="F335" s="71"/>
      <c r="G335" s="9"/>
      <c r="H335" s="9"/>
      <c r="I335" s="186"/>
      <c r="J335" s="186"/>
      <c r="K335" s="1"/>
      <c r="L335" s="1"/>
      <c r="M335" s="9"/>
      <c r="N335" s="186"/>
      <c r="O335" s="16"/>
      <c r="P335" s="1"/>
    </row>
    <row r="336" spans="1:16">
      <c r="A336" s="6"/>
      <c r="B336" s="7"/>
      <c r="C336" s="67"/>
      <c r="D336" s="6"/>
      <c r="E336" s="6"/>
      <c r="F336" s="71"/>
      <c r="G336" s="9"/>
      <c r="H336" s="9"/>
      <c r="I336" s="186"/>
      <c r="J336" s="186"/>
      <c r="K336" s="1"/>
      <c r="L336" s="1"/>
      <c r="M336" s="9"/>
      <c r="N336" s="186"/>
      <c r="O336" s="16"/>
      <c r="P336" s="1"/>
    </row>
    <row r="337" spans="1:16">
      <c r="A337" s="6"/>
      <c r="B337" s="7"/>
      <c r="C337" s="67"/>
      <c r="D337" s="6"/>
      <c r="E337" s="6"/>
      <c r="F337" s="71"/>
      <c r="G337" s="9"/>
      <c r="H337" s="9"/>
      <c r="I337" s="186"/>
      <c r="J337" s="186"/>
      <c r="K337" s="1"/>
      <c r="L337" s="1"/>
      <c r="M337" s="9"/>
      <c r="N337" s="186"/>
      <c r="O337" s="16"/>
      <c r="P337" s="1"/>
    </row>
    <row r="338" spans="1:16">
      <c r="A338" s="6"/>
      <c r="B338" s="7"/>
      <c r="C338" s="67"/>
      <c r="D338" s="6"/>
      <c r="E338" s="6"/>
      <c r="F338" s="71"/>
      <c r="G338" s="9"/>
      <c r="H338" s="9"/>
      <c r="I338" s="186"/>
      <c r="J338" s="186"/>
      <c r="K338" s="1"/>
      <c r="L338" s="1"/>
      <c r="M338" s="9"/>
      <c r="N338" s="186"/>
      <c r="O338" s="16"/>
      <c r="P338" s="1"/>
    </row>
    <row r="339" spans="1:16">
      <c r="A339" s="6"/>
      <c r="B339" s="7"/>
      <c r="C339" s="67"/>
      <c r="D339" s="6"/>
      <c r="E339" s="6"/>
      <c r="F339" s="71"/>
      <c r="G339" s="9"/>
      <c r="H339" s="9"/>
      <c r="I339" s="186"/>
      <c r="J339" s="186"/>
      <c r="K339" s="1"/>
      <c r="L339" s="1"/>
      <c r="M339" s="9"/>
      <c r="N339" s="186"/>
      <c r="O339" s="16"/>
      <c r="P339" s="1"/>
    </row>
    <row r="340" spans="1:16">
      <c r="A340" s="6"/>
      <c r="B340" s="7"/>
      <c r="C340" s="67"/>
      <c r="D340" s="6"/>
      <c r="E340" s="6"/>
      <c r="F340" s="71"/>
      <c r="G340" s="9"/>
      <c r="H340" s="9"/>
      <c r="I340" s="186"/>
      <c r="J340" s="186"/>
      <c r="K340" s="1"/>
      <c r="L340" s="1"/>
      <c r="M340" s="9"/>
      <c r="N340" s="186"/>
      <c r="O340" s="16"/>
      <c r="P340" s="1"/>
    </row>
    <row r="341" spans="1:16">
      <c r="A341" s="6"/>
      <c r="B341" s="7"/>
      <c r="C341" s="67"/>
      <c r="D341" s="6"/>
      <c r="E341" s="6"/>
      <c r="F341" s="71"/>
      <c r="G341" s="9"/>
      <c r="H341" s="9"/>
      <c r="I341" s="186"/>
      <c r="J341" s="186"/>
      <c r="K341" s="1"/>
      <c r="L341" s="1"/>
      <c r="M341" s="9"/>
      <c r="N341" s="186"/>
      <c r="O341" s="16"/>
      <c r="P341" s="1"/>
    </row>
    <row r="342" spans="1:16">
      <c r="A342" s="6"/>
      <c r="B342" s="7"/>
      <c r="C342" s="67"/>
      <c r="D342" s="6"/>
      <c r="E342" s="6"/>
      <c r="F342" s="71"/>
      <c r="G342" s="9"/>
      <c r="H342" s="9"/>
      <c r="I342" s="186"/>
      <c r="J342" s="186"/>
      <c r="K342" s="1"/>
      <c r="L342" s="1"/>
      <c r="M342" s="9"/>
      <c r="N342" s="186"/>
      <c r="O342" s="16"/>
      <c r="P342" s="1"/>
    </row>
    <row r="343" spans="1:16">
      <c r="A343" s="6"/>
      <c r="B343" s="7"/>
      <c r="C343" s="67"/>
      <c r="D343" s="6"/>
      <c r="E343" s="6"/>
      <c r="F343" s="71"/>
      <c r="G343" s="9"/>
      <c r="H343" s="9"/>
      <c r="I343" s="186"/>
      <c r="J343" s="186"/>
      <c r="K343" s="1"/>
      <c r="L343" s="1"/>
      <c r="M343" s="9"/>
      <c r="N343" s="186"/>
      <c r="O343" s="16"/>
      <c r="P343" s="1"/>
    </row>
    <row r="344" spans="1:16">
      <c r="A344" s="6"/>
      <c r="B344" s="7"/>
      <c r="C344" s="67"/>
      <c r="D344" s="6"/>
      <c r="E344" s="6"/>
      <c r="F344" s="71"/>
      <c r="G344" s="9"/>
      <c r="H344" s="9"/>
      <c r="I344" s="186"/>
      <c r="J344" s="186"/>
      <c r="K344" s="1"/>
      <c r="L344" s="1"/>
      <c r="M344" s="9"/>
      <c r="N344" s="186"/>
      <c r="O344" s="16"/>
      <c r="P344" s="1"/>
    </row>
    <row r="345" spans="1:16">
      <c r="A345" s="6"/>
      <c r="B345" s="7"/>
      <c r="C345" s="67"/>
      <c r="D345" s="6"/>
      <c r="E345" s="6"/>
      <c r="F345" s="71"/>
      <c r="G345" s="9"/>
      <c r="H345" s="9"/>
      <c r="I345" s="186"/>
      <c r="J345" s="186"/>
      <c r="K345" s="1"/>
      <c r="L345" s="1"/>
      <c r="M345" s="9"/>
      <c r="N345" s="186"/>
      <c r="O345" s="16"/>
      <c r="P345" s="1"/>
    </row>
    <row r="346" spans="1:16">
      <c r="A346" s="6"/>
      <c r="B346" s="7"/>
      <c r="C346" s="67"/>
      <c r="D346" s="6"/>
      <c r="E346" s="6"/>
      <c r="F346" s="9"/>
      <c r="G346" s="9"/>
      <c r="H346" s="9"/>
      <c r="I346" s="186"/>
      <c r="J346" s="186"/>
      <c r="K346" s="1"/>
      <c r="L346" s="1"/>
      <c r="M346" s="9"/>
      <c r="N346" s="186"/>
      <c r="O346" s="16"/>
      <c r="P346" s="1"/>
    </row>
    <row r="347" spans="1:16">
      <c r="A347" s="6"/>
      <c r="B347" s="68"/>
      <c r="C347" s="67"/>
      <c r="D347" s="67"/>
      <c r="E347" s="67"/>
      <c r="F347" s="71"/>
      <c r="G347" s="9"/>
      <c r="H347" s="9"/>
      <c r="I347" s="186"/>
      <c r="J347" s="186"/>
      <c r="K347" s="1"/>
      <c r="L347" s="1"/>
      <c r="M347" s="9"/>
      <c r="N347" s="186"/>
      <c r="O347" s="16"/>
      <c r="P347" s="1"/>
    </row>
    <row r="348" spans="1:16">
      <c r="A348" s="6"/>
      <c r="B348" s="68"/>
      <c r="C348" s="67"/>
      <c r="D348" s="67"/>
      <c r="E348" s="67"/>
      <c r="F348" s="71"/>
      <c r="G348" s="9"/>
      <c r="H348" s="9"/>
      <c r="I348" s="186"/>
      <c r="J348" s="186"/>
      <c r="K348" s="1"/>
      <c r="L348" s="1"/>
      <c r="M348" s="9"/>
      <c r="N348" s="186"/>
      <c r="O348" s="16"/>
      <c r="P348" s="1"/>
    </row>
    <row r="349" spans="1:16">
      <c r="A349" s="6"/>
      <c r="B349" s="68"/>
      <c r="C349" s="67"/>
      <c r="D349" s="67"/>
      <c r="E349" s="67"/>
      <c r="F349" s="71"/>
      <c r="G349" s="72"/>
      <c r="H349" s="72"/>
      <c r="I349" s="186"/>
      <c r="J349" s="186"/>
      <c r="K349" s="1"/>
      <c r="L349" s="1"/>
      <c r="M349" s="9"/>
      <c r="N349" s="186"/>
      <c r="O349" s="16"/>
      <c r="P349" s="1"/>
    </row>
    <row r="350" spans="1:16">
      <c r="A350" s="6"/>
      <c r="B350" s="68"/>
      <c r="C350" s="67"/>
      <c r="D350" s="67"/>
      <c r="E350" s="67"/>
      <c r="F350" s="71"/>
      <c r="G350" s="72"/>
      <c r="H350" s="72"/>
      <c r="I350" s="186"/>
      <c r="J350" s="186"/>
      <c r="K350" s="1"/>
      <c r="L350" s="1"/>
      <c r="M350" s="9"/>
      <c r="N350" s="186"/>
      <c r="O350" s="16"/>
      <c r="P350" s="1"/>
    </row>
    <row r="351" spans="1:16">
      <c r="A351" s="6"/>
      <c r="B351" s="68"/>
      <c r="C351" s="67"/>
      <c r="D351" s="67"/>
      <c r="E351" s="67"/>
      <c r="F351" s="71"/>
      <c r="G351" s="72"/>
      <c r="H351" s="72"/>
      <c r="I351" s="186"/>
      <c r="J351" s="186"/>
      <c r="K351" s="1"/>
      <c r="L351" s="1"/>
      <c r="M351" s="9"/>
      <c r="N351" s="186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2"/>
      <c r="H352" s="72"/>
      <c r="I352" s="186"/>
      <c r="J352" s="186"/>
      <c r="K352" s="1"/>
      <c r="L352" s="1"/>
      <c r="M352" s="9"/>
      <c r="N352" s="186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2"/>
      <c r="H353" s="72"/>
      <c r="I353" s="186"/>
      <c r="J353" s="186"/>
      <c r="K353" s="1"/>
      <c r="L353" s="1"/>
      <c r="M353" s="9"/>
      <c r="N353" s="186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6"/>
      <c r="J354" s="186"/>
      <c r="K354" s="1"/>
      <c r="L354" s="1"/>
      <c r="M354" s="9"/>
      <c r="N354" s="186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2"/>
      <c r="H355" s="72"/>
      <c r="I355" s="186"/>
      <c r="J355" s="186"/>
      <c r="K355" s="1"/>
      <c r="L355" s="1"/>
      <c r="M355" s="9"/>
      <c r="N355" s="186"/>
      <c r="O355" s="16"/>
      <c r="P355" s="1"/>
    </row>
    <row r="356" spans="1:16">
      <c r="A356" s="6"/>
      <c r="B356" s="68"/>
      <c r="C356" s="67"/>
      <c r="D356" s="67"/>
      <c r="E356" s="67"/>
      <c r="F356" s="71"/>
      <c r="G356" s="72"/>
      <c r="H356" s="72"/>
      <c r="I356" s="186"/>
      <c r="J356" s="186"/>
      <c r="K356" s="1"/>
      <c r="L356" s="1"/>
      <c r="M356" s="9"/>
      <c r="N356" s="186"/>
      <c r="O356" s="16"/>
      <c r="P356" s="1"/>
    </row>
    <row r="357" spans="1:16">
      <c r="A357" s="6"/>
      <c r="B357" s="68"/>
      <c r="C357" s="67"/>
      <c r="D357" s="67"/>
      <c r="E357" s="67"/>
      <c r="F357" s="71"/>
      <c r="G357" s="9"/>
      <c r="H357" s="9"/>
      <c r="I357" s="186"/>
      <c r="J357" s="186"/>
      <c r="K357" s="1"/>
      <c r="L357" s="1"/>
      <c r="M357" s="9"/>
      <c r="N357" s="186"/>
      <c r="O357" s="16"/>
      <c r="P357" s="1"/>
    </row>
    <row r="358" spans="1:16">
      <c r="A358" s="6"/>
      <c r="B358" s="68"/>
      <c r="C358" s="67"/>
      <c r="D358" s="67"/>
      <c r="E358" s="67"/>
      <c r="F358" s="71"/>
      <c r="G358" s="72"/>
      <c r="H358" s="72"/>
      <c r="I358" s="186"/>
      <c r="J358" s="186"/>
      <c r="K358" s="1"/>
      <c r="L358" s="1"/>
      <c r="M358" s="9"/>
      <c r="N358" s="186"/>
      <c r="O358" s="16"/>
      <c r="P358" s="1"/>
    </row>
    <row r="359" spans="1:16">
      <c r="A359" s="6"/>
      <c r="B359" s="68"/>
      <c r="C359" s="67"/>
      <c r="D359" s="67"/>
      <c r="E359" s="67"/>
      <c r="F359" s="71"/>
      <c r="G359" s="72"/>
      <c r="H359" s="72"/>
      <c r="I359" s="186"/>
      <c r="J359" s="186"/>
      <c r="K359" s="1"/>
      <c r="L359" s="1"/>
      <c r="M359" s="9"/>
      <c r="N359" s="186"/>
      <c r="O359" s="16"/>
      <c r="P359" s="1"/>
    </row>
    <row r="360" spans="1:16">
      <c r="A360" s="6"/>
      <c r="B360" s="68"/>
      <c r="C360" s="67"/>
      <c r="D360" s="67"/>
      <c r="E360" s="67"/>
      <c r="F360" s="71"/>
      <c r="G360" s="72"/>
      <c r="H360" s="72"/>
      <c r="I360" s="186"/>
      <c r="J360" s="186"/>
      <c r="K360" s="1"/>
      <c r="L360" s="1"/>
      <c r="M360" s="9"/>
      <c r="N360" s="186"/>
      <c r="O360" s="16"/>
      <c r="P360" s="1"/>
    </row>
    <row r="361" spans="1:16">
      <c r="A361" s="6"/>
      <c r="B361" s="68"/>
      <c r="C361" s="67"/>
      <c r="D361" s="67"/>
      <c r="E361" s="67"/>
      <c r="F361" s="71"/>
      <c r="G361" s="72"/>
      <c r="H361" s="72"/>
      <c r="I361" s="186"/>
      <c r="J361" s="186"/>
      <c r="K361" s="1"/>
      <c r="L361" s="1"/>
      <c r="M361" s="9"/>
      <c r="N361" s="186"/>
      <c r="O361" s="16"/>
      <c r="P361" s="1"/>
    </row>
    <row r="362" spans="1:16">
      <c r="A362" s="6"/>
      <c r="B362" s="68"/>
      <c r="C362" s="67"/>
      <c r="D362" s="67"/>
      <c r="E362" s="67"/>
      <c r="F362" s="71"/>
      <c r="G362" s="72"/>
      <c r="H362" s="72"/>
      <c r="I362" s="186"/>
      <c r="J362" s="186"/>
      <c r="K362" s="1"/>
      <c r="L362" s="1"/>
      <c r="M362" s="9"/>
      <c r="N362" s="186"/>
      <c r="O362" s="16"/>
      <c r="P362" s="1"/>
    </row>
    <row r="363" spans="1:16">
      <c r="A363" s="6"/>
      <c r="B363" s="68"/>
      <c r="C363" s="67"/>
      <c r="D363" s="67"/>
      <c r="E363" s="67"/>
      <c r="F363" s="71"/>
      <c r="G363" s="72"/>
      <c r="H363" s="72"/>
      <c r="I363" s="186"/>
      <c r="J363" s="186"/>
      <c r="K363" s="1"/>
      <c r="L363" s="1"/>
      <c r="M363" s="9"/>
      <c r="N363" s="186"/>
      <c r="O363" s="16"/>
      <c r="P363" s="1"/>
    </row>
    <row r="364" spans="1:16">
      <c r="A364" s="6"/>
      <c r="B364" s="68"/>
      <c r="C364" s="67"/>
      <c r="D364" s="67"/>
      <c r="E364" s="67"/>
      <c r="F364" s="71"/>
      <c r="G364" s="72"/>
      <c r="H364" s="72"/>
      <c r="I364" s="186"/>
      <c r="J364" s="186"/>
      <c r="K364" s="1"/>
      <c r="L364" s="1"/>
      <c r="M364" s="9"/>
      <c r="N364" s="186"/>
      <c r="O364" s="16"/>
      <c r="P364" s="1"/>
    </row>
    <row r="365" spans="1:16">
      <c r="A365" s="6"/>
      <c r="B365" s="68"/>
      <c r="C365" s="67"/>
      <c r="D365" s="67"/>
      <c r="E365" s="67"/>
      <c r="F365" s="71"/>
      <c r="G365" s="72"/>
      <c r="H365" s="72"/>
      <c r="I365" s="186"/>
      <c r="J365" s="186"/>
      <c r="K365" s="1"/>
      <c r="L365" s="1"/>
      <c r="M365" s="9"/>
      <c r="N365" s="186"/>
      <c r="O365" s="16"/>
      <c r="P365" s="1"/>
    </row>
    <row r="366" spans="1:16">
      <c r="A366" s="6"/>
      <c r="B366" s="68"/>
      <c r="C366" s="67"/>
      <c r="D366" s="67"/>
      <c r="E366" s="67"/>
      <c r="F366" s="71"/>
      <c r="G366" s="72"/>
      <c r="H366" s="72"/>
      <c r="I366" s="186"/>
      <c r="J366" s="186"/>
      <c r="K366" s="1"/>
      <c r="L366" s="1"/>
      <c r="M366" s="9"/>
      <c r="N366" s="186"/>
      <c r="O366" s="16"/>
      <c r="P366" s="1"/>
    </row>
    <row r="367" spans="1:16">
      <c r="A367" s="6"/>
      <c r="B367" s="68"/>
      <c r="C367" s="67"/>
      <c r="D367" s="67"/>
      <c r="E367" s="67"/>
      <c r="F367" s="71"/>
      <c r="G367" s="72"/>
      <c r="H367" s="72"/>
      <c r="I367" s="186"/>
      <c r="J367" s="186"/>
      <c r="K367" s="1"/>
      <c r="L367" s="1"/>
      <c r="M367" s="9"/>
      <c r="N367" s="186"/>
      <c r="O367" s="16"/>
      <c r="P367" s="1"/>
    </row>
    <row r="368" spans="1:16">
      <c r="A368" s="6"/>
      <c r="B368" s="68"/>
      <c r="C368" s="67"/>
      <c r="D368" s="67"/>
      <c r="E368" s="67"/>
      <c r="F368" s="71"/>
      <c r="G368" s="72"/>
      <c r="H368" s="72"/>
      <c r="I368" s="186"/>
      <c r="J368" s="186"/>
      <c r="K368" s="1"/>
      <c r="L368" s="1"/>
      <c r="M368" s="9"/>
      <c r="N368" s="186"/>
      <c r="O368" s="16"/>
      <c r="P368" s="1"/>
    </row>
    <row r="369" spans="1:16">
      <c r="A369" s="6"/>
      <c r="B369" s="68"/>
      <c r="C369" s="67"/>
      <c r="D369" s="67"/>
      <c r="E369" s="67"/>
      <c r="F369" s="71"/>
      <c r="G369" s="72"/>
      <c r="H369" s="72"/>
      <c r="I369" s="186"/>
      <c r="J369" s="186"/>
      <c r="K369" s="1"/>
      <c r="L369" s="1"/>
      <c r="M369" s="9"/>
      <c r="N369" s="186"/>
      <c r="O369" s="16"/>
      <c r="P369" s="1"/>
    </row>
    <row r="370" spans="1:16">
      <c r="A370" s="6"/>
      <c r="B370" s="68"/>
      <c r="C370" s="67"/>
      <c r="D370" s="67"/>
      <c r="E370" s="67"/>
      <c r="F370" s="71"/>
      <c r="G370" s="72"/>
      <c r="H370" s="72"/>
      <c r="I370" s="186"/>
      <c r="J370" s="186"/>
      <c r="K370" s="1"/>
      <c r="L370" s="1"/>
      <c r="M370" s="9"/>
      <c r="N370" s="186"/>
      <c r="O370" s="16"/>
      <c r="P370" s="1"/>
    </row>
    <row r="371" spans="1:16">
      <c r="A371" s="6"/>
      <c r="B371" s="68"/>
      <c r="C371" s="67"/>
      <c r="D371" s="67"/>
      <c r="E371" s="67"/>
      <c r="F371" s="71"/>
      <c r="G371" s="72"/>
      <c r="H371" s="72"/>
      <c r="I371" s="186"/>
      <c r="J371" s="186"/>
      <c r="K371" s="1"/>
      <c r="L371" s="1"/>
      <c r="M371" s="9"/>
      <c r="N371" s="186"/>
      <c r="O371" s="16"/>
      <c r="P371" s="1"/>
    </row>
    <row r="372" spans="1:16">
      <c r="A372" s="6"/>
      <c r="B372" s="68"/>
      <c r="C372" s="67"/>
      <c r="D372" s="67"/>
      <c r="E372" s="67"/>
      <c r="F372" s="71"/>
      <c r="G372" s="72"/>
      <c r="H372" s="72"/>
      <c r="I372" s="186"/>
      <c r="J372" s="186"/>
      <c r="K372" s="1"/>
      <c r="L372" s="1"/>
      <c r="M372" s="9"/>
      <c r="N372" s="186"/>
      <c r="O372" s="16"/>
      <c r="P372" s="1"/>
    </row>
    <row r="373" spans="1:16">
      <c r="A373" s="6"/>
      <c r="B373" s="68"/>
      <c r="C373" s="67"/>
      <c r="D373" s="67"/>
      <c r="E373" s="67"/>
      <c r="F373" s="71"/>
      <c r="G373" s="72"/>
      <c r="H373" s="72"/>
      <c r="I373" s="186"/>
      <c r="J373" s="186"/>
      <c r="K373" s="1"/>
      <c r="L373" s="1"/>
      <c r="M373" s="9"/>
      <c r="N373" s="186"/>
      <c r="O373" s="16"/>
      <c r="P373" s="1"/>
    </row>
    <row r="374" spans="1:16">
      <c r="A374" s="6"/>
      <c r="B374" s="68"/>
      <c r="C374" s="67"/>
      <c r="D374" s="67"/>
      <c r="E374" s="67"/>
      <c r="F374" s="71"/>
      <c r="G374" s="72"/>
      <c r="H374" s="72"/>
      <c r="I374" s="186"/>
      <c r="J374" s="186"/>
      <c r="K374" s="1"/>
      <c r="L374" s="1"/>
      <c r="M374" s="9"/>
      <c r="N374" s="186"/>
      <c r="O374" s="16"/>
      <c r="P374" s="1"/>
    </row>
    <row r="375" spans="1:16">
      <c r="A375" s="6"/>
      <c r="B375" s="68"/>
      <c r="C375" s="67"/>
      <c r="D375" s="67"/>
      <c r="E375" s="67"/>
      <c r="F375" s="71"/>
      <c r="G375" s="72"/>
      <c r="H375" s="72"/>
      <c r="I375" s="186"/>
      <c r="J375" s="1"/>
      <c r="K375" s="1"/>
      <c r="L375" s="1"/>
      <c r="M375" s="9"/>
      <c r="N375" s="186"/>
      <c r="O375" s="16"/>
      <c r="P375" s="1"/>
    </row>
    <row r="376" spans="1:16">
      <c r="A376" s="6"/>
      <c r="B376" s="68"/>
      <c r="C376" s="67"/>
      <c r="D376" s="67"/>
      <c r="E376" s="67"/>
      <c r="F376" s="71"/>
      <c r="G376" s="72"/>
      <c r="H376" s="72"/>
      <c r="I376" s="186"/>
      <c r="J376" s="1"/>
      <c r="K376" s="1"/>
      <c r="L376" s="1"/>
      <c r="M376" s="9"/>
      <c r="N376" s="186"/>
      <c r="O376" s="16"/>
      <c r="P376" s="1"/>
    </row>
    <row r="377" spans="1:16">
      <c r="A377" s="6"/>
      <c r="B377" s="68"/>
      <c r="C377" s="67"/>
      <c r="D377" s="67"/>
      <c r="E377" s="67"/>
      <c r="F377" s="71"/>
      <c r="G377" s="72"/>
      <c r="H377" s="72"/>
      <c r="I377" s="186"/>
      <c r="J377" s="1"/>
      <c r="K377" s="1"/>
      <c r="L377" s="1"/>
      <c r="M377" s="9"/>
      <c r="N377" s="186"/>
      <c r="O377" s="16"/>
      <c r="P377" s="1"/>
    </row>
    <row r="378" spans="1:16">
      <c r="A378" s="6"/>
      <c r="B378" s="68"/>
      <c r="C378" s="67"/>
      <c r="D378" s="67"/>
      <c r="E378" s="67"/>
      <c r="F378" s="71"/>
      <c r="G378" s="72"/>
      <c r="H378" s="72"/>
      <c r="I378" s="186"/>
      <c r="J378" s="1"/>
      <c r="K378" s="1"/>
      <c r="L378" s="1"/>
      <c r="M378" s="9"/>
      <c r="N378" s="186"/>
      <c r="O378" s="16"/>
      <c r="P378" s="1"/>
    </row>
    <row r="379" spans="1:16">
      <c r="A379" s="6"/>
      <c r="B379" s="7"/>
      <c r="C379" s="6"/>
      <c r="D379" s="6"/>
      <c r="E379" s="6"/>
      <c r="F379" s="1"/>
      <c r="G379" s="72"/>
      <c r="H379" s="72"/>
      <c r="I379" s="186"/>
      <c r="J379" s="1"/>
      <c r="K379" s="1"/>
      <c r="L379" s="1"/>
      <c r="M379" s="9"/>
      <c r="N379" s="186"/>
      <c r="O379" s="16"/>
      <c r="P379" s="1"/>
    </row>
    <row r="380" spans="1:16">
      <c r="A380" s="6"/>
      <c r="B380" s="7"/>
      <c r="C380" s="6"/>
      <c r="D380" s="6"/>
      <c r="E380" s="6"/>
      <c r="F380" s="1"/>
      <c r="G380" s="72"/>
      <c r="H380" s="72"/>
      <c r="I380" s="186"/>
      <c r="J380" s="1"/>
      <c r="K380" s="1"/>
      <c r="L380" s="1"/>
      <c r="M380" s="9"/>
      <c r="N380" s="186"/>
      <c r="O380" s="16"/>
      <c r="P380" s="1"/>
    </row>
    <row r="381" spans="1:16">
      <c r="A381" s="6"/>
      <c r="B381" s="7"/>
      <c r="C381" s="6"/>
      <c r="D381" s="6"/>
      <c r="E381" s="6"/>
      <c r="F381" s="1"/>
      <c r="G381" s="72"/>
      <c r="H381" s="72"/>
      <c r="I381" s="186"/>
      <c r="J381" s="1"/>
      <c r="K381" s="1"/>
      <c r="L381" s="1"/>
      <c r="M381" s="9"/>
      <c r="N381" s="186"/>
      <c r="O381" s="16"/>
      <c r="P381" s="1"/>
    </row>
    <row r="382" spans="1:16">
      <c r="A382" s="6"/>
      <c r="B382" s="7"/>
      <c r="C382" s="6"/>
      <c r="D382" s="6"/>
      <c r="E382" s="6"/>
      <c r="F382" s="1"/>
      <c r="G382" s="9"/>
      <c r="H382" s="9"/>
      <c r="I382" s="186"/>
      <c r="J382" s="1"/>
      <c r="K382" s="1"/>
      <c r="L382" s="1"/>
      <c r="M382" s="9"/>
      <c r="N382" s="186"/>
      <c r="O382" s="16"/>
      <c r="P382" s="1"/>
    </row>
    <row r="383" spans="1:16">
      <c r="A383" s="6"/>
      <c r="B383" s="68"/>
      <c r="C383" s="67"/>
      <c r="D383" s="67"/>
      <c r="E383" s="67"/>
      <c r="F383" s="71"/>
      <c r="G383" s="72"/>
      <c r="H383" s="72"/>
      <c r="I383" s="186"/>
      <c r="J383" s="1"/>
      <c r="K383" s="1"/>
      <c r="L383" s="1"/>
      <c r="M383" s="9"/>
      <c r="N383" s="186"/>
      <c r="O383" s="16"/>
      <c r="P383" s="1"/>
    </row>
    <row r="384" spans="1:16">
      <c r="A384" s="6"/>
      <c r="B384" s="7"/>
      <c r="C384" s="6"/>
      <c r="D384" s="6"/>
      <c r="E384" s="6"/>
      <c r="F384" s="1"/>
      <c r="G384" s="72"/>
      <c r="H384" s="72"/>
      <c r="I384" s="186"/>
      <c r="J384" s="1"/>
      <c r="K384" s="1"/>
      <c r="L384" s="1"/>
      <c r="M384" s="9"/>
      <c r="N384" s="186"/>
      <c r="O384" s="16"/>
      <c r="P384" s="1"/>
    </row>
    <row r="385" spans="1:16">
      <c r="A385" s="6"/>
      <c r="B385" s="7"/>
      <c r="C385" s="6"/>
      <c r="D385" s="6"/>
      <c r="E385" s="6"/>
      <c r="F385" s="1"/>
      <c r="G385" s="72"/>
      <c r="H385" s="72"/>
      <c r="I385" s="186"/>
      <c r="J385" s="1"/>
      <c r="K385" s="1"/>
      <c r="L385" s="1"/>
      <c r="M385" s="9"/>
      <c r="N385" s="186"/>
      <c r="O385" s="16"/>
      <c r="P385" s="1"/>
    </row>
    <row r="386" spans="1:16">
      <c r="A386" s="6"/>
      <c r="B386" s="7"/>
      <c r="C386" s="6"/>
      <c r="D386" s="6"/>
      <c r="E386" s="6"/>
      <c r="F386" s="1"/>
      <c r="G386" s="72"/>
      <c r="H386" s="72"/>
      <c r="I386" s="186"/>
      <c r="J386" s="1"/>
      <c r="K386" s="1"/>
      <c r="L386" s="1"/>
      <c r="M386" s="9"/>
      <c r="N386" s="186"/>
      <c r="O386" s="16"/>
      <c r="P386" s="1"/>
    </row>
    <row r="387" spans="1:16">
      <c r="A387" s="6"/>
      <c r="B387" s="7"/>
      <c r="C387" s="6"/>
      <c r="D387" s="6"/>
      <c r="E387" s="6"/>
      <c r="F387" s="1"/>
      <c r="G387" s="72"/>
      <c r="H387" s="72"/>
      <c r="I387" s="186"/>
      <c r="J387" s="1"/>
      <c r="K387" s="1"/>
      <c r="L387" s="1"/>
      <c r="M387" s="9"/>
      <c r="N387" s="186"/>
      <c r="O387" s="16"/>
      <c r="P387" s="1"/>
    </row>
    <row r="388" spans="1:16">
      <c r="A388" s="6"/>
      <c r="B388" s="7"/>
      <c r="C388" s="6"/>
      <c r="D388" s="6"/>
      <c r="E388" s="6"/>
      <c r="F388" s="1"/>
      <c r="G388" s="72"/>
      <c r="H388" s="72"/>
      <c r="I388" s="186"/>
      <c r="J388" s="1"/>
      <c r="K388" s="1"/>
      <c r="L388" s="1"/>
      <c r="M388" s="9"/>
      <c r="N388" s="186"/>
      <c r="O388" s="16"/>
      <c r="P388" s="1"/>
    </row>
    <row r="389" spans="1:16">
      <c r="A389" s="6"/>
      <c r="B389" s="7"/>
      <c r="C389" s="6"/>
      <c r="D389" s="6"/>
      <c r="E389" s="6"/>
      <c r="F389" s="1"/>
      <c r="G389" s="72"/>
      <c r="H389" s="72"/>
      <c r="I389" s="186"/>
      <c r="J389" s="1"/>
      <c r="K389" s="1"/>
      <c r="L389" s="1"/>
      <c r="M389" s="9"/>
      <c r="N389" s="186"/>
      <c r="O389" s="16"/>
      <c r="P389" s="1"/>
    </row>
    <row r="390" spans="1:16">
      <c r="A390" s="6"/>
      <c r="B390" s="7"/>
      <c r="C390" s="6"/>
      <c r="D390" s="6"/>
      <c r="E390" s="6"/>
      <c r="F390" s="1"/>
      <c r="G390" s="72"/>
      <c r="H390" s="72"/>
      <c r="I390" s="186"/>
      <c r="J390" s="1"/>
      <c r="K390" s="1"/>
      <c r="L390" s="1"/>
      <c r="M390" s="9"/>
      <c r="N390" s="186"/>
      <c r="O390" s="16"/>
      <c r="P390" s="1"/>
    </row>
    <row r="391" spans="1:16">
      <c r="A391" s="6"/>
      <c r="B391" s="7"/>
      <c r="C391" s="6"/>
      <c r="D391" s="6"/>
      <c r="E391" s="6"/>
      <c r="F391" s="1"/>
      <c r="G391" s="72"/>
      <c r="H391" s="72"/>
      <c r="I391" s="186"/>
      <c r="J391" s="1"/>
      <c r="K391" s="1"/>
      <c r="L391" s="1"/>
      <c r="M391" s="9"/>
      <c r="N391" s="186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9"/>
      <c r="I392" s="186"/>
      <c r="J392" s="1"/>
      <c r="K392" s="1"/>
      <c r="L392" s="1"/>
      <c r="M392" s="9"/>
      <c r="N392" s="186"/>
      <c r="O392" s="16"/>
      <c r="P392" s="1"/>
    </row>
    <row r="393" spans="1:16">
      <c r="A393" s="6"/>
      <c r="B393" s="7"/>
      <c r="C393" s="6"/>
      <c r="D393" s="6"/>
      <c r="E393" s="6"/>
      <c r="F393" s="1"/>
      <c r="G393" s="72"/>
      <c r="H393" s="72"/>
      <c r="I393" s="186"/>
      <c r="J393" s="1"/>
      <c r="K393" s="1"/>
      <c r="L393" s="1"/>
      <c r="M393" s="9"/>
      <c r="N393" s="186"/>
      <c r="O393" s="16"/>
      <c r="P393" s="1"/>
    </row>
    <row r="394" spans="1:16">
      <c r="A394" s="6"/>
      <c r="B394" s="7"/>
      <c r="C394" s="6"/>
      <c r="D394" s="6"/>
      <c r="E394" s="6"/>
      <c r="F394" s="1"/>
      <c r="G394" s="72"/>
      <c r="H394" s="72"/>
      <c r="I394" s="186"/>
      <c r="J394" s="1"/>
      <c r="K394" s="1"/>
      <c r="L394" s="1"/>
      <c r="M394" s="9"/>
      <c r="N394" s="186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186"/>
      <c r="J395" s="1"/>
      <c r="K395" s="1"/>
      <c r="L395" s="1"/>
      <c r="M395" s="9"/>
      <c r="N395" s="186"/>
      <c r="O395" s="16"/>
      <c r="P395" s="1"/>
    </row>
    <row r="396" spans="1:16">
      <c r="A396" s="6"/>
      <c r="B396" s="7"/>
      <c r="C396" s="6"/>
      <c r="D396" s="6"/>
      <c r="E396" s="6"/>
      <c r="F396" s="1"/>
      <c r="G396" s="72"/>
      <c r="H396" s="72"/>
      <c r="I396" s="186"/>
      <c r="J396" s="1"/>
      <c r="K396" s="1"/>
      <c r="L396" s="1"/>
      <c r="M396" s="9"/>
      <c r="N396" s="186"/>
      <c r="O396" s="16"/>
      <c r="P396" s="1"/>
    </row>
    <row r="397" spans="1:16">
      <c r="A397" s="6"/>
      <c r="B397" s="7"/>
      <c r="C397" s="6"/>
      <c r="D397" s="6"/>
      <c r="E397" s="6"/>
      <c r="F397" s="1"/>
      <c r="G397" s="72"/>
      <c r="H397" s="72"/>
      <c r="I397" s="186"/>
      <c r="J397" s="1"/>
      <c r="K397" s="1"/>
      <c r="L397" s="1"/>
      <c r="M397" s="9"/>
      <c r="N397" s="186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186"/>
      <c r="J398" s="1"/>
      <c r="K398" s="1"/>
      <c r="L398" s="1"/>
      <c r="M398" s="9"/>
      <c r="N398" s="186"/>
      <c r="O398" s="16"/>
      <c r="P398" s="1"/>
    </row>
    <row r="399" spans="1:16">
      <c r="A399" s="6"/>
      <c r="B399" s="7"/>
      <c r="C399" s="6"/>
      <c r="D399" s="6"/>
      <c r="E399" s="6"/>
      <c r="F399" s="1"/>
      <c r="G399" s="72"/>
      <c r="H399" s="72"/>
      <c r="I399" s="186"/>
      <c r="J399" s="1"/>
      <c r="K399" s="1"/>
      <c r="L399" s="1"/>
      <c r="M399" s="9"/>
      <c r="N399" s="186"/>
      <c r="O399" s="16"/>
      <c r="P399" s="1"/>
    </row>
    <row r="400" spans="1:16">
      <c r="A400" s="6"/>
      <c r="B400" s="7"/>
      <c r="C400" s="6"/>
      <c r="D400" s="6"/>
      <c r="E400" s="6"/>
      <c r="F400" s="1"/>
      <c r="G400" s="72"/>
      <c r="H400" s="72"/>
      <c r="I400" s="186"/>
      <c r="J400" s="1"/>
      <c r="K400" s="1"/>
      <c r="L400" s="1"/>
      <c r="M400" s="9"/>
      <c r="N400" s="186"/>
      <c r="O400" s="16"/>
      <c r="P400" s="1"/>
    </row>
    <row r="401" spans="1:16">
      <c r="A401" s="6"/>
      <c r="B401" s="7"/>
      <c r="C401" s="6"/>
      <c r="D401" s="6"/>
      <c r="E401" s="6"/>
      <c r="F401" s="1"/>
      <c r="G401" s="72"/>
      <c r="H401" s="72"/>
      <c r="I401" s="186"/>
      <c r="J401" s="1"/>
      <c r="K401" s="1"/>
      <c r="L401" s="1"/>
      <c r="M401" s="9"/>
      <c r="N401" s="186"/>
      <c r="O401" s="16"/>
      <c r="P401" s="1"/>
    </row>
    <row r="402" spans="1:16">
      <c r="A402" s="6"/>
      <c r="B402" s="7"/>
      <c r="C402" s="6"/>
      <c r="D402" s="6"/>
      <c r="E402" s="6"/>
      <c r="F402" s="1"/>
      <c r="G402" s="72"/>
      <c r="H402" s="72"/>
      <c r="I402" s="186"/>
      <c r="J402" s="1"/>
      <c r="K402" s="1"/>
      <c r="L402" s="1"/>
      <c r="M402" s="9"/>
      <c r="N402" s="186"/>
      <c r="O402" s="16"/>
      <c r="P402" s="1"/>
    </row>
    <row r="403" spans="1:16">
      <c r="A403" s="6"/>
      <c r="B403" s="7"/>
      <c r="C403" s="6"/>
      <c r="D403" s="6"/>
      <c r="E403" s="6"/>
      <c r="F403" s="1"/>
      <c r="G403" s="72"/>
      <c r="H403" s="72"/>
      <c r="I403" s="186"/>
      <c r="J403" s="1"/>
      <c r="K403" s="1"/>
      <c r="L403" s="1"/>
      <c r="M403" s="9"/>
      <c r="N403" s="186"/>
      <c r="O403" s="16"/>
      <c r="P403" s="1"/>
    </row>
    <row r="404" spans="1:16">
      <c r="A404" s="6"/>
      <c r="B404" s="7"/>
      <c r="C404" s="6"/>
      <c r="D404" s="6"/>
      <c r="E404" s="6"/>
      <c r="F404" s="1"/>
      <c r="G404" s="72"/>
      <c r="H404" s="72"/>
      <c r="I404" s="186"/>
      <c r="J404" s="1"/>
      <c r="K404" s="1"/>
      <c r="L404" s="1"/>
      <c r="M404" s="9"/>
      <c r="N404" s="186"/>
      <c r="O404" s="16"/>
      <c r="P404" s="1"/>
    </row>
    <row r="405" spans="1:16">
      <c r="A405" s="6"/>
      <c r="B405" s="7"/>
      <c r="C405" s="6"/>
      <c r="D405" s="6"/>
      <c r="E405" s="6"/>
      <c r="F405" s="1"/>
      <c r="G405" s="9"/>
      <c r="H405" s="9"/>
      <c r="I405" s="186"/>
      <c r="J405" s="1"/>
      <c r="K405" s="1"/>
      <c r="L405" s="1"/>
      <c r="M405" s="9"/>
      <c r="N405" s="186"/>
      <c r="O405" s="16"/>
      <c r="P405" s="1"/>
    </row>
    <row r="406" spans="1:16">
      <c r="A406" s="6"/>
      <c r="B406" s="7"/>
      <c r="C406" s="6"/>
      <c r="D406" s="6"/>
      <c r="E406" s="6"/>
      <c r="F406" s="1"/>
      <c r="G406" s="72"/>
      <c r="H406" s="72"/>
      <c r="I406" s="186"/>
      <c r="J406" s="1"/>
      <c r="K406" s="1"/>
      <c r="L406" s="1"/>
      <c r="M406" s="9"/>
      <c r="N406" s="186"/>
      <c r="O406" s="16"/>
      <c r="P406" s="1"/>
    </row>
    <row r="407" spans="1:16">
      <c r="A407" s="6"/>
      <c r="B407" s="7"/>
      <c r="C407" s="6"/>
      <c r="D407" s="6"/>
      <c r="E407" s="6"/>
      <c r="F407" s="1"/>
      <c r="G407" s="9"/>
      <c r="H407" s="9"/>
      <c r="I407" s="186"/>
      <c r="J407" s="1"/>
      <c r="K407" s="1"/>
      <c r="L407" s="1"/>
      <c r="M407" s="9"/>
      <c r="N407" s="186"/>
      <c r="O407" s="16"/>
      <c r="P407" s="1"/>
    </row>
    <row r="408" spans="1:16">
      <c r="A408" s="6"/>
      <c r="B408" s="7"/>
      <c r="C408" s="6"/>
      <c r="D408" s="6"/>
      <c r="E408" s="6"/>
      <c r="F408" s="1"/>
      <c r="G408" s="72"/>
      <c r="H408" s="72"/>
      <c r="I408" s="186"/>
      <c r="J408" s="1"/>
      <c r="K408" s="1"/>
      <c r="L408" s="1"/>
      <c r="M408" s="9"/>
      <c r="N408" s="186"/>
      <c r="O408" s="16"/>
      <c r="P408" s="1"/>
    </row>
    <row r="409" spans="1:16">
      <c r="A409" s="6"/>
      <c r="B409" s="7"/>
      <c r="C409" s="6"/>
      <c r="D409" s="6"/>
      <c r="E409" s="6"/>
      <c r="F409" s="1"/>
      <c r="G409" s="9"/>
      <c r="H409" s="9"/>
      <c r="I409" s="186"/>
      <c r="J409" s="1"/>
      <c r="K409" s="1"/>
      <c r="L409" s="1"/>
      <c r="M409" s="9"/>
      <c r="N409" s="186"/>
      <c r="O409" s="16"/>
      <c r="P409" s="1"/>
    </row>
    <row r="410" spans="1:16">
      <c r="A410" s="6"/>
      <c r="B410" s="7"/>
      <c r="C410" s="6"/>
      <c r="D410" s="6"/>
      <c r="E410" s="6"/>
      <c r="F410" s="1"/>
      <c r="G410" s="9"/>
      <c r="H410" s="9"/>
      <c r="I410" s="186"/>
      <c r="J410" s="1"/>
      <c r="K410" s="1"/>
      <c r="L410" s="1"/>
      <c r="M410" s="9"/>
      <c r="N410" s="186"/>
      <c r="O410" s="16"/>
      <c r="P410" s="1"/>
    </row>
    <row r="411" spans="1:16">
      <c r="A411" s="6"/>
      <c r="B411" s="7"/>
      <c r="C411" s="6"/>
      <c r="D411" s="6"/>
      <c r="E411" s="6"/>
      <c r="F411" s="1"/>
      <c r="G411" s="9"/>
      <c r="H411" s="9"/>
      <c r="I411" s="186"/>
      <c r="J411" s="1"/>
      <c r="K411" s="1"/>
      <c r="L411" s="1"/>
      <c r="M411" s="9"/>
      <c r="N411" s="186"/>
      <c r="O411" s="16"/>
      <c r="P411" s="1"/>
    </row>
    <row r="412" spans="1:16">
      <c r="A412" s="6"/>
      <c r="B412" s="7"/>
      <c r="C412" s="6"/>
      <c r="D412" s="6"/>
      <c r="E412" s="6"/>
      <c r="F412" s="1"/>
      <c r="G412" s="9"/>
      <c r="H412" s="9"/>
      <c r="I412" s="186"/>
      <c r="J412" s="1"/>
      <c r="K412" s="1"/>
      <c r="L412" s="1"/>
      <c r="M412" s="9"/>
      <c r="N412" s="186"/>
      <c r="O412" s="16"/>
      <c r="P412" s="1"/>
    </row>
    <row r="413" spans="1:16">
      <c r="A413" s="6"/>
      <c r="B413" s="7"/>
      <c r="C413" s="6"/>
      <c r="D413" s="6"/>
      <c r="E413" s="6"/>
      <c r="F413" s="1"/>
      <c r="G413" s="72"/>
      <c r="H413" s="72"/>
      <c r="I413" s="186"/>
      <c r="J413" s="1"/>
      <c r="K413" s="1"/>
      <c r="L413" s="1"/>
      <c r="M413" s="9"/>
      <c r="N413" s="186"/>
      <c r="O413" s="16"/>
      <c r="P413" s="1"/>
    </row>
    <row r="414" spans="1:16">
      <c r="A414" s="6"/>
      <c r="B414" s="6"/>
      <c r="C414" s="6"/>
      <c r="D414" s="6"/>
      <c r="E414" s="6"/>
      <c r="F414" s="6"/>
      <c r="G414" s="72"/>
      <c r="H414" s="72"/>
      <c r="I414" s="186"/>
      <c r="J414" s="1"/>
      <c r="K414" s="1"/>
      <c r="L414" s="1"/>
      <c r="M414" s="9"/>
      <c r="N414" s="186"/>
      <c r="O414" s="16"/>
      <c r="P414" s="1"/>
    </row>
    <row r="415" spans="1:16">
      <c r="A415" s="6"/>
      <c r="B415" s="7"/>
      <c r="C415" s="6"/>
      <c r="D415" s="6"/>
      <c r="E415" s="6"/>
      <c r="F415" s="1"/>
      <c r="G415" s="9"/>
      <c r="H415" s="9"/>
      <c r="I415" s="186"/>
      <c r="J415" s="1"/>
      <c r="K415" s="1"/>
      <c r="L415" s="1"/>
      <c r="M415" s="9"/>
      <c r="N415" s="186"/>
      <c r="O415" s="16"/>
      <c r="P415" s="1"/>
    </row>
    <row r="416" spans="1:16">
      <c r="A416" s="6"/>
      <c r="B416" s="7"/>
      <c r="C416" s="6"/>
      <c r="D416" s="6"/>
      <c r="E416" s="6"/>
      <c r="F416" s="1"/>
      <c r="G416" s="9"/>
      <c r="H416" s="1"/>
      <c r="I416" s="186"/>
      <c r="J416" s="1"/>
      <c r="K416" s="1"/>
      <c r="L416" s="1"/>
      <c r="N416" s="186"/>
      <c r="O416" s="16"/>
      <c r="P416" s="1"/>
    </row>
    <row r="417" spans="1:16">
      <c r="A417" s="6"/>
      <c r="B417" s="7"/>
      <c r="C417" s="6"/>
      <c r="D417" s="6"/>
      <c r="E417" s="6"/>
      <c r="F417" s="1"/>
      <c r="G417" s="9"/>
      <c r="H417" s="1"/>
      <c r="I417" s="186"/>
      <c r="J417" s="1"/>
      <c r="K417" s="1"/>
      <c r="L417" s="1"/>
      <c r="N417" s="186"/>
      <c r="O417" s="16"/>
      <c r="P417" s="1"/>
    </row>
    <row r="418" spans="1:16">
      <c r="A418" s="6"/>
      <c r="B418" s="7"/>
      <c r="C418" s="6"/>
      <c r="D418" s="6"/>
      <c r="E418" s="6"/>
      <c r="F418" s="1"/>
      <c r="G418" s="9"/>
      <c r="H418" s="1"/>
      <c r="I418" s="186"/>
      <c r="J418" s="1"/>
      <c r="K418" s="1"/>
      <c r="L418" s="1"/>
      <c r="N418" s="186"/>
      <c r="O418" s="16"/>
      <c r="P418" s="1"/>
    </row>
    <row r="419" spans="1:16">
      <c r="A419" s="6"/>
      <c r="B419" s="7"/>
      <c r="C419" s="6"/>
      <c r="D419" s="6"/>
      <c r="E419" s="6"/>
      <c r="F419" s="1"/>
      <c r="G419" s="9"/>
      <c r="H419" s="9"/>
      <c r="I419" s="5"/>
      <c r="J419" s="1"/>
      <c r="K419" s="1"/>
      <c r="L419" s="1"/>
      <c r="N419" s="186"/>
      <c r="O419" s="16"/>
      <c r="P419" s="1"/>
    </row>
    <row r="420" spans="1:16">
      <c r="A420" s="6"/>
      <c r="B420" s="7"/>
      <c r="C420" s="6"/>
      <c r="D420" s="6"/>
      <c r="E420" s="6"/>
      <c r="F420" s="1"/>
      <c r="G420" s="1"/>
      <c r="H420" s="1"/>
      <c r="I420" s="5"/>
      <c r="J420" s="1"/>
      <c r="K420" s="1"/>
      <c r="L420" s="1"/>
      <c r="N420" s="186"/>
      <c r="O420" s="16"/>
      <c r="P420" s="1"/>
    </row>
    <row r="421" spans="1:16">
      <c r="A421" s="6"/>
      <c r="B421" s="7"/>
      <c r="C421" s="6"/>
      <c r="D421" s="6"/>
      <c r="E421" s="6"/>
      <c r="F421" s="1"/>
      <c r="G421" s="1"/>
      <c r="H421" s="1"/>
      <c r="I421" s="5"/>
      <c r="J421" s="1"/>
      <c r="K421" s="1"/>
      <c r="L421" s="1"/>
      <c r="N421" s="186"/>
      <c r="O421" s="16"/>
      <c r="P421" s="1"/>
    </row>
    <row r="422" spans="1:16">
      <c r="A422" s="6"/>
      <c r="B422" s="7"/>
      <c r="C422" s="6"/>
      <c r="D422" s="6"/>
      <c r="E422" s="6"/>
      <c r="F422" s="1"/>
      <c r="G422" s="1"/>
      <c r="H422" s="1"/>
      <c r="I422" s="5"/>
      <c r="J422" s="1"/>
      <c r="K422" s="1"/>
      <c r="L422" s="1"/>
      <c r="N422" s="14"/>
      <c r="O422" s="16"/>
      <c r="P422" s="1"/>
    </row>
    <row r="423" spans="1:16">
      <c r="A423" s="6"/>
      <c r="B423" s="7"/>
      <c r="C423" s="6"/>
      <c r="D423" s="6"/>
      <c r="E423" s="6"/>
      <c r="F423" s="1"/>
      <c r="G423" s="1"/>
      <c r="H423" s="1"/>
      <c r="I423" s="5"/>
      <c r="J423" s="1"/>
      <c r="K423" s="1"/>
      <c r="L423" s="1"/>
      <c r="N423" s="14"/>
      <c r="O423" s="16"/>
      <c r="P423" s="1"/>
    </row>
    <row r="424" spans="1:16">
      <c r="A424" s="6"/>
      <c r="B424" s="7"/>
      <c r="C424" s="6"/>
      <c r="D424" s="6"/>
      <c r="E424" s="6"/>
      <c r="F424" s="1"/>
      <c r="G424" s="9"/>
      <c r="H424" s="9"/>
      <c r="I424" s="5"/>
      <c r="J424" s="1"/>
      <c r="K424" s="1"/>
      <c r="L424" s="1"/>
      <c r="N424" s="14"/>
      <c r="O424" s="16"/>
      <c r="P424" s="1"/>
    </row>
    <row r="425" spans="1:16">
      <c r="A425" s="6"/>
      <c r="B425" s="7"/>
      <c r="C425" s="6"/>
      <c r="D425" s="6"/>
      <c r="E425" s="6"/>
      <c r="F425" s="1"/>
      <c r="G425" s="1"/>
      <c r="H425" s="1"/>
      <c r="I425" s="5"/>
      <c r="J425" s="1"/>
      <c r="K425" s="1"/>
      <c r="L425" s="1"/>
      <c r="N425" s="14"/>
      <c r="O425" s="16"/>
      <c r="P425" s="1"/>
    </row>
    <row r="426" spans="1:16">
      <c r="A426" s="6"/>
      <c r="B426" s="7"/>
      <c r="C426" s="6"/>
      <c r="D426" s="6"/>
      <c r="E426" s="6"/>
      <c r="F426" s="1"/>
      <c r="G426" s="1"/>
      <c r="H426" s="1"/>
      <c r="I426" s="5"/>
      <c r="J426" s="1"/>
      <c r="K426" s="1"/>
      <c r="L426" s="1"/>
      <c r="N426" s="14"/>
      <c r="O426" s="16"/>
      <c r="P426" s="1"/>
    </row>
    <row r="427" spans="1:16">
      <c r="A427" s="6"/>
      <c r="B427" s="7"/>
      <c r="C427" s="6"/>
      <c r="D427" s="6"/>
      <c r="E427" s="6"/>
      <c r="F427" s="1"/>
      <c r="G427" s="9"/>
      <c r="H427" s="1"/>
      <c r="I427" s="5"/>
      <c r="J427" s="1"/>
      <c r="K427" s="1"/>
      <c r="L427" s="1"/>
      <c r="N427" s="14"/>
      <c r="O427" s="16"/>
      <c r="P427" s="1"/>
    </row>
    <row r="428" spans="1:16">
      <c r="A428" s="6"/>
      <c r="B428" s="7"/>
      <c r="C428" s="6"/>
      <c r="D428" s="6"/>
      <c r="E428" s="6"/>
      <c r="F428" s="1"/>
      <c r="G428" s="9"/>
      <c r="H428" s="1"/>
      <c r="I428" s="5"/>
      <c r="J428" s="1"/>
      <c r="K428" s="1"/>
      <c r="L428" s="1"/>
      <c r="N428" s="14"/>
      <c r="O428" s="16"/>
      <c r="P428" s="1"/>
    </row>
    <row r="429" spans="1:16">
      <c r="A429" s="6"/>
      <c r="B429" s="7"/>
      <c r="C429" s="6"/>
      <c r="D429" s="6"/>
      <c r="E429" s="6"/>
      <c r="F429" s="1"/>
      <c r="G429" s="9"/>
      <c r="H429" s="1"/>
      <c r="I429" s="5"/>
      <c r="J429" s="1"/>
      <c r="K429" s="1"/>
      <c r="L429" s="1"/>
      <c r="N429" s="14"/>
      <c r="O429" s="16"/>
      <c r="P429" s="1"/>
    </row>
    <row r="430" spans="1:16">
      <c r="A430" s="6"/>
      <c r="B430" s="7"/>
      <c r="C430" s="6"/>
      <c r="D430" s="6"/>
      <c r="E430" s="6"/>
      <c r="F430" s="1"/>
      <c r="G430" s="9"/>
      <c r="H430" s="9"/>
      <c r="I430" s="5"/>
      <c r="J430" s="1"/>
      <c r="K430" s="1"/>
      <c r="L430" s="1"/>
      <c r="N430" s="14"/>
      <c r="O430" s="16"/>
      <c r="P430" s="1"/>
    </row>
    <row r="431" spans="1:16">
      <c r="A431" s="6"/>
      <c r="B431" s="7"/>
      <c r="C431" s="6"/>
      <c r="D431" s="6"/>
      <c r="E431" s="6"/>
      <c r="F431" s="1"/>
      <c r="G431" s="9"/>
      <c r="H431" s="9"/>
      <c r="I431" s="5"/>
      <c r="J431" s="1"/>
      <c r="K431" s="1"/>
      <c r="L431" s="1"/>
      <c r="N431" s="14"/>
      <c r="O431" s="16"/>
      <c r="P431" s="1"/>
    </row>
    <row r="432" spans="1:16">
      <c r="A432" s="6"/>
      <c r="B432" s="7"/>
      <c r="C432" s="6"/>
      <c r="D432" s="6"/>
      <c r="E432" s="6"/>
      <c r="F432" s="1"/>
      <c r="G432" s="9"/>
      <c r="H432" s="9"/>
      <c r="I432" s="5"/>
      <c r="J432" s="1"/>
      <c r="K432" s="1"/>
      <c r="L432" s="1"/>
      <c r="N432" s="14"/>
      <c r="O432" s="16"/>
      <c r="P432" s="1"/>
    </row>
    <row r="433" spans="1:16">
      <c r="A433" s="6"/>
      <c r="B433" s="7"/>
      <c r="C433" s="6"/>
      <c r="D433" s="6"/>
      <c r="E433" s="6"/>
      <c r="F433" s="1"/>
      <c r="G433" s="9"/>
      <c r="H433" s="9"/>
      <c r="I433" s="5"/>
      <c r="J433" s="1"/>
      <c r="K433" s="1"/>
      <c r="L433" s="1"/>
      <c r="N433" s="14"/>
      <c r="O433" s="16"/>
      <c r="P433" s="1"/>
    </row>
    <row r="434" spans="1:16">
      <c r="A434" s="6"/>
      <c r="B434" s="7"/>
      <c r="C434" s="6"/>
      <c r="D434" s="6"/>
      <c r="E434" s="6"/>
      <c r="F434" s="1"/>
      <c r="G434" s="1"/>
      <c r="H434" s="1"/>
      <c r="I434" s="5"/>
      <c r="J434" s="1"/>
      <c r="K434" s="1"/>
      <c r="L434" s="1"/>
      <c r="N434" s="14"/>
      <c r="O434" s="16"/>
      <c r="P434" s="1"/>
    </row>
    <row r="435" spans="1:16">
      <c r="A435" s="6"/>
      <c r="B435" s="7"/>
      <c r="C435" s="6"/>
      <c r="D435" s="6"/>
      <c r="E435" s="6"/>
      <c r="F435" s="1"/>
      <c r="G435" s="1"/>
      <c r="H435" s="1"/>
      <c r="I435" s="5"/>
      <c r="J435" s="1"/>
      <c r="K435" s="1"/>
      <c r="L435" s="1"/>
      <c r="N435" s="14"/>
      <c r="O435" s="16"/>
      <c r="P435" s="1"/>
    </row>
    <row r="436" spans="1:16">
      <c r="A436" s="6"/>
      <c r="B436" s="7"/>
      <c r="C436" s="6"/>
      <c r="D436" s="6"/>
      <c r="E436" s="6"/>
      <c r="F436" s="1"/>
      <c r="G436" s="1"/>
      <c r="H436" s="1"/>
      <c r="I436" s="5"/>
      <c r="J436" s="1"/>
      <c r="K436" s="1"/>
      <c r="L436" s="1"/>
      <c r="N436" s="14"/>
      <c r="O436" s="16"/>
      <c r="P436" s="1"/>
    </row>
    <row r="437" spans="1:16">
      <c r="A437" s="6"/>
      <c r="B437" s="7"/>
      <c r="C437" s="6"/>
      <c r="D437" s="6"/>
      <c r="E437" s="6"/>
      <c r="F437" s="1"/>
      <c r="G437" s="1"/>
      <c r="H437" s="1"/>
      <c r="I437" s="5"/>
      <c r="J437" s="1"/>
      <c r="K437" s="1"/>
      <c r="L437" s="1"/>
      <c r="N437" s="14"/>
      <c r="O437" s="16"/>
      <c r="P437" s="1"/>
    </row>
    <row r="438" spans="1:16">
      <c r="A438" s="6"/>
      <c r="B438" s="7"/>
      <c r="C438" s="6"/>
      <c r="D438" s="6"/>
      <c r="E438" s="6"/>
      <c r="F438" s="1"/>
      <c r="G438" s="9"/>
      <c r="H438" s="9"/>
      <c r="I438" s="5"/>
      <c r="J438" s="1"/>
      <c r="K438" s="1"/>
      <c r="L438" s="1"/>
      <c r="N438" s="14"/>
      <c r="O438" s="16"/>
      <c r="P438" s="1"/>
    </row>
    <row r="439" spans="1:16">
      <c r="A439" s="6"/>
      <c r="B439" s="7"/>
      <c r="C439" s="6"/>
      <c r="D439" s="6"/>
      <c r="E439" s="6"/>
      <c r="F439" s="1"/>
      <c r="G439" s="9"/>
      <c r="H439" s="9"/>
      <c r="I439" s="5"/>
      <c r="J439" s="1"/>
      <c r="K439" s="1"/>
      <c r="L439" s="1"/>
      <c r="N439" s="14"/>
      <c r="O439" s="16"/>
      <c r="P439" s="1"/>
    </row>
    <row r="440" spans="1:16">
      <c r="A440" s="6"/>
      <c r="B440" s="7"/>
      <c r="C440" s="6"/>
      <c r="D440" s="6"/>
      <c r="E440" s="6"/>
      <c r="F440" s="1"/>
      <c r="G440" s="1"/>
      <c r="H440" s="1"/>
      <c r="I440" s="5"/>
      <c r="J440" s="1"/>
      <c r="K440" s="1"/>
      <c r="L440" s="1"/>
      <c r="N440" s="14"/>
      <c r="O440" s="16"/>
      <c r="P440" s="1"/>
    </row>
    <row r="441" spans="1:16">
      <c r="A441" s="6"/>
      <c r="B441" s="7"/>
      <c r="C441" s="6"/>
      <c r="D441" s="6"/>
      <c r="E441" s="6"/>
      <c r="F441" s="1"/>
      <c r="G441" s="9"/>
      <c r="H441" s="9"/>
      <c r="I441" s="5"/>
      <c r="J441" s="1"/>
      <c r="K441" s="1"/>
      <c r="L441" s="1"/>
      <c r="N441" s="14"/>
      <c r="O441" s="16"/>
      <c r="P441" s="1"/>
    </row>
    <row r="442" spans="1:16">
      <c r="A442" s="6"/>
      <c r="B442" s="7"/>
      <c r="C442" s="6"/>
      <c r="D442" s="6"/>
      <c r="E442" s="6"/>
      <c r="F442" s="1"/>
      <c r="G442" s="9"/>
      <c r="H442" s="9"/>
      <c r="I442" s="5"/>
      <c r="J442" s="1"/>
      <c r="K442" s="1"/>
      <c r="L442" s="1"/>
      <c r="N442" s="14"/>
      <c r="O442" s="16"/>
      <c r="P442" s="1"/>
    </row>
    <row r="443" spans="1:16">
      <c r="A443" s="6"/>
      <c r="B443" s="7"/>
      <c r="C443" s="6"/>
      <c r="D443" s="6"/>
      <c r="E443" s="6"/>
      <c r="F443" s="1"/>
      <c r="G443" s="1"/>
      <c r="H443" s="1"/>
      <c r="I443" s="5"/>
      <c r="J443" s="1"/>
      <c r="K443" s="1"/>
      <c r="L443" s="1"/>
      <c r="N443" s="14"/>
      <c r="O443" s="16"/>
      <c r="P443" s="1"/>
    </row>
    <row r="444" spans="1:16">
      <c r="A444" s="6"/>
      <c r="B444" s="7"/>
      <c r="C444" s="6"/>
      <c r="D444" s="6"/>
      <c r="E444" s="6"/>
      <c r="F444" s="1"/>
      <c r="G444" s="9"/>
      <c r="H444" s="9"/>
      <c r="I444" s="5"/>
      <c r="J444" s="1"/>
      <c r="K444" s="1"/>
      <c r="L444" s="1"/>
      <c r="N444" s="14"/>
      <c r="O444" s="16"/>
      <c r="P444" s="1"/>
    </row>
    <row r="445" spans="1:16">
      <c r="A445" s="6"/>
      <c r="B445" s="7"/>
      <c r="C445" s="6"/>
      <c r="D445" s="6"/>
      <c r="E445" s="6"/>
      <c r="F445" s="1"/>
      <c r="G445" s="1"/>
      <c r="H445" s="1"/>
      <c r="I445" s="5"/>
      <c r="J445" s="1"/>
      <c r="K445" s="1"/>
      <c r="L445" s="1"/>
      <c r="N445" s="14"/>
      <c r="O445" s="16"/>
      <c r="P445" s="1"/>
    </row>
    <row r="446" spans="1:16">
      <c r="A446" s="6"/>
      <c r="B446" s="7"/>
      <c r="C446" s="6"/>
      <c r="D446" s="6"/>
      <c r="E446" s="6"/>
      <c r="F446" s="1"/>
      <c r="G446" s="9"/>
      <c r="H446" s="9"/>
      <c r="I446" s="5"/>
      <c r="J446" s="1"/>
      <c r="K446" s="1"/>
      <c r="L446" s="1"/>
      <c r="N446" s="14"/>
      <c r="O446" s="16"/>
      <c r="P446" s="1"/>
    </row>
    <row r="447" spans="1:16">
      <c r="A447" s="6"/>
      <c r="B447" s="7"/>
      <c r="C447" s="6"/>
      <c r="D447" s="6"/>
      <c r="E447" s="6"/>
      <c r="F447" s="1"/>
      <c r="G447" s="1"/>
      <c r="H447" s="1"/>
      <c r="I447" s="5"/>
      <c r="J447" s="1"/>
      <c r="K447" s="1"/>
      <c r="L447" s="1"/>
      <c r="N447" s="14"/>
      <c r="O447" s="16"/>
      <c r="P447" s="1"/>
    </row>
    <row r="448" spans="1:16">
      <c r="A448" s="6"/>
      <c r="B448" s="7"/>
      <c r="C448" s="6"/>
      <c r="D448" s="6"/>
      <c r="E448" s="6"/>
      <c r="F448" s="1"/>
      <c r="G448" s="9"/>
      <c r="H448" s="9"/>
      <c r="I448" s="5"/>
      <c r="J448" s="1"/>
      <c r="K448" s="1"/>
      <c r="L448" s="1"/>
      <c r="N448" s="14"/>
      <c r="O448" s="16"/>
      <c r="P448" s="1"/>
    </row>
    <row r="449" spans="1:16">
      <c r="A449" s="6"/>
      <c r="B449" s="7"/>
      <c r="C449" s="6"/>
      <c r="D449" s="6"/>
      <c r="E449" s="6"/>
      <c r="F449" s="1"/>
      <c r="G449" s="9"/>
      <c r="H449" s="9"/>
      <c r="I449" s="5"/>
      <c r="J449" s="1"/>
      <c r="K449" s="1"/>
      <c r="L449" s="1"/>
      <c r="N449" s="14"/>
      <c r="O449" s="16"/>
      <c r="P449" s="1"/>
    </row>
    <row r="450" spans="1:16">
      <c r="A450" s="6"/>
      <c r="B450" s="7"/>
      <c r="C450" s="6"/>
      <c r="D450" s="6"/>
      <c r="E450" s="6"/>
      <c r="F450" s="1"/>
      <c r="G450" s="9"/>
      <c r="H450" s="1"/>
      <c r="I450" s="5"/>
      <c r="J450" s="1"/>
      <c r="K450" s="1"/>
      <c r="L450" s="1"/>
      <c r="N450" s="14"/>
      <c r="O450" s="16"/>
      <c r="P450" s="1"/>
    </row>
    <row r="451" spans="1:16">
      <c r="A451" s="6"/>
      <c r="B451" s="7"/>
      <c r="C451" s="6"/>
      <c r="D451" s="6"/>
      <c r="E451" s="6"/>
      <c r="F451" s="1"/>
      <c r="G451" s="9"/>
      <c r="H451" s="9"/>
      <c r="I451" s="5"/>
      <c r="J451" s="1"/>
      <c r="K451" s="1"/>
      <c r="L451" s="1"/>
      <c r="N451" s="14"/>
      <c r="O451" s="16"/>
      <c r="P451" s="1"/>
    </row>
    <row r="452" spans="1:16">
      <c r="A452" s="6"/>
      <c r="B452" s="7"/>
      <c r="C452" s="6"/>
      <c r="D452" s="6"/>
      <c r="E452" s="6"/>
      <c r="F452" s="1"/>
      <c r="G452" s="1"/>
      <c r="H452" s="1"/>
      <c r="I452" s="5"/>
      <c r="J452" s="1"/>
      <c r="K452" s="1"/>
      <c r="L452" s="1"/>
      <c r="N452" s="14"/>
      <c r="O452" s="16"/>
      <c r="P452" s="1"/>
    </row>
    <row r="453" spans="1:16">
      <c r="A453" s="6"/>
      <c r="B453" s="7"/>
      <c r="C453" s="6"/>
      <c r="D453" s="6"/>
      <c r="E453" s="6"/>
      <c r="F453" s="1"/>
      <c r="G453" s="9"/>
      <c r="H453" s="9"/>
      <c r="I453" s="5"/>
      <c r="J453" s="1"/>
      <c r="K453" s="1"/>
      <c r="L453" s="1"/>
      <c r="N453" s="14"/>
      <c r="O453" s="16"/>
      <c r="P453" s="1"/>
    </row>
    <row r="454" spans="1:16">
      <c r="A454" s="6"/>
      <c r="B454" s="7"/>
      <c r="C454" s="6"/>
      <c r="D454" s="6"/>
      <c r="E454" s="6"/>
      <c r="F454" s="1"/>
      <c r="G454" s="9"/>
      <c r="H454" s="9"/>
      <c r="I454" s="5"/>
      <c r="J454" s="1"/>
      <c r="K454" s="1"/>
      <c r="L454" s="1"/>
      <c r="N454" s="14"/>
      <c r="O454" s="16"/>
      <c r="P454" s="1"/>
    </row>
    <row r="455" spans="1:16">
      <c r="A455" s="6"/>
      <c r="B455" s="7"/>
      <c r="C455" s="6"/>
      <c r="D455" s="6"/>
      <c r="E455" s="6"/>
      <c r="F455" s="1"/>
      <c r="G455" s="9"/>
      <c r="H455" s="9"/>
      <c r="I455" s="5"/>
      <c r="J455" s="1"/>
      <c r="K455" s="1"/>
      <c r="L455" s="1"/>
      <c r="N455" s="14"/>
      <c r="O455" s="16"/>
      <c r="P455" s="1"/>
    </row>
    <row r="456" spans="1:16">
      <c r="A456" s="6"/>
      <c r="B456" s="7"/>
      <c r="C456" s="6"/>
      <c r="D456" s="6"/>
      <c r="E456" s="6"/>
      <c r="F456" s="1"/>
      <c r="G456" s="1"/>
      <c r="H456" s="1"/>
      <c r="I456" s="5"/>
      <c r="J456" s="1"/>
      <c r="K456" s="1"/>
      <c r="L456" s="1"/>
      <c r="N456" s="14"/>
      <c r="O456" s="16"/>
      <c r="P456" s="1"/>
    </row>
    <row r="457" spans="1:16">
      <c r="A457" s="6"/>
      <c r="B457" s="7"/>
      <c r="C457" s="6"/>
      <c r="D457" s="6"/>
      <c r="E457" s="6"/>
      <c r="F457" s="1"/>
      <c r="G457" s="9"/>
      <c r="H457" s="9"/>
      <c r="I457" s="5"/>
      <c r="J457" s="1"/>
      <c r="K457" s="1"/>
      <c r="L457" s="1"/>
      <c r="N457" s="14"/>
      <c r="O457" s="16"/>
      <c r="P457" s="1"/>
    </row>
    <row r="458" spans="1:16">
      <c r="A458" s="6"/>
      <c r="B458" s="7"/>
      <c r="C458" s="6"/>
      <c r="D458" s="6"/>
      <c r="E458" s="6"/>
      <c r="F458" s="1"/>
      <c r="G458" s="9"/>
      <c r="H458" s="9"/>
      <c r="I458" s="5"/>
      <c r="J458" s="1"/>
      <c r="K458" s="1"/>
      <c r="L458" s="1"/>
      <c r="N458" s="14"/>
      <c r="O458" s="16"/>
      <c r="P458" s="1"/>
    </row>
    <row r="459" spans="1:16">
      <c r="A459" s="6"/>
      <c r="B459" s="7"/>
      <c r="C459" s="6"/>
      <c r="D459" s="6"/>
      <c r="E459" s="6"/>
      <c r="F459" s="1"/>
      <c r="G459" s="9"/>
      <c r="H459" s="9"/>
      <c r="I459" s="5"/>
      <c r="J459" s="1"/>
      <c r="K459" s="1"/>
      <c r="L459" s="1"/>
      <c r="N459" s="14"/>
      <c r="O459" s="16"/>
      <c r="P459" s="1"/>
    </row>
    <row r="460" spans="1:16">
      <c r="A460" s="6"/>
      <c r="B460" s="7"/>
      <c r="C460" s="6"/>
      <c r="D460" s="6"/>
      <c r="E460" s="6"/>
      <c r="F460" s="1"/>
      <c r="G460" s="1"/>
      <c r="H460" s="1"/>
      <c r="I460" s="5"/>
      <c r="J460" s="1"/>
      <c r="K460" s="1"/>
      <c r="L460" s="1"/>
      <c r="N460" s="14"/>
      <c r="O460" s="16"/>
      <c r="P460" s="1"/>
    </row>
    <row r="461" spans="1:16">
      <c r="A461" s="6"/>
      <c r="B461" s="7"/>
      <c r="C461" s="6"/>
      <c r="D461" s="6"/>
      <c r="E461" s="6"/>
      <c r="F461" s="1"/>
      <c r="G461" s="9"/>
      <c r="H461" s="9"/>
      <c r="I461" s="5"/>
      <c r="J461" s="1"/>
      <c r="K461" s="1"/>
      <c r="L461" s="1"/>
      <c r="N461" s="14"/>
      <c r="O461" s="16"/>
      <c r="P461" s="1"/>
    </row>
    <row r="462" spans="1:16">
      <c r="A462" s="6"/>
      <c r="B462" s="7"/>
      <c r="C462" s="6"/>
      <c r="D462" s="6"/>
      <c r="E462" s="6"/>
      <c r="F462" s="1"/>
      <c r="G462" s="9"/>
      <c r="H462" s="9"/>
      <c r="I462" s="5"/>
      <c r="J462" s="1"/>
      <c r="K462" s="1"/>
      <c r="L462" s="1"/>
      <c r="N462" s="14"/>
      <c r="O462" s="16"/>
      <c r="P462" s="1"/>
    </row>
    <row r="463" spans="1:16">
      <c r="A463" s="6"/>
      <c r="B463" s="7"/>
      <c r="C463" s="6"/>
      <c r="D463" s="6"/>
      <c r="E463" s="6"/>
      <c r="F463" s="1"/>
      <c r="G463" s="9"/>
      <c r="H463" s="9"/>
      <c r="I463" s="5"/>
      <c r="J463" s="1"/>
      <c r="K463" s="1"/>
      <c r="L463" s="1"/>
      <c r="N463" s="14"/>
      <c r="O463" s="16"/>
      <c r="P463" s="1"/>
    </row>
    <row r="464" spans="1:16">
      <c r="A464" s="6"/>
      <c r="B464" s="7"/>
      <c r="C464" s="6"/>
      <c r="D464" s="6"/>
      <c r="E464" s="6"/>
      <c r="F464" s="1"/>
      <c r="G464" s="9"/>
      <c r="H464" s="9"/>
      <c r="I464" s="5"/>
      <c r="J464" s="1"/>
      <c r="K464" s="1"/>
      <c r="L464" s="1"/>
      <c r="N464" s="14"/>
      <c r="O464" s="16"/>
      <c r="P464" s="1"/>
    </row>
    <row r="465" spans="1:16">
      <c r="A465" s="6"/>
      <c r="B465" s="7"/>
      <c r="C465" s="6"/>
      <c r="D465" s="6"/>
      <c r="E465" s="6"/>
      <c r="F465" s="1"/>
      <c r="G465" s="9"/>
      <c r="H465" s="9"/>
      <c r="I465" s="5"/>
      <c r="J465" s="1"/>
      <c r="K465" s="1"/>
      <c r="L465" s="1"/>
      <c r="N465" s="14"/>
      <c r="O465" s="16"/>
      <c r="P465" s="1"/>
    </row>
    <row r="466" spans="1:16">
      <c r="A466" s="6"/>
      <c r="B466" s="7"/>
      <c r="C466" s="6"/>
      <c r="D466" s="6"/>
      <c r="E466" s="6"/>
      <c r="F466" s="1"/>
      <c r="G466" s="1"/>
      <c r="H466" s="1"/>
      <c r="I466" s="5"/>
      <c r="J466" s="1"/>
      <c r="K466" s="1"/>
      <c r="L466" s="1"/>
      <c r="N466" s="14"/>
      <c r="O466" s="16"/>
      <c r="P466" s="1"/>
    </row>
    <row r="467" spans="1:16">
      <c r="A467" s="6"/>
      <c r="B467" s="7"/>
      <c r="C467" s="6"/>
      <c r="D467" s="6"/>
      <c r="E467" s="6"/>
      <c r="F467" s="1"/>
      <c r="G467" s="9"/>
      <c r="H467" s="1"/>
      <c r="I467" s="5"/>
      <c r="J467" s="1"/>
      <c r="K467" s="1"/>
      <c r="L467" s="1"/>
      <c r="N467" s="14"/>
      <c r="O467" s="16"/>
      <c r="P467" s="1"/>
    </row>
    <row r="468" spans="1:16">
      <c r="A468" s="6"/>
      <c r="B468" s="7"/>
      <c r="C468" s="6"/>
      <c r="D468" s="6"/>
      <c r="E468" s="6"/>
      <c r="F468" s="1"/>
      <c r="G468" s="1"/>
      <c r="H468" s="1"/>
      <c r="I468" s="5"/>
      <c r="J468" s="1"/>
      <c r="K468" s="1"/>
      <c r="L468" s="1"/>
      <c r="N468" s="14"/>
      <c r="O468" s="16"/>
      <c r="P468" s="1"/>
    </row>
    <row r="469" spans="1:16">
      <c r="A469" s="6"/>
      <c r="B469" s="7"/>
      <c r="C469" s="6"/>
      <c r="D469" s="6"/>
      <c r="E469" s="6"/>
      <c r="F469" s="1"/>
      <c r="G469" s="1"/>
      <c r="H469" s="1"/>
      <c r="I469" s="5"/>
      <c r="J469" s="1"/>
      <c r="K469" s="1"/>
      <c r="L469" s="1"/>
      <c r="N469" s="14"/>
      <c r="O469" s="16"/>
      <c r="P469" s="1"/>
    </row>
    <row r="470" spans="1:16">
      <c r="A470" s="6"/>
      <c r="B470" s="7"/>
      <c r="C470" s="6"/>
      <c r="D470" s="6"/>
      <c r="E470" s="6"/>
      <c r="F470" s="1"/>
      <c r="G470" s="9"/>
      <c r="H470" s="9"/>
      <c r="I470" s="5"/>
      <c r="J470" s="1"/>
      <c r="K470" s="1"/>
      <c r="L470" s="1"/>
      <c r="N470" s="14"/>
      <c r="O470" s="16"/>
      <c r="P470" s="1"/>
    </row>
    <row r="471" spans="1:16">
      <c r="A471" s="6"/>
      <c r="B471" s="7"/>
      <c r="C471" s="6"/>
      <c r="D471" s="6"/>
      <c r="E471" s="6"/>
      <c r="F471" s="1"/>
      <c r="G471" s="1"/>
      <c r="H471" s="1"/>
      <c r="I471" s="5"/>
      <c r="J471" s="1"/>
      <c r="K471" s="1"/>
      <c r="L471" s="1"/>
      <c r="N471" s="14"/>
      <c r="O471" s="16"/>
      <c r="P471" s="1"/>
    </row>
    <row r="472" spans="1:16">
      <c r="A472" s="6"/>
      <c r="B472" s="7"/>
      <c r="C472" s="6"/>
      <c r="D472" s="6"/>
      <c r="E472" s="6"/>
      <c r="F472" s="1"/>
      <c r="G472" s="1"/>
      <c r="H472" s="1"/>
      <c r="I472" s="5"/>
      <c r="J472" s="1"/>
      <c r="K472" s="1"/>
      <c r="L472" s="1"/>
      <c r="N472" s="14"/>
      <c r="O472" s="16"/>
      <c r="P472" s="1"/>
    </row>
    <row r="473" spans="1:16">
      <c r="A473" s="6"/>
      <c r="B473" s="7"/>
      <c r="C473" s="6"/>
      <c r="D473" s="6"/>
      <c r="E473" s="6"/>
      <c r="F473" s="1"/>
      <c r="G473" s="9"/>
      <c r="H473" s="9"/>
      <c r="I473" s="5"/>
      <c r="J473" s="1"/>
      <c r="K473" s="1"/>
      <c r="L473" s="1"/>
      <c r="N473" s="14"/>
      <c r="O473" s="16"/>
      <c r="P473" s="1"/>
    </row>
    <row r="474" spans="1:16">
      <c r="A474" s="6"/>
      <c r="B474" s="7"/>
      <c r="C474" s="6"/>
      <c r="D474" s="6"/>
      <c r="E474" s="6"/>
      <c r="F474" s="1"/>
      <c r="G474" s="9"/>
      <c r="H474" s="9"/>
      <c r="I474" s="5"/>
      <c r="J474" s="1"/>
      <c r="K474" s="1"/>
      <c r="L474" s="1"/>
      <c r="N474" s="14"/>
      <c r="O474" s="16"/>
      <c r="P474" s="1"/>
    </row>
    <row r="475" spans="1:16">
      <c r="A475" s="6"/>
      <c r="B475" s="7"/>
      <c r="C475" s="6"/>
      <c r="D475" s="6"/>
      <c r="E475" s="6"/>
      <c r="F475" s="1"/>
      <c r="G475" s="1"/>
      <c r="H475" s="1"/>
      <c r="I475" s="5"/>
      <c r="J475" s="1"/>
      <c r="K475" s="1"/>
      <c r="L475" s="1"/>
      <c r="N475" s="14"/>
      <c r="O475" s="16"/>
      <c r="P475" s="1"/>
    </row>
    <row r="476" spans="1:16">
      <c r="A476" s="6"/>
      <c r="B476" s="7"/>
      <c r="C476" s="6"/>
      <c r="D476" s="6"/>
      <c r="E476" s="6"/>
      <c r="F476" s="1"/>
      <c r="G476" s="9"/>
      <c r="H476" s="9"/>
      <c r="I476" s="5"/>
      <c r="J476" s="1"/>
      <c r="K476" s="1"/>
      <c r="L476" s="1"/>
      <c r="N476" s="14"/>
      <c r="O476" s="16"/>
      <c r="P476" s="1"/>
    </row>
    <row r="477" spans="1:16">
      <c r="A477" s="6"/>
      <c r="B477" s="7"/>
      <c r="C477" s="6"/>
      <c r="D477" s="6"/>
      <c r="E477" s="6"/>
      <c r="F477" s="1"/>
      <c r="G477" s="9"/>
      <c r="H477" s="9"/>
      <c r="I477" s="5"/>
      <c r="J477" s="1"/>
      <c r="K477" s="1"/>
      <c r="L477" s="1"/>
      <c r="N477" s="14"/>
      <c r="O477" s="16"/>
      <c r="P477" s="1"/>
    </row>
    <row r="478" spans="1:16">
      <c r="A478" s="6"/>
      <c r="B478" s="7"/>
      <c r="C478" s="6"/>
      <c r="D478" s="6"/>
      <c r="E478" s="6"/>
      <c r="F478" s="1"/>
      <c r="G478" s="1"/>
      <c r="H478" s="1"/>
      <c r="I478" s="5"/>
      <c r="J478" s="1"/>
      <c r="K478" s="1"/>
      <c r="L478" s="1"/>
      <c r="N478" s="14"/>
      <c r="O478" s="16"/>
      <c r="P478" s="1"/>
    </row>
    <row r="479" spans="1:16">
      <c r="A479" s="6"/>
      <c r="B479" s="7"/>
      <c r="C479" s="6"/>
      <c r="D479" s="6"/>
      <c r="E479" s="6"/>
      <c r="F479" s="1"/>
      <c r="G479" s="9"/>
      <c r="H479" s="9"/>
      <c r="I479" s="5"/>
      <c r="J479" s="1"/>
      <c r="K479" s="1"/>
      <c r="L479" s="1"/>
      <c r="N479" s="14"/>
      <c r="O479" s="16"/>
      <c r="P479" s="1"/>
    </row>
    <row r="480" spans="1:16">
      <c r="A480" s="6"/>
      <c r="B480" s="7"/>
      <c r="C480" s="6"/>
      <c r="D480" s="6"/>
      <c r="E480" s="6"/>
      <c r="F480" s="1"/>
      <c r="G480" s="1"/>
      <c r="H480" s="1"/>
      <c r="I480" s="5"/>
      <c r="J480" s="1"/>
      <c r="K480" s="1"/>
      <c r="L480" s="1"/>
      <c r="N480" s="14"/>
      <c r="O480" s="16"/>
      <c r="P480" s="1"/>
    </row>
    <row r="481" spans="1:16">
      <c r="A481" s="6"/>
      <c r="B481" s="7"/>
      <c r="C481" s="6"/>
      <c r="D481" s="6"/>
      <c r="E481" s="6"/>
      <c r="F481" s="1"/>
      <c r="G481" s="1"/>
      <c r="H481" s="1"/>
      <c r="I481" s="5"/>
      <c r="J481" s="1"/>
      <c r="K481" s="1"/>
      <c r="L481" s="1"/>
      <c r="N481" s="14"/>
      <c r="O481" s="16"/>
      <c r="P481" s="1"/>
    </row>
    <row r="482" spans="1:16">
      <c r="A482" s="6"/>
      <c r="B482" s="7"/>
      <c r="C482" s="6"/>
      <c r="D482" s="6"/>
      <c r="E482" s="6"/>
      <c r="F482" s="1"/>
      <c r="G482" s="9"/>
      <c r="H482" s="9"/>
      <c r="I482" s="5"/>
      <c r="J482" s="1"/>
      <c r="K482" s="1"/>
      <c r="L482" s="1"/>
      <c r="N482" s="14"/>
      <c r="O482" s="16"/>
      <c r="P482" s="1"/>
    </row>
    <row r="483" spans="1:16">
      <c r="A483" s="6"/>
      <c r="B483" s="7"/>
      <c r="C483" s="6"/>
      <c r="D483" s="6"/>
      <c r="E483" s="6"/>
      <c r="F483" s="1"/>
      <c r="G483" s="9"/>
      <c r="H483" s="9"/>
      <c r="I483" s="5"/>
      <c r="J483" s="1"/>
      <c r="K483" s="1"/>
      <c r="L483" s="1"/>
      <c r="N483" s="14"/>
      <c r="O483" s="16"/>
      <c r="P483" s="1"/>
    </row>
    <row r="484" spans="1:16">
      <c r="A484" s="6"/>
      <c r="B484" s="7"/>
      <c r="C484" s="6"/>
      <c r="D484" s="6"/>
      <c r="E484" s="6"/>
      <c r="F484" s="1"/>
      <c r="G484" s="9"/>
      <c r="H484" s="9"/>
      <c r="I484" s="5"/>
      <c r="J484" s="1"/>
      <c r="K484" s="1"/>
      <c r="L484" s="1"/>
      <c r="N484" s="14"/>
      <c r="O484" s="16"/>
      <c r="P484" s="1"/>
    </row>
    <row r="485" spans="1:16">
      <c r="A485" s="6"/>
      <c r="B485" s="7"/>
      <c r="C485" s="6"/>
      <c r="D485" s="6"/>
      <c r="E485" s="6"/>
      <c r="F485" s="1"/>
      <c r="G485" s="9"/>
      <c r="H485" s="9"/>
      <c r="I485" s="5"/>
      <c r="J485" s="1"/>
      <c r="K485" s="1"/>
      <c r="L485" s="1"/>
      <c r="N485" s="14"/>
      <c r="O485" s="16"/>
      <c r="P485" s="1"/>
    </row>
    <row r="486" spans="1:16">
      <c r="A486" s="6"/>
      <c r="B486" s="7"/>
      <c r="C486" s="6"/>
      <c r="D486" s="6"/>
      <c r="E486" s="6"/>
      <c r="F486" s="1"/>
      <c r="G486" s="9"/>
      <c r="H486" s="9"/>
      <c r="I486" s="5"/>
      <c r="J486" s="1"/>
      <c r="K486" s="1"/>
      <c r="L486" s="1"/>
      <c r="N486" s="14"/>
      <c r="O486" s="16"/>
      <c r="P486" s="1"/>
    </row>
    <row r="487" spans="1:16">
      <c r="A487" s="6"/>
      <c r="B487" s="7"/>
      <c r="C487" s="6"/>
      <c r="D487" s="6"/>
      <c r="E487" s="6"/>
      <c r="F487" s="1"/>
      <c r="G487" s="1"/>
      <c r="H487" s="1"/>
      <c r="I487" s="5"/>
      <c r="J487" s="1"/>
      <c r="K487" s="1"/>
      <c r="L487" s="1"/>
      <c r="N487" s="14"/>
      <c r="O487" s="16"/>
      <c r="P487" s="1"/>
    </row>
    <row r="488" spans="1:16">
      <c r="A488" s="6"/>
      <c r="B488" s="7"/>
      <c r="C488" s="6"/>
      <c r="D488" s="6"/>
      <c r="E488" s="6"/>
      <c r="F488" s="1"/>
      <c r="G488" s="1"/>
      <c r="H488" s="1"/>
      <c r="I488" s="5"/>
      <c r="J488" s="1"/>
      <c r="K488" s="1"/>
      <c r="L488" s="1"/>
      <c r="N488" s="14"/>
      <c r="O488" s="16"/>
      <c r="P488" s="1"/>
    </row>
    <row r="489" spans="1:16">
      <c r="A489" s="6"/>
      <c r="B489" s="7"/>
      <c r="C489" s="6"/>
      <c r="D489" s="6"/>
      <c r="E489" s="6"/>
      <c r="F489" s="1"/>
      <c r="G489" s="9"/>
      <c r="H489" s="9"/>
      <c r="I489" s="5"/>
      <c r="J489" s="1"/>
      <c r="K489" s="1"/>
      <c r="L489" s="1"/>
      <c r="N489" s="14"/>
      <c r="O489" s="16"/>
      <c r="P489" s="1"/>
    </row>
    <row r="490" spans="1:16">
      <c r="A490" s="6"/>
      <c r="B490" s="7"/>
      <c r="C490" s="6"/>
      <c r="D490" s="6"/>
      <c r="E490" s="6"/>
      <c r="F490" s="1"/>
      <c r="G490" s="9"/>
      <c r="H490" s="1"/>
      <c r="I490" s="5"/>
      <c r="J490" s="1"/>
      <c r="K490" s="1"/>
      <c r="L490" s="1"/>
      <c r="N490" s="14"/>
      <c r="O490" s="16"/>
      <c r="P490" s="1"/>
    </row>
    <row r="491" spans="1:16">
      <c r="A491" s="6"/>
      <c r="B491" s="7"/>
      <c r="C491" s="6"/>
      <c r="D491" s="6"/>
      <c r="E491" s="6"/>
      <c r="F491" s="1"/>
      <c r="G491" s="9"/>
      <c r="H491" s="1"/>
      <c r="I491" s="5"/>
      <c r="J491" s="1"/>
      <c r="K491" s="1"/>
      <c r="L491" s="1"/>
      <c r="N491" s="14"/>
      <c r="O491" s="16"/>
      <c r="P491" s="1"/>
    </row>
    <row r="492" spans="1:16">
      <c r="A492" s="6"/>
      <c r="B492" s="7"/>
      <c r="C492" s="6"/>
      <c r="D492" s="6"/>
      <c r="E492" s="6"/>
      <c r="F492" s="1"/>
      <c r="G492" s="9"/>
      <c r="H492" s="1"/>
      <c r="I492" s="5"/>
      <c r="J492" s="1"/>
      <c r="K492" s="1"/>
      <c r="L492" s="1"/>
      <c r="N492" s="14"/>
      <c r="O492" s="16"/>
      <c r="P492" s="1"/>
    </row>
    <row r="493" spans="1:16">
      <c r="A493" s="6"/>
      <c r="B493" s="7"/>
      <c r="C493" s="6"/>
      <c r="D493" s="6"/>
      <c r="E493" s="6"/>
      <c r="F493" s="1"/>
      <c r="G493" s="9"/>
      <c r="H493" s="1"/>
      <c r="I493" s="5"/>
      <c r="J493" s="1"/>
      <c r="K493" s="1"/>
      <c r="L493" s="1"/>
      <c r="N493" s="14"/>
      <c r="O493" s="16"/>
      <c r="P493" s="1"/>
    </row>
    <row r="494" spans="1:16">
      <c r="A494" s="6"/>
      <c r="B494" s="7"/>
      <c r="C494" s="6"/>
      <c r="D494" s="6"/>
      <c r="E494" s="6"/>
      <c r="F494" s="1"/>
      <c r="G494" s="9"/>
      <c r="H494" s="1"/>
      <c r="I494" s="5"/>
      <c r="J494" s="1"/>
      <c r="K494" s="1"/>
      <c r="L494" s="1"/>
      <c r="N494" s="14"/>
      <c r="O494" s="16"/>
      <c r="P494" s="1"/>
    </row>
    <row r="495" spans="1:16">
      <c r="A495" s="6"/>
      <c r="B495" s="7"/>
      <c r="C495" s="6"/>
      <c r="D495" s="6"/>
      <c r="E495" s="6"/>
      <c r="F495" s="1"/>
      <c r="G495" s="1"/>
      <c r="H495" s="1"/>
      <c r="I495" s="5"/>
      <c r="J495" s="1"/>
      <c r="K495" s="1"/>
      <c r="L495" s="1"/>
      <c r="N495" s="14"/>
      <c r="O495" s="16"/>
      <c r="P495" s="1"/>
    </row>
    <row r="496" spans="1:16">
      <c r="A496" s="6"/>
      <c r="B496" s="7"/>
      <c r="C496" s="6"/>
      <c r="D496" s="6"/>
      <c r="E496" s="6"/>
      <c r="F496" s="1"/>
      <c r="G496" s="9"/>
      <c r="H496" s="9"/>
      <c r="I496" s="5"/>
      <c r="J496" s="1"/>
      <c r="K496" s="1"/>
      <c r="L496" s="1"/>
      <c r="N496" s="14"/>
      <c r="O496" s="16"/>
      <c r="P496" s="1"/>
    </row>
    <row r="497" spans="1:16">
      <c r="A497" s="6"/>
      <c r="B497" s="7"/>
      <c r="C497" s="6"/>
      <c r="D497" s="6"/>
      <c r="E497" s="6"/>
      <c r="F497" s="1"/>
      <c r="G497" s="1"/>
      <c r="H497" s="1"/>
      <c r="I497" s="5"/>
      <c r="J497" s="1"/>
      <c r="K497" s="1"/>
      <c r="L497" s="1"/>
      <c r="N497" s="14"/>
      <c r="O497" s="16"/>
      <c r="P497" s="1"/>
    </row>
    <row r="498" spans="1:16">
      <c r="A498" s="6"/>
      <c r="B498" s="7"/>
      <c r="C498" s="6"/>
      <c r="D498" s="6"/>
      <c r="E498" s="6"/>
      <c r="F498" s="1"/>
      <c r="G498" s="9"/>
      <c r="H498" s="9"/>
      <c r="I498" s="5"/>
      <c r="J498" s="1"/>
      <c r="K498" s="1"/>
      <c r="L498" s="1"/>
      <c r="N498" s="14"/>
      <c r="O498" s="16"/>
      <c r="P498" s="1"/>
    </row>
    <row r="499" spans="1:16">
      <c r="A499" s="6"/>
      <c r="B499" s="7"/>
      <c r="C499" s="6"/>
      <c r="D499" s="6"/>
      <c r="E499" s="6"/>
      <c r="F499" s="1"/>
      <c r="G499" s="9"/>
      <c r="H499" s="9"/>
      <c r="I499" s="5"/>
      <c r="J499" s="1"/>
      <c r="K499" s="1"/>
      <c r="L499" s="1"/>
      <c r="N499" s="14"/>
      <c r="O499" s="16"/>
      <c r="P499" s="1"/>
    </row>
    <row r="500" spans="1:16">
      <c r="A500" s="6"/>
      <c r="B500" s="7"/>
      <c r="C500" s="6"/>
      <c r="D500" s="6"/>
      <c r="E500" s="6"/>
      <c r="F500" s="1"/>
      <c r="G500" s="1"/>
      <c r="H500" s="1"/>
      <c r="I500" s="5"/>
      <c r="J500" s="1"/>
      <c r="K500" s="1"/>
      <c r="L500" s="1"/>
      <c r="N500" s="14"/>
      <c r="O500" s="16"/>
      <c r="P500" s="1"/>
    </row>
    <row r="501" spans="1:16">
      <c r="A501" s="6"/>
      <c r="B501" s="7"/>
      <c r="C501" s="6"/>
      <c r="D501" s="6"/>
      <c r="E501" s="6"/>
      <c r="F501" s="1"/>
      <c r="G501" s="9"/>
      <c r="H501" s="9"/>
      <c r="I501" s="5"/>
      <c r="J501" s="1"/>
      <c r="K501" s="1"/>
      <c r="L501" s="1"/>
      <c r="N501" s="14"/>
      <c r="O501" s="16"/>
      <c r="P501" s="1"/>
    </row>
    <row r="502" spans="1:16">
      <c r="A502" s="6"/>
      <c r="B502" s="7"/>
      <c r="C502" s="6"/>
      <c r="D502" s="6"/>
      <c r="E502" s="6"/>
      <c r="F502" s="1"/>
      <c r="G502" s="1"/>
      <c r="H502" s="9"/>
      <c r="I502" s="5"/>
      <c r="J502" s="1"/>
      <c r="K502" s="1"/>
      <c r="L502" s="1"/>
      <c r="N502" s="14"/>
      <c r="O502" s="16"/>
      <c r="P502" s="1"/>
    </row>
    <row r="503" spans="1:16">
      <c r="A503" s="6"/>
      <c r="B503" s="7"/>
      <c r="C503" s="6"/>
      <c r="D503" s="6"/>
      <c r="E503" s="6"/>
      <c r="F503" s="1"/>
      <c r="G503" s="9"/>
      <c r="H503" s="9"/>
      <c r="I503" s="5"/>
      <c r="J503" s="1"/>
      <c r="K503" s="1"/>
      <c r="L503" s="1"/>
      <c r="N503" s="14"/>
      <c r="O503" s="16"/>
      <c r="P503" s="1"/>
    </row>
    <row r="504" spans="1:16">
      <c r="A504" s="6"/>
      <c r="B504" s="7"/>
      <c r="C504" s="6"/>
      <c r="D504" s="6"/>
      <c r="E504" s="6"/>
      <c r="F504" s="1"/>
      <c r="G504" s="9"/>
      <c r="H504" s="9"/>
      <c r="I504" s="5"/>
      <c r="J504" s="1"/>
      <c r="K504" s="1"/>
      <c r="L504" s="1"/>
      <c r="N504" s="14"/>
      <c r="O504" s="16"/>
      <c r="P504" s="1"/>
    </row>
    <row r="505" spans="1:16">
      <c r="A505" s="6"/>
      <c r="B505" s="7"/>
      <c r="C505" s="6"/>
      <c r="D505" s="6"/>
      <c r="E505" s="6"/>
      <c r="F505" s="1"/>
      <c r="G505" s="9"/>
      <c r="H505" s="9"/>
      <c r="I505" s="5"/>
      <c r="J505" s="1"/>
      <c r="K505" s="1"/>
      <c r="L505" s="1"/>
      <c r="N505" s="14"/>
      <c r="O505" s="16"/>
      <c r="P505" s="1"/>
    </row>
    <row r="506" spans="1:16">
      <c r="A506" s="6"/>
      <c r="B506" s="7"/>
      <c r="C506" s="6"/>
      <c r="D506" s="6"/>
      <c r="E506" s="6"/>
      <c r="F506" s="1"/>
      <c r="G506" s="1"/>
      <c r="H506" s="1"/>
      <c r="I506" s="5"/>
      <c r="J506" s="1"/>
      <c r="K506" s="1"/>
      <c r="L506" s="1"/>
      <c r="N506" s="14"/>
      <c r="O506" s="16"/>
      <c r="P506" s="1"/>
    </row>
    <row r="507" spans="1:16">
      <c r="A507" s="6"/>
      <c r="B507" s="7"/>
      <c r="C507" s="6"/>
      <c r="D507" s="6"/>
      <c r="E507" s="6"/>
      <c r="F507" s="1"/>
      <c r="G507" s="9"/>
      <c r="H507" s="1"/>
      <c r="I507" s="5"/>
      <c r="J507" s="1"/>
      <c r="K507" s="1"/>
      <c r="L507" s="1"/>
      <c r="N507" s="14"/>
      <c r="O507" s="16"/>
      <c r="P507" s="1"/>
    </row>
    <row r="508" spans="1:16">
      <c r="A508" s="6"/>
      <c r="B508" s="7"/>
      <c r="C508" s="6"/>
      <c r="D508" s="6"/>
      <c r="E508" s="6"/>
      <c r="F508" s="1"/>
      <c r="G508" s="9"/>
      <c r="H508" s="1"/>
      <c r="I508" s="5"/>
      <c r="J508" s="1"/>
      <c r="K508" s="1"/>
      <c r="L508" s="1"/>
      <c r="N508" s="14"/>
      <c r="O508" s="16"/>
      <c r="P508" s="1"/>
    </row>
    <row r="509" spans="1:16">
      <c r="A509" s="6"/>
      <c r="B509" s="7"/>
      <c r="C509" s="6"/>
      <c r="D509" s="6"/>
      <c r="E509" s="6"/>
      <c r="F509" s="1"/>
      <c r="G509" s="9"/>
      <c r="H509" s="9"/>
      <c r="I509" s="5"/>
      <c r="J509" s="1"/>
      <c r="K509" s="1"/>
      <c r="L509" s="1"/>
      <c r="N509" s="14"/>
      <c r="O509" s="16"/>
      <c r="P509" s="1"/>
    </row>
    <row r="510" spans="1:16">
      <c r="A510" s="6"/>
      <c r="B510" s="7"/>
      <c r="C510" s="6"/>
      <c r="D510" s="6"/>
      <c r="E510" s="6"/>
      <c r="F510" s="1"/>
      <c r="G510" s="9"/>
      <c r="H510" s="9"/>
      <c r="I510" s="5"/>
      <c r="J510" s="1"/>
      <c r="K510" s="1"/>
      <c r="L510" s="1"/>
      <c r="N510" s="14"/>
      <c r="O510" s="16"/>
      <c r="P510" s="1"/>
    </row>
    <row r="511" spans="1:16">
      <c r="A511" s="6"/>
      <c r="B511" s="7"/>
      <c r="C511" s="6"/>
      <c r="D511" s="6"/>
      <c r="E511" s="6"/>
      <c r="F511" s="1"/>
      <c r="G511" s="1"/>
      <c r="H511" s="1"/>
      <c r="I511" s="5"/>
      <c r="J511" s="1"/>
      <c r="K511" s="1"/>
      <c r="L511" s="1"/>
      <c r="N511" s="14"/>
      <c r="O511" s="16"/>
      <c r="P511" s="1"/>
    </row>
    <row r="512" spans="1:16">
      <c r="A512" s="6"/>
      <c r="B512" s="7"/>
      <c r="C512" s="6"/>
      <c r="D512" s="6"/>
      <c r="E512" s="6"/>
      <c r="F512" s="1"/>
      <c r="G512" s="9"/>
      <c r="H512" s="9"/>
      <c r="I512" s="5"/>
      <c r="J512" s="1"/>
      <c r="K512" s="1"/>
      <c r="L512" s="1"/>
      <c r="N512" s="14"/>
      <c r="O512" s="16"/>
      <c r="P512" s="1"/>
    </row>
    <row r="513" spans="1:16">
      <c r="A513" s="6"/>
      <c r="B513" s="7"/>
      <c r="C513" s="6"/>
      <c r="D513" s="6"/>
      <c r="E513" s="6"/>
      <c r="F513" s="1"/>
      <c r="G513" s="1"/>
      <c r="H513" s="1"/>
      <c r="I513" s="5"/>
      <c r="J513" s="1"/>
      <c r="K513" s="1"/>
      <c r="L513" s="1"/>
      <c r="N513" s="14"/>
      <c r="O513" s="16"/>
      <c r="P513" s="1"/>
    </row>
    <row r="514" spans="1:16">
      <c r="A514" s="6"/>
      <c r="B514" s="7"/>
      <c r="C514" s="6"/>
      <c r="D514" s="6"/>
      <c r="E514" s="6"/>
      <c r="F514" s="1"/>
      <c r="G514" s="1"/>
      <c r="H514" s="1"/>
      <c r="I514" s="5"/>
      <c r="J514" s="1"/>
      <c r="K514" s="1"/>
      <c r="L514" s="1"/>
      <c r="N514" s="14"/>
      <c r="O514" s="16"/>
      <c r="P514" s="1"/>
    </row>
    <row r="515" spans="1:16">
      <c r="A515" s="6"/>
      <c r="B515" s="7"/>
      <c r="C515" s="6"/>
      <c r="D515" s="6"/>
      <c r="E515" s="6"/>
      <c r="F515" s="1"/>
      <c r="G515" s="9"/>
      <c r="H515" s="9"/>
      <c r="I515" s="5"/>
      <c r="J515" s="1"/>
      <c r="K515" s="1"/>
      <c r="L515" s="1"/>
      <c r="N515" s="14"/>
      <c r="O515" s="16"/>
      <c r="P515" s="1"/>
    </row>
    <row r="516" spans="1:16">
      <c r="A516" s="6"/>
      <c r="B516" s="7"/>
      <c r="C516" s="6"/>
      <c r="D516" s="6"/>
      <c r="E516" s="6"/>
      <c r="F516" s="1"/>
      <c r="G516" s="9"/>
      <c r="H516" s="1"/>
      <c r="I516" s="5"/>
      <c r="J516" s="1"/>
      <c r="K516" s="1"/>
      <c r="L516" s="1"/>
      <c r="N516" s="14"/>
      <c r="O516" s="16"/>
      <c r="P516" s="1"/>
    </row>
    <row r="517" spans="1:16">
      <c r="A517" s="6"/>
      <c r="B517" s="7"/>
      <c r="C517" s="6"/>
      <c r="D517" s="6"/>
      <c r="E517" s="6"/>
      <c r="F517" s="1"/>
      <c r="G517" s="1"/>
      <c r="H517" s="1"/>
      <c r="I517" s="5"/>
      <c r="J517" s="1"/>
      <c r="K517" s="1"/>
      <c r="L517" s="1"/>
      <c r="N517" s="14"/>
      <c r="O517" s="16"/>
      <c r="P517" s="1"/>
    </row>
    <row r="518" spans="1:16">
      <c r="A518" s="6"/>
      <c r="B518" s="7"/>
      <c r="C518" s="6"/>
      <c r="D518" s="6"/>
      <c r="E518" s="6"/>
      <c r="F518" s="1"/>
      <c r="G518" s="9"/>
      <c r="H518" s="9"/>
      <c r="I518" s="5"/>
      <c r="J518" s="1"/>
      <c r="K518" s="1"/>
      <c r="L518" s="1"/>
      <c r="N518" s="14"/>
      <c r="O518" s="16"/>
      <c r="P518" s="1"/>
    </row>
    <row r="519" spans="1:16">
      <c r="A519" s="6"/>
      <c r="B519" s="7"/>
      <c r="C519" s="6"/>
      <c r="D519" s="6"/>
      <c r="E519" s="6"/>
      <c r="F519" s="1"/>
      <c r="G519" s="1"/>
      <c r="H519" s="1"/>
      <c r="I519" s="5"/>
      <c r="J519" s="1"/>
      <c r="K519" s="1"/>
      <c r="L519" s="1"/>
      <c r="N519" s="14"/>
      <c r="O519" s="16"/>
      <c r="P519" s="1"/>
    </row>
    <row r="520" spans="1:16">
      <c r="A520" s="6"/>
      <c r="B520" s="7"/>
      <c r="C520" s="6"/>
      <c r="D520" s="6"/>
      <c r="E520" s="6"/>
      <c r="F520" s="1"/>
      <c r="G520" s="9"/>
      <c r="H520" s="9"/>
      <c r="I520" s="5"/>
      <c r="J520" s="1"/>
      <c r="K520" s="1"/>
      <c r="L520" s="1"/>
      <c r="N520" s="14"/>
      <c r="O520" s="16"/>
      <c r="P520" s="1"/>
    </row>
    <row r="521" spans="1:16">
      <c r="A521" s="6"/>
      <c r="B521" s="7"/>
      <c r="C521" s="6"/>
      <c r="D521" s="6"/>
      <c r="E521" s="6"/>
      <c r="F521" s="1"/>
      <c r="G521" s="9"/>
      <c r="H521" s="9"/>
      <c r="I521" s="5"/>
      <c r="J521" s="1"/>
      <c r="K521" s="1"/>
      <c r="L521" s="1"/>
      <c r="N521" s="14"/>
      <c r="O521" s="16"/>
      <c r="P521" s="1"/>
    </row>
    <row r="522" spans="1:16">
      <c r="A522" s="6"/>
      <c r="B522" s="7"/>
      <c r="C522" s="6"/>
      <c r="D522" s="6"/>
      <c r="E522" s="6"/>
      <c r="F522" s="1"/>
      <c r="G522" s="9"/>
      <c r="H522" s="9"/>
      <c r="I522" s="5"/>
      <c r="J522" s="1"/>
      <c r="K522" s="1"/>
      <c r="L522" s="1"/>
      <c r="N522" s="14"/>
      <c r="O522" s="16"/>
      <c r="P522" s="1"/>
    </row>
    <row r="523" spans="1:16">
      <c r="A523" s="6"/>
      <c r="B523" s="7"/>
      <c r="C523" s="6"/>
      <c r="D523" s="6"/>
      <c r="E523" s="6"/>
      <c r="F523" s="1"/>
      <c r="G523" s="9"/>
      <c r="H523" s="9"/>
      <c r="I523" s="5"/>
      <c r="J523" s="1"/>
      <c r="K523" s="1"/>
      <c r="L523" s="1"/>
      <c r="N523" s="14"/>
      <c r="O523" s="16"/>
      <c r="P523" s="1"/>
    </row>
    <row r="524" spans="1:16">
      <c r="A524" s="6"/>
      <c r="B524" s="7"/>
      <c r="C524" s="6"/>
      <c r="D524" s="6"/>
      <c r="E524" s="6"/>
      <c r="F524" s="1"/>
      <c r="G524" s="9"/>
      <c r="H524" s="9"/>
      <c r="I524" s="5"/>
      <c r="J524" s="1"/>
      <c r="K524" s="1"/>
      <c r="L524" s="1"/>
      <c r="N524" s="14"/>
      <c r="O524" s="16"/>
      <c r="P524" s="1"/>
    </row>
    <row r="525" spans="1:16">
      <c r="A525" s="6"/>
      <c r="B525" s="7"/>
      <c r="C525" s="6"/>
      <c r="D525" s="6"/>
      <c r="E525" s="6"/>
      <c r="F525" s="1"/>
      <c r="G525" s="1"/>
      <c r="H525" s="1"/>
      <c r="I525" s="5"/>
      <c r="J525" s="1"/>
      <c r="K525" s="1"/>
      <c r="L525" s="1"/>
      <c r="N525" s="14"/>
      <c r="O525" s="16"/>
      <c r="P525" s="1"/>
    </row>
    <row r="526" spans="1:16">
      <c r="A526" s="6"/>
      <c r="B526" s="7"/>
      <c r="C526" s="6"/>
      <c r="D526" s="6"/>
      <c r="E526" s="6"/>
      <c r="F526" s="1"/>
      <c r="G526" s="9"/>
      <c r="H526" s="9"/>
      <c r="I526" s="5"/>
      <c r="J526" s="1"/>
      <c r="K526" s="1"/>
      <c r="L526" s="1"/>
      <c r="N526" s="14"/>
      <c r="O526" s="16"/>
      <c r="P526" s="1"/>
    </row>
    <row r="527" spans="1:16">
      <c r="A527" s="6"/>
      <c r="B527" s="7"/>
      <c r="C527" s="6"/>
      <c r="D527" s="6"/>
      <c r="E527" s="6"/>
      <c r="F527" s="1"/>
      <c r="G527" s="1"/>
      <c r="H527" s="1"/>
      <c r="I527" s="5"/>
      <c r="J527" s="1"/>
      <c r="K527" s="1"/>
      <c r="L527" s="1"/>
      <c r="N527" s="14"/>
      <c r="O527" s="16"/>
      <c r="P527" s="1"/>
    </row>
    <row r="528" spans="1:16">
      <c r="A528" s="6"/>
      <c r="B528" s="7"/>
      <c r="C528" s="6"/>
      <c r="D528" s="6"/>
      <c r="E528" s="6"/>
      <c r="F528" s="1"/>
      <c r="G528" s="1"/>
      <c r="H528" s="1"/>
      <c r="I528" s="5"/>
      <c r="J528" s="1"/>
      <c r="K528" s="1"/>
      <c r="L528" s="1"/>
      <c r="N528" s="14"/>
      <c r="O528" s="16"/>
      <c r="P528" s="1"/>
    </row>
    <row r="529" spans="1:16">
      <c r="A529" s="6"/>
      <c r="B529" s="7"/>
      <c r="C529" s="6"/>
      <c r="D529" s="6"/>
      <c r="E529" s="6"/>
      <c r="F529" s="1"/>
      <c r="G529" s="9"/>
      <c r="H529" s="9"/>
      <c r="I529" s="5"/>
      <c r="J529" s="1"/>
      <c r="K529" s="1"/>
      <c r="L529" s="1"/>
      <c r="N529" s="14"/>
      <c r="O529" s="16"/>
      <c r="P529" s="1"/>
    </row>
    <row r="530" spans="1:16">
      <c r="A530" s="6"/>
      <c r="B530" s="7"/>
      <c r="C530" s="6"/>
      <c r="D530" s="6"/>
      <c r="E530" s="6"/>
      <c r="F530" s="1"/>
      <c r="G530" s="9"/>
      <c r="H530" s="9"/>
      <c r="I530" s="5"/>
      <c r="J530" s="1"/>
      <c r="K530" s="1"/>
      <c r="L530" s="1"/>
      <c r="N530" s="14"/>
      <c r="O530" s="16"/>
      <c r="P530" s="1"/>
    </row>
    <row r="531" spans="1:16">
      <c r="A531" s="6"/>
      <c r="B531" s="7"/>
      <c r="C531" s="6"/>
      <c r="D531" s="6"/>
      <c r="E531" s="6"/>
      <c r="F531" s="1"/>
      <c r="G531" s="9"/>
      <c r="H531" s="9"/>
      <c r="I531" s="5"/>
      <c r="J531" s="1"/>
      <c r="K531" s="1"/>
      <c r="L531" s="1"/>
      <c r="N531" s="14"/>
      <c r="O531" s="16"/>
      <c r="P531" s="1"/>
    </row>
    <row r="532" spans="1:16">
      <c r="A532" s="6"/>
      <c r="B532" s="7"/>
      <c r="C532" s="6"/>
      <c r="D532" s="6"/>
      <c r="E532" s="6"/>
      <c r="F532" s="1"/>
      <c r="G532" s="1"/>
      <c r="H532" s="1"/>
      <c r="I532" s="5"/>
      <c r="J532" s="1"/>
      <c r="K532" s="1"/>
      <c r="L532" s="1"/>
      <c r="N532" s="14"/>
      <c r="O532" s="16"/>
      <c r="P532" s="1"/>
    </row>
    <row r="533" spans="1:16">
      <c r="A533" s="6"/>
      <c r="B533" s="7"/>
      <c r="C533" s="6"/>
      <c r="D533" s="6"/>
      <c r="E533" s="6"/>
      <c r="F533" s="1"/>
      <c r="G533" s="1"/>
      <c r="H533" s="9"/>
      <c r="I533" s="5"/>
      <c r="J533" s="1"/>
      <c r="K533" s="1"/>
      <c r="L533" s="1"/>
      <c r="N533" s="14"/>
      <c r="O533" s="16"/>
      <c r="P533" s="1"/>
    </row>
    <row r="534" spans="1:16">
      <c r="A534" s="6"/>
      <c r="B534" s="7"/>
      <c r="C534" s="6"/>
      <c r="D534" s="6"/>
      <c r="E534" s="6"/>
      <c r="F534" s="1"/>
      <c r="G534" s="1"/>
      <c r="H534" s="1"/>
      <c r="I534" s="5"/>
      <c r="J534" s="1"/>
      <c r="K534" s="1"/>
      <c r="L534" s="1"/>
      <c r="N534" s="14"/>
      <c r="O534" s="16"/>
      <c r="P534" s="1"/>
    </row>
    <row r="535" spans="1:16">
      <c r="A535" s="6"/>
      <c r="B535" s="7"/>
      <c r="C535" s="6"/>
      <c r="D535" s="6"/>
      <c r="E535" s="6"/>
      <c r="F535" s="1"/>
      <c r="G535" s="9"/>
      <c r="H535" s="1"/>
      <c r="I535" s="5"/>
      <c r="J535" s="1"/>
      <c r="K535" s="1"/>
      <c r="L535" s="1"/>
      <c r="N535" s="14"/>
      <c r="O535" s="16"/>
      <c r="P535" s="1"/>
    </row>
    <row r="536" spans="1:16">
      <c r="A536" s="6"/>
      <c r="B536" s="7"/>
      <c r="C536" s="6"/>
      <c r="D536" s="6"/>
      <c r="E536" s="6"/>
      <c r="F536" s="1"/>
      <c r="G536" s="9"/>
      <c r="H536" s="1"/>
      <c r="I536" s="5"/>
      <c r="J536" s="1"/>
      <c r="K536" s="1"/>
      <c r="L536" s="1"/>
      <c r="N536" s="14"/>
      <c r="O536" s="16"/>
      <c r="P536" s="1"/>
    </row>
    <row r="537" spans="1:16">
      <c r="A537" s="6"/>
      <c r="B537" s="7"/>
      <c r="C537" s="6"/>
      <c r="D537" s="6"/>
      <c r="E537" s="6"/>
      <c r="F537" s="1"/>
      <c r="G537" s="9"/>
      <c r="H537" s="9"/>
      <c r="I537" s="5"/>
      <c r="J537" s="1"/>
      <c r="K537" s="1"/>
      <c r="L537" s="1"/>
      <c r="N537" s="14"/>
      <c r="O537" s="16"/>
      <c r="P537" s="1"/>
    </row>
    <row r="538" spans="1:16">
      <c r="A538" s="6"/>
      <c r="B538" s="7"/>
      <c r="C538" s="6"/>
      <c r="D538" s="6"/>
      <c r="E538" s="6"/>
      <c r="F538" s="1"/>
      <c r="G538" s="1"/>
      <c r="H538" s="1"/>
      <c r="I538" s="5"/>
      <c r="J538" s="1"/>
      <c r="K538" s="1"/>
      <c r="L538" s="1"/>
      <c r="N538" s="14"/>
      <c r="O538" s="16"/>
      <c r="P538" s="1"/>
    </row>
    <row r="539" spans="1:16">
      <c r="A539" s="6"/>
      <c r="B539" s="7"/>
      <c r="C539" s="6"/>
      <c r="D539" s="6"/>
      <c r="E539" s="6"/>
      <c r="F539" s="1"/>
      <c r="G539" s="1"/>
      <c r="H539" s="1"/>
      <c r="I539" s="5"/>
      <c r="J539" s="1"/>
      <c r="K539" s="1"/>
      <c r="L539" s="1"/>
      <c r="N539" s="14"/>
      <c r="O539" s="16"/>
      <c r="P539" s="1"/>
    </row>
    <row r="540" spans="1:16">
      <c r="A540" s="6"/>
      <c r="B540" s="7"/>
      <c r="C540" s="6"/>
      <c r="D540" s="6"/>
      <c r="E540" s="6"/>
      <c r="F540" s="1"/>
      <c r="G540" s="9"/>
      <c r="H540" s="9"/>
      <c r="I540" s="5"/>
      <c r="J540" s="1"/>
      <c r="K540" s="1"/>
      <c r="L540" s="1"/>
      <c r="N540" s="14"/>
      <c r="O540" s="16"/>
      <c r="P540" s="1"/>
    </row>
    <row r="541" spans="1:16">
      <c r="A541" s="6"/>
      <c r="B541" s="7"/>
      <c r="C541" s="6"/>
      <c r="D541" s="6"/>
      <c r="E541" s="6"/>
      <c r="F541" s="1"/>
      <c r="G541" s="1"/>
      <c r="H541" s="1"/>
      <c r="I541" s="5"/>
      <c r="J541" s="1"/>
      <c r="K541" s="1"/>
      <c r="L541" s="1"/>
      <c r="N541" s="14"/>
      <c r="O541" s="16"/>
      <c r="P541" s="1"/>
    </row>
    <row r="542" spans="1:16">
      <c r="A542" s="6"/>
      <c r="B542" s="7"/>
      <c r="C542" s="6"/>
      <c r="D542" s="6"/>
      <c r="E542" s="6"/>
      <c r="F542" s="1"/>
      <c r="G542" s="9"/>
      <c r="H542" s="9"/>
      <c r="I542" s="5"/>
      <c r="J542" s="1"/>
      <c r="K542" s="1"/>
      <c r="L542" s="1"/>
      <c r="N542" s="14"/>
      <c r="O542" s="16"/>
      <c r="P542" s="1"/>
    </row>
    <row r="543" spans="1:16">
      <c r="A543" s="6"/>
      <c r="B543" s="7"/>
      <c r="C543" s="6"/>
      <c r="D543" s="6"/>
      <c r="E543" s="6"/>
      <c r="F543" s="1"/>
      <c r="G543" s="1"/>
      <c r="H543" s="1"/>
      <c r="I543" s="5"/>
      <c r="J543" s="1"/>
      <c r="K543" s="1"/>
      <c r="L543" s="1"/>
      <c r="N543" s="14"/>
      <c r="O543" s="16"/>
      <c r="P543" s="1"/>
    </row>
    <row r="544" spans="1:16">
      <c r="A544" s="6"/>
      <c r="B544" s="7"/>
      <c r="C544" s="6"/>
      <c r="D544" s="6"/>
      <c r="E544" s="6"/>
      <c r="F544" s="1"/>
      <c r="G544" s="9"/>
      <c r="H544" s="9"/>
      <c r="I544" s="5"/>
      <c r="J544" s="1"/>
      <c r="K544" s="1"/>
      <c r="L544" s="1"/>
      <c r="N544" s="14"/>
      <c r="O544" s="16"/>
      <c r="P544" s="1"/>
    </row>
    <row r="545" spans="1:16">
      <c r="A545" s="6"/>
      <c r="B545" s="7"/>
      <c r="C545" s="6"/>
      <c r="D545" s="6"/>
      <c r="E545" s="6"/>
      <c r="F545" s="1"/>
      <c r="G545" s="1"/>
      <c r="H545" s="1"/>
      <c r="I545" s="5"/>
      <c r="J545" s="1"/>
      <c r="K545" s="1"/>
      <c r="L545" s="1"/>
      <c r="N545" s="14"/>
      <c r="O545" s="16"/>
      <c r="P545" s="1"/>
    </row>
    <row r="546" spans="1:16">
      <c r="A546" s="6"/>
      <c r="B546" s="7"/>
      <c r="C546" s="6"/>
      <c r="D546" s="6"/>
      <c r="E546" s="6"/>
      <c r="F546" s="1"/>
      <c r="G546" s="1"/>
      <c r="H546" s="1"/>
      <c r="I546" s="5"/>
      <c r="J546" s="1"/>
      <c r="K546" s="1"/>
      <c r="L546" s="1"/>
      <c r="N546" s="14"/>
      <c r="O546" s="16"/>
      <c r="P546" s="1"/>
    </row>
    <row r="547" spans="1:16">
      <c r="A547" s="6"/>
      <c r="B547" s="7"/>
      <c r="C547" s="6"/>
      <c r="D547" s="6"/>
      <c r="E547" s="6"/>
      <c r="F547" s="1"/>
      <c r="G547" s="9"/>
      <c r="H547" s="9"/>
      <c r="I547" s="5"/>
      <c r="J547" s="1"/>
      <c r="K547" s="1"/>
      <c r="L547" s="1"/>
      <c r="N547" s="14"/>
      <c r="O547" s="16"/>
      <c r="P547" s="1"/>
    </row>
    <row r="548" spans="1:16">
      <c r="A548" s="6"/>
      <c r="B548" s="7"/>
      <c r="C548" s="6"/>
      <c r="D548" s="6"/>
      <c r="E548" s="6"/>
      <c r="F548" s="1"/>
      <c r="G548" s="1"/>
      <c r="H548" s="1"/>
      <c r="I548" s="5"/>
      <c r="J548" s="1"/>
      <c r="K548" s="1"/>
      <c r="L548" s="1"/>
      <c r="N548" s="14"/>
      <c r="O548" s="16"/>
      <c r="P548" s="1"/>
    </row>
    <row r="549" spans="1:16">
      <c r="A549" s="6"/>
      <c r="B549" s="7"/>
      <c r="C549" s="6"/>
      <c r="D549" s="6"/>
      <c r="E549" s="6"/>
      <c r="F549" s="1"/>
      <c r="G549" s="1"/>
      <c r="H549" s="1"/>
      <c r="I549" s="5"/>
      <c r="J549" s="1"/>
      <c r="K549" s="1"/>
      <c r="L549" s="1"/>
      <c r="N549" s="14"/>
      <c r="O549" s="16"/>
      <c r="P549" s="1"/>
    </row>
    <row r="550" spans="1:16">
      <c r="A550" s="6"/>
      <c r="B550" s="7"/>
      <c r="C550" s="6"/>
      <c r="D550" s="6"/>
      <c r="E550" s="6"/>
      <c r="F550" s="1"/>
      <c r="G550" s="1"/>
      <c r="H550" s="1"/>
      <c r="I550" s="5"/>
      <c r="J550" s="1"/>
      <c r="K550" s="1"/>
      <c r="L550" s="1"/>
      <c r="N550" s="14"/>
      <c r="O550" s="16"/>
      <c r="P550" s="1"/>
    </row>
    <row r="551" spans="1:16">
      <c r="A551" s="6"/>
      <c r="B551" s="7"/>
      <c r="C551" s="6"/>
      <c r="D551" s="6"/>
      <c r="E551" s="6"/>
      <c r="F551" s="1"/>
      <c r="G551" s="9"/>
      <c r="H551" s="9"/>
      <c r="I551" s="5"/>
      <c r="J551" s="1"/>
      <c r="K551" s="1"/>
      <c r="L551" s="1"/>
      <c r="N551" s="14"/>
      <c r="O551" s="16"/>
      <c r="P551" s="1"/>
    </row>
    <row r="552" spans="1:16">
      <c r="A552" s="6"/>
      <c r="B552" s="7"/>
      <c r="C552" s="6"/>
      <c r="D552" s="6"/>
      <c r="E552" s="6"/>
      <c r="F552" s="1"/>
      <c r="G552" s="1"/>
      <c r="H552" s="1"/>
      <c r="I552" s="5"/>
      <c r="J552" s="1"/>
      <c r="K552" s="1"/>
      <c r="L552" s="1"/>
      <c r="N552" s="14"/>
      <c r="O552" s="16"/>
      <c r="P552" s="1"/>
    </row>
    <row r="553" spans="1:16">
      <c r="A553" s="6"/>
      <c r="B553" s="7"/>
      <c r="C553" s="6"/>
      <c r="D553" s="6"/>
      <c r="E553" s="6"/>
      <c r="F553" s="1"/>
      <c r="G553" s="9"/>
      <c r="H553" s="9"/>
      <c r="I553" s="5"/>
      <c r="J553" s="1"/>
      <c r="K553" s="1"/>
      <c r="L553" s="1"/>
      <c r="N553" s="14"/>
      <c r="O553" s="16"/>
      <c r="P553" s="1"/>
    </row>
    <row r="554" spans="1:16">
      <c r="A554" s="6"/>
      <c r="B554" s="7"/>
      <c r="C554" s="6"/>
      <c r="D554" s="6"/>
      <c r="E554" s="6"/>
      <c r="F554" s="1"/>
      <c r="G554" s="9"/>
      <c r="H554" s="9"/>
      <c r="I554" s="5"/>
      <c r="J554" s="1"/>
      <c r="K554" s="1"/>
      <c r="L554" s="1"/>
      <c r="N554" s="14"/>
      <c r="O554" s="16"/>
      <c r="P554" s="1"/>
    </row>
    <row r="555" spans="1:16">
      <c r="A555" s="6"/>
      <c r="B555" s="7"/>
      <c r="C555" s="6"/>
      <c r="D555" s="6"/>
      <c r="E555" s="6"/>
      <c r="F555" s="1"/>
      <c r="G555" s="1"/>
      <c r="H555" s="1"/>
      <c r="I555" s="5"/>
      <c r="J555" s="1"/>
      <c r="K555" s="1"/>
      <c r="L555" s="1"/>
      <c r="N555" s="14"/>
      <c r="O555" s="16"/>
      <c r="P555" s="1"/>
    </row>
    <row r="556" spans="1:16">
      <c r="A556" s="6"/>
      <c r="B556" s="7"/>
      <c r="C556" s="6"/>
      <c r="D556" s="6"/>
      <c r="E556" s="6"/>
      <c r="F556" s="1"/>
      <c r="G556" s="9"/>
      <c r="H556" s="9"/>
      <c r="I556" s="5"/>
      <c r="J556" s="1"/>
      <c r="K556" s="1"/>
      <c r="L556" s="1"/>
      <c r="N556" s="14"/>
      <c r="O556" s="16"/>
      <c r="P556" s="1"/>
    </row>
    <row r="557" spans="1:16">
      <c r="A557" s="6"/>
      <c r="B557" s="7"/>
      <c r="C557" s="6"/>
      <c r="D557" s="6"/>
      <c r="E557" s="6"/>
      <c r="F557" s="1"/>
      <c r="G557" s="9"/>
      <c r="H557" s="9"/>
      <c r="I557" s="5"/>
      <c r="J557" s="1"/>
      <c r="K557" s="1"/>
      <c r="L557" s="1"/>
      <c r="N557" s="14"/>
      <c r="O557" s="16"/>
      <c r="P557" s="1"/>
    </row>
    <row r="558" spans="1:16">
      <c r="A558" s="6"/>
      <c r="B558" s="7"/>
      <c r="C558" s="6"/>
      <c r="D558" s="6"/>
      <c r="E558" s="6"/>
      <c r="F558" s="1"/>
      <c r="G558" s="9"/>
      <c r="H558" s="9"/>
      <c r="I558" s="5"/>
      <c r="J558" s="1"/>
      <c r="K558" s="1"/>
      <c r="L558" s="1"/>
      <c r="N558" s="14"/>
      <c r="O558" s="16"/>
      <c r="P558" s="1"/>
    </row>
    <row r="559" spans="1:16">
      <c r="A559" s="6"/>
      <c r="B559" s="7"/>
      <c r="C559" s="6"/>
      <c r="D559" s="6"/>
      <c r="E559" s="6"/>
      <c r="F559" s="1"/>
      <c r="G559" s="9"/>
      <c r="H559" s="9"/>
      <c r="I559" s="5"/>
      <c r="J559" s="1"/>
      <c r="K559" s="1"/>
      <c r="L559" s="1"/>
      <c r="N559" s="14"/>
      <c r="O559" s="16"/>
      <c r="P559" s="1"/>
    </row>
    <row r="560" spans="1:16">
      <c r="A560" s="6"/>
      <c r="B560" s="7"/>
      <c r="C560" s="6"/>
      <c r="D560" s="6"/>
      <c r="E560" s="6"/>
      <c r="F560" s="1"/>
      <c r="G560" s="9"/>
      <c r="H560" s="9"/>
      <c r="I560" s="5"/>
      <c r="J560" s="1"/>
      <c r="K560" s="1"/>
      <c r="L560" s="1"/>
      <c r="N560" s="14"/>
      <c r="O560" s="16"/>
      <c r="P560" s="1"/>
    </row>
    <row r="561" spans="1:16">
      <c r="A561" s="6"/>
      <c r="B561" s="7"/>
      <c r="C561" s="6"/>
      <c r="D561" s="6"/>
      <c r="E561" s="6"/>
      <c r="F561" s="1"/>
      <c r="G561" s="9"/>
      <c r="H561" s="9"/>
      <c r="I561" s="5"/>
      <c r="J561" s="1"/>
      <c r="K561" s="1"/>
      <c r="L561" s="1"/>
      <c r="N561" s="14"/>
      <c r="O561" s="16"/>
      <c r="P561" s="1"/>
    </row>
    <row r="562" spans="1:16">
      <c r="A562" s="6"/>
      <c r="B562" s="7"/>
      <c r="C562" s="6"/>
      <c r="D562" s="6"/>
      <c r="E562" s="6"/>
      <c r="F562" s="1"/>
      <c r="G562" s="1"/>
      <c r="H562" s="1"/>
      <c r="I562" s="5"/>
      <c r="J562" s="1"/>
      <c r="K562" s="1"/>
      <c r="L562" s="1"/>
      <c r="N562" s="14"/>
      <c r="O562" s="16"/>
      <c r="P562" s="1"/>
    </row>
    <row r="563" spans="1:16">
      <c r="A563" s="6"/>
      <c r="B563" s="7"/>
      <c r="C563" s="6"/>
      <c r="D563" s="6"/>
      <c r="E563" s="6"/>
      <c r="F563" s="1"/>
      <c r="G563" s="9"/>
      <c r="H563" s="9"/>
      <c r="I563" s="5"/>
      <c r="J563" s="1"/>
      <c r="K563" s="1"/>
      <c r="L563" s="1"/>
      <c r="N563" s="14"/>
      <c r="O563" s="16"/>
      <c r="P563" s="1"/>
    </row>
    <row r="564" spans="1:16">
      <c r="A564" s="6"/>
      <c r="B564" s="7"/>
      <c r="C564" s="6"/>
      <c r="D564" s="6"/>
      <c r="E564" s="6"/>
      <c r="F564" s="1"/>
      <c r="G564" s="1"/>
      <c r="H564" s="1"/>
      <c r="I564" s="5"/>
      <c r="J564" s="1"/>
      <c r="K564" s="1"/>
      <c r="L564" s="1"/>
      <c r="N564" s="14"/>
      <c r="O564" s="16"/>
      <c r="P564" s="1"/>
    </row>
    <row r="565" spans="1:16">
      <c r="A565" s="6"/>
      <c r="B565" s="7"/>
      <c r="C565" s="6"/>
      <c r="D565" s="6"/>
      <c r="E565" s="6"/>
      <c r="F565" s="1"/>
      <c r="G565" s="9"/>
      <c r="H565" s="9"/>
      <c r="I565" s="5"/>
      <c r="J565" s="1"/>
      <c r="K565" s="1"/>
      <c r="L565" s="1"/>
      <c r="N565" s="14"/>
      <c r="O565" s="16"/>
      <c r="P565" s="1"/>
    </row>
    <row r="566" spans="1:16">
      <c r="A566" s="6"/>
      <c r="B566" s="7"/>
      <c r="C566" s="6"/>
      <c r="D566" s="6"/>
      <c r="E566" s="6"/>
      <c r="F566" s="1"/>
      <c r="G566" s="9"/>
      <c r="H566" s="9"/>
      <c r="I566" s="5"/>
      <c r="J566" s="1"/>
      <c r="K566" s="1"/>
      <c r="L566" s="1"/>
      <c r="N566" s="14"/>
      <c r="O566" s="16"/>
      <c r="P566" s="1"/>
    </row>
    <row r="567" spans="1:16">
      <c r="A567" s="6"/>
      <c r="B567" s="7"/>
      <c r="C567" s="6"/>
      <c r="D567" s="6"/>
      <c r="E567" s="6"/>
      <c r="F567" s="1"/>
      <c r="G567" s="1"/>
      <c r="H567" s="1"/>
      <c r="I567" s="5"/>
      <c r="J567" s="1"/>
      <c r="K567" s="1"/>
      <c r="L567" s="1"/>
      <c r="N567" s="14"/>
      <c r="O567" s="16"/>
      <c r="P567" s="1"/>
    </row>
    <row r="568" spans="1:16">
      <c r="A568" s="6"/>
      <c r="B568" s="7"/>
      <c r="C568" s="6"/>
      <c r="D568" s="6"/>
      <c r="E568" s="6"/>
      <c r="F568" s="1"/>
      <c r="G568" s="9"/>
      <c r="H568" s="9"/>
      <c r="I568" s="5"/>
      <c r="J568" s="1"/>
      <c r="K568" s="1"/>
      <c r="L568" s="1"/>
      <c r="N568" s="14"/>
      <c r="O568" s="16"/>
      <c r="P568" s="1"/>
    </row>
    <row r="569" spans="1:16">
      <c r="A569" s="6"/>
      <c r="B569" s="7"/>
      <c r="C569" s="6"/>
      <c r="D569" s="6"/>
      <c r="E569" s="6"/>
      <c r="F569" s="1"/>
      <c r="G569" s="9"/>
      <c r="H569" s="9"/>
      <c r="I569" s="5"/>
      <c r="J569" s="1"/>
      <c r="K569" s="1"/>
      <c r="L569" s="1"/>
      <c r="N569" s="14"/>
      <c r="O569" s="16"/>
      <c r="P569" s="1"/>
    </row>
    <row r="570" spans="1:16">
      <c r="A570" s="6"/>
      <c r="B570" s="7"/>
      <c r="C570" s="6"/>
      <c r="D570" s="6"/>
      <c r="E570" s="6"/>
      <c r="F570" s="1"/>
      <c r="G570" s="1"/>
      <c r="H570" s="1"/>
      <c r="I570" s="5"/>
      <c r="J570" s="1"/>
      <c r="K570" s="1"/>
      <c r="L570" s="1"/>
      <c r="N570" s="14"/>
      <c r="O570" s="16"/>
      <c r="P570" s="1"/>
    </row>
    <row r="571" spans="1:16">
      <c r="A571" s="6"/>
      <c r="B571" s="7"/>
      <c r="C571" s="6"/>
      <c r="D571" s="6"/>
      <c r="E571" s="6"/>
      <c r="F571" s="1"/>
      <c r="G571" s="1"/>
      <c r="H571" s="1"/>
      <c r="I571" s="5"/>
      <c r="J571" s="1"/>
      <c r="K571" s="1"/>
      <c r="L571" s="1"/>
      <c r="N571" s="14"/>
      <c r="O571" s="16"/>
      <c r="P571" s="1"/>
    </row>
    <row r="572" spans="1:16">
      <c r="A572" s="6"/>
      <c r="B572" s="7"/>
      <c r="C572" s="6"/>
      <c r="D572" s="6"/>
      <c r="E572" s="6"/>
      <c r="F572" s="1"/>
      <c r="G572" s="1"/>
      <c r="H572" s="1"/>
      <c r="I572" s="5"/>
      <c r="J572" s="1"/>
      <c r="K572" s="1"/>
      <c r="L572" s="1"/>
      <c r="N572" s="14"/>
      <c r="O572" s="16"/>
      <c r="P572" s="1"/>
    </row>
    <row r="573" spans="1:16">
      <c r="B573" s="7"/>
      <c r="C573" s="6"/>
      <c r="D573" s="6"/>
      <c r="E573" s="6"/>
      <c r="F573" s="1"/>
      <c r="G573" s="9"/>
      <c r="H573" s="9"/>
      <c r="I573" s="5"/>
      <c r="J573" s="1"/>
      <c r="K573" s="1"/>
      <c r="L573" s="1"/>
      <c r="N573" s="14"/>
      <c r="O573" s="16"/>
      <c r="P573" s="1"/>
    </row>
    <row r="574" spans="1:16">
      <c r="B574" s="7"/>
      <c r="C574" s="59"/>
      <c r="D574" s="6"/>
      <c r="E574" s="6"/>
      <c r="F574" s="1"/>
      <c r="G574" s="1"/>
      <c r="H574" s="1"/>
      <c r="I574" s="5"/>
      <c r="J574" s="1"/>
      <c r="K574" s="1"/>
      <c r="L574" s="1"/>
      <c r="N574" s="14"/>
      <c r="O574" s="16"/>
      <c r="P574" s="1"/>
    </row>
    <row r="575" spans="1:16">
      <c r="B575" s="7"/>
      <c r="C575" s="59"/>
      <c r="D575" s="6"/>
      <c r="E575" s="6"/>
      <c r="F575" s="1"/>
      <c r="G575" s="9"/>
      <c r="H575" s="9"/>
      <c r="I575" s="5"/>
      <c r="J575" s="1"/>
      <c r="K575" s="1"/>
      <c r="L575" s="1"/>
      <c r="N575" s="14"/>
      <c r="O575" s="16"/>
      <c r="P575" s="1"/>
    </row>
    <row r="576" spans="1:16">
      <c r="B576" s="7"/>
      <c r="C576" s="59"/>
      <c r="D576" s="6"/>
      <c r="E576" s="62"/>
      <c r="F576" s="1"/>
      <c r="G576" s="9"/>
      <c r="H576" s="9"/>
      <c r="I576" s="5"/>
      <c r="J576" s="1"/>
      <c r="K576" s="1"/>
      <c r="L576" s="1"/>
      <c r="N576" s="14"/>
      <c r="O576" s="16"/>
      <c r="P576" s="1"/>
    </row>
    <row r="577" spans="1:16">
      <c r="B577" s="7"/>
      <c r="C577" s="59"/>
      <c r="D577" s="6"/>
      <c r="E577" s="6"/>
      <c r="F577" s="1"/>
      <c r="G577" s="9"/>
      <c r="H577" s="1"/>
      <c r="I577" s="5"/>
      <c r="J577" s="1"/>
      <c r="K577" s="1"/>
      <c r="L577" s="1"/>
      <c r="N577" s="14"/>
      <c r="O577" s="16"/>
      <c r="P577" s="1"/>
    </row>
    <row r="578" spans="1:16">
      <c r="B578" s="7"/>
      <c r="C578" s="59"/>
      <c r="D578" s="6"/>
      <c r="E578" s="6"/>
      <c r="F578" s="1"/>
      <c r="G578" s="9"/>
      <c r="H578" s="9"/>
      <c r="I578" s="5"/>
      <c r="J578" s="1"/>
      <c r="K578" s="1"/>
      <c r="L578" s="1"/>
      <c r="N578" s="14"/>
      <c r="O578" s="16"/>
      <c r="P578" s="1"/>
    </row>
    <row r="579" spans="1:16">
      <c r="B579" s="7"/>
      <c r="C579" s="59"/>
      <c r="D579" s="6"/>
      <c r="E579" s="6"/>
      <c r="F579" s="1"/>
      <c r="G579" s="9"/>
      <c r="H579" s="9"/>
      <c r="I579" s="5"/>
      <c r="J579" s="1"/>
      <c r="K579" s="1"/>
      <c r="L579" s="1"/>
      <c r="N579" s="14"/>
      <c r="O579" s="16"/>
      <c r="P579" s="1"/>
    </row>
    <row r="580" spans="1:16">
      <c r="B580" s="7"/>
      <c r="C580" s="59"/>
      <c r="D580" s="6"/>
      <c r="E580" s="6"/>
      <c r="F580" s="1"/>
      <c r="G580" s="9"/>
      <c r="H580" s="9"/>
      <c r="I580" s="5"/>
      <c r="J580" s="1"/>
      <c r="K580" s="1"/>
      <c r="L580" s="1"/>
      <c r="N580" s="14"/>
      <c r="O580" s="16"/>
      <c r="P580" s="1"/>
    </row>
    <row r="581" spans="1:16">
      <c r="A581" s="63"/>
      <c r="B581" s="9"/>
      <c r="D581" s="1"/>
      <c r="F581" s="1"/>
      <c r="G581" s="9"/>
      <c r="H581" s="9"/>
      <c r="I581" s="5"/>
      <c r="J581" s="1"/>
      <c r="K581" s="1"/>
      <c r="L581" s="1"/>
      <c r="N581" s="5"/>
      <c r="O581" s="16"/>
      <c r="P581" s="1"/>
    </row>
    <row r="582" spans="1:16">
      <c r="B582" s="7"/>
      <c r="C582" s="59"/>
      <c r="D582" s="6"/>
      <c r="E582" s="64"/>
      <c r="F582" s="1"/>
      <c r="G582" s="9"/>
      <c r="H582" s="9"/>
      <c r="I582" s="5"/>
      <c r="J582" s="1"/>
      <c r="K582" s="1"/>
      <c r="L582" s="1"/>
      <c r="N582" s="14"/>
      <c r="O582" s="16"/>
      <c r="P582" s="1"/>
    </row>
    <row r="583" spans="1:16">
      <c r="B583" s="7"/>
      <c r="C583" s="59"/>
      <c r="D583" s="6"/>
      <c r="E583" s="6"/>
      <c r="F583" s="1"/>
      <c r="G583" s="9"/>
      <c r="H583" s="9"/>
      <c r="I583" s="5"/>
      <c r="J583" s="1"/>
      <c r="K583" s="1"/>
      <c r="L583" s="1"/>
      <c r="N583" s="5"/>
      <c r="O583" s="16"/>
      <c r="P583" s="1"/>
    </row>
    <row r="584" spans="1:16">
      <c r="A584" s="65"/>
      <c r="B584" s="9"/>
      <c r="D584" s="1"/>
      <c r="F584" s="1"/>
      <c r="G584" s="9"/>
      <c r="H584" s="9"/>
      <c r="I584" s="5"/>
      <c r="J584" s="1"/>
      <c r="K584" s="1"/>
      <c r="L584" s="1"/>
      <c r="N584" s="5"/>
      <c r="O584" s="16"/>
      <c r="P584" s="1"/>
    </row>
    <row r="585" spans="1:16">
      <c r="B585" s="7"/>
      <c r="C585" s="59"/>
      <c r="D585" s="6"/>
      <c r="E585" s="6"/>
      <c r="F585" s="1"/>
      <c r="G585" s="9"/>
      <c r="H585" s="9"/>
      <c r="I585" s="5"/>
      <c r="J585" s="1"/>
      <c r="K585" s="1"/>
      <c r="L585" s="1"/>
      <c r="N585" s="14"/>
      <c r="O585" s="16"/>
      <c r="P585" s="1"/>
    </row>
    <row r="586" spans="1:16">
      <c r="B586" s="7"/>
      <c r="C586" s="59"/>
      <c r="D586" s="59"/>
      <c r="E586" s="6"/>
      <c r="F586" s="1"/>
      <c r="G586" s="9"/>
      <c r="H586" s="9"/>
      <c r="I586" s="5"/>
      <c r="J586" s="1"/>
      <c r="K586" s="1"/>
      <c r="L586" s="1"/>
      <c r="N586" s="14"/>
      <c r="O586" s="16"/>
      <c r="P586" s="1"/>
    </row>
    <row r="587" spans="1:16">
      <c r="B587" s="7"/>
      <c r="C587" s="59"/>
      <c r="D587" s="6"/>
      <c r="E587" s="6"/>
      <c r="F587" s="1"/>
      <c r="G587" s="9"/>
      <c r="H587" s="9"/>
      <c r="I587" s="5"/>
      <c r="J587" s="1"/>
      <c r="K587" s="1"/>
      <c r="L587" s="1"/>
      <c r="N587" s="14"/>
      <c r="O587" s="16"/>
      <c r="P587" s="1"/>
    </row>
    <row r="588" spans="1:16">
      <c r="B588" s="7"/>
      <c r="C588" s="59"/>
      <c r="D588" s="6"/>
      <c r="E588" s="6"/>
      <c r="F588" s="1"/>
      <c r="G588" s="9"/>
      <c r="H588" s="9"/>
      <c r="I588" s="5"/>
      <c r="J588" s="1"/>
      <c r="K588" s="1"/>
      <c r="L588" s="1"/>
      <c r="N588" s="14"/>
      <c r="O588" s="16"/>
      <c r="P588" s="1"/>
    </row>
    <row r="589" spans="1:16">
      <c r="B589" s="7"/>
      <c r="C589" s="59"/>
      <c r="D589" s="59"/>
      <c r="E589" s="59"/>
      <c r="F589" s="1"/>
      <c r="G589" s="9"/>
      <c r="H589" s="9"/>
      <c r="I589" s="5"/>
      <c r="J589" s="1"/>
      <c r="K589" s="1"/>
      <c r="L589" s="1"/>
      <c r="N589" s="14"/>
      <c r="O589" s="16"/>
      <c r="P589" s="1"/>
    </row>
    <row r="590" spans="1:16">
      <c r="B590" s="7"/>
      <c r="C590" s="59"/>
      <c r="D590" s="6"/>
      <c r="E590" s="6"/>
      <c r="F590" s="1"/>
      <c r="G590" s="9"/>
      <c r="H590" s="9"/>
      <c r="I590" s="5"/>
      <c r="J590" s="1"/>
      <c r="K590" s="1"/>
      <c r="L590" s="1"/>
      <c r="N590" s="14"/>
      <c r="O590" s="16"/>
      <c r="P590" s="1"/>
    </row>
    <row r="591" spans="1:16">
      <c r="B591" s="7"/>
      <c r="C591" s="59"/>
      <c r="D591" s="6"/>
      <c r="E591" s="6"/>
      <c r="F591" s="1"/>
      <c r="G591" s="9"/>
      <c r="H591" s="9"/>
      <c r="I591" s="5"/>
      <c r="J591" s="1"/>
      <c r="K591" s="1"/>
      <c r="L591" s="1"/>
      <c r="N591" s="14"/>
      <c r="O591" s="16"/>
      <c r="P591" s="1"/>
    </row>
    <row r="592" spans="1:16">
      <c r="B592" s="7"/>
      <c r="C592" s="59"/>
      <c r="D592" s="59"/>
      <c r="E592" s="6"/>
      <c r="F592" s="1"/>
      <c r="G592" s="9"/>
      <c r="H592" s="9"/>
      <c r="I592" s="5"/>
      <c r="J592" s="1"/>
      <c r="K592" s="1"/>
      <c r="L592" s="1"/>
      <c r="N592" s="14"/>
      <c r="O592" s="16"/>
      <c r="P592" s="1"/>
    </row>
    <row r="593" spans="2:16">
      <c r="B593" s="7"/>
      <c r="C593" s="59"/>
      <c r="D593" s="6"/>
      <c r="E593" s="6"/>
      <c r="F593" s="1"/>
      <c r="G593" s="9"/>
      <c r="H593" s="9"/>
      <c r="I593" s="5"/>
      <c r="J593" s="1"/>
      <c r="K593" s="1"/>
      <c r="L593" s="1"/>
      <c r="N593" s="14"/>
      <c r="O593" s="16"/>
      <c r="P593" s="1"/>
    </row>
    <row r="594" spans="2:16">
      <c r="B594" s="7"/>
      <c r="C594" s="59"/>
      <c r="D594" s="59"/>
      <c r="E594" s="59"/>
      <c r="F594" s="1"/>
      <c r="G594" s="9"/>
      <c r="H594" s="9"/>
      <c r="I594" s="5"/>
      <c r="J594" s="1"/>
      <c r="K594" s="1"/>
      <c r="L594" s="1"/>
      <c r="N594" s="14"/>
      <c r="O594" s="16"/>
      <c r="P594" s="1"/>
    </row>
    <row r="595" spans="2:16">
      <c r="B595" s="7"/>
      <c r="C595" s="59"/>
      <c r="D595" s="59"/>
      <c r="E595" s="59"/>
      <c r="F595" s="1"/>
      <c r="G595" s="1"/>
      <c r="H595" s="1"/>
      <c r="I595" s="5"/>
      <c r="J595" s="1"/>
      <c r="K595" s="1"/>
      <c r="L595" s="1"/>
      <c r="N595" s="14"/>
      <c r="O595" s="16"/>
      <c r="P595" s="1"/>
    </row>
    <row r="596" spans="2:16">
      <c r="B596" s="7"/>
      <c r="C596" s="59"/>
      <c r="D596" s="59"/>
      <c r="E596" s="59"/>
      <c r="F596" s="1"/>
      <c r="G596" s="1"/>
      <c r="H596" s="1"/>
      <c r="I596" s="5"/>
      <c r="J596" s="1"/>
      <c r="K596" s="1"/>
      <c r="L596" s="1"/>
      <c r="N596" s="14"/>
      <c r="O596" s="16"/>
    </row>
    <row r="597" spans="2:16">
      <c r="B597" s="7"/>
      <c r="C597" s="59"/>
      <c r="D597" s="59"/>
      <c r="E597" s="59"/>
      <c r="F597" s="1"/>
      <c r="G597" s="1"/>
      <c r="H597" s="1"/>
      <c r="I597" s="5"/>
      <c r="J597" s="1"/>
      <c r="K597" s="1"/>
      <c r="L597" s="1"/>
      <c r="N597" s="14"/>
      <c r="O597" s="16"/>
      <c r="P597" s="1"/>
    </row>
    <row r="598" spans="2:16">
      <c r="B598" s="7"/>
      <c r="C598" s="59"/>
      <c r="D598" s="59"/>
      <c r="E598" s="59"/>
      <c r="F598" s="1"/>
      <c r="G598" s="1"/>
      <c r="H598" s="1"/>
      <c r="I598" s="5"/>
      <c r="J598" s="1"/>
      <c r="K598" s="1"/>
      <c r="L598" s="1"/>
      <c r="M598" s="9"/>
      <c r="N598" s="14"/>
      <c r="O598" s="16"/>
      <c r="P598" s="1"/>
    </row>
    <row r="599" spans="2:16">
      <c r="B599" s="7"/>
      <c r="C599" s="59"/>
      <c r="D599" s="59"/>
      <c r="E599" s="59"/>
      <c r="F599" s="1"/>
      <c r="G599" s="9"/>
      <c r="H599" s="9"/>
      <c r="I599" s="5"/>
      <c r="J599" s="1"/>
      <c r="K599" s="1"/>
      <c r="L599" s="1"/>
      <c r="M599" s="4"/>
      <c r="N599" s="14"/>
      <c r="O599" s="16"/>
      <c r="P599" s="1"/>
    </row>
  </sheetData>
  <conditionalFormatting sqref="A1:A382 A384:A413 A415:A1048576">
    <cfRule type="duplicateValues" dxfId="368" priority="13"/>
  </conditionalFormatting>
  <conditionalFormatting sqref="A3:A60">
    <cfRule type="duplicateValues" dxfId="367" priority="50"/>
  </conditionalFormatting>
  <conditionalFormatting sqref="A3:A346">
    <cfRule type="duplicateValues" dxfId="366" priority="862"/>
  </conditionalFormatting>
  <conditionalFormatting sqref="A3:A382 A384:A396">
    <cfRule type="duplicateValues" dxfId="365" priority="867"/>
  </conditionalFormatting>
  <conditionalFormatting sqref="A86">
    <cfRule type="cellIs" dxfId="364" priority="82" operator="equal">
      <formula>"CANCELADO"</formula>
    </cfRule>
  </conditionalFormatting>
  <conditionalFormatting sqref="A251:A305">
    <cfRule type="duplicateValues" dxfId="363" priority="12"/>
  </conditionalFormatting>
  <conditionalFormatting sqref="A383">
    <cfRule type="duplicateValues" dxfId="362" priority="5"/>
    <cfRule type="duplicateValues" dxfId="361" priority="6"/>
  </conditionalFormatting>
  <conditionalFormatting sqref="A414">
    <cfRule type="duplicateValues" dxfId="360" priority="1"/>
    <cfRule type="duplicateValues" dxfId="359" priority="2"/>
    <cfRule type="duplicateValues" dxfId="358" priority="3"/>
    <cfRule type="duplicateValues" dxfId="357" priority="4"/>
  </conditionalFormatting>
  <conditionalFormatting sqref="A581">
    <cfRule type="duplicateValues" dxfId="356" priority="88"/>
  </conditionalFormatting>
  <conditionalFormatting sqref="A584">
    <cfRule type="duplicateValues" dxfId="355" priority="87"/>
  </conditionalFormatting>
  <conditionalFormatting sqref="F101">
    <cfRule type="cellIs" dxfId="354" priority="49" operator="equal">
      <formula>"Interior"</formula>
    </cfRule>
  </conditionalFormatting>
  <conditionalFormatting sqref="L3:L598">
    <cfRule type="cellIs" dxfId="353" priority="14" operator="equal">
      <formula>"LANÇADO"</formula>
    </cfRule>
    <cfRule type="cellIs" dxfId="352" priority="15" operator="equal">
      <formula>"PENDENTE"</formula>
    </cfRule>
  </conditionalFormatting>
  <conditionalFormatting sqref="O1:O3 O85:O86 O88:O242 O245:O248 O250:O1048576">
    <cfRule type="cellIs" dxfId="351" priority="89" operator="lessThan">
      <formula>0</formula>
    </cfRule>
  </conditionalFormatting>
  <conditionalFormatting sqref="O3:O83">
    <cfRule type="cellIs" dxfId="350" priority="65" operator="lessThan">
      <formula>0</formula>
    </cfRule>
  </conditionalFormatting>
  <dataValidations count="6">
    <dataValidation type="list" allowBlank="1" showInputMessage="1" showErrorMessage="1" sqref="J598 J3:J374" xr:uid="{4628B985-8DFA-4F10-A266-FD5AF6C15DF3}">
      <formula1>"PENDENTE,OK,ISENTO"</formula1>
    </dataValidation>
    <dataValidation type="list" allowBlank="1" showInputMessage="1" showErrorMessage="1" sqref="C209 C316 L3:L132 L330:L331 L345:L598" xr:uid="{7D582C85-E71A-411E-A98E-898181AD8D3E}">
      <formula1>"LANÇADO,PENDENTE"</formula1>
    </dataValidation>
    <dataValidation type="list" allowBlank="1" showInputMessage="1" showErrorMessage="1" sqref="J375:J434" xr:uid="{04294709-5DFF-4F86-8F18-7FDB91437844}">
      <formula1>"PENDENTE,OK"</formula1>
    </dataValidation>
    <dataValidation type="list" allowBlank="1" showInputMessage="1" showErrorMessage="1" sqref="K355:K434" xr:uid="{F35D3C8F-A380-4318-BFC0-01E56A5E08CC}">
      <formula1>"PENDENTE,ANEXADO"</formula1>
    </dataValidation>
    <dataValidation type="list" allowBlank="1" showInputMessage="1" showErrorMessage="1" sqref="K598 K3:K354" xr:uid="{651CDCE4-E532-4050-929F-BDA308B3899E}">
      <formula1>"PENDENTE,ANEXADO,ISENTO"</formula1>
    </dataValidation>
    <dataValidation type="list" allowBlank="1" showInputMessage="1" showErrorMessage="1" sqref="L133:L329 L332:L344" xr:uid="{1FD5147B-F785-4893-A8A6-E1958706A538}">
      <formula1>"PENDENTE,LANÇADO"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7EAB-FEB8-4AA1-8AF8-A6C374DACD80}">
  <dimension ref="A1:Q448"/>
  <sheetViews>
    <sheetView showGridLines="0" zoomScale="80" zoomScaleNormal="80" workbookViewId="0">
      <pane ySplit="2" topLeftCell="A3" activePane="bottomLeft" state="frozen"/>
      <selection pane="bottomLeft" activeCell="N46" sqref="N46"/>
    </sheetView>
  </sheetViews>
  <sheetFormatPr defaultRowHeight="15"/>
  <cols>
    <col min="1" max="1" width="12.28515625" style="1" customWidth="1"/>
    <col min="2" max="2" width="12.140625" customWidth="1"/>
    <col min="3" max="3" width="11" customWidth="1"/>
    <col min="4" max="4" width="13.140625" customWidth="1"/>
    <col min="5" max="5" width="12.140625" customWidth="1"/>
    <col min="6" max="6" width="44.28515625" customWidth="1"/>
    <col min="7" max="7" width="13.5703125" customWidth="1"/>
    <col min="8" max="8" width="11.42578125" customWidth="1"/>
    <col min="9" max="9" width="12.85546875" style="60" customWidth="1"/>
    <col min="10" max="10" width="3.85546875" customWidth="1"/>
    <col min="11" max="11" width="13.28515625" hidden="1" customWidth="1"/>
    <col min="12" max="12" width="15.7109375" customWidth="1"/>
    <col min="13" max="13" width="20.140625" style="195" customWidth="1"/>
    <col min="14" max="14" width="18.42578125" style="15" bestFit="1" customWidth="1"/>
    <col min="15" max="15" width="14.5703125" customWidth="1"/>
    <col min="16" max="16" width="14.42578125" customWidth="1"/>
  </cols>
  <sheetData>
    <row r="1" spans="1:16">
      <c r="N1" s="15">
        <f>SUBTOTAL(9,Tabela138910111213[Match_Planilha])</f>
        <v>0</v>
      </c>
      <c r="O1" s="15">
        <f>SUBTOTAL(9,Tabela138910111213[Dif])</f>
        <v>0</v>
      </c>
    </row>
    <row r="2" spans="1:16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61" t="s">
        <v>8</v>
      </c>
      <c r="J2" s="19" t="s">
        <v>9</v>
      </c>
      <c r="K2" s="19" t="s">
        <v>10</v>
      </c>
      <c r="L2" s="22" t="s">
        <v>11</v>
      </c>
      <c r="M2" s="196" t="s">
        <v>12</v>
      </c>
      <c r="N2" s="23" t="s">
        <v>13</v>
      </c>
      <c r="O2" s="24" t="s">
        <v>14</v>
      </c>
      <c r="P2" s="22" t="s">
        <v>15</v>
      </c>
    </row>
    <row r="3" spans="1:16">
      <c r="A3" s="6"/>
      <c r="B3" s="6"/>
      <c r="C3" s="6"/>
      <c r="D3" s="6"/>
      <c r="E3" s="6"/>
      <c r="F3" s="6"/>
      <c r="G3" s="9"/>
      <c r="H3" s="7"/>
      <c r="I3" s="186"/>
      <c r="J3" s="1"/>
      <c r="K3" s="1"/>
      <c r="L3" s="1"/>
      <c r="M3" s="197"/>
      <c r="N3" s="16"/>
      <c r="O3" s="16"/>
      <c r="P3" s="1"/>
    </row>
    <row r="4" spans="1:16">
      <c r="A4" s="6"/>
      <c r="B4" s="6"/>
      <c r="C4" s="6"/>
      <c r="D4" s="6"/>
      <c r="E4" s="6"/>
      <c r="F4" s="6"/>
      <c r="G4" s="9"/>
      <c r="H4" s="7"/>
      <c r="I4" s="186"/>
      <c r="J4" s="1"/>
      <c r="K4" s="1"/>
      <c r="L4" s="1"/>
      <c r="M4" s="197"/>
      <c r="N4" s="16"/>
      <c r="O4" s="16"/>
      <c r="P4" s="1"/>
    </row>
    <row r="5" spans="1:16">
      <c r="A5" s="6"/>
      <c r="B5" s="6"/>
      <c r="C5" s="6"/>
      <c r="D5" s="6"/>
      <c r="E5" s="6"/>
      <c r="F5" s="6"/>
      <c r="G5" s="9"/>
      <c r="H5" s="7"/>
      <c r="I5" s="186"/>
      <c r="J5" s="1"/>
      <c r="K5" s="1"/>
      <c r="L5" s="1"/>
      <c r="M5" s="197"/>
      <c r="N5" s="16"/>
      <c r="O5" s="16"/>
      <c r="P5" s="1"/>
    </row>
    <row r="6" spans="1:16">
      <c r="B6" s="7"/>
      <c r="C6" s="59"/>
      <c r="D6" s="6"/>
      <c r="E6" s="6"/>
      <c r="F6" s="1"/>
      <c r="G6" s="9"/>
      <c r="H6" s="7"/>
      <c r="I6" s="186"/>
      <c r="J6" s="1"/>
      <c r="K6" s="1"/>
      <c r="L6" s="1"/>
      <c r="M6" s="197"/>
      <c r="N6" s="16"/>
      <c r="O6" s="16"/>
      <c r="P6" s="1"/>
    </row>
    <row r="7" spans="1:16">
      <c r="A7" s="188"/>
      <c r="B7" s="6"/>
      <c r="C7" s="6"/>
      <c r="D7" s="6"/>
      <c r="E7" s="6"/>
      <c r="F7" s="6"/>
      <c r="G7" s="9"/>
      <c r="H7" s="7"/>
      <c r="I7" s="186"/>
      <c r="J7" s="1"/>
      <c r="K7" s="1"/>
      <c r="L7" s="1"/>
      <c r="M7" s="197"/>
      <c r="N7" s="16"/>
      <c r="O7" s="16"/>
      <c r="P7" s="1"/>
    </row>
    <row r="8" spans="1:16">
      <c r="A8" s="6"/>
      <c r="B8" s="6"/>
      <c r="C8" s="6"/>
      <c r="D8" s="6"/>
      <c r="E8" s="6"/>
      <c r="F8" s="6"/>
      <c r="G8" s="9"/>
      <c r="H8" s="7"/>
      <c r="I8" s="186"/>
      <c r="J8" s="1"/>
      <c r="K8" s="1"/>
      <c r="L8" s="1"/>
      <c r="M8" s="197"/>
      <c r="N8" s="16"/>
      <c r="O8" s="16"/>
      <c r="P8" s="1"/>
    </row>
    <row r="9" spans="1:16">
      <c r="A9" s="6"/>
      <c r="B9" s="6"/>
      <c r="C9" s="6"/>
      <c r="D9" s="6"/>
      <c r="E9" s="6"/>
      <c r="F9" s="6"/>
      <c r="G9" s="9"/>
      <c r="H9" s="7"/>
      <c r="I9" s="186"/>
      <c r="J9" s="1"/>
      <c r="K9" s="1"/>
      <c r="L9" s="1"/>
      <c r="M9" s="197"/>
      <c r="N9" s="16"/>
      <c r="O9" s="16"/>
      <c r="P9" s="1"/>
    </row>
    <row r="10" spans="1:16">
      <c r="A10" s="6"/>
      <c r="B10" s="6"/>
      <c r="C10" s="6"/>
      <c r="D10" s="6"/>
      <c r="E10" s="6"/>
      <c r="F10" s="6"/>
      <c r="G10" s="9"/>
      <c r="H10" s="7"/>
      <c r="I10" s="186"/>
      <c r="J10" s="1"/>
      <c r="K10" s="1"/>
      <c r="L10" s="1"/>
      <c r="M10" s="197"/>
      <c r="N10" s="16"/>
      <c r="O10" s="16"/>
      <c r="P10" s="1"/>
    </row>
    <row r="11" spans="1:16">
      <c r="A11" s="6"/>
      <c r="B11" s="6"/>
      <c r="C11" s="6"/>
      <c r="D11" s="6"/>
      <c r="E11" s="6"/>
      <c r="F11" s="6"/>
      <c r="G11" s="9"/>
      <c r="H11" s="7"/>
      <c r="I11" s="186"/>
      <c r="J11" s="1"/>
      <c r="K11" s="1"/>
      <c r="L11" s="1"/>
      <c r="M11" s="197"/>
      <c r="N11" s="16"/>
      <c r="O11" s="16"/>
      <c r="P11" s="1"/>
    </row>
    <row r="12" spans="1:16">
      <c r="A12" s="6"/>
      <c r="B12" s="6"/>
      <c r="C12" s="6"/>
      <c r="D12" s="6"/>
      <c r="E12" s="6"/>
      <c r="F12" s="6"/>
      <c r="G12" s="9"/>
      <c r="H12" s="7"/>
      <c r="I12" s="186"/>
      <c r="J12" s="1"/>
      <c r="K12" s="1"/>
      <c r="L12" s="1"/>
      <c r="M12" s="197"/>
      <c r="N12" s="16"/>
      <c r="O12" s="16"/>
      <c r="P12" s="1"/>
    </row>
    <row r="13" spans="1:16">
      <c r="A13" s="6"/>
      <c r="B13" s="6"/>
      <c r="C13" s="6"/>
      <c r="D13" s="6"/>
      <c r="E13" s="6"/>
      <c r="F13" s="6"/>
      <c r="G13" s="9"/>
      <c r="H13" s="7"/>
      <c r="I13" s="186"/>
      <c r="J13" s="1"/>
      <c r="K13" s="1"/>
      <c r="L13" s="1"/>
      <c r="M13" s="197"/>
      <c r="N13" s="16"/>
      <c r="O13" s="16"/>
      <c r="P13" s="1"/>
    </row>
    <row r="14" spans="1:16">
      <c r="A14" s="6"/>
      <c r="B14" s="6"/>
      <c r="C14" s="6"/>
      <c r="D14" s="6"/>
      <c r="E14" s="6"/>
      <c r="F14" s="6"/>
      <c r="G14" s="9"/>
      <c r="H14" s="7"/>
      <c r="I14" s="186"/>
      <c r="J14" s="1"/>
      <c r="K14" s="1"/>
      <c r="L14" s="1"/>
      <c r="M14" s="197"/>
      <c r="N14" s="16"/>
      <c r="O14" s="16"/>
      <c r="P14" s="1"/>
    </row>
    <row r="15" spans="1:16">
      <c r="A15" s="6"/>
      <c r="B15" s="6"/>
      <c r="C15" s="6"/>
      <c r="D15" s="6"/>
      <c r="E15" s="6"/>
      <c r="F15" s="6"/>
      <c r="G15" s="9"/>
      <c r="H15" s="7"/>
      <c r="I15" s="186"/>
      <c r="J15" s="1"/>
      <c r="K15" s="1"/>
      <c r="L15" s="1"/>
      <c r="M15" s="197"/>
      <c r="N15" s="16"/>
      <c r="O15" s="16"/>
      <c r="P15" s="1"/>
    </row>
    <row r="16" spans="1:16">
      <c r="A16" s="6"/>
      <c r="B16" s="6"/>
      <c r="C16" s="6"/>
      <c r="D16" s="6"/>
      <c r="E16" s="6"/>
      <c r="F16" s="6"/>
      <c r="G16" s="9"/>
      <c r="H16" s="7"/>
      <c r="I16" s="186"/>
      <c r="J16" s="1"/>
      <c r="K16" s="1"/>
      <c r="L16" s="1"/>
      <c r="M16" s="197"/>
      <c r="N16" s="16"/>
      <c r="O16" s="16"/>
      <c r="P16" s="1"/>
    </row>
    <row r="17" spans="1:16">
      <c r="A17" s="6"/>
      <c r="B17" s="6"/>
      <c r="C17" s="6"/>
      <c r="D17" s="6"/>
      <c r="E17" s="6"/>
      <c r="F17" s="6"/>
      <c r="G17" s="9"/>
      <c r="H17" s="7"/>
      <c r="I17" s="186"/>
      <c r="J17" s="1"/>
      <c r="K17" s="1"/>
      <c r="L17" s="1"/>
      <c r="M17" s="197"/>
      <c r="N17" s="16"/>
      <c r="O17" s="16"/>
      <c r="P17" s="1"/>
    </row>
    <row r="18" spans="1:16">
      <c r="A18" s="6"/>
      <c r="B18" s="6"/>
      <c r="C18" s="6"/>
      <c r="D18" s="6"/>
      <c r="E18" s="6"/>
      <c r="F18" s="6"/>
      <c r="G18" s="9"/>
      <c r="H18" s="7"/>
      <c r="I18" s="186"/>
      <c r="J18" s="1"/>
      <c r="K18" s="1"/>
      <c r="L18" s="1"/>
      <c r="M18" s="197"/>
      <c r="N18" s="16"/>
      <c r="O18" s="16"/>
      <c r="P18" s="1"/>
    </row>
    <row r="19" spans="1:16">
      <c r="A19" s="6"/>
      <c r="B19" s="6"/>
      <c r="C19" s="6"/>
      <c r="D19" s="6"/>
      <c r="E19" s="6"/>
      <c r="F19" s="6"/>
      <c r="G19" s="9"/>
      <c r="H19" s="7"/>
      <c r="I19" s="186"/>
      <c r="J19" s="1"/>
      <c r="K19" s="1"/>
      <c r="L19" s="1"/>
      <c r="M19" s="197"/>
      <c r="N19" s="16"/>
      <c r="O19" s="16"/>
      <c r="P19" s="1"/>
    </row>
    <row r="20" spans="1:16">
      <c r="A20" s="6"/>
      <c r="B20" s="6"/>
      <c r="C20" s="6"/>
      <c r="D20" s="6"/>
      <c r="E20" s="6"/>
      <c r="F20" s="6"/>
      <c r="G20" s="9"/>
      <c r="H20" s="7"/>
      <c r="I20" s="186"/>
      <c r="J20" s="1"/>
      <c r="K20" s="1"/>
      <c r="L20" s="1"/>
      <c r="M20" s="197"/>
      <c r="N20" s="16"/>
      <c r="O20" s="16"/>
      <c r="P20" s="1"/>
    </row>
    <row r="21" spans="1:16">
      <c r="A21" s="6"/>
      <c r="B21" s="6"/>
      <c r="C21" s="6"/>
      <c r="D21" s="6"/>
      <c r="E21" s="6"/>
      <c r="F21" s="6"/>
      <c r="G21" s="9"/>
      <c r="H21" s="7"/>
      <c r="I21" s="186"/>
      <c r="J21" s="1"/>
      <c r="K21" s="1"/>
      <c r="L21" s="1"/>
      <c r="M21" s="197"/>
      <c r="N21" s="16"/>
      <c r="O21" s="16"/>
      <c r="P21" s="1"/>
    </row>
    <row r="22" spans="1:16">
      <c r="A22" s="6"/>
      <c r="B22" s="6"/>
      <c r="C22" s="6"/>
      <c r="D22" s="6"/>
      <c r="E22" s="6"/>
      <c r="F22" s="6"/>
      <c r="G22" s="9"/>
      <c r="H22" s="7"/>
      <c r="I22" s="186"/>
      <c r="J22" s="1"/>
      <c r="K22" s="1"/>
      <c r="L22" s="1"/>
      <c r="M22" s="197"/>
      <c r="N22" s="16"/>
      <c r="O22" s="16"/>
      <c r="P22" s="1"/>
    </row>
    <row r="23" spans="1:16">
      <c r="A23" s="6"/>
      <c r="B23" s="6"/>
      <c r="C23" s="6"/>
      <c r="D23" s="6"/>
      <c r="E23" s="6"/>
      <c r="F23" s="6"/>
      <c r="G23" s="9"/>
      <c r="H23" s="7"/>
      <c r="I23" s="186"/>
      <c r="J23" s="1"/>
      <c r="K23" s="1"/>
      <c r="L23" s="1"/>
      <c r="M23" s="197"/>
      <c r="N23" s="16"/>
      <c r="O23" s="16"/>
      <c r="P23" s="1"/>
    </row>
    <row r="24" spans="1:16">
      <c r="A24" s="6"/>
      <c r="B24" s="6"/>
      <c r="C24" s="6"/>
      <c r="D24" s="6"/>
      <c r="E24" s="6"/>
      <c r="F24" s="6"/>
      <c r="G24" s="9"/>
      <c r="H24" s="7"/>
      <c r="I24" s="186"/>
      <c r="J24" s="1"/>
      <c r="K24" s="1"/>
      <c r="L24" s="1"/>
      <c r="M24" s="197"/>
      <c r="N24" s="16"/>
      <c r="O24" s="16"/>
      <c r="P24" s="1"/>
    </row>
    <row r="25" spans="1:16">
      <c r="A25" s="6"/>
      <c r="B25" s="6"/>
      <c r="C25" s="6"/>
      <c r="D25" s="6"/>
      <c r="E25" s="6"/>
      <c r="F25" s="6"/>
      <c r="G25" s="9"/>
      <c r="H25" s="7"/>
      <c r="I25" s="186"/>
      <c r="J25" s="1"/>
      <c r="K25" s="1"/>
      <c r="L25" s="1"/>
      <c r="M25" s="197"/>
      <c r="N25" s="16"/>
      <c r="O25" s="16"/>
      <c r="P25" s="1"/>
    </row>
    <row r="26" spans="1:16">
      <c r="A26" s="6"/>
      <c r="B26" s="6"/>
      <c r="C26" s="6"/>
      <c r="D26" s="6"/>
      <c r="E26" s="6"/>
      <c r="F26" s="6"/>
      <c r="G26" s="9"/>
      <c r="H26" s="7"/>
      <c r="I26" s="186"/>
      <c r="J26" s="1"/>
      <c r="K26" s="1"/>
      <c r="L26" s="1"/>
      <c r="M26" s="197"/>
      <c r="N26" s="16"/>
      <c r="O26" s="16"/>
      <c r="P26" s="1"/>
    </row>
    <row r="27" spans="1:16">
      <c r="A27" s="6"/>
      <c r="B27" s="6"/>
      <c r="C27" s="6"/>
      <c r="D27" s="6"/>
      <c r="E27" s="6"/>
      <c r="F27" s="6"/>
      <c r="G27" s="9"/>
      <c r="H27" s="7"/>
      <c r="I27" s="186"/>
      <c r="J27" s="1"/>
      <c r="K27" s="1"/>
      <c r="L27" s="1"/>
      <c r="M27" s="197"/>
      <c r="N27" s="16"/>
      <c r="O27" s="16"/>
      <c r="P27" s="1"/>
    </row>
    <row r="28" spans="1:16">
      <c r="A28" s="6"/>
      <c r="B28" s="6"/>
      <c r="C28" s="6"/>
      <c r="D28" s="6"/>
      <c r="E28" s="6"/>
      <c r="F28" s="6"/>
      <c r="G28" s="9"/>
      <c r="H28" s="7"/>
      <c r="I28" s="186"/>
      <c r="J28" s="1"/>
      <c r="K28" s="1"/>
      <c r="L28" s="1"/>
      <c r="M28" s="197"/>
      <c r="N28" s="16"/>
      <c r="O28" s="16"/>
      <c r="P28" s="1"/>
    </row>
    <row r="29" spans="1:16">
      <c r="A29" s="6"/>
      <c r="B29" s="6"/>
      <c r="C29" s="6"/>
      <c r="D29" s="6"/>
      <c r="E29" s="6"/>
      <c r="F29" s="6"/>
      <c r="G29" s="9"/>
      <c r="H29" s="7"/>
      <c r="I29" s="186"/>
      <c r="J29" s="1"/>
      <c r="K29" s="1"/>
      <c r="L29" s="1"/>
      <c r="M29" s="197"/>
      <c r="N29" s="16"/>
      <c r="O29" s="16"/>
      <c r="P29" s="1"/>
    </row>
    <row r="30" spans="1:16">
      <c r="A30" s="6"/>
      <c r="B30" s="6"/>
      <c r="C30" s="6"/>
      <c r="D30" s="6"/>
      <c r="E30" s="6"/>
      <c r="F30" s="6"/>
      <c r="G30" s="9"/>
      <c r="H30" s="7"/>
      <c r="I30" s="186"/>
      <c r="J30" s="1"/>
      <c r="K30" s="1"/>
      <c r="L30" s="1"/>
      <c r="M30" s="197"/>
      <c r="N30" s="16"/>
      <c r="O30" s="16"/>
      <c r="P30" s="1"/>
    </row>
    <row r="31" spans="1:16">
      <c r="A31" s="6"/>
      <c r="B31" s="6"/>
      <c r="C31" s="6"/>
      <c r="D31" s="6"/>
      <c r="E31" s="6"/>
      <c r="F31" s="6"/>
      <c r="G31" s="9"/>
      <c r="H31" s="7"/>
      <c r="I31" s="186"/>
      <c r="J31" s="1"/>
      <c r="K31" s="1"/>
      <c r="L31" s="1"/>
      <c r="M31" s="197"/>
      <c r="N31" s="16"/>
      <c r="O31" s="16"/>
      <c r="P31" s="1"/>
    </row>
    <row r="32" spans="1:16">
      <c r="A32" s="6"/>
      <c r="B32" s="6"/>
      <c r="C32" s="6"/>
      <c r="D32" s="6"/>
      <c r="E32" s="6"/>
      <c r="F32" s="6"/>
      <c r="G32" s="9"/>
      <c r="H32" s="7"/>
      <c r="I32" s="186"/>
      <c r="J32" s="1"/>
      <c r="K32" s="1"/>
      <c r="L32" s="1"/>
      <c r="M32" s="197"/>
      <c r="N32" s="16"/>
      <c r="O32" s="16"/>
      <c r="P32" s="1"/>
    </row>
    <row r="33" spans="1:16">
      <c r="A33" s="6"/>
      <c r="B33" s="6"/>
      <c r="C33" s="6"/>
      <c r="D33" s="6"/>
      <c r="E33" s="6"/>
      <c r="F33" s="6"/>
      <c r="G33" s="9"/>
      <c r="H33" s="7"/>
      <c r="I33" s="186"/>
      <c r="J33" s="1"/>
      <c r="K33" s="1"/>
      <c r="L33" s="1"/>
      <c r="M33" s="197"/>
      <c r="N33" s="16"/>
      <c r="O33" s="16"/>
      <c r="P33" s="1"/>
    </row>
    <row r="34" spans="1:16">
      <c r="A34" s="6"/>
      <c r="B34" s="6"/>
      <c r="C34" s="6"/>
      <c r="D34" s="6"/>
      <c r="E34" s="6"/>
      <c r="F34" s="6"/>
      <c r="G34" s="9"/>
      <c r="H34" s="7"/>
      <c r="I34" s="186"/>
      <c r="J34" s="1"/>
      <c r="K34" s="1"/>
      <c r="L34" s="1"/>
      <c r="M34" s="197"/>
      <c r="N34" s="16"/>
      <c r="O34" s="16"/>
      <c r="P34" s="1"/>
    </row>
    <row r="35" spans="1:16">
      <c r="A35" s="6"/>
      <c r="B35" s="6"/>
      <c r="C35" s="6"/>
      <c r="D35" s="6"/>
      <c r="E35" s="6"/>
      <c r="F35" s="6"/>
      <c r="G35" s="9"/>
      <c r="H35" s="7"/>
      <c r="I35" s="186"/>
      <c r="J35" s="1"/>
      <c r="K35" s="1"/>
      <c r="L35" s="1"/>
      <c r="M35" s="197"/>
      <c r="N35" s="16"/>
      <c r="O35" s="16"/>
      <c r="P35" s="1"/>
    </row>
    <row r="36" spans="1:16">
      <c r="A36" s="6"/>
      <c r="B36" s="6"/>
      <c r="C36" s="6"/>
      <c r="D36" s="6"/>
      <c r="E36" s="6"/>
      <c r="F36" s="6"/>
      <c r="G36" s="9"/>
      <c r="H36" s="7"/>
      <c r="I36" s="186"/>
      <c r="J36" s="1"/>
      <c r="K36" s="1"/>
      <c r="L36" s="1"/>
      <c r="M36" s="197"/>
      <c r="N36" s="16"/>
      <c r="O36" s="16"/>
      <c r="P36" s="1"/>
    </row>
    <row r="37" spans="1:16">
      <c r="A37" s="6"/>
      <c r="B37" s="6"/>
      <c r="C37" s="6"/>
      <c r="D37" s="6"/>
      <c r="E37" s="6"/>
      <c r="F37" s="6"/>
      <c r="G37" s="9"/>
      <c r="H37" s="7"/>
      <c r="I37" s="186"/>
      <c r="J37" s="1"/>
      <c r="K37" s="1"/>
      <c r="L37" s="1"/>
      <c r="M37" s="197"/>
      <c r="N37" s="16"/>
      <c r="O37" s="16"/>
      <c r="P37" s="1"/>
    </row>
    <row r="38" spans="1:16">
      <c r="A38" s="6"/>
      <c r="B38" s="6"/>
      <c r="C38" s="6"/>
      <c r="D38" s="6"/>
      <c r="E38" s="6"/>
      <c r="F38" s="6"/>
      <c r="G38" s="9"/>
      <c r="H38" s="7"/>
      <c r="I38" s="186"/>
      <c r="J38" s="1"/>
      <c r="K38" s="1"/>
      <c r="L38" s="1"/>
      <c r="M38" s="197"/>
      <c r="N38" s="16"/>
      <c r="O38" s="16"/>
      <c r="P38" s="1"/>
    </row>
    <row r="39" spans="1:16">
      <c r="A39" s="6"/>
      <c r="B39" s="6"/>
      <c r="C39" s="6"/>
      <c r="D39" s="6"/>
      <c r="E39" s="6"/>
      <c r="F39" s="6"/>
      <c r="G39" s="9"/>
      <c r="H39" s="7"/>
      <c r="I39" s="186"/>
      <c r="J39" s="1"/>
      <c r="K39" s="1"/>
      <c r="L39" s="1"/>
      <c r="M39" s="197"/>
      <c r="N39" s="16"/>
      <c r="O39" s="16"/>
      <c r="P39" s="1"/>
    </row>
    <row r="40" spans="1:16">
      <c r="A40" s="6"/>
      <c r="B40" s="6"/>
      <c r="C40" s="6"/>
      <c r="D40" s="6"/>
      <c r="E40" s="6"/>
      <c r="F40" s="6"/>
      <c r="G40" s="9"/>
      <c r="H40" s="7"/>
      <c r="I40" s="186"/>
      <c r="J40" s="1"/>
      <c r="K40" s="1"/>
      <c r="L40" s="1"/>
      <c r="M40" s="197"/>
      <c r="N40" s="16"/>
      <c r="O40" s="16"/>
      <c r="P40" s="1"/>
    </row>
    <row r="41" spans="1:16">
      <c r="A41" s="6"/>
      <c r="B41" s="6"/>
      <c r="C41" s="6"/>
      <c r="D41" s="6"/>
      <c r="E41" s="6"/>
      <c r="F41" s="6"/>
      <c r="G41" s="9"/>
      <c r="H41" s="7"/>
      <c r="I41" s="186"/>
      <c r="J41" s="1"/>
      <c r="K41" s="1"/>
      <c r="L41" s="1"/>
      <c r="M41" s="197"/>
      <c r="N41" s="16"/>
      <c r="O41" s="16"/>
      <c r="P41" s="1"/>
    </row>
    <row r="42" spans="1:16">
      <c r="A42" s="6"/>
      <c r="B42" s="6"/>
      <c r="C42" s="6"/>
      <c r="D42" s="6"/>
      <c r="E42" s="6"/>
      <c r="F42" s="6"/>
      <c r="G42" s="9"/>
      <c r="H42" s="7"/>
      <c r="I42" s="186"/>
      <c r="J42" s="1"/>
      <c r="K42" s="1"/>
      <c r="L42" s="1"/>
      <c r="M42" s="197"/>
      <c r="N42" s="16"/>
      <c r="O42" s="16"/>
      <c r="P42" s="1"/>
    </row>
    <row r="43" spans="1:16">
      <c r="A43" s="6"/>
      <c r="B43" s="6"/>
      <c r="C43" s="6"/>
      <c r="D43" s="6"/>
      <c r="E43" s="6"/>
      <c r="F43" s="6"/>
      <c r="G43" s="9"/>
      <c r="H43" s="7"/>
      <c r="I43" s="186"/>
      <c r="J43" s="1"/>
      <c r="K43" s="1"/>
      <c r="L43" s="1"/>
      <c r="M43" s="197"/>
      <c r="N43" s="16"/>
      <c r="O43" s="16"/>
      <c r="P43" s="1"/>
    </row>
    <row r="44" spans="1:16">
      <c r="A44" s="6"/>
      <c r="B44" s="6"/>
      <c r="C44" s="6"/>
      <c r="D44" s="6"/>
      <c r="E44" s="6"/>
      <c r="F44" s="6"/>
      <c r="G44" s="9"/>
      <c r="H44" s="7"/>
      <c r="I44" s="186"/>
      <c r="J44" s="1"/>
      <c r="K44" s="1"/>
      <c r="L44" s="1"/>
      <c r="M44" s="197"/>
      <c r="N44" s="16"/>
      <c r="O44" s="16"/>
      <c r="P44" s="1"/>
    </row>
    <row r="45" spans="1:16">
      <c r="A45" s="6"/>
      <c r="B45" s="6"/>
      <c r="C45" s="6"/>
      <c r="D45" s="6"/>
      <c r="E45" s="6"/>
      <c r="F45" s="6"/>
      <c r="G45" s="9"/>
      <c r="H45" s="7"/>
      <c r="I45" s="186"/>
      <c r="J45" s="1"/>
      <c r="K45" s="1"/>
      <c r="L45" s="1"/>
      <c r="M45" s="197"/>
      <c r="N45" s="16"/>
      <c r="O45" s="16"/>
      <c r="P45" s="1"/>
    </row>
    <row r="46" spans="1:16">
      <c r="A46" s="6"/>
      <c r="B46" s="6"/>
      <c r="C46" s="6"/>
      <c r="D46" s="6"/>
      <c r="E46" s="6"/>
      <c r="F46" s="6"/>
      <c r="G46" s="9"/>
      <c r="H46" s="7"/>
      <c r="I46" s="186"/>
      <c r="J46" s="1"/>
      <c r="K46" s="1"/>
      <c r="L46" s="1"/>
      <c r="M46" s="197"/>
      <c r="N46" s="16"/>
      <c r="O46" s="16"/>
      <c r="P46" s="1"/>
    </row>
    <row r="47" spans="1:16">
      <c r="A47" s="6"/>
      <c r="B47" s="6"/>
      <c r="C47" s="6"/>
      <c r="D47" s="6"/>
      <c r="E47" s="6"/>
      <c r="F47" s="6"/>
      <c r="G47" s="9"/>
      <c r="H47" s="7"/>
      <c r="I47" s="186"/>
      <c r="J47" s="1"/>
      <c r="K47" s="1"/>
      <c r="L47" s="1"/>
      <c r="M47" s="197"/>
      <c r="N47" s="16"/>
      <c r="O47" s="16"/>
      <c r="P47" s="1"/>
    </row>
    <row r="48" spans="1:16">
      <c r="A48" s="6"/>
      <c r="B48" s="6"/>
      <c r="C48" s="6"/>
      <c r="D48" s="6"/>
      <c r="E48" s="6"/>
      <c r="F48" s="6"/>
      <c r="G48" s="9"/>
      <c r="H48" s="7"/>
      <c r="I48" s="186"/>
      <c r="J48" s="1"/>
      <c r="K48" s="1"/>
      <c r="L48" s="1"/>
      <c r="M48" s="197"/>
      <c r="N48" s="16"/>
      <c r="O48" s="16"/>
      <c r="P48" s="1"/>
    </row>
    <row r="49" spans="1:16">
      <c r="A49" s="6"/>
      <c r="B49" s="6"/>
      <c r="C49" s="6"/>
      <c r="D49" s="6"/>
      <c r="E49" s="6"/>
      <c r="F49" s="6"/>
      <c r="G49" s="9"/>
      <c r="H49" s="7"/>
      <c r="I49" s="186"/>
      <c r="J49" s="1"/>
      <c r="K49" s="1"/>
      <c r="L49" s="1"/>
      <c r="M49" s="197"/>
      <c r="N49" s="16"/>
      <c r="O49" s="16"/>
      <c r="P49" s="1"/>
    </row>
    <row r="50" spans="1:16">
      <c r="A50" s="6"/>
      <c r="B50" s="6"/>
      <c r="C50" s="6"/>
      <c r="D50" s="6"/>
      <c r="E50" s="6"/>
      <c r="F50" s="6"/>
      <c r="G50" s="9"/>
      <c r="H50" s="7"/>
      <c r="I50" s="186"/>
      <c r="J50" s="1"/>
      <c r="K50" s="1"/>
      <c r="L50" s="1"/>
      <c r="M50" s="197"/>
      <c r="N50" s="16"/>
      <c r="O50" s="16"/>
      <c r="P50" s="1"/>
    </row>
    <row r="51" spans="1:16">
      <c r="A51" s="6"/>
      <c r="B51" s="6"/>
      <c r="C51" s="6"/>
      <c r="D51" s="6"/>
      <c r="E51" s="6"/>
      <c r="F51" s="6"/>
      <c r="G51" s="9"/>
      <c r="H51" s="7"/>
      <c r="I51" s="186"/>
      <c r="J51" s="1"/>
      <c r="K51" s="1"/>
      <c r="L51" s="1"/>
      <c r="M51" s="197"/>
      <c r="N51" s="16"/>
      <c r="O51" s="16"/>
      <c r="P51" s="1"/>
    </row>
    <row r="52" spans="1:16">
      <c r="A52" s="6"/>
      <c r="B52" s="6"/>
      <c r="C52" s="6"/>
      <c r="D52" s="6"/>
      <c r="E52" s="6"/>
      <c r="F52" s="6"/>
      <c r="G52" s="9"/>
      <c r="H52" s="7"/>
      <c r="I52" s="186"/>
      <c r="J52" s="1"/>
      <c r="K52" s="1"/>
      <c r="L52" s="1"/>
      <c r="M52" s="197"/>
      <c r="N52" s="16"/>
      <c r="O52" s="16"/>
      <c r="P52" s="1"/>
    </row>
    <row r="53" spans="1:16">
      <c r="A53" s="6"/>
      <c r="B53" s="6"/>
      <c r="C53" s="6"/>
      <c r="D53" s="6"/>
      <c r="E53" s="6"/>
      <c r="F53" s="6"/>
      <c r="G53" s="9"/>
      <c r="H53" s="7"/>
      <c r="I53" s="186"/>
      <c r="J53" s="1"/>
      <c r="K53" s="1"/>
      <c r="L53" s="1"/>
      <c r="M53" s="197"/>
      <c r="N53" s="16"/>
      <c r="O53" s="16"/>
      <c r="P53" s="1"/>
    </row>
    <row r="54" spans="1:16">
      <c r="A54" s="6"/>
      <c r="B54" s="6"/>
      <c r="C54" s="6"/>
      <c r="D54" s="6"/>
      <c r="E54" s="6"/>
      <c r="F54" s="6"/>
      <c r="G54" s="9"/>
      <c r="H54" s="7"/>
      <c r="I54" s="186"/>
      <c r="J54" s="1"/>
      <c r="K54" s="1"/>
      <c r="L54" s="1"/>
      <c r="M54" s="197"/>
      <c r="N54" s="16"/>
      <c r="O54" s="16"/>
      <c r="P54" s="1"/>
    </row>
    <row r="55" spans="1:16">
      <c r="A55" s="6"/>
      <c r="B55" s="6"/>
      <c r="C55" s="6"/>
      <c r="D55" s="6"/>
      <c r="E55" s="6"/>
      <c r="F55" s="6"/>
      <c r="G55" s="9"/>
      <c r="H55" s="7"/>
      <c r="I55" s="186"/>
      <c r="J55" s="1"/>
      <c r="K55" s="1"/>
      <c r="L55" s="1"/>
      <c r="M55" s="197"/>
      <c r="N55" s="16"/>
      <c r="O55" s="16"/>
      <c r="P55" s="1"/>
    </row>
    <row r="56" spans="1:16">
      <c r="A56" s="6"/>
      <c r="B56" s="6"/>
      <c r="C56" s="6"/>
      <c r="D56" s="6"/>
      <c r="E56" s="6"/>
      <c r="F56" s="6"/>
      <c r="G56" s="9"/>
      <c r="H56" s="7"/>
      <c r="I56" s="186"/>
      <c r="J56" s="1"/>
      <c r="K56" s="1"/>
      <c r="L56" s="1"/>
      <c r="M56" s="197"/>
      <c r="N56" s="16"/>
      <c r="O56" s="16"/>
      <c r="P56" s="1"/>
    </row>
    <row r="57" spans="1:16">
      <c r="A57" s="6"/>
      <c r="B57" s="6"/>
      <c r="C57" s="6"/>
      <c r="D57" s="6"/>
      <c r="E57" s="6"/>
      <c r="F57" s="1"/>
      <c r="G57" s="9"/>
      <c r="H57" s="7"/>
      <c r="I57" s="186"/>
      <c r="J57" s="1"/>
      <c r="K57" s="1"/>
      <c r="L57" s="1"/>
      <c r="M57" s="197"/>
      <c r="N57" s="16"/>
      <c r="O57" s="16"/>
      <c r="P57" s="1"/>
    </row>
    <row r="58" spans="1:16">
      <c r="A58" s="6"/>
      <c r="B58" s="6"/>
      <c r="C58" s="6"/>
      <c r="D58" s="6"/>
      <c r="E58" s="6"/>
      <c r="F58" s="6"/>
      <c r="G58" s="9"/>
      <c r="H58" s="7"/>
      <c r="I58" s="186"/>
      <c r="J58" s="1"/>
      <c r="K58" s="1"/>
      <c r="L58" s="1"/>
      <c r="M58" s="197"/>
      <c r="N58" s="16"/>
      <c r="O58" s="16"/>
      <c r="P58" s="1"/>
    </row>
    <row r="59" spans="1:16">
      <c r="A59" s="6"/>
      <c r="B59" s="6"/>
      <c r="C59" s="6"/>
      <c r="D59" s="6"/>
      <c r="E59" s="6"/>
      <c r="F59" s="6"/>
      <c r="G59" s="9"/>
      <c r="H59" s="7"/>
      <c r="I59" s="186"/>
      <c r="J59" s="1"/>
      <c r="K59" s="1"/>
      <c r="L59" s="1"/>
      <c r="M59" s="197"/>
      <c r="N59" s="16"/>
      <c r="O59" s="16"/>
      <c r="P59" s="1"/>
    </row>
    <row r="60" spans="1:16">
      <c r="A60" s="6"/>
      <c r="B60" s="6"/>
      <c r="C60" s="6"/>
      <c r="D60" s="6"/>
      <c r="E60" s="6"/>
      <c r="F60" s="6"/>
      <c r="G60" s="9"/>
      <c r="H60" s="7"/>
      <c r="I60" s="186"/>
      <c r="J60" s="1"/>
      <c r="K60" s="1"/>
      <c r="L60" s="1"/>
      <c r="M60" s="197"/>
      <c r="N60" s="16"/>
      <c r="O60" s="16"/>
      <c r="P60" s="1"/>
    </row>
    <row r="61" spans="1:16">
      <c r="A61" s="6"/>
      <c r="B61" s="6"/>
      <c r="C61" s="6"/>
      <c r="D61" s="6"/>
      <c r="E61" s="6"/>
      <c r="F61" s="6"/>
      <c r="G61" s="9"/>
      <c r="H61" s="7"/>
      <c r="I61" s="186"/>
      <c r="J61" s="1"/>
      <c r="K61" s="1"/>
      <c r="L61" s="1"/>
      <c r="M61" s="197"/>
      <c r="N61" s="16"/>
      <c r="O61" s="16"/>
      <c r="P61" s="1"/>
    </row>
    <row r="62" spans="1:16">
      <c r="A62" s="6"/>
      <c r="B62" s="6"/>
      <c r="C62" s="6"/>
      <c r="D62" s="6"/>
      <c r="E62" s="6"/>
      <c r="F62" s="6"/>
      <c r="G62" s="9"/>
      <c r="H62" s="7"/>
      <c r="I62" s="186"/>
      <c r="J62" s="1"/>
      <c r="K62" s="1"/>
      <c r="L62" s="1"/>
      <c r="M62" s="197"/>
      <c r="N62" s="16"/>
      <c r="O62" s="16"/>
      <c r="P62" s="1"/>
    </row>
    <row r="63" spans="1:16">
      <c r="A63" s="6"/>
      <c r="B63" s="6"/>
      <c r="C63" s="6"/>
      <c r="D63" s="6"/>
      <c r="E63" s="6"/>
      <c r="F63" s="6"/>
      <c r="G63" s="9"/>
      <c r="H63" s="7"/>
      <c r="I63" s="186"/>
      <c r="J63" s="1"/>
      <c r="K63" s="1"/>
      <c r="L63" s="1"/>
      <c r="M63" s="197"/>
      <c r="N63" s="16"/>
      <c r="O63" s="16"/>
      <c r="P63" s="1"/>
    </row>
    <row r="64" spans="1:16">
      <c r="A64" s="6"/>
      <c r="B64" s="6"/>
      <c r="C64" s="6"/>
      <c r="D64" s="6"/>
      <c r="E64" s="6"/>
      <c r="F64" s="6"/>
      <c r="G64" s="9"/>
      <c r="H64" s="7"/>
      <c r="I64" s="186"/>
      <c r="J64" s="1"/>
      <c r="K64" s="1"/>
      <c r="L64" s="1"/>
      <c r="M64" s="197"/>
      <c r="N64" s="16"/>
      <c r="O64" s="16"/>
      <c r="P64" s="1"/>
    </row>
    <row r="65" spans="1:16">
      <c r="A65" s="6"/>
      <c r="B65" s="6"/>
      <c r="C65" s="6"/>
      <c r="D65" s="6"/>
      <c r="E65" s="6"/>
      <c r="F65" s="6"/>
      <c r="G65" s="9"/>
      <c r="H65" s="7"/>
      <c r="I65" s="186"/>
      <c r="J65" s="1"/>
      <c r="K65" s="1"/>
      <c r="L65" s="1"/>
      <c r="M65" s="197"/>
      <c r="N65" s="16"/>
      <c r="O65" s="16"/>
      <c r="P65" s="1"/>
    </row>
    <row r="66" spans="1:16">
      <c r="A66" s="6"/>
      <c r="B66" s="6"/>
      <c r="C66" s="6"/>
      <c r="D66" s="6"/>
      <c r="E66" s="6"/>
      <c r="F66" s="6"/>
      <c r="G66" s="9"/>
      <c r="H66" s="7"/>
      <c r="I66" s="186"/>
      <c r="J66" s="1"/>
      <c r="K66" s="1"/>
      <c r="L66" s="1"/>
      <c r="M66" s="197"/>
      <c r="N66" s="16"/>
      <c r="O66" s="16"/>
      <c r="P66" s="1"/>
    </row>
    <row r="67" spans="1:16">
      <c r="A67" s="6"/>
      <c r="B67" s="6"/>
      <c r="C67" s="6"/>
      <c r="D67" s="6"/>
      <c r="E67" s="6"/>
      <c r="F67" s="6"/>
      <c r="G67" s="9"/>
      <c r="H67" s="7"/>
      <c r="I67" s="186"/>
      <c r="J67" s="1"/>
      <c r="K67" s="1"/>
      <c r="L67" s="1"/>
      <c r="M67" s="197"/>
      <c r="N67" s="16"/>
      <c r="O67" s="16"/>
      <c r="P67" s="1"/>
    </row>
    <row r="68" spans="1:16">
      <c r="A68" s="6"/>
      <c r="B68" s="190"/>
      <c r="C68" s="6"/>
      <c r="D68" s="6"/>
      <c r="E68" s="6"/>
      <c r="F68" s="6"/>
      <c r="G68" s="9"/>
      <c r="H68" s="7"/>
      <c r="I68" s="186"/>
      <c r="J68" s="1"/>
      <c r="K68" s="1"/>
      <c r="L68" s="1"/>
      <c r="M68" s="197"/>
      <c r="N68" s="16"/>
      <c r="O68" s="16"/>
      <c r="P68" s="1"/>
    </row>
    <row r="69" spans="1:16">
      <c r="A69" s="6"/>
      <c r="B69" s="6"/>
      <c r="C69" s="6"/>
      <c r="D69" s="6"/>
      <c r="E69" s="6"/>
      <c r="F69" s="6"/>
      <c r="G69" s="9"/>
      <c r="H69" s="7"/>
      <c r="I69" s="186"/>
      <c r="J69" s="1"/>
      <c r="K69" s="1"/>
      <c r="L69" s="1"/>
      <c r="M69" s="197"/>
      <c r="N69" s="16"/>
      <c r="O69" s="16"/>
      <c r="P69" s="1"/>
    </row>
    <row r="70" spans="1:16">
      <c r="A70" s="6"/>
      <c r="B70" s="6"/>
      <c r="C70" s="6"/>
      <c r="D70" s="6"/>
      <c r="E70" s="6"/>
      <c r="F70" s="6"/>
      <c r="G70" s="9"/>
      <c r="H70" s="7"/>
      <c r="I70" s="186"/>
      <c r="J70" s="1"/>
      <c r="K70" s="1"/>
      <c r="L70" s="1"/>
      <c r="M70" s="197"/>
      <c r="N70" s="16"/>
      <c r="O70" s="16"/>
      <c r="P70" s="1"/>
    </row>
    <row r="71" spans="1:16">
      <c r="A71" s="6"/>
      <c r="B71" s="6"/>
      <c r="C71" s="6"/>
      <c r="D71" s="6"/>
      <c r="E71" s="6"/>
      <c r="F71" s="6"/>
      <c r="G71" s="9"/>
      <c r="H71" s="7"/>
      <c r="I71" s="186"/>
      <c r="J71" s="1"/>
      <c r="K71" s="1"/>
      <c r="L71" s="1"/>
      <c r="M71" s="197"/>
      <c r="N71" s="16"/>
      <c r="O71" s="16"/>
      <c r="P71" s="1"/>
    </row>
    <row r="72" spans="1:16">
      <c r="A72" s="6"/>
      <c r="B72" s="6"/>
      <c r="C72" s="6"/>
      <c r="D72" s="6"/>
      <c r="E72" s="6"/>
      <c r="F72" s="6"/>
      <c r="G72" s="9"/>
      <c r="H72" s="7"/>
      <c r="I72" s="186"/>
      <c r="J72" s="1"/>
      <c r="K72" s="1"/>
      <c r="L72" s="1"/>
      <c r="M72" s="197"/>
      <c r="N72" s="16"/>
      <c r="O72" s="16"/>
      <c r="P72" s="1"/>
    </row>
    <row r="73" spans="1:16">
      <c r="A73" s="6"/>
      <c r="B73" s="6"/>
      <c r="C73" s="6"/>
      <c r="D73" s="6"/>
      <c r="E73" s="6"/>
      <c r="F73" s="6"/>
      <c r="G73" s="9"/>
      <c r="H73" s="7"/>
      <c r="I73" s="186"/>
      <c r="J73" s="1"/>
      <c r="K73" s="1"/>
      <c r="L73" s="1"/>
      <c r="M73" s="197"/>
      <c r="N73" s="16"/>
      <c r="O73" s="16"/>
      <c r="P73" s="1"/>
    </row>
    <row r="74" spans="1:16">
      <c r="A74" s="6"/>
      <c r="B74" s="6"/>
      <c r="C74" s="6"/>
      <c r="D74" s="6"/>
      <c r="E74" s="6"/>
      <c r="F74" s="6"/>
      <c r="G74" s="9"/>
      <c r="H74" s="7"/>
      <c r="I74" s="186"/>
      <c r="J74" s="1"/>
      <c r="K74" s="1"/>
      <c r="L74" s="1"/>
      <c r="M74" s="197"/>
      <c r="N74" s="16"/>
      <c r="O74" s="16"/>
      <c r="P74" s="1"/>
    </row>
    <row r="75" spans="1:16">
      <c r="A75" s="6"/>
      <c r="B75" s="190"/>
      <c r="C75" s="6"/>
      <c r="D75" s="6"/>
      <c r="E75" s="6"/>
      <c r="F75" s="6"/>
      <c r="G75" s="9"/>
      <c r="H75" s="7"/>
      <c r="I75" s="186"/>
      <c r="J75" s="1"/>
      <c r="K75" s="1"/>
      <c r="L75" s="1"/>
      <c r="M75" s="197"/>
      <c r="N75" s="16"/>
      <c r="O75" s="16"/>
      <c r="P75" s="1"/>
    </row>
    <row r="76" spans="1:16">
      <c r="A76" s="6"/>
      <c r="B76" s="6"/>
      <c r="C76" s="6"/>
      <c r="D76" s="6"/>
      <c r="E76" s="6"/>
      <c r="F76" s="6"/>
      <c r="G76" s="9"/>
      <c r="H76" s="7"/>
      <c r="I76" s="186"/>
      <c r="J76" s="1"/>
      <c r="K76" s="1"/>
      <c r="L76" s="1"/>
      <c r="M76" s="197"/>
      <c r="N76" s="16"/>
      <c r="O76" s="16"/>
      <c r="P76" s="1"/>
    </row>
    <row r="77" spans="1:16">
      <c r="A77" s="6"/>
      <c r="B77" s="6"/>
      <c r="C77" s="6"/>
      <c r="D77" s="6"/>
      <c r="E77" s="6"/>
      <c r="F77" s="6"/>
      <c r="G77" s="9"/>
      <c r="H77" s="7"/>
      <c r="I77" s="186"/>
      <c r="J77" s="1"/>
      <c r="K77" s="1"/>
      <c r="L77" s="1"/>
      <c r="M77" s="197"/>
      <c r="N77" s="16"/>
      <c r="O77" s="16"/>
      <c r="P77" s="1"/>
    </row>
    <row r="78" spans="1:16">
      <c r="A78" s="6"/>
      <c r="B78" s="6"/>
      <c r="C78" s="6"/>
      <c r="D78" s="6"/>
      <c r="E78" s="6"/>
      <c r="F78" s="6"/>
      <c r="G78" s="9"/>
      <c r="H78" s="7"/>
      <c r="I78" s="186"/>
      <c r="J78" s="1"/>
      <c r="K78" s="1"/>
      <c r="L78" s="1"/>
      <c r="M78" s="197"/>
      <c r="N78" s="16"/>
      <c r="O78" s="16"/>
      <c r="P78" s="1"/>
    </row>
    <row r="79" spans="1:16">
      <c r="A79" s="6"/>
      <c r="B79" s="6"/>
      <c r="C79" s="6"/>
      <c r="D79" s="6"/>
      <c r="E79" s="6"/>
      <c r="F79" s="6"/>
      <c r="G79" s="9"/>
      <c r="H79" s="7"/>
      <c r="I79" s="186"/>
      <c r="J79" s="1"/>
      <c r="K79" s="1"/>
      <c r="L79" s="1"/>
      <c r="M79" s="197"/>
      <c r="N79" s="16"/>
      <c r="O79" s="16"/>
      <c r="P79" s="1"/>
    </row>
    <row r="80" spans="1:16">
      <c r="A80" s="6"/>
      <c r="B80" s="6"/>
      <c r="C80" s="6"/>
      <c r="D80" s="6"/>
      <c r="E80" s="6"/>
      <c r="F80" s="6"/>
      <c r="G80" s="9"/>
      <c r="H80" s="7"/>
      <c r="I80" s="186"/>
      <c r="J80" s="1"/>
      <c r="K80" s="1"/>
      <c r="L80" s="1"/>
      <c r="M80" s="197"/>
      <c r="N80" s="16"/>
      <c r="O80" s="16"/>
      <c r="P80" s="1"/>
    </row>
    <row r="81" spans="1:16">
      <c r="A81" s="6"/>
      <c r="B81" s="6"/>
      <c r="C81" s="6"/>
      <c r="D81" s="6"/>
      <c r="E81" s="6"/>
      <c r="F81" s="6"/>
      <c r="G81" s="9"/>
      <c r="H81" s="7"/>
      <c r="I81" s="186"/>
      <c r="J81" s="1"/>
      <c r="K81" s="1"/>
      <c r="L81" s="1"/>
      <c r="M81" s="197"/>
      <c r="N81" s="16"/>
      <c r="O81" s="16"/>
      <c r="P81" s="1"/>
    </row>
    <row r="82" spans="1:16">
      <c r="A82" s="6"/>
      <c r="B82" s="6"/>
      <c r="C82" s="6"/>
      <c r="D82" s="6"/>
      <c r="E82" s="6"/>
      <c r="F82" s="6"/>
      <c r="G82" s="9"/>
      <c r="H82" s="7"/>
      <c r="I82" s="186"/>
      <c r="J82" s="1"/>
      <c r="K82" s="1"/>
      <c r="L82" s="1"/>
      <c r="M82" s="197"/>
      <c r="N82" s="16"/>
      <c r="O82" s="16"/>
      <c r="P82" s="1"/>
    </row>
    <row r="83" spans="1:16">
      <c r="A83" s="6"/>
      <c r="B83" s="6"/>
      <c r="C83" s="6"/>
      <c r="D83" s="6"/>
      <c r="E83" s="6"/>
      <c r="F83" s="6"/>
      <c r="G83" s="9"/>
      <c r="H83" s="7"/>
      <c r="I83" s="186"/>
      <c r="J83" s="1"/>
      <c r="K83" s="1"/>
      <c r="L83" s="1"/>
      <c r="M83" s="197"/>
      <c r="N83" s="16"/>
      <c r="O83" s="16"/>
      <c r="P83" s="1"/>
    </row>
    <row r="84" spans="1:16">
      <c r="A84" s="6"/>
      <c r="B84" s="6"/>
      <c r="C84" s="6"/>
      <c r="D84" s="6"/>
      <c r="E84" s="6"/>
      <c r="F84" s="6"/>
      <c r="G84" s="9"/>
      <c r="H84" s="7"/>
      <c r="I84" s="186"/>
      <c r="J84" s="1"/>
      <c r="K84" s="1"/>
      <c r="L84" s="1"/>
      <c r="M84" s="197"/>
      <c r="N84" s="186"/>
      <c r="O84" s="186"/>
      <c r="P84" s="1"/>
    </row>
    <row r="85" spans="1:16">
      <c r="A85" s="6"/>
      <c r="B85" s="6"/>
      <c r="C85" s="6"/>
      <c r="D85" s="6"/>
      <c r="E85" s="6"/>
      <c r="F85" s="6"/>
      <c r="G85" s="9"/>
      <c r="H85" s="7"/>
      <c r="I85" s="186"/>
      <c r="J85" s="1"/>
      <c r="K85" s="1"/>
      <c r="L85" s="1"/>
      <c r="M85" s="197"/>
      <c r="N85" s="16"/>
      <c r="O85" s="16"/>
      <c r="P85" s="1"/>
    </row>
    <row r="86" spans="1:16">
      <c r="A86" s="6"/>
      <c r="B86" s="6"/>
      <c r="C86" s="6"/>
      <c r="D86" s="6"/>
      <c r="E86" s="6"/>
      <c r="F86" s="6"/>
      <c r="G86" s="9"/>
      <c r="H86" s="7"/>
      <c r="I86" s="186"/>
      <c r="J86" s="1"/>
      <c r="K86" s="1"/>
      <c r="L86" s="1"/>
      <c r="M86" s="197"/>
      <c r="N86" s="16"/>
      <c r="O86" s="16"/>
      <c r="P86" s="1"/>
    </row>
    <row r="87" spans="1:16">
      <c r="A87" s="6"/>
      <c r="B87" s="6"/>
      <c r="C87" s="6"/>
      <c r="D87" s="6"/>
      <c r="E87" s="6"/>
      <c r="F87" s="6"/>
      <c r="G87" s="9"/>
      <c r="H87" s="7"/>
      <c r="I87" s="186"/>
      <c r="J87" s="1"/>
      <c r="K87" s="1"/>
      <c r="L87" s="1"/>
      <c r="M87" s="197"/>
      <c r="N87" s="186"/>
      <c r="O87" s="186"/>
      <c r="P87" s="1"/>
    </row>
    <row r="88" spans="1:16">
      <c r="A88" s="6"/>
      <c r="B88" s="6"/>
      <c r="C88" s="6"/>
      <c r="D88" s="6"/>
      <c r="E88" s="6"/>
      <c r="F88" s="6"/>
      <c r="G88" s="9"/>
      <c r="H88" s="7"/>
      <c r="I88" s="186"/>
      <c r="J88" s="1"/>
      <c r="K88" s="1"/>
      <c r="L88" s="1"/>
      <c r="M88" s="197"/>
      <c r="N88" s="16"/>
      <c r="O88" s="16"/>
      <c r="P88" s="1"/>
    </row>
    <row r="89" spans="1:16">
      <c r="A89" s="6"/>
      <c r="B89" s="6"/>
      <c r="C89" s="6"/>
      <c r="D89" s="6"/>
      <c r="E89" s="6"/>
      <c r="F89" s="6"/>
      <c r="G89" s="9"/>
      <c r="H89" s="7"/>
      <c r="I89" s="186"/>
      <c r="J89" s="1"/>
      <c r="K89" s="1"/>
      <c r="L89" s="1"/>
      <c r="M89" s="197"/>
      <c r="N89" s="16"/>
      <c r="O89" s="16"/>
      <c r="P89" s="1"/>
    </row>
    <row r="90" spans="1:16">
      <c r="A90" s="6"/>
      <c r="B90" s="6"/>
      <c r="C90" s="6"/>
      <c r="D90" s="6"/>
      <c r="E90" s="6"/>
      <c r="F90" s="6"/>
      <c r="G90" s="9"/>
      <c r="H90" s="7"/>
      <c r="I90" s="186"/>
      <c r="J90" s="1"/>
      <c r="K90" s="1"/>
      <c r="L90" s="1"/>
      <c r="M90" s="197"/>
      <c r="N90" s="16"/>
      <c r="O90" s="16"/>
      <c r="P90" s="1"/>
    </row>
    <row r="91" spans="1:16">
      <c r="A91" s="6"/>
      <c r="B91" s="6"/>
      <c r="C91" s="6"/>
      <c r="D91" s="6"/>
      <c r="E91" s="6"/>
      <c r="F91" s="6"/>
      <c r="G91" s="9"/>
      <c r="H91" s="7"/>
      <c r="I91" s="186"/>
      <c r="J91" s="1"/>
      <c r="K91" s="1"/>
      <c r="L91" s="1"/>
      <c r="M91" s="197"/>
      <c r="N91" s="16"/>
      <c r="O91" s="16"/>
      <c r="P91" s="1"/>
    </row>
    <row r="92" spans="1:16">
      <c r="A92" s="6"/>
      <c r="B92" s="6"/>
      <c r="C92" s="6"/>
      <c r="D92" s="6"/>
      <c r="E92" s="6"/>
      <c r="F92" s="6"/>
      <c r="G92" s="9"/>
      <c r="H92" s="7"/>
      <c r="I92" s="186"/>
      <c r="J92" s="1"/>
      <c r="K92" s="1"/>
      <c r="L92" s="1"/>
      <c r="M92" s="197"/>
      <c r="N92" s="16"/>
      <c r="O92" s="16"/>
      <c r="P92" s="1"/>
    </row>
    <row r="93" spans="1:16">
      <c r="A93" s="6"/>
      <c r="B93" s="6"/>
      <c r="C93" s="6"/>
      <c r="D93" s="6"/>
      <c r="E93" s="6"/>
      <c r="F93" s="6"/>
      <c r="G93" s="9"/>
      <c r="H93" s="7"/>
      <c r="I93" s="186"/>
      <c r="J93" s="1"/>
      <c r="K93" s="1"/>
      <c r="L93" s="1"/>
      <c r="M93" s="197"/>
      <c r="N93" s="16"/>
      <c r="O93" s="16"/>
      <c r="P93" s="1"/>
    </row>
    <row r="94" spans="1:16">
      <c r="A94" s="6"/>
      <c r="B94" s="6"/>
      <c r="C94" s="6"/>
      <c r="D94" s="6"/>
      <c r="E94" s="6"/>
      <c r="F94" s="6"/>
      <c r="G94" s="9"/>
      <c r="H94" s="7"/>
      <c r="I94" s="186"/>
      <c r="J94" s="1"/>
      <c r="K94" s="1"/>
      <c r="L94" s="1"/>
      <c r="M94" s="197"/>
      <c r="N94" s="16"/>
      <c r="O94" s="16"/>
      <c r="P94" s="1"/>
    </row>
    <row r="95" spans="1:16">
      <c r="A95" s="6"/>
      <c r="B95" s="6"/>
      <c r="C95" s="6"/>
      <c r="D95" s="6"/>
      <c r="E95" s="6"/>
      <c r="F95" s="6"/>
      <c r="G95" s="9"/>
      <c r="H95" s="7"/>
      <c r="I95" s="186"/>
      <c r="J95" s="1"/>
      <c r="K95" s="1"/>
      <c r="L95" s="1"/>
      <c r="M95" s="197"/>
      <c r="N95" s="16"/>
      <c r="O95" s="16"/>
      <c r="P95" s="1"/>
    </row>
    <row r="96" spans="1:16">
      <c r="A96" s="6"/>
      <c r="B96" s="6"/>
      <c r="C96" s="6"/>
      <c r="D96" s="6"/>
      <c r="E96" s="6"/>
      <c r="F96" s="6"/>
      <c r="G96" s="9"/>
      <c r="H96" s="7"/>
      <c r="I96" s="186"/>
      <c r="J96" s="1"/>
      <c r="K96" s="1"/>
      <c r="L96" s="1"/>
      <c r="M96" s="197"/>
      <c r="N96" s="16"/>
      <c r="O96" s="16"/>
      <c r="P96" s="1"/>
    </row>
    <row r="97" spans="1:16">
      <c r="A97" s="6"/>
      <c r="B97" s="6"/>
      <c r="C97" s="6"/>
      <c r="D97" s="6"/>
      <c r="E97" s="6"/>
      <c r="F97" s="6"/>
      <c r="G97" s="9"/>
      <c r="H97" s="7"/>
      <c r="I97" s="186"/>
      <c r="J97" s="1"/>
      <c r="K97" s="1"/>
      <c r="L97" s="1"/>
      <c r="M97" s="197"/>
      <c r="N97" s="16"/>
      <c r="O97" s="16"/>
      <c r="P97" s="1"/>
    </row>
    <row r="98" spans="1:16">
      <c r="A98" s="6"/>
      <c r="B98" s="6"/>
      <c r="C98" s="6"/>
      <c r="D98" s="6"/>
      <c r="E98" s="6"/>
      <c r="F98" s="6"/>
      <c r="G98" s="9"/>
      <c r="H98" s="7"/>
      <c r="I98" s="186"/>
      <c r="J98" s="1"/>
      <c r="K98" s="1"/>
      <c r="L98" s="1"/>
      <c r="M98" s="197"/>
      <c r="N98" s="16"/>
      <c r="O98" s="16"/>
      <c r="P98" s="1"/>
    </row>
    <row r="99" spans="1:16">
      <c r="A99" s="6"/>
      <c r="B99" s="6"/>
      <c r="C99" s="6"/>
      <c r="D99" s="6"/>
      <c r="E99" s="6"/>
      <c r="F99" s="6"/>
      <c r="G99" s="9"/>
      <c r="H99" s="7"/>
      <c r="I99" s="186"/>
      <c r="J99" s="1"/>
      <c r="K99" s="1"/>
      <c r="L99" s="1"/>
      <c r="M99" s="197"/>
      <c r="N99" s="16"/>
      <c r="O99" s="16"/>
      <c r="P99" s="1"/>
    </row>
    <row r="100" spans="1:16">
      <c r="A100" s="6"/>
      <c r="B100" s="6"/>
      <c r="C100" s="6"/>
      <c r="D100" s="6"/>
      <c r="E100" s="6"/>
      <c r="F100" s="6"/>
      <c r="G100" s="9"/>
      <c r="H100" s="7"/>
      <c r="I100" s="186"/>
      <c r="J100" s="1"/>
      <c r="K100" s="1"/>
      <c r="L100" s="1"/>
      <c r="M100" s="197"/>
      <c r="N100" s="16"/>
      <c r="O100" s="16"/>
      <c r="P100" s="1"/>
    </row>
    <row r="101" spans="1:16">
      <c r="A101" s="6"/>
      <c r="B101" s="6"/>
      <c r="C101" s="6"/>
      <c r="D101" s="6"/>
      <c r="E101" s="6"/>
      <c r="F101" s="176"/>
      <c r="G101" s="9"/>
      <c r="H101" s="7"/>
      <c r="I101" s="186"/>
      <c r="J101" s="1"/>
      <c r="K101" s="1"/>
      <c r="L101" s="1"/>
      <c r="M101" s="197"/>
      <c r="N101" s="16"/>
      <c r="O101" s="16"/>
      <c r="P101" s="1"/>
    </row>
    <row r="102" spans="1:16">
      <c r="A102" s="6"/>
      <c r="B102" s="6"/>
      <c r="C102" s="6"/>
      <c r="D102" s="6"/>
      <c r="E102" s="6"/>
      <c r="F102" s="6"/>
      <c r="G102" s="9"/>
      <c r="H102" s="7"/>
      <c r="I102" s="186"/>
      <c r="J102" s="1"/>
      <c r="K102" s="1"/>
      <c r="L102" s="1"/>
      <c r="M102" s="197"/>
      <c r="N102" s="16"/>
      <c r="O102" s="16"/>
      <c r="P102" s="1"/>
    </row>
    <row r="103" spans="1:16">
      <c r="A103" s="6"/>
      <c r="B103" s="6"/>
      <c r="C103" s="6"/>
      <c r="D103" s="6"/>
      <c r="E103" s="6"/>
      <c r="F103" s="6"/>
      <c r="G103" s="9"/>
      <c r="H103" s="7"/>
      <c r="I103" s="186"/>
      <c r="J103" s="1"/>
      <c r="K103" s="1"/>
      <c r="L103" s="1"/>
      <c r="M103" s="197"/>
      <c r="N103" s="16"/>
      <c r="O103" s="16"/>
      <c r="P103" s="1"/>
    </row>
    <row r="104" spans="1:16">
      <c r="A104" s="6"/>
      <c r="B104" s="6"/>
      <c r="C104" s="6"/>
      <c r="D104" s="6"/>
      <c r="E104" s="6"/>
      <c r="F104" s="6"/>
      <c r="G104" s="9"/>
      <c r="H104" s="7"/>
      <c r="I104" s="186"/>
      <c r="J104" s="1"/>
      <c r="K104" s="1"/>
      <c r="L104" s="1"/>
      <c r="M104" s="197"/>
      <c r="N104" s="16"/>
      <c r="O104" s="16"/>
      <c r="P104" s="1"/>
    </row>
    <row r="105" spans="1:16">
      <c r="A105" s="6"/>
      <c r="B105" s="6"/>
      <c r="C105" s="6"/>
      <c r="D105" s="6"/>
      <c r="E105" s="6"/>
      <c r="F105" s="6"/>
      <c r="G105" s="9"/>
      <c r="H105" s="7"/>
      <c r="I105" s="186"/>
      <c r="J105" s="1"/>
      <c r="K105" s="1"/>
      <c r="L105" s="1"/>
      <c r="M105" s="197"/>
      <c r="N105" s="16"/>
      <c r="O105" s="16"/>
      <c r="P105" s="1"/>
    </row>
    <row r="106" spans="1:16">
      <c r="A106" s="6"/>
      <c r="B106" s="6"/>
      <c r="C106" s="6"/>
      <c r="D106" s="6"/>
      <c r="E106" s="6"/>
      <c r="F106" s="6"/>
      <c r="G106" s="9"/>
      <c r="H106" s="7"/>
      <c r="I106" s="186"/>
      <c r="J106" s="1"/>
      <c r="K106" s="1"/>
      <c r="L106" s="1"/>
      <c r="M106" s="197"/>
      <c r="N106" s="16"/>
      <c r="O106" s="16"/>
      <c r="P106" s="1"/>
    </row>
    <row r="107" spans="1:16">
      <c r="A107" s="6"/>
      <c r="B107" s="6"/>
      <c r="C107" s="6"/>
      <c r="D107" s="6"/>
      <c r="E107" s="6"/>
      <c r="F107" s="6"/>
      <c r="G107" s="9"/>
      <c r="H107" s="7"/>
      <c r="I107" s="186"/>
      <c r="J107" s="1"/>
      <c r="K107" s="1"/>
      <c r="L107" s="1"/>
      <c r="M107" s="197"/>
      <c r="N107" s="16"/>
      <c r="O107" s="16"/>
      <c r="P107" s="1"/>
    </row>
    <row r="108" spans="1:16">
      <c r="A108" s="6"/>
      <c r="B108" s="6"/>
      <c r="C108" s="6"/>
      <c r="D108" s="6"/>
      <c r="E108" s="6"/>
      <c r="F108" s="6"/>
      <c r="G108" s="9"/>
      <c r="H108" s="7"/>
      <c r="I108" s="186"/>
      <c r="J108" s="1"/>
      <c r="K108" s="1"/>
      <c r="L108" s="1"/>
      <c r="M108" s="197"/>
      <c r="N108" s="16"/>
      <c r="O108" s="16"/>
      <c r="P108" s="1"/>
    </row>
    <row r="109" spans="1:16">
      <c r="A109" s="6"/>
      <c r="B109" s="6"/>
      <c r="C109" s="6"/>
      <c r="D109" s="6"/>
      <c r="E109" s="6"/>
      <c r="F109" s="6"/>
      <c r="G109" s="9"/>
      <c r="H109" s="7"/>
      <c r="I109" s="186"/>
      <c r="J109" s="1"/>
      <c r="K109" s="1"/>
      <c r="L109" s="1"/>
      <c r="M109" s="197"/>
      <c r="N109" s="16"/>
      <c r="O109" s="16"/>
      <c r="P109" s="1"/>
    </row>
    <row r="110" spans="1:16">
      <c r="A110" s="6"/>
      <c r="B110" s="190"/>
      <c r="C110" s="6"/>
      <c r="D110" s="6"/>
      <c r="E110" s="6"/>
      <c r="F110" s="6"/>
      <c r="G110" s="9"/>
      <c r="H110" s="7"/>
      <c r="I110" s="186"/>
      <c r="J110" s="1"/>
      <c r="K110" s="1"/>
      <c r="L110" s="1"/>
      <c r="M110" s="197"/>
      <c r="N110" s="16"/>
      <c r="O110" s="16"/>
      <c r="P110" s="1"/>
    </row>
    <row r="111" spans="1:16">
      <c r="A111" s="6"/>
      <c r="B111" s="6"/>
      <c r="C111" s="6"/>
      <c r="D111" s="6"/>
      <c r="E111" s="6"/>
      <c r="F111" s="6"/>
      <c r="G111" s="9"/>
      <c r="H111" s="7"/>
      <c r="I111" s="186"/>
      <c r="J111" s="1"/>
      <c r="K111" s="1"/>
      <c r="L111" s="1"/>
      <c r="M111" s="197"/>
      <c r="N111" s="16"/>
      <c r="O111" s="16"/>
      <c r="P111" s="1"/>
    </row>
    <row r="112" spans="1:16">
      <c r="A112" s="6"/>
      <c r="B112" s="6"/>
      <c r="C112" s="6"/>
      <c r="D112" s="6"/>
      <c r="E112" s="6"/>
      <c r="F112" s="6"/>
      <c r="G112" s="9"/>
      <c r="H112" s="7"/>
      <c r="I112" s="186"/>
      <c r="J112" s="1"/>
      <c r="K112" s="1"/>
      <c r="L112" s="1"/>
      <c r="M112" s="197"/>
      <c r="N112" s="16"/>
      <c r="O112" s="16"/>
      <c r="P112" s="1"/>
    </row>
    <row r="113" spans="1:16">
      <c r="A113" s="6"/>
      <c r="B113" s="6"/>
      <c r="C113" s="6"/>
      <c r="D113" s="6"/>
      <c r="E113" s="6"/>
      <c r="F113" s="1"/>
      <c r="G113" s="9"/>
      <c r="H113" s="7"/>
      <c r="I113" s="186"/>
      <c r="J113" s="1"/>
      <c r="K113" s="1"/>
      <c r="L113" s="1"/>
      <c r="M113" s="197"/>
      <c r="N113" s="16"/>
      <c r="O113" s="16"/>
      <c r="P113" s="1"/>
    </row>
    <row r="114" spans="1:16">
      <c r="A114" s="6"/>
      <c r="B114" s="6"/>
      <c r="C114" s="6"/>
      <c r="D114" s="6"/>
      <c r="E114" s="6"/>
      <c r="F114" s="1"/>
      <c r="G114" s="9"/>
      <c r="H114" s="7"/>
      <c r="I114" s="186"/>
      <c r="J114" s="1"/>
      <c r="K114" s="1"/>
      <c r="L114" s="1"/>
      <c r="M114" s="197"/>
      <c r="N114" s="16"/>
      <c r="O114" s="16"/>
      <c r="P114" s="1"/>
    </row>
    <row r="115" spans="1:16">
      <c r="A115" s="6"/>
      <c r="B115" s="6"/>
      <c r="C115" s="6"/>
      <c r="D115" s="6"/>
      <c r="E115" s="6"/>
      <c r="F115" s="1"/>
      <c r="G115" s="9"/>
      <c r="H115" s="7"/>
      <c r="I115" s="186"/>
      <c r="J115" s="1"/>
      <c r="K115" s="1"/>
      <c r="L115" s="1"/>
      <c r="M115" s="197"/>
      <c r="N115" s="16"/>
      <c r="O115" s="16"/>
      <c r="P115" s="1"/>
    </row>
    <row r="116" spans="1:16">
      <c r="A116" s="6"/>
      <c r="B116" s="6"/>
      <c r="C116" s="6"/>
      <c r="D116" s="6"/>
      <c r="E116" s="6"/>
      <c r="F116" s="1"/>
      <c r="G116" s="9"/>
      <c r="H116" s="7"/>
      <c r="I116" s="186"/>
      <c r="J116" s="1"/>
      <c r="K116" s="1"/>
      <c r="L116" s="1"/>
      <c r="M116" s="197"/>
      <c r="N116" s="16"/>
      <c r="O116" s="16"/>
      <c r="P116" s="1"/>
    </row>
    <row r="117" spans="1:16">
      <c r="A117" s="6"/>
      <c r="B117" s="6"/>
      <c r="C117" s="6"/>
      <c r="D117" s="6"/>
      <c r="E117" s="6"/>
      <c r="F117" s="1"/>
      <c r="G117" s="9"/>
      <c r="H117" s="7"/>
      <c r="I117" s="186"/>
      <c r="J117" s="1"/>
      <c r="K117" s="1"/>
      <c r="L117" s="1"/>
      <c r="M117" s="197"/>
      <c r="N117" s="16"/>
      <c r="O117" s="16"/>
      <c r="P117" s="1"/>
    </row>
    <row r="118" spans="1:16">
      <c r="A118" s="6"/>
      <c r="B118" s="6"/>
      <c r="C118" s="6"/>
      <c r="D118" s="6"/>
      <c r="E118" s="6"/>
      <c r="F118" s="1"/>
      <c r="G118" s="9"/>
      <c r="H118" s="7"/>
      <c r="I118" s="186"/>
      <c r="J118" s="1"/>
      <c r="K118" s="1"/>
      <c r="L118" s="1"/>
      <c r="M118" s="197"/>
      <c r="N118" s="16"/>
      <c r="O118" s="16"/>
      <c r="P118" s="1"/>
    </row>
    <row r="119" spans="1:16">
      <c r="A119" s="6"/>
      <c r="B119" s="6"/>
      <c r="C119" s="6"/>
      <c r="D119" s="6"/>
      <c r="E119" s="6"/>
      <c r="F119" s="71"/>
      <c r="G119" s="9"/>
      <c r="H119" s="7"/>
      <c r="I119" s="186"/>
      <c r="J119" s="1"/>
      <c r="K119" s="1"/>
      <c r="L119" s="1"/>
      <c r="M119" s="197"/>
      <c r="N119" s="16"/>
      <c r="O119" s="16"/>
      <c r="P119" s="1"/>
    </row>
    <row r="120" spans="1:16">
      <c r="A120" s="6"/>
      <c r="B120" s="6"/>
      <c r="C120" s="6"/>
      <c r="D120" s="6"/>
      <c r="E120" s="6"/>
      <c r="F120" s="71"/>
      <c r="G120" s="9"/>
      <c r="H120" s="7"/>
      <c r="I120" s="186"/>
      <c r="J120" s="1"/>
      <c r="K120" s="1"/>
      <c r="L120" s="1"/>
      <c r="M120" s="197"/>
      <c r="N120" s="16"/>
      <c r="O120" s="16"/>
      <c r="P120" s="1"/>
    </row>
    <row r="121" spans="1:16">
      <c r="A121" s="6"/>
      <c r="B121" s="6"/>
      <c r="C121" s="6"/>
      <c r="D121" s="6"/>
      <c r="E121" s="6"/>
      <c r="F121" s="71"/>
      <c r="G121" s="9"/>
      <c r="H121" s="7"/>
      <c r="I121" s="186"/>
      <c r="J121" s="1"/>
      <c r="K121" s="1"/>
      <c r="L121" s="1"/>
      <c r="M121" s="197"/>
      <c r="N121" s="16"/>
      <c r="O121" s="16"/>
      <c r="P121" s="1"/>
    </row>
    <row r="122" spans="1:16">
      <c r="A122" s="6"/>
      <c r="B122" s="6"/>
      <c r="C122" s="6"/>
      <c r="D122" s="6"/>
      <c r="E122" s="6"/>
      <c r="F122" s="71"/>
      <c r="G122" s="9"/>
      <c r="H122" s="7"/>
      <c r="I122" s="186"/>
      <c r="J122" s="1"/>
      <c r="K122" s="1"/>
      <c r="L122" s="1"/>
      <c r="M122" s="197"/>
      <c r="N122" s="16"/>
      <c r="O122" s="16"/>
      <c r="P122" s="1"/>
    </row>
    <row r="123" spans="1:16">
      <c r="A123" s="6"/>
      <c r="B123" s="6"/>
      <c r="C123" s="6"/>
      <c r="D123" s="6"/>
      <c r="E123" s="6"/>
      <c r="F123" s="71"/>
      <c r="G123" s="9"/>
      <c r="H123" s="9"/>
      <c r="I123" s="186"/>
      <c r="J123" s="1"/>
      <c r="K123" s="1"/>
      <c r="L123" s="1"/>
      <c r="M123" s="197"/>
      <c r="N123" s="16"/>
      <c r="O123" s="16"/>
      <c r="P123" s="1"/>
    </row>
    <row r="124" spans="1:16">
      <c r="A124" s="6"/>
      <c r="B124" s="6"/>
      <c r="C124" s="6"/>
      <c r="D124" s="6"/>
      <c r="E124" s="6"/>
      <c r="F124" s="71"/>
      <c r="G124" s="9"/>
      <c r="H124" s="7"/>
      <c r="I124" s="186"/>
      <c r="J124" s="1"/>
      <c r="K124" s="1"/>
      <c r="L124" s="1"/>
      <c r="M124" s="197"/>
      <c r="N124" s="16"/>
      <c r="O124" s="16"/>
      <c r="P124" s="1"/>
    </row>
    <row r="125" spans="1:16">
      <c r="A125" s="6"/>
      <c r="B125" s="6"/>
      <c r="C125" s="6"/>
      <c r="D125" s="6"/>
      <c r="E125" s="6"/>
      <c r="F125" s="71"/>
      <c r="G125" s="9"/>
      <c r="H125" s="9"/>
      <c r="I125" s="186"/>
      <c r="J125" s="186"/>
      <c r="K125" s="1"/>
      <c r="L125" s="1"/>
      <c r="M125" s="197"/>
      <c r="N125" s="16"/>
      <c r="O125" s="16"/>
      <c r="P125" s="1"/>
    </row>
    <row r="126" spans="1:16">
      <c r="A126" s="6"/>
      <c r="B126" s="7"/>
      <c r="C126" s="67"/>
      <c r="D126" s="6"/>
      <c r="E126" s="6"/>
      <c r="F126" s="71"/>
      <c r="G126" s="9"/>
      <c r="H126" s="9"/>
      <c r="I126" s="186"/>
      <c r="J126" s="186"/>
      <c r="K126" s="1"/>
      <c r="L126" s="1"/>
      <c r="M126" s="197"/>
      <c r="N126" s="16"/>
      <c r="O126" s="16"/>
      <c r="P126" s="1"/>
    </row>
    <row r="127" spans="1:16">
      <c r="A127" s="6"/>
      <c r="B127" s="7"/>
      <c r="C127" s="67"/>
      <c r="D127" s="6"/>
      <c r="E127" s="6"/>
      <c r="F127" s="71"/>
      <c r="G127" s="9"/>
      <c r="H127" s="9"/>
      <c r="I127" s="186"/>
      <c r="J127" s="186"/>
      <c r="K127" s="1"/>
      <c r="L127" s="1"/>
      <c r="M127" s="197"/>
      <c r="N127" s="16"/>
      <c r="O127" s="16"/>
      <c r="P127" s="1"/>
    </row>
    <row r="128" spans="1:16">
      <c r="A128" s="6"/>
      <c r="B128" s="7"/>
      <c r="C128" s="67"/>
      <c r="D128" s="6"/>
      <c r="E128" s="6"/>
      <c r="F128" s="71"/>
      <c r="G128" s="9"/>
      <c r="H128" s="9"/>
      <c r="I128" s="186"/>
      <c r="J128" s="186"/>
      <c r="K128" s="1"/>
      <c r="L128" s="1"/>
      <c r="M128" s="197"/>
      <c r="N128" s="16"/>
      <c r="O128" s="16"/>
      <c r="P128" s="1"/>
    </row>
    <row r="129" spans="1:16">
      <c r="A129" s="6"/>
      <c r="B129" s="7"/>
      <c r="C129" s="67"/>
      <c r="D129" s="6"/>
      <c r="E129" s="6"/>
      <c r="F129" s="71"/>
      <c r="G129" s="9"/>
      <c r="H129" s="9"/>
      <c r="I129" s="186"/>
      <c r="J129" s="186"/>
      <c r="K129" s="1"/>
      <c r="L129" s="1"/>
      <c r="M129" s="197"/>
      <c r="N129" s="16"/>
      <c r="O129" s="16"/>
      <c r="P129" s="1"/>
    </row>
    <row r="130" spans="1:16">
      <c r="A130" s="6"/>
      <c r="B130" s="7"/>
      <c r="C130" s="67"/>
      <c r="D130" s="6"/>
      <c r="E130" s="6"/>
      <c r="F130" s="71"/>
      <c r="G130" s="9"/>
      <c r="H130" s="9"/>
      <c r="I130" s="186"/>
      <c r="J130" s="186"/>
      <c r="K130" s="1"/>
      <c r="L130" s="1"/>
      <c r="M130" s="197"/>
      <c r="N130" s="16"/>
      <c r="O130" s="16"/>
      <c r="P130" s="1"/>
    </row>
    <row r="131" spans="1:16">
      <c r="A131" s="6"/>
      <c r="B131" s="7"/>
      <c r="C131" s="67"/>
      <c r="D131" s="6"/>
      <c r="E131" s="6"/>
      <c r="F131" s="71"/>
      <c r="G131" s="9"/>
      <c r="H131" s="9"/>
      <c r="I131" s="186"/>
      <c r="J131" s="186"/>
      <c r="K131" s="1"/>
      <c r="L131" s="1"/>
      <c r="M131" s="197"/>
      <c r="N131" s="16"/>
      <c r="O131" s="16"/>
      <c r="P131" s="1"/>
    </row>
    <row r="132" spans="1:16">
      <c r="A132" s="6"/>
      <c r="B132" s="7"/>
      <c r="C132" s="67"/>
      <c r="D132" s="6"/>
      <c r="E132" s="6"/>
      <c r="F132" s="71"/>
      <c r="G132" s="9"/>
      <c r="H132" s="9"/>
      <c r="I132" s="186"/>
      <c r="J132" s="186"/>
      <c r="K132" s="1"/>
      <c r="L132" s="1"/>
      <c r="M132" s="197"/>
      <c r="N132" s="16"/>
      <c r="O132" s="16"/>
      <c r="P132" s="1"/>
    </row>
    <row r="133" spans="1:16">
      <c r="A133" s="6"/>
      <c r="B133" s="7"/>
      <c r="C133" s="67"/>
      <c r="D133" s="6"/>
      <c r="E133" s="6"/>
      <c r="F133" s="71"/>
      <c r="G133" s="9"/>
      <c r="H133" s="9"/>
      <c r="I133" s="186"/>
      <c r="J133" s="186"/>
      <c r="K133" s="1"/>
      <c r="L133" s="1"/>
      <c r="M133" s="197"/>
      <c r="N133" s="16"/>
      <c r="O133" s="16"/>
      <c r="P133" s="1"/>
    </row>
    <row r="134" spans="1:16">
      <c r="A134" s="6"/>
      <c r="B134" s="7"/>
      <c r="C134" s="67"/>
      <c r="D134" s="6"/>
      <c r="E134" s="6"/>
      <c r="F134" s="71"/>
      <c r="G134" s="9"/>
      <c r="H134" s="9"/>
      <c r="I134" s="186"/>
      <c r="J134" s="186"/>
      <c r="K134" s="1"/>
      <c r="L134" s="1"/>
      <c r="M134" s="197"/>
      <c r="N134" s="16"/>
      <c r="O134" s="16"/>
      <c r="P134" s="1"/>
    </row>
    <row r="135" spans="1:16">
      <c r="A135" s="6"/>
      <c r="B135" s="7"/>
      <c r="C135" s="67"/>
      <c r="D135" s="6"/>
      <c r="E135" s="6"/>
      <c r="F135" s="71"/>
      <c r="G135" s="9"/>
      <c r="H135" s="9"/>
      <c r="I135" s="186"/>
      <c r="J135" s="186"/>
      <c r="K135" s="1"/>
      <c r="L135" s="1"/>
      <c r="M135" s="197"/>
      <c r="N135" s="16"/>
      <c r="O135" s="16"/>
      <c r="P135" s="1"/>
    </row>
    <row r="136" spans="1:16">
      <c r="A136" s="6"/>
      <c r="B136" s="7"/>
      <c r="C136" s="67"/>
      <c r="D136" s="6"/>
      <c r="E136" s="6"/>
      <c r="F136" s="71"/>
      <c r="G136" s="9"/>
      <c r="H136" s="9"/>
      <c r="I136" s="186"/>
      <c r="J136" s="186"/>
      <c r="K136" s="1"/>
      <c r="L136" s="1"/>
      <c r="M136" s="197"/>
      <c r="N136" s="16"/>
      <c r="O136" s="16"/>
      <c r="P136" s="1"/>
    </row>
    <row r="137" spans="1:16">
      <c r="A137" s="6"/>
      <c r="B137" s="7"/>
      <c r="C137" s="67"/>
      <c r="D137" s="6"/>
      <c r="E137" s="6"/>
      <c r="F137" s="71"/>
      <c r="G137" s="9"/>
      <c r="H137" s="9"/>
      <c r="I137" s="186"/>
      <c r="J137" s="186"/>
      <c r="K137" s="1"/>
      <c r="L137" s="1"/>
      <c r="M137" s="197"/>
      <c r="N137" s="16"/>
      <c r="O137" s="16"/>
      <c r="P137" s="1"/>
    </row>
    <row r="138" spans="1:16">
      <c r="A138" s="6"/>
      <c r="B138" s="7"/>
      <c r="C138" s="67"/>
      <c r="D138" s="6"/>
      <c r="E138" s="6"/>
      <c r="F138" s="71"/>
      <c r="G138" s="9"/>
      <c r="H138" s="9"/>
      <c r="I138" s="186"/>
      <c r="J138" s="186"/>
      <c r="K138" s="1"/>
      <c r="L138" s="1"/>
      <c r="M138" s="197"/>
      <c r="N138" s="16"/>
      <c r="O138" s="16"/>
      <c r="P138" s="1"/>
    </row>
    <row r="139" spans="1:16">
      <c r="A139" s="6"/>
      <c r="B139" s="7"/>
      <c r="C139" s="67"/>
      <c r="D139" s="6"/>
      <c r="E139" s="6"/>
      <c r="F139" s="71"/>
      <c r="G139" s="9"/>
      <c r="H139" s="9"/>
      <c r="I139" s="186"/>
      <c r="J139" s="186"/>
      <c r="K139" s="1"/>
      <c r="L139" s="1"/>
      <c r="M139" s="197"/>
      <c r="N139" s="16"/>
      <c r="O139" s="16"/>
      <c r="P139" s="1"/>
    </row>
    <row r="140" spans="1:16">
      <c r="A140" s="6"/>
      <c r="B140" s="7"/>
      <c r="C140" s="67"/>
      <c r="D140" s="6"/>
      <c r="E140" s="6"/>
      <c r="F140" s="71"/>
      <c r="G140" s="9"/>
      <c r="H140" s="9"/>
      <c r="I140" s="186"/>
      <c r="J140" s="186"/>
      <c r="K140" s="1"/>
      <c r="L140" s="1"/>
      <c r="M140" s="197"/>
      <c r="N140" s="16"/>
      <c r="O140" s="16"/>
      <c r="P140" s="1"/>
    </row>
    <row r="141" spans="1:16">
      <c r="A141" s="6"/>
      <c r="B141" s="7"/>
      <c r="C141" s="67"/>
      <c r="D141" s="6"/>
      <c r="E141" s="6"/>
      <c r="F141" s="71"/>
      <c r="G141" s="9"/>
      <c r="H141" s="9"/>
      <c r="I141" s="186"/>
      <c r="J141" s="186"/>
      <c r="K141" s="1"/>
      <c r="L141" s="1"/>
      <c r="M141" s="197"/>
      <c r="N141" s="16"/>
      <c r="O141" s="16"/>
      <c r="P141" s="1"/>
    </row>
    <row r="142" spans="1:16">
      <c r="A142" s="6"/>
      <c r="B142" s="7"/>
      <c r="C142" s="67"/>
      <c r="D142" s="6"/>
      <c r="E142" s="6"/>
      <c r="F142" s="71"/>
      <c r="G142" s="9"/>
      <c r="H142" s="9"/>
      <c r="I142" s="186"/>
      <c r="J142" s="186"/>
      <c r="K142" s="1"/>
      <c r="L142" s="1"/>
      <c r="M142" s="197"/>
      <c r="N142" s="16"/>
      <c r="O142" s="16"/>
      <c r="P142" s="1"/>
    </row>
    <row r="143" spans="1:16">
      <c r="A143" s="6"/>
      <c r="B143" s="7"/>
      <c r="C143" s="67"/>
      <c r="D143" s="6"/>
      <c r="E143" s="6"/>
      <c r="F143" s="71"/>
      <c r="G143" s="9"/>
      <c r="H143" s="9"/>
      <c r="I143" s="186"/>
      <c r="J143" s="186"/>
      <c r="K143" s="1"/>
      <c r="L143" s="1"/>
      <c r="M143" s="197"/>
      <c r="N143" s="16"/>
      <c r="O143" s="16"/>
      <c r="P143" s="1"/>
    </row>
    <row r="144" spans="1:16">
      <c r="A144" s="6"/>
      <c r="B144" s="7"/>
      <c r="C144" s="67"/>
      <c r="D144" s="6"/>
      <c r="E144" s="6"/>
      <c r="F144" s="71"/>
      <c r="G144" s="9"/>
      <c r="H144" s="9"/>
      <c r="I144" s="186"/>
      <c r="J144" s="186"/>
      <c r="K144" s="1"/>
      <c r="L144" s="1"/>
      <c r="M144" s="197"/>
      <c r="N144" s="16"/>
      <c r="O144" s="16"/>
      <c r="P144" s="1"/>
    </row>
    <row r="145" spans="1:16">
      <c r="A145" s="6"/>
      <c r="B145" s="7"/>
      <c r="C145" s="67"/>
      <c r="D145" s="6"/>
      <c r="E145" s="6"/>
      <c r="F145" s="71"/>
      <c r="G145" s="9"/>
      <c r="H145" s="9"/>
      <c r="I145" s="186"/>
      <c r="J145" s="186"/>
      <c r="K145" s="1"/>
      <c r="L145" s="1"/>
      <c r="M145" s="197"/>
      <c r="N145" s="16"/>
      <c r="O145" s="16"/>
      <c r="P145" s="1"/>
    </row>
    <row r="146" spans="1:16">
      <c r="A146" s="6"/>
      <c r="B146" s="7"/>
      <c r="C146" s="67"/>
      <c r="D146" s="6"/>
      <c r="E146" s="6"/>
      <c r="F146" s="71"/>
      <c r="G146" s="9"/>
      <c r="H146" s="9"/>
      <c r="I146" s="186"/>
      <c r="J146" s="186"/>
      <c r="K146" s="1"/>
      <c r="L146" s="1"/>
      <c r="M146" s="197"/>
      <c r="N146" s="16"/>
      <c r="O146" s="16"/>
      <c r="P146" s="1"/>
    </row>
    <row r="147" spans="1:16">
      <c r="A147" s="6"/>
      <c r="B147" s="7"/>
      <c r="C147" s="67"/>
      <c r="D147" s="6"/>
      <c r="E147" s="6"/>
      <c r="F147" s="71"/>
      <c r="G147" s="9"/>
      <c r="H147" s="9"/>
      <c r="I147" s="186"/>
      <c r="J147" s="186"/>
      <c r="K147" s="1"/>
      <c r="L147" s="1"/>
      <c r="M147" s="197"/>
      <c r="N147" s="16"/>
      <c r="O147" s="16"/>
      <c r="P147" s="1"/>
    </row>
    <row r="148" spans="1:16">
      <c r="A148" s="6"/>
      <c r="B148" s="7"/>
      <c r="C148" s="67"/>
      <c r="D148" s="6"/>
      <c r="E148" s="6"/>
      <c r="F148" s="71"/>
      <c r="G148" s="9"/>
      <c r="H148" s="9"/>
      <c r="I148" s="186"/>
      <c r="J148" s="186"/>
      <c r="K148" s="1"/>
      <c r="L148" s="1"/>
      <c r="M148" s="197"/>
      <c r="N148" s="16"/>
      <c r="O148" s="16"/>
      <c r="P148" s="1"/>
    </row>
    <row r="149" spans="1:16">
      <c r="A149" s="6"/>
      <c r="B149" s="7"/>
      <c r="C149" s="67"/>
      <c r="D149" s="6"/>
      <c r="E149" s="6"/>
      <c r="F149" s="71"/>
      <c r="G149" s="9"/>
      <c r="H149" s="9"/>
      <c r="I149" s="186"/>
      <c r="J149" s="186"/>
      <c r="K149" s="1"/>
      <c r="L149" s="1"/>
      <c r="M149" s="197"/>
      <c r="N149" s="16"/>
      <c r="O149" s="16"/>
      <c r="P149" s="1"/>
    </row>
    <row r="150" spans="1:16">
      <c r="A150" s="6"/>
      <c r="B150" s="7"/>
      <c r="C150" s="67"/>
      <c r="D150" s="6"/>
      <c r="E150" s="6"/>
      <c r="F150" s="71"/>
      <c r="G150" s="9"/>
      <c r="H150" s="9"/>
      <c r="I150" s="186"/>
      <c r="J150" s="186"/>
      <c r="K150" s="1"/>
      <c r="L150" s="1"/>
      <c r="M150" s="197"/>
      <c r="N150" s="16"/>
      <c r="O150" s="16"/>
      <c r="P150" s="1"/>
    </row>
    <row r="151" spans="1:16">
      <c r="A151" s="6"/>
      <c r="B151" s="7"/>
      <c r="C151" s="67"/>
      <c r="D151" s="6"/>
      <c r="E151" s="6"/>
      <c r="F151" s="71"/>
      <c r="G151" s="9"/>
      <c r="H151" s="9"/>
      <c r="I151" s="186"/>
      <c r="J151" s="186"/>
      <c r="K151" s="1"/>
      <c r="L151" s="1"/>
      <c r="M151" s="197"/>
      <c r="N151" s="16"/>
      <c r="O151" s="16"/>
      <c r="P151" s="1"/>
    </row>
    <row r="152" spans="1:16">
      <c r="A152" s="6"/>
      <c r="B152" s="7"/>
      <c r="C152" s="67"/>
      <c r="D152" s="6"/>
      <c r="E152" s="6"/>
      <c r="F152" s="71"/>
      <c r="G152" s="9"/>
      <c r="H152" s="9"/>
      <c r="I152" s="186"/>
      <c r="J152" s="186"/>
      <c r="K152" s="1"/>
      <c r="L152" s="1"/>
      <c r="M152" s="197"/>
      <c r="N152" s="16"/>
      <c r="O152" s="16"/>
      <c r="P152" s="1"/>
    </row>
    <row r="153" spans="1:16">
      <c r="A153" s="6"/>
      <c r="B153" s="7"/>
      <c r="C153" s="67"/>
      <c r="D153" s="6"/>
      <c r="E153" s="6"/>
      <c r="F153" s="71"/>
      <c r="G153" s="9"/>
      <c r="H153" s="9"/>
      <c r="I153" s="186"/>
      <c r="J153" s="186"/>
      <c r="K153" s="1"/>
      <c r="L153" s="1"/>
      <c r="M153" s="197"/>
      <c r="N153" s="16"/>
      <c r="O153" s="16"/>
      <c r="P153" s="1"/>
    </row>
    <row r="154" spans="1:16">
      <c r="A154" s="6"/>
      <c r="B154" s="7"/>
      <c r="C154" s="67"/>
      <c r="D154" s="6"/>
      <c r="E154" s="6"/>
      <c r="F154" s="71"/>
      <c r="G154" s="9"/>
      <c r="H154" s="9"/>
      <c r="I154" s="186"/>
      <c r="J154" s="186"/>
      <c r="K154" s="1"/>
      <c r="L154" s="1"/>
      <c r="M154" s="197"/>
      <c r="N154" s="16"/>
      <c r="O154" s="16"/>
      <c r="P154" s="1"/>
    </row>
    <row r="155" spans="1:16">
      <c r="A155" s="6"/>
      <c r="B155" s="7"/>
      <c r="C155" s="67"/>
      <c r="D155" s="6"/>
      <c r="E155" s="6"/>
      <c r="F155" s="71"/>
      <c r="G155" s="9"/>
      <c r="H155" s="9"/>
      <c r="I155" s="186"/>
      <c r="J155" s="186"/>
      <c r="K155" s="1"/>
      <c r="L155" s="1"/>
      <c r="M155" s="197"/>
      <c r="N155" s="16"/>
      <c r="O155" s="16"/>
      <c r="P155" s="1"/>
    </row>
    <row r="156" spans="1:16">
      <c r="A156" s="6"/>
      <c r="B156" s="7"/>
      <c r="C156" s="67"/>
      <c r="D156" s="6"/>
      <c r="E156" s="6"/>
      <c r="F156" s="71"/>
      <c r="G156" s="9"/>
      <c r="H156" s="9"/>
      <c r="I156" s="186"/>
      <c r="J156" s="186"/>
      <c r="K156" s="1"/>
      <c r="L156" s="1"/>
      <c r="M156" s="197"/>
      <c r="N156" s="16"/>
      <c r="O156" s="16"/>
      <c r="P156" s="1"/>
    </row>
    <row r="157" spans="1:16">
      <c r="A157" s="6"/>
      <c r="B157" s="7"/>
      <c r="C157" s="67"/>
      <c r="D157" s="6"/>
      <c r="E157" s="6"/>
      <c r="F157" s="71"/>
      <c r="G157" s="9"/>
      <c r="H157" s="9"/>
      <c r="I157" s="186"/>
      <c r="J157" s="186"/>
      <c r="K157" s="1"/>
      <c r="L157" s="1"/>
      <c r="M157" s="197"/>
      <c r="N157" s="16"/>
      <c r="O157" s="16"/>
      <c r="P157" s="1"/>
    </row>
    <row r="158" spans="1:16">
      <c r="A158" s="6"/>
      <c r="B158" s="7"/>
      <c r="C158" s="67"/>
      <c r="D158" s="6"/>
      <c r="E158" s="6"/>
      <c r="F158" s="71"/>
      <c r="G158" s="9"/>
      <c r="H158" s="9"/>
      <c r="I158" s="186"/>
      <c r="J158" s="186"/>
      <c r="K158" s="1"/>
      <c r="L158" s="1"/>
      <c r="M158" s="197"/>
      <c r="N158" s="16"/>
      <c r="O158" s="16"/>
      <c r="P158" s="1"/>
    </row>
    <row r="159" spans="1:16">
      <c r="A159" s="6"/>
      <c r="B159" s="7"/>
      <c r="C159" s="67"/>
      <c r="D159" s="6"/>
      <c r="E159" s="6"/>
      <c r="F159" s="71"/>
      <c r="G159" s="9"/>
      <c r="H159" s="9"/>
      <c r="I159" s="186"/>
      <c r="J159" s="186"/>
      <c r="K159" s="1"/>
      <c r="L159" s="1"/>
      <c r="M159" s="197"/>
      <c r="N159" s="16"/>
      <c r="O159" s="16"/>
      <c r="P159" s="1"/>
    </row>
    <row r="160" spans="1:16">
      <c r="A160" s="6"/>
      <c r="B160" s="7"/>
      <c r="C160" s="67"/>
      <c r="D160" s="6"/>
      <c r="E160" s="6"/>
      <c r="F160" s="71"/>
      <c r="G160" s="9"/>
      <c r="H160" s="9"/>
      <c r="I160" s="186"/>
      <c r="J160" s="186"/>
      <c r="K160" s="1"/>
      <c r="L160" s="1"/>
      <c r="M160" s="197"/>
      <c r="N160" s="16"/>
      <c r="O160" s="16"/>
      <c r="P160" s="1"/>
    </row>
    <row r="161" spans="1:16">
      <c r="A161" s="6"/>
      <c r="B161" s="7"/>
      <c r="C161" s="67"/>
      <c r="D161" s="6"/>
      <c r="E161" s="6"/>
      <c r="F161" s="71"/>
      <c r="G161" s="9"/>
      <c r="H161" s="9"/>
      <c r="I161" s="186"/>
      <c r="J161" s="186"/>
      <c r="K161" s="1"/>
      <c r="L161" s="1"/>
      <c r="M161" s="197"/>
      <c r="N161" s="16"/>
      <c r="O161" s="16"/>
      <c r="P161" s="1"/>
    </row>
    <row r="162" spans="1:16">
      <c r="A162" s="6"/>
      <c r="B162" s="7"/>
      <c r="C162" s="67"/>
      <c r="D162" s="6"/>
      <c r="E162" s="6"/>
      <c r="F162" s="71"/>
      <c r="G162" s="9"/>
      <c r="H162" s="9"/>
      <c r="I162" s="186"/>
      <c r="J162" s="186"/>
      <c r="K162" s="1"/>
      <c r="L162" s="1"/>
      <c r="M162" s="197"/>
      <c r="N162" s="16"/>
      <c r="O162" s="16"/>
      <c r="P162" s="1"/>
    </row>
    <row r="163" spans="1:16">
      <c r="A163" s="6"/>
      <c r="B163" s="7"/>
      <c r="C163" s="67"/>
      <c r="D163" s="6"/>
      <c r="E163" s="6"/>
      <c r="F163" s="71"/>
      <c r="G163" s="9"/>
      <c r="H163" s="9"/>
      <c r="I163" s="186"/>
      <c r="J163" s="186"/>
      <c r="K163" s="1"/>
      <c r="L163" s="1"/>
      <c r="M163" s="197"/>
      <c r="N163" s="16"/>
      <c r="O163" s="16"/>
      <c r="P163" s="1"/>
    </row>
    <row r="164" spans="1:16">
      <c r="A164" s="6"/>
      <c r="B164" s="7"/>
      <c r="C164" s="67"/>
      <c r="D164" s="6"/>
      <c r="E164" s="6"/>
      <c r="F164" s="71"/>
      <c r="G164" s="9"/>
      <c r="H164" s="9"/>
      <c r="I164" s="186"/>
      <c r="J164" s="186"/>
      <c r="K164" s="1"/>
      <c r="L164" s="1"/>
      <c r="M164" s="197"/>
      <c r="N164" s="16"/>
      <c r="O164" s="16"/>
      <c r="P164" s="1"/>
    </row>
    <row r="165" spans="1:16">
      <c r="A165" s="6"/>
      <c r="B165" s="7"/>
      <c r="C165" s="67"/>
      <c r="D165" s="6"/>
      <c r="E165" s="6"/>
      <c r="F165" s="71"/>
      <c r="G165" s="9"/>
      <c r="H165" s="9"/>
      <c r="I165" s="186"/>
      <c r="J165" s="186"/>
      <c r="K165" s="1"/>
      <c r="L165" s="1"/>
      <c r="M165" s="197"/>
      <c r="N165" s="16"/>
      <c r="O165" s="16"/>
      <c r="P165" s="1"/>
    </row>
    <row r="166" spans="1:16">
      <c r="A166" s="6"/>
      <c r="B166" s="7"/>
      <c r="C166" s="67"/>
      <c r="D166" s="6"/>
      <c r="E166" s="6"/>
      <c r="F166" s="71"/>
      <c r="G166" s="9"/>
      <c r="H166" s="9"/>
      <c r="I166" s="186"/>
      <c r="J166" s="186"/>
      <c r="K166" s="1"/>
      <c r="L166" s="1"/>
      <c r="M166" s="197"/>
      <c r="N166" s="16"/>
      <c r="O166" s="16"/>
      <c r="P166" s="1"/>
    </row>
    <row r="167" spans="1:16">
      <c r="A167" s="6"/>
      <c r="B167" s="7"/>
      <c r="C167" s="67"/>
      <c r="D167" s="6"/>
      <c r="E167" s="6"/>
      <c r="F167" s="71"/>
      <c r="G167" s="9"/>
      <c r="H167" s="9"/>
      <c r="I167" s="186"/>
      <c r="J167" s="186"/>
      <c r="K167" s="1"/>
      <c r="L167" s="1"/>
      <c r="M167" s="197"/>
      <c r="N167" s="16"/>
      <c r="O167" s="16"/>
      <c r="P167" s="1"/>
    </row>
    <row r="168" spans="1:16">
      <c r="A168" s="6"/>
      <c r="B168" s="7"/>
      <c r="C168" s="67"/>
      <c r="D168" s="6"/>
      <c r="E168" s="6"/>
      <c r="F168" s="71"/>
      <c r="G168" s="9"/>
      <c r="H168" s="9"/>
      <c r="I168" s="186"/>
      <c r="J168" s="186"/>
      <c r="K168" s="1"/>
      <c r="L168" s="1"/>
      <c r="M168" s="197"/>
      <c r="N168" s="16"/>
      <c r="O168" s="16"/>
      <c r="P168" s="1"/>
    </row>
    <row r="169" spans="1:16">
      <c r="A169" s="6"/>
      <c r="B169" s="7"/>
      <c r="C169" s="67"/>
      <c r="D169" s="6"/>
      <c r="E169" s="6"/>
      <c r="F169" s="71"/>
      <c r="G169" s="9"/>
      <c r="H169" s="9"/>
      <c r="I169" s="186"/>
      <c r="J169" s="186"/>
      <c r="K169" s="1"/>
      <c r="L169" s="1"/>
      <c r="M169" s="197"/>
      <c r="N169" s="16"/>
      <c r="O169" s="16"/>
      <c r="P169" s="1"/>
    </row>
    <row r="170" spans="1:16">
      <c r="A170" s="6"/>
      <c r="B170" s="7"/>
      <c r="C170" s="67"/>
      <c r="D170" s="6"/>
      <c r="E170" s="6"/>
      <c r="F170" s="71"/>
      <c r="G170" s="9"/>
      <c r="H170" s="9"/>
      <c r="I170" s="186"/>
      <c r="J170" s="186"/>
      <c r="K170" s="1"/>
      <c r="L170" s="1"/>
      <c r="M170" s="197"/>
      <c r="N170" s="16"/>
      <c r="O170" s="16"/>
      <c r="P170" s="1"/>
    </row>
    <row r="171" spans="1:16">
      <c r="A171" s="6"/>
      <c r="B171" s="7"/>
      <c r="C171" s="67"/>
      <c r="D171" s="6"/>
      <c r="E171" s="6"/>
      <c r="F171" s="71"/>
      <c r="G171" s="9"/>
      <c r="H171" s="9"/>
      <c r="I171" s="186"/>
      <c r="J171" s="186"/>
      <c r="K171" s="1"/>
      <c r="L171" s="1"/>
      <c r="M171" s="197"/>
      <c r="N171" s="16"/>
      <c r="O171" s="16"/>
      <c r="P171" s="1"/>
    </row>
    <row r="172" spans="1:16">
      <c r="A172" s="6"/>
      <c r="B172" s="7"/>
      <c r="C172" s="67"/>
      <c r="D172" s="6"/>
      <c r="E172" s="6"/>
      <c r="F172" s="71"/>
      <c r="G172" s="9"/>
      <c r="H172" s="9"/>
      <c r="I172" s="186"/>
      <c r="J172" s="186"/>
      <c r="K172" s="1"/>
      <c r="L172" s="1"/>
      <c r="M172" s="197"/>
      <c r="N172" s="16"/>
      <c r="O172" s="16"/>
      <c r="P172" s="1"/>
    </row>
    <row r="173" spans="1:16">
      <c r="A173" s="6"/>
      <c r="B173" s="7"/>
      <c r="C173" s="67"/>
      <c r="D173" s="6"/>
      <c r="E173" s="6"/>
      <c r="F173" s="71"/>
      <c r="G173" s="9"/>
      <c r="H173" s="9"/>
      <c r="I173" s="186"/>
      <c r="J173" s="186"/>
      <c r="K173" s="1"/>
      <c r="L173" s="1"/>
      <c r="M173" s="197"/>
      <c r="N173" s="16"/>
      <c r="O173" s="16"/>
      <c r="P173" s="1"/>
    </row>
    <row r="174" spans="1:16">
      <c r="A174" s="6"/>
      <c r="B174" s="7"/>
      <c r="C174" s="67"/>
      <c r="D174" s="6"/>
      <c r="E174" s="6"/>
      <c r="F174" s="71"/>
      <c r="G174" s="9"/>
      <c r="H174" s="9"/>
      <c r="I174" s="186"/>
      <c r="J174" s="186"/>
      <c r="K174" s="1"/>
      <c r="L174" s="1"/>
      <c r="M174" s="197"/>
      <c r="N174" s="16"/>
      <c r="O174" s="16"/>
      <c r="P174" s="1"/>
    </row>
    <row r="175" spans="1:16">
      <c r="A175" s="6"/>
      <c r="B175" s="7"/>
      <c r="C175" s="67"/>
      <c r="D175" s="6"/>
      <c r="E175" s="6"/>
      <c r="F175" s="71"/>
      <c r="G175" s="9"/>
      <c r="H175" s="9"/>
      <c r="I175" s="186"/>
      <c r="J175" s="186"/>
      <c r="K175" s="1"/>
      <c r="L175" s="1"/>
      <c r="M175" s="197"/>
      <c r="N175" s="16"/>
      <c r="O175" s="16"/>
      <c r="P175" s="1"/>
    </row>
    <row r="176" spans="1:16">
      <c r="A176" s="6"/>
      <c r="B176" s="7"/>
      <c r="C176" s="67"/>
      <c r="D176" s="6"/>
      <c r="E176" s="6"/>
      <c r="F176" s="71"/>
      <c r="G176" s="9"/>
      <c r="H176" s="9"/>
      <c r="I176" s="186"/>
      <c r="J176" s="186"/>
      <c r="K176" s="1"/>
      <c r="L176" s="1"/>
      <c r="M176" s="197"/>
      <c r="N176" s="16"/>
      <c r="O176" s="16"/>
      <c r="P176" s="1"/>
    </row>
    <row r="177" spans="1:16">
      <c r="A177" s="6"/>
      <c r="B177" s="7"/>
      <c r="C177" s="67"/>
      <c r="D177" s="6"/>
      <c r="E177" s="6"/>
      <c r="F177" s="71"/>
      <c r="G177" s="9"/>
      <c r="H177" s="9"/>
      <c r="I177" s="186"/>
      <c r="J177" s="186"/>
      <c r="K177" s="1"/>
      <c r="L177" s="1"/>
      <c r="M177" s="197"/>
      <c r="N177" s="16"/>
      <c r="O177" s="16"/>
      <c r="P177" s="1"/>
    </row>
    <row r="178" spans="1:16">
      <c r="A178" s="6"/>
      <c r="B178" s="7"/>
      <c r="C178" s="67"/>
      <c r="D178" s="6"/>
      <c r="E178" s="6"/>
      <c r="F178" s="71"/>
      <c r="G178" s="9"/>
      <c r="H178" s="9"/>
      <c r="I178" s="186"/>
      <c r="J178" s="186"/>
      <c r="K178" s="1"/>
      <c r="L178" s="1"/>
      <c r="M178" s="197"/>
      <c r="N178" s="16"/>
      <c r="O178" s="16"/>
      <c r="P178" s="1"/>
    </row>
    <row r="179" spans="1:16">
      <c r="A179" s="6"/>
      <c r="B179" s="7"/>
      <c r="C179" s="67"/>
      <c r="D179" s="6"/>
      <c r="E179" s="6"/>
      <c r="F179" s="71"/>
      <c r="G179" s="9"/>
      <c r="H179" s="9"/>
      <c r="I179" s="186"/>
      <c r="J179" s="186"/>
      <c r="K179" s="1"/>
      <c r="L179" s="1"/>
      <c r="M179" s="197"/>
      <c r="N179" s="16"/>
      <c r="O179" s="16"/>
      <c r="P179" s="1"/>
    </row>
    <row r="180" spans="1:16">
      <c r="A180" s="6"/>
      <c r="B180" s="7"/>
      <c r="C180" s="67"/>
      <c r="D180" s="6"/>
      <c r="E180" s="6"/>
      <c r="F180" s="71"/>
      <c r="G180" s="9"/>
      <c r="H180" s="9"/>
      <c r="I180" s="186"/>
      <c r="J180" s="186"/>
      <c r="K180" s="1"/>
      <c r="L180" s="1"/>
      <c r="M180" s="197"/>
      <c r="N180" s="16"/>
      <c r="O180" s="16"/>
      <c r="P180" s="1"/>
    </row>
    <row r="181" spans="1:16">
      <c r="A181" s="6"/>
      <c r="B181" s="7"/>
      <c r="C181" s="67"/>
      <c r="D181" s="6"/>
      <c r="E181" s="6"/>
      <c r="F181" s="71"/>
      <c r="G181" s="9"/>
      <c r="H181" s="9"/>
      <c r="I181" s="186"/>
      <c r="J181" s="186"/>
      <c r="K181" s="1"/>
      <c r="L181" s="1"/>
      <c r="M181" s="197"/>
      <c r="N181" s="16"/>
      <c r="O181" s="16"/>
      <c r="P181" s="1"/>
    </row>
    <row r="182" spans="1:16">
      <c r="A182" s="6"/>
      <c r="B182" s="7"/>
      <c r="C182" s="67"/>
      <c r="D182" s="6"/>
      <c r="E182" s="6"/>
      <c r="F182" s="71"/>
      <c r="G182" s="9"/>
      <c r="H182" s="9"/>
      <c r="I182" s="186"/>
      <c r="J182" s="186"/>
      <c r="K182" s="1"/>
      <c r="L182" s="1"/>
      <c r="M182" s="197"/>
      <c r="N182" s="16"/>
      <c r="O182" s="16"/>
      <c r="P182" s="1"/>
    </row>
    <row r="183" spans="1:16">
      <c r="A183" s="6"/>
      <c r="B183" s="7"/>
      <c r="C183" s="67"/>
      <c r="D183" s="6"/>
      <c r="E183" s="6"/>
      <c r="F183" s="71"/>
      <c r="G183" s="9"/>
      <c r="H183" s="9"/>
      <c r="I183" s="186"/>
      <c r="J183" s="186"/>
      <c r="K183" s="1"/>
      <c r="L183" s="1"/>
      <c r="M183" s="197"/>
      <c r="N183" s="16"/>
      <c r="O183" s="16"/>
      <c r="P183" s="1"/>
    </row>
    <row r="184" spans="1:16">
      <c r="A184" s="6"/>
      <c r="B184" s="7"/>
      <c r="C184" s="67"/>
      <c r="D184" s="6"/>
      <c r="E184" s="6"/>
      <c r="F184" s="71"/>
      <c r="G184" s="9"/>
      <c r="H184" s="9"/>
      <c r="I184" s="186"/>
      <c r="J184" s="186"/>
      <c r="K184" s="1"/>
      <c r="L184" s="1"/>
      <c r="M184" s="197"/>
      <c r="N184" s="16"/>
      <c r="O184" s="16"/>
      <c r="P184" s="1"/>
    </row>
    <row r="185" spans="1:16">
      <c r="A185" s="6"/>
      <c r="B185" s="7"/>
      <c r="C185" s="67"/>
      <c r="D185" s="6"/>
      <c r="E185" s="6"/>
      <c r="F185" s="71"/>
      <c r="G185" s="9"/>
      <c r="H185" s="9"/>
      <c r="I185" s="186"/>
      <c r="J185" s="186"/>
      <c r="K185" s="1"/>
      <c r="L185" s="1"/>
      <c r="M185" s="197"/>
      <c r="N185" s="16"/>
      <c r="O185" s="16"/>
      <c r="P185" s="1"/>
    </row>
    <row r="186" spans="1:16">
      <c r="A186" s="6"/>
      <c r="B186" s="7"/>
      <c r="C186" s="67"/>
      <c r="D186" s="6"/>
      <c r="E186" s="6"/>
      <c r="F186" s="71"/>
      <c r="G186" s="9"/>
      <c r="H186" s="9"/>
      <c r="I186" s="186"/>
      <c r="J186" s="186"/>
      <c r="K186" s="1"/>
      <c r="L186" s="1"/>
      <c r="M186" s="197"/>
      <c r="N186" s="16"/>
      <c r="O186" s="16"/>
      <c r="P186" s="1"/>
    </row>
    <row r="187" spans="1:16">
      <c r="A187" s="6"/>
      <c r="B187" s="7"/>
      <c r="C187" s="67"/>
      <c r="D187" s="6"/>
      <c r="E187" s="6"/>
      <c r="F187" s="71"/>
      <c r="G187" s="9"/>
      <c r="H187" s="9"/>
      <c r="I187" s="186"/>
      <c r="J187" s="186"/>
      <c r="K187" s="1"/>
      <c r="L187" s="1"/>
      <c r="M187" s="197"/>
      <c r="N187" s="16"/>
      <c r="O187" s="16"/>
      <c r="P187" s="1"/>
    </row>
    <row r="188" spans="1:16">
      <c r="A188" s="6"/>
      <c r="B188" s="7"/>
      <c r="C188" s="67"/>
      <c r="D188" s="6"/>
      <c r="E188" s="6"/>
      <c r="F188" s="71"/>
      <c r="G188" s="9"/>
      <c r="H188" s="9"/>
      <c r="I188" s="186"/>
      <c r="J188" s="186"/>
      <c r="K188" s="1"/>
      <c r="L188" s="1"/>
      <c r="M188" s="197"/>
      <c r="N188" s="16"/>
      <c r="O188" s="16"/>
      <c r="P188" s="1"/>
    </row>
    <row r="189" spans="1:16">
      <c r="A189" s="6"/>
      <c r="B189" s="7"/>
      <c r="C189" s="67"/>
      <c r="D189" s="6"/>
      <c r="E189" s="6"/>
      <c r="F189" s="71"/>
      <c r="G189" s="9"/>
      <c r="H189" s="9"/>
      <c r="I189" s="186"/>
      <c r="J189" s="186"/>
      <c r="K189" s="1"/>
      <c r="L189" s="1"/>
      <c r="M189" s="197"/>
      <c r="N189" s="16"/>
      <c r="O189" s="16"/>
      <c r="P189" s="1"/>
    </row>
    <row r="190" spans="1:16">
      <c r="A190" s="6"/>
      <c r="B190" s="7"/>
      <c r="C190" s="67"/>
      <c r="D190" s="6"/>
      <c r="E190" s="6"/>
      <c r="F190" s="71"/>
      <c r="G190" s="9"/>
      <c r="H190" s="9"/>
      <c r="I190" s="186"/>
      <c r="J190" s="186"/>
      <c r="K190" s="1"/>
      <c r="L190" s="1"/>
      <c r="M190" s="197"/>
      <c r="N190" s="16"/>
      <c r="O190" s="16"/>
      <c r="P190" s="1"/>
    </row>
    <row r="191" spans="1:16">
      <c r="A191" s="6"/>
      <c r="B191" s="7"/>
      <c r="C191" s="67"/>
      <c r="D191" s="6"/>
      <c r="E191" s="6"/>
      <c r="F191" s="71"/>
      <c r="G191" s="9"/>
      <c r="H191" s="9"/>
      <c r="I191" s="186"/>
      <c r="J191" s="186"/>
      <c r="K191" s="1"/>
      <c r="L191" s="1"/>
      <c r="M191" s="197"/>
      <c r="N191" s="16"/>
      <c r="O191" s="16"/>
      <c r="P191" s="1"/>
    </row>
    <row r="192" spans="1:16">
      <c r="A192" s="6"/>
      <c r="B192" s="7"/>
      <c r="C192" s="67"/>
      <c r="D192" s="6"/>
      <c r="E192" s="6"/>
      <c r="F192" s="71"/>
      <c r="G192" s="9"/>
      <c r="H192" s="9"/>
      <c r="I192" s="186"/>
      <c r="J192" s="186"/>
      <c r="K192" s="1"/>
      <c r="L192" s="1"/>
      <c r="M192" s="197"/>
      <c r="N192" s="16"/>
      <c r="O192" s="16"/>
      <c r="P192" s="1"/>
    </row>
    <row r="193" spans="1:16">
      <c r="A193" s="6"/>
      <c r="B193" s="7"/>
      <c r="C193" s="67"/>
      <c r="D193" s="6"/>
      <c r="E193" s="6"/>
      <c r="F193" s="71"/>
      <c r="G193" s="9"/>
      <c r="H193" s="9"/>
      <c r="I193" s="186"/>
      <c r="J193" s="186"/>
      <c r="K193" s="1"/>
      <c r="L193" s="1"/>
      <c r="M193" s="197"/>
      <c r="N193" s="16"/>
      <c r="O193" s="16"/>
      <c r="P193" s="1"/>
    </row>
    <row r="194" spans="1:16">
      <c r="A194" s="6"/>
      <c r="B194" s="7"/>
      <c r="C194" s="67"/>
      <c r="D194" s="6"/>
      <c r="E194" s="6"/>
      <c r="F194" s="71"/>
      <c r="G194" s="9"/>
      <c r="H194" s="9"/>
      <c r="I194" s="186"/>
      <c r="J194" s="186"/>
      <c r="K194" s="1"/>
      <c r="L194" s="1"/>
      <c r="M194" s="197"/>
      <c r="N194" s="16"/>
      <c r="O194" s="16"/>
      <c r="P194" s="1"/>
    </row>
    <row r="195" spans="1:16">
      <c r="A195" s="6"/>
      <c r="B195" s="7"/>
      <c r="C195" s="67"/>
      <c r="D195" s="6"/>
      <c r="E195" s="6"/>
      <c r="F195" s="71"/>
      <c r="G195" s="9"/>
      <c r="H195" s="9"/>
      <c r="I195" s="186"/>
      <c r="J195" s="186"/>
      <c r="K195" s="1"/>
      <c r="L195" s="1"/>
      <c r="M195" s="197"/>
      <c r="N195" s="16"/>
      <c r="O195" s="16"/>
      <c r="P195" s="1"/>
    </row>
    <row r="196" spans="1:16">
      <c r="A196" s="6"/>
      <c r="B196" s="7"/>
      <c r="C196" s="67"/>
      <c r="D196" s="6"/>
      <c r="E196" s="6"/>
      <c r="F196" s="71"/>
      <c r="G196" s="9"/>
      <c r="H196" s="9"/>
      <c r="I196" s="186"/>
      <c r="J196" s="186"/>
      <c r="K196" s="1"/>
      <c r="L196" s="1"/>
      <c r="M196" s="197"/>
      <c r="N196" s="16"/>
      <c r="O196" s="16"/>
      <c r="P196" s="1"/>
    </row>
    <row r="197" spans="1:16">
      <c r="A197" s="6"/>
      <c r="B197" s="7"/>
      <c r="C197" s="67"/>
      <c r="D197" s="6"/>
      <c r="E197" s="6"/>
      <c r="F197" s="71"/>
      <c r="G197" s="9"/>
      <c r="H197" s="9"/>
      <c r="I197" s="186"/>
      <c r="J197" s="186"/>
      <c r="K197" s="1"/>
      <c r="L197" s="1"/>
      <c r="M197" s="197"/>
      <c r="N197" s="16"/>
      <c r="O197" s="16"/>
      <c r="P197" s="1"/>
    </row>
    <row r="198" spans="1:16">
      <c r="A198" s="6"/>
      <c r="B198" s="7"/>
      <c r="C198" s="67"/>
      <c r="D198" s="6"/>
      <c r="E198" s="6"/>
      <c r="F198" s="71"/>
      <c r="G198" s="9"/>
      <c r="H198" s="9"/>
      <c r="I198" s="186"/>
      <c r="J198" s="186"/>
      <c r="K198" s="1"/>
      <c r="L198" s="1"/>
      <c r="M198" s="197"/>
      <c r="N198" s="16"/>
      <c r="O198" s="16"/>
      <c r="P198" s="1"/>
    </row>
    <row r="199" spans="1:16">
      <c r="A199" s="6"/>
      <c r="B199" s="7"/>
      <c r="C199" s="67"/>
      <c r="D199" s="6"/>
      <c r="E199" s="6"/>
      <c r="F199" s="71"/>
      <c r="G199" s="9"/>
      <c r="H199" s="9"/>
      <c r="I199" s="186"/>
      <c r="J199" s="186"/>
      <c r="K199" s="1"/>
      <c r="L199" s="1"/>
      <c r="M199" s="197"/>
      <c r="N199" s="16"/>
      <c r="O199" s="16"/>
      <c r="P199" s="1"/>
    </row>
    <row r="200" spans="1:16">
      <c r="A200" s="6"/>
      <c r="B200" s="7"/>
      <c r="C200" s="67"/>
      <c r="D200" s="6"/>
      <c r="E200" s="6"/>
      <c r="F200" s="71"/>
      <c r="G200" s="9"/>
      <c r="H200" s="9"/>
      <c r="I200" s="186"/>
      <c r="J200" s="186"/>
      <c r="K200" s="1"/>
      <c r="L200" s="1"/>
      <c r="M200" s="197"/>
      <c r="N200" s="16"/>
      <c r="O200" s="16"/>
      <c r="P200" s="1"/>
    </row>
    <row r="201" spans="1:16">
      <c r="A201" s="6"/>
      <c r="B201" s="7"/>
      <c r="C201" s="67"/>
      <c r="D201" s="6"/>
      <c r="E201" s="6"/>
      <c r="F201" s="71"/>
      <c r="G201" s="9"/>
      <c r="H201" s="9"/>
      <c r="I201" s="186"/>
      <c r="J201" s="186"/>
      <c r="K201" s="1"/>
      <c r="L201" s="1"/>
      <c r="M201" s="197"/>
      <c r="N201" s="16"/>
      <c r="O201" s="16"/>
      <c r="P201" s="1"/>
    </row>
    <row r="202" spans="1:16">
      <c r="A202" s="6"/>
      <c r="B202" s="7"/>
      <c r="C202" s="67"/>
      <c r="D202" s="6"/>
      <c r="E202" s="6"/>
      <c r="F202" s="71"/>
      <c r="G202" s="9"/>
      <c r="H202" s="9"/>
      <c r="I202" s="186"/>
      <c r="J202" s="186"/>
      <c r="K202" s="1"/>
      <c r="L202" s="1"/>
      <c r="M202" s="197"/>
      <c r="N202" s="16"/>
      <c r="O202" s="16"/>
      <c r="P202" s="1"/>
    </row>
    <row r="203" spans="1:16">
      <c r="A203" s="6"/>
      <c r="B203" s="7"/>
      <c r="C203" s="67"/>
      <c r="D203" s="6"/>
      <c r="E203" s="6"/>
      <c r="F203" s="71"/>
      <c r="G203" s="9"/>
      <c r="H203" s="9"/>
      <c r="I203" s="186"/>
      <c r="J203" s="186"/>
      <c r="K203" s="1"/>
      <c r="L203" s="1"/>
      <c r="M203" s="197"/>
      <c r="N203" s="16"/>
      <c r="O203" s="16"/>
      <c r="P203" s="1"/>
    </row>
    <row r="204" spans="1:16">
      <c r="A204" s="6"/>
      <c r="B204" s="7"/>
      <c r="C204" s="67"/>
      <c r="D204" s="6"/>
      <c r="E204" s="6"/>
      <c r="F204" s="71"/>
      <c r="G204" s="9"/>
      <c r="H204" s="9"/>
      <c r="I204" s="186"/>
      <c r="J204" s="186"/>
      <c r="K204" s="1"/>
      <c r="L204" s="1"/>
      <c r="M204" s="197"/>
      <c r="N204" s="16"/>
      <c r="O204" s="16"/>
      <c r="P204" s="1"/>
    </row>
    <row r="205" spans="1:16">
      <c r="A205" s="6"/>
      <c r="B205" s="7"/>
      <c r="C205" s="67"/>
      <c r="D205" s="6"/>
      <c r="E205" s="6"/>
      <c r="F205" s="71"/>
      <c r="G205" s="9"/>
      <c r="H205" s="9"/>
      <c r="I205" s="186"/>
      <c r="J205" s="186"/>
      <c r="K205" s="1"/>
      <c r="L205" s="1"/>
      <c r="M205" s="197"/>
      <c r="N205" s="16"/>
      <c r="O205" s="16"/>
      <c r="P205" s="1"/>
    </row>
    <row r="206" spans="1:16">
      <c r="A206" s="6"/>
      <c r="B206" s="7"/>
      <c r="C206" s="67"/>
      <c r="D206" s="6"/>
      <c r="E206" s="6"/>
      <c r="F206" s="71"/>
      <c r="G206" s="9"/>
      <c r="H206" s="9"/>
      <c r="I206" s="186"/>
      <c r="J206" s="186"/>
      <c r="K206" s="1"/>
      <c r="L206" s="1"/>
      <c r="M206" s="197"/>
      <c r="N206" s="16"/>
      <c r="O206" s="16"/>
      <c r="P206" s="1"/>
    </row>
    <row r="207" spans="1:16">
      <c r="A207" s="6"/>
      <c r="B207" s="7"/>
      <c r="C207" s="67"/>
      <c r="D207" s="6"/>
      <c r="E207" s="6"/>
      <c r="F207" s="71"/>
      <c r="G207" s="9"/>
      <c r="H207" s="9"/>
      <c r="I207" s="186"/>
      <c r="J207" s="186"/>
      <c r="K207" s="1"/>
      <c r="L207" s="1"/>
      <c r="M207" s="197"/>
      <c r="N207" s="16"/>
      <c r="O207" s="16"/>
      <c r="P207" s="1"/>
    </row>
    <row r="208" spans="1:16">
      <c r="A208" s="6"/>
      <c r="B208" s="7"/>
      <c r="C208" s="67"/>
      <c r="D208" s="6"/>
      <c r="E208" s="6"/>
      <c r="F208" s="71"/>
      <c r="G208" s="9"/>
      <c r="H208" s="9"/>
      <c r="I208" s="186"/>
      <c r="J208" s="186"/>
      <c r="K208" s="1"/>
      <c r="L208" s="1"/>
      <c r="M208" s="197"/>
      <c r="N208" s="16"/>
      <c r="O208" s="16"/>
      <c r="P208" s="1"/>
    </row>
    <row r="209" spans="1:16">
      <c r="A209" s="6"/>
      <c r="B209" s="7"/>
      <c r="C209" s="67"/>
      <c r="D209" s="6"/>
      <c r="E209" s="191"/>
      <c r="F209" s="71"/>
      <c r="G209" s="9"/>
      <c r="H209" s="9"/>
      <c r="I209" s="186"/>
      <c r="J209" s="186"/>
      <c r="K209" s="1"/>
      <c r="L209" s="1"/>
      <c r="M209" s="197"/>
      <c r="N209" s="16"/>
      <c r="O209" s="16"/>
      <c r="P209" s="1"/>
    </row>
    <row r="210" spans="1:16">
      <c r="A210" s="6"/>
      <c r="B210" s="7"/>
      <c r="C210" s="67"/>
      <c r="D210" s="6"/>
      <c r="E210" s="6"/>
      <c r="F210" s="71"/>
      <c r="G210" s="9"/>
      <c r="H210" s="9"/>
      <c r="I210" s="186"/>
      <c r="J210" s="186"/>
      <c r="K210" s="1"/>
      <c r="L210" s="1"/>
      <c r="M210" s="197"/>
      <c r="N210" s="16"/>
      <c r="O210" s="16"/>
      <c r="P210" s="1"/>
    </row>
    <row r="211" spans="1:16">
      <c r="A211" s="6"/>
      <c r="B211" s="7"/>
      <c r="C211" s="67"/>
      <c r="D211" s="6"/>
      <c r="E211" s="6"/>
      <c r="F211" s="71"/>
      <c r="G211" s="9"/>
      <c r="H211" s="9"/>
      <c r="I211" s="186"/>
      <c r="J211" s="186"/>
      <c r="K211" s="1"/>
      <c r="L211" s="1"/>
      <c r="M211" s="197"/>
      <c r="N211" s="16"/>
      <c r="O211" s="16"/>
      <c r="P211" s="1"/>
    </row>
    <row r="212" spans="1:16">
      <c r="A212" s="6"/>
      <c r="B212" s="7"/>
      <c r="C212" s="67"/>
      <c r="D212" s="6"/>
      <c r="E212" s="6"/>
      <c r="F212" s="71"/>
      <c r="G212" s="9"/>
      <c r="H212" s="9"/>
      <c r="I212" s="186"/>
      <c r="J212" s="186"/>
      <c r="K212" s="1"/>
      <c r="L212" s="1"/>
      <c r="M212" s="197"/>
      <c r="N212" s="16"/>
      <c r="O212" s="16"/>
      <c r="P212" s="1"/>
    </row>
    <row r="213" spans="1:16">
      <c r="A213" s="6"/>
      <c r="B213" s="7"/>
      <c r="C213" s="67"/>
      <c r="D213" s="6"/>
      <c r="E213" s="6"/>
      <c r="F213" s="71"/>
      <c r="G213" s="9"/>
      <c r="H213" s="9"/>
      <c r="I213" s="186"/>
      <c r="J213" s="186"/>
      <c r="K213" s="1"/>
      <c r="L213" s="1"/>
      <c r="M213" s="197"/>
      <c r="N213" s="16"/>
      <c r="O213" s="16"/>
      <c r="P213" s="1"/>
    </row>
    <row r="214" spans="1:16">
      <c r="A214" s="6"/>
      <c r="B214" s="7"/>
      <c r="C214" s="67"/>
      <c r="D214" s="6"/>
      <c r="E214" s="6"/>
      <c r="F214" s="71"/>
      <c r="G214" s="9"/>
      <c r="H214" s="9"/>
      <c r="I214" s="186"/>
      <c r="J214" s="186"/>
      <c r="K214" s="1"/>
      <c r="L214" s="1"/>
      <c r="M214" s="197"/>
      <c r="N214" s="16"/>
      <c r="O214" s="16"/>
      <c r="P214" s="1"/>
    </row>
    <row r="215" spans="1:16">
      <c r="A215" s="6"/>
      <c r="B215" s="7"/>
      <c r="C215" s="67"/>
      <c r="D215" s="6"/>
      <c r="E215" s="6"/>
      <c r="F215" s="71"/>
      <c r="G215" s="9"/>
      <c r="H215" s="9"/>
      <c r="I215" s="186"/>
      <c r="J215" s="186"/>
      <c r="K215" s="1"/>
      <c r="L215" s="1"/>
      <c r="M215" s="197"/>
      <c r="N215" s="16"/>
      <c r="O215" s="16"/>
      <c r="P215" s="1"/>
    </row>
    <row r="216" spans="1:16">
      <c r="A216" s="6"/>
      <c r="B216" s="7"/>
      <c r="C216" s="67"/>
      <c r="D216" s="6"/>
      <c r="E216" s="6"/>
      <c r="F216" s="71"/>
      <c r="G216" s="9"/>
      <c r="H216" s="9"/>
      <c r="I216" s="186"/>
      <c r="J216" s="186"/>
      <c r="K216" s="1"/>
      <c r="L216" s="1"/>
      <c r="M216" s="197"/>
      <c r="N216" s="16"/>
      <c r="O216" s="16"/>
      <c r="P216" s="1"/>
    </row>
    <row r="217" spans="1:16">
      <c r="A217" s="6"/>
      <c r="B217" s="7"/>
      <c r="C217" s="67"/>
      <c r="D217" s="6"/>
      <c r="E217" s="6"/>
      <c r="F217" s="71"/>
      <c r="G217" s="9"/>
      <c r="H217" s="9"/>
      <c r="I217" s="186"/>
      <c r="J217" s="186"/>
      <c r="K217" s="1"/>
      <c r="L217" s="1"/>
      <c r="M217" s="197"/>
      <c r="N217" s="16"/>
      <c r="O217" s="16"/>
      <c r="P217" s="1"/>
    </row>
    <row r="218" spans="1:16">
      <c r="A218" s="6"/>
      <c r="B218" s="7"/>
      <c r="C218" s="67"/>
      <c r="D218" s="6"/>
      <c r="E218" s="6"/>
      <c r="F218" s="71"/>
      <c r="G218" s="9"/>
      <c r="H218" s="9"/>
      <c r="I218" s="186"/>
      <c r="J218" s="186"/>
      <c r="K218" s="1"/>
      <c r="L218" s="1"/>
      <c r="M218" s="197"/>
      <c r="N218" s="16"/>
      <c r="O218" s="16"/>
      <c r="P218" s="1"/>
    </row>
    <row r="219" spans="1:16">
      <c r="A219" s="6"/>
      <c r="B219" s="7"/>
      <c r="C219" s="67"/>
      <c r="D219" s="6"/>
      <c r="E219" s="6"/>
      <c r="F219" s="71"/>
      <c r="G219" s="9"/>
      <c r="H219" s="9"/>
      <c r="I219" s="186"/>
      <c r="J219" s="186"/>
      <c r="K219" s="1"/>
      <c r="L219" s="1"/>
      <c r="M219" s="197"/>
      <c r="N219" s="16"/>
      <c r="O219" s="16"/>
      <c r="P219" s="1"/>
    </row>
    <row r="220" spans="1:16">
      <c r="A220" s="6"/>
      <c r="B220" s="7"/>
      <c r="C220" s="67"/>
      <c r="D220" s="6"/>
      <c r="E220" s="6"/>
      <c r="F220" s="71"/>
      <c r="G220" s="9"/>
      <c r="H220" s="9"/>
      <c r="I220" s="186"/>
      <c r="J220" s="186"/>
      <c r="K220" s="1"/>
      <c r="L220" s="1"/>
      <c r="M220" s="197"/>
      <c r="N220" s="16"/>
      <c r="O220" s="16"/>
      <c r="P220" s="1"/>
    </row>
    <row r="221" spans="1:16">
      <c r="A221" s="6"/>
      <c r="B221" s="7"/>
      <c r="C221" s="67"/>
      <c r="D221" s="6"/>
      <c r="E221" s="6"/>
      <c r="F221" s="71"/>
      <c r="G221" s="9"/>
      <c r="H221" s="9"/>
      <c r="I221" s="186"/>
      <c r="J221" s="186"/>
      <c r="K221" s="1"/>
      <c r="L221" s="1"/>
      <c r="M221" s="197"/>
      <c r="N221" s="16"/>
      <c r="O221" s="16"/>
      <c r="P221" s="1"/>
    </row>
    <row r="222" spans="1:16">
      <c r="A222" s="6"/>
      <c r="B222" s="7"/>
      <c r="C222" s="67"/>
      <c r="D222" s="6"/>
      <c r="E222" s="6"/>
      <c r="F222" s="71"/>
      <c r="G222" s="9"/>
      <c r="H222" s="9"/>
      <c r="I222" s="186"/>
      <c r="J222" s="186"/>
      <c r="K222" s="1"/>
      <c r="L222" s="1"/>
      <c r="M222" s="197"/>
      <c r="N222" s="16"/>
      <c r="O222" s="16"/>
      <c r="P222" s="1"/>
    </row>
    <row r="223" spans="1:16">
      <c r="A223" s="6"/>
      <c r="B223" s="7"/>
      <c r="C223" s="67"/>
      <c r="D223" s="6"/>
      <c r="E223" s="6"/>
      <c r="F223" s="71"/>
      <c r="G223" s="9"/>
      <c r="H223" s="9"/>
      <c r="I223" s="186"/>
      <c r="J223" s="186"/>
      <c r="K223" s="1"/>
      <c r="L223" s="1"/>
      <c r="M223" s="197"/>
      <c r="N223" s="16"/>
      <c r="O223" s="16"/>
      <c r="P223" s="1"/>
    </row>
    <row r="224" spans="1:16">
      <c r="A224" s="6"/>
      <c r="B224" s="7"/>
      <c r="C224" s="67"/>
      <c r="D224" s="6"/>
      <c r="E224" s="6"/>
      <c r="F224" s="71"/>
      <c r="G224" s="9"/>
      <c r="H224" s="9"/>
      <c r="I224" s="186"/>
      <c r="J224" s="186"/>
      <c r="K224" s="1"/>
      <c r="L224" s="1"/>
      <c r="M224" s="197"/>
      <c r="N224" s="16"/>
      <c r="O224" s="16"/>
      <c r="P224" s="1"/>
    </row>
    <row r="225" spans="1:16">
      <c r="A225" s="6"/>
      <c r="B225" s="7"/>
      <c r="C225" s="67"/>
      <c r="D225" s="6"/>
      <c r="E225" s="6"/>
      <c r="F225" s="71"/>
      <c r="G225" s="9"/>
      <c r="H225" s="9"/>
      <c r="I225" s="186"/>
      <c r="J225" s="186"/>
      <c r="K225" s="1"/>
      <c r="L225" s="1"/>
      <c r="M225" s="197"/>
      <c r="N225" s="16"/>
      <c r="O225" s="16"/>
      <c r="P225" s="1"/>
    </row>
    <row r="226" spans="1:16">
      <c r="A226" s="6"/>
      <c r="B226" s="7"/>
      <c r="C226" s="67"/>
      <c r="D226" s="6"/>
      <c r="E226" s="6"/>
      <c r="F226" s="71"/>
      <c r="G226" s="9"/>
      <c r="H226" s="9"/>
      <c r="I226" s="186"/>
      <c r="J226" s="186"/>
      <c r="K226" s="1"/>
      <c r="L226" s="1"/>
      <c r="M226" s="197"/>
      <c r="N226" s="16"/>
      <c r="O226" s="16"/>
      <c r="P226" s="1"/>
    </row>
    <row r="227" spans="1:16">
      <c r="A227" s="6"/>
      <c r="B227" s="7"/>
      <c r="C227" s="67"/>
      <c r="D227" s="6"/>
      <c r="E227" s="6"/>
      <c r="F227" s="71"/>
      <c r="G227" s="9"/>
      <c r="H227" s="9"/>
      <c r="I227" s="186"/>
      <c r="J227" s="186"/>
      <c r="K227" s="1"/>
      <c r="L227" s="1"/>
      <c r="M227" s="197"/>
      <c r="N227" s="16"/>
      <c r="O227" s="16"/>
      <c r="P227" s="1"/>
    </row>
    <row r="228" spans="1:16">
      <c r="A228" s="6"/>
      <c r="B228" s="7"/>
      <c r="C228" s="67"/>
      <c r="D228" s="6"/>
      <c r="E228" s="6"/>
      <c r="F228" s="71"/>
      <c r="G228" s="9"/>
      <c r="H228" s="9"/>
      <c r="I228" s="186"/>
      <c r="J228" s="186"/>
      <c r="K228" s="1"/>
      <c r="L228" s="1"/>
      <c r="M228" s="197"/>
      <c r="N228" s="16"/>
      <c r="O228" s="16"/>
      <c r="P228" s="1"/>
    </row>
    <row r="229" spans="1:16">
      <c r="A229" s="6"/>
      <c r="B229" s="7"/>
      <c r="C229" s="67"/>
      <c r="D229" s="6"/>
      <c r="E229" s="6"/>
      <c r="F229" s="71"/>
      <c r="G229" s="9"/>
      <c r="H229" s="9"/>
      <c r="I229" s="186"/>
      <c r="J229" s="186"/>
      <c r="K229" s="1"/>
      <c r="L229" s="1"/>
      <c r="M229" s="197"/>
      <c r="N229" s="16"/>
      <c r="O229" s="16"/>
      <c r="P229" s="1"/>
    </row>
    <row r="230" spans="1:16">
      <c r="A230" s="6"/>
      <c r="B230" s="7"/>
      <c r="C230" s="67"/>
      <c r="D230" s="6"/>
      <c r="E230" s="6"/>
      <c r="F230" s="71"/>
      <c r="G230" s="9"/>
      <c r="H230" s="9"/>
      <c r="I230" s="186"/>
      <c r="J230" s="186"/>
      <c r="K230" s="1"/>
      <c r="L230" s="1"/>
      <c r="M230" s="197"/>
      <c r="N230" s="16"/>
      <c r="O230" s="16"/>
      <c r="P230" s="1"/>
    </row>
    <row r="231" spans="1:16">
      <c r="A231" s="6"/>
      <c r="B231" s="7"/>
      <c r="C231" s="67"/>
      <c r="D231" s="6"/>
      <c r="E231" s="6"/>
      <c r="F231" s="71"/>
      <c r="G231" s="9"/>
      <c r="H231" s="9"/>
      <c r="I231" s="186"/>
      <c r="J231" s="186"/>
      <c r="K231" s="1"/>
      <c r="L231" s="1"/>
      <c r="M231" s="197"/>
      <c r="N231" s="16"/>
      <c r="O231" s="16"/>
      <c r="P231" s="1"/>
    </row>
    <row r="232" spans="1:16">
      <c r="A232" s="6"/>
      <c r="B232" s="7"/>
      <c r="C232" s="67"/>
      <c r="D232" s="6"/>
      <c r="E232" s="6"/>
      <c r="F232" s="71"/>
      <c r="G232" s="9"/>
      <c r="H232" s="9"/>
      <c r="I232" s="186"/>
      <c r="J232" s="186"/>
      <c r="K232" s="1"/>
      <c r="L232" s="1"/>
      <c r="M232" s="197"/>
      <c r="N232" s="16"/>
      <c r="O232" s="16"/>
      <c r="P232" s="1"/>
    </row>
    <row r="233" spans="1:16">
      <c r="A233" s="6"/>
      <c r="B233" s="7"/>
      <c r="C233" s="67"/>
      <c r="D233" s="6"/>
      <c r="E233" s="6"/>
      <c r="F233" s="71"/>
      <c r="G233" s="9"/>
      <c r="H233" s="9"/>
      <c r="I233" s="186"/>
      <c r="J233" s="186"/>
      <c r="K233" s="1"/>
      <c r="L233" s="1"/>
      <c r="M233" s="197"/>
      <c r="N233" s="16"/>
      <c r="O233" s="16"/>
      <c r="P233" s="1"/>
    </row>
    <row r="234" spans="1:16">
      <c r="A234" s="6"/>
      <c r="B234" s="7"/>
      <c r="C234" s="67"/>
      <c r="D234" s="6"/>
      <c r="E234" s="6"/>
      <c r="F234" s="71"/>
      <c r="G234" s="9"/>
      <c r="H234" s="9"/>
      <c r="I234" s="186"/>
      <c r="J234" s="186"/>
      <c r="K234" s="1"/>
      <c r="L234" s="1"/>
      <c r="M234" s="197"/>
      <c r="N234" s="16"/>
      <c r="O234" s="16"/>
      <c r="P234" s="1"/>
    </row>
    <row r="235" spans="1:16">
      <c r="A235" s="6"/>
      <c r="B235" s="7"/>
      <c r="C235" s="67"/>
      <c r="D235" s="6"/>
      <c r="E235" s="6"/>
      <c r="F235" s="71"/>
      <c r="G235" s="9"/>
      <c r="H235" s="9"/>
      <c r="I235" s="186"/>
      <c r="J235" s="186"/>
      <c r="K235" s="1"/>
      <c r="L235" s="1"/>
      <c r="M235" s="197"/>
      <c r="N235" s="16"/>
      <c r="O235" s="16"/>
      <c r="P235" s="1"/>
    </row>
    <row r="236" spans="1:16">
      <c r="A236" s="6"/>
      <c r="B236" s="7"/>
      <c r="C236" s="67"/>
      <c r="D236" s="6"/>
      <c r="E236" s="6"/>
      <c r="F236" s="71"/>
      <c r="G236" s="9"/>
      <c r="H236" s="9"/>
      <c r="I236" s="186"/>
      <c r="J236" s="186"/>
      <c r="K236" s="1"/>
      <c r="L236" s="1"/>
      <c r="M236" s="197"/>
      <c r="N236" s="16"/>
      <c r="O236" s="16"/>
      <c r="P236" s="1"/>
    </row>
    <row r="237" spans="1:16">
      <c r="A237" s="6"/>
      <c r="B237" s="7"/>
      <c r="C237" s="67"/>
      <c r="D237" s="6"/>
      <c r="E237" s="6"/>
      <c r="F237" s="71"/>
      <c r="G237" s="9"/>
      <c r="H237" s="9"/>
      <c r="I237" s="186"/>
      <c r="J237" s="186"/>
      <c r="K237" s="1"/>
      <c r="L237" s="1"/>
      <c r="M237" s="197"/>
      <c r="N237" s="16"/>
      <c r="O237" s="16"/>
      <c r="P237" s="1"/>
    </row>
    <row r="238" spans="1:16">
      <c r="A238" s="6"/>
      <c r="B238" s="7"/>
      <c r="C238" s="67"/>
      <c r="D238" s="6"/>
      <c r="E238" s="6"/>
      <c r="F238" s="71"/>
      <c r="G238" s="9"/>
      <c r="H238" s="9"/>
      <c r="I238" s="186"/>
      <c r="J238" s="186"/>
      <c r="K238" s="1"/>
      <c r="L238" s="1"/>
      <c r="M238" s="197"/>
      <c r="N238" s="16"/>
      <c r="O238" s="16"/>
      <c r="P238" s="1"/>
    </row>
    <row r="239" spans="1:16">
      <c r="A239" s="6"/>
      <c r="B239" s="7"/>
      <c r="C239" s="67"/>
      <c r="D239" s="6"/>
      <c r="E239" s="6"/>
      <c r="F239" s="71"/>
      <c r="G239" s="9"/>
      <c r="H239" s="9"/>
      <c r="I239" s="186"/>
      <c r="J239" s="186"/>
      <c r="K239" s="1"/>
      <c r="L239" s="1"/>
      <c r="M239" s="197"/>
      <c r="N239" s="16"/>
      <c r="O239" s="16"/>
      <c r="P239" s="1"/>
    </row>
    <row r="240" spans="1:16">
      <c r="A240" s="6"/>
      <c r="B240" s="7"/>
      <c r="C240" s="67"/>
      <c r="D240" s="6"/>
      <c r="E240" s="6"/>
      <c r="F240" s="71"/>
      <c r="G240" s="9"/>
      <c r="H240" s="9"/>
      <c r="I240" s="186"/>
      <c r="J240" s="186"/>
      <c r="K240" s="1"/>
      <c r="L240" s="1"/>
      <c r="M240" s="197"/>
      <c r="N240" s="16"/>
      <c r="O240" s="16"/>
      <c r="P240" s="1"/>
    </row>
    <row r="241" spans="1:16">
      <c r="A241" s="6"/>
      <c r="B241" s="7"/>
      <c r="C241" s="67"/>
      <c r="D241" s="6"/>
      <c r="E241" s="6"/>
      <c r="F241" s="71"/>
      <c r="G241" s="9"/>
      <c r="H241" s="9"/>
      <c r="I241" s="186"/>
      <c r="J241" s="186"/>
      <c r="K241" s="1"/>
      <c r="L241" s="1"/>
      <c r="M241" s="197"/>
      <c r="N241" s="16"/>
      <c r="O241" s="16"/>
      <c r="P241" s="1"/>
    </row>
    <row r="242" spans="1:16">
      <c r="A242" s="6"/>
      <c r="B242" s="7"/>
      <c r="C242" s="67"/>
      <c r="D242" s="6"/>
      <c r="E242" s="6"/>
      <c r="F242" s="71"/>
      <c r="G242" s="9"/>
      <c r="H242" s="9"/>
      <c r="I242" s="186"/>
      <c r="J242" s="186"/>
      <c r="K242" s="7"/>
      <c r="L242" s="1"/>
      <c r="M242" s="202"/>
      <c r="N242" s="193"/>
      <c r="O242" s="193"/>
      <c r="P242" s="9"/>
    </row>
    <row r="243" spans="1:16">
      <c r="A243" s="6"/>
      <c r="B243" s="7"/>
      <c r="C243" s="67"/>
      <c r="D243" s="6"/>
      <c r="E243" s="6"/>
      <c r="F243" s="71"/>
      <c r="G243" s="9"/>
      <c r="H243" s="9"/>
      <c r="I243" s="186"/>
      <c r="J243" s="186"/>
      <c r="K243" s="7"/>
      <c r="L243" s="1"/>
      <c r="M243" s="202"/>
      <c r="N243" s="193"/>
      <c r="O243" s="193"/>
      <c r="P243" s="9"/>
    </row>
    <row r="244" spans="1:16">
      <c r="A244" s="6"/>
      <c r="B244" s="7"/>
      <c r="C244" s="67"/>
      <c r="D244" s="6"/>
      <c r="E244" s="6"/>
      <c r="F244" s="71"/>
      <c r="G244" s="9"/>
      <c r="H244" s="9"/>
      <c r="I244" s="186"/>
      <c r="J244" s="186"/>
      <c r="K244" s="1"/>
      <c r="L244" s="1"/>
      <c r="M244" s="197"/>
      <c r="N244" s="16"/>
      <c r="O244" s="16"/>
      <c r="P244" s="1"/>
    </row>
    <row r="245" spans="1:16">
      <c r="A245" s="6"/>
      <c r="B245" s="7"/>
      <c r="C245" s="67"/>
      <c r="D245" s="6"/>
      <c r="E245" s="6"/>
      <c r="F245" s="71"/>
      <c r="G245" s="9"/>
      <c r="H245" s="9"/>
      <c r="I245" s="186"/>
      <c r="J245" s="186"/>
      <c r="K245" s="1"/>
      <c r="L245" s="1"/>
      <c r="M245" s="197"/>
      <c r="N245" s="16"/>
      <c r="O245" s="16"/>
      <c r="P245" s="1"/>
    </row>
    <row r="246" spans="1:16">
      <c r="A246" s="6"/>
      <c r="B246" s="7"/>
      <c r="C246" s="67"/>
      <c r="D246" s="6"/>
      <c r="E246" s="6"/>
      <c r="F246" s="71"/>
      <c r="G246" s="9"/>
      <c r="H246" s="9"/>
      <c r="I246" s="186"/>
      <c r="J246" s="186"/>
      <c r="K246" s="1"/>
      <c r="L246" s="1"/>
      <c r="M246" s="197"/>
      <c r="N246" s="16"/>
      <c r="O246" s="16"/>
      <c r="P246" s="1"/>
    </row>
    <row r="247" spans="1:16">
      <c r="A247" s="6"/>
      <c r="B247" s="7"/>
      <c r="C247" s="67"/>
      <c r="D247" s="6"/>
      <c r="E247" s="6"/>
      <c r="F247" s="71"/>
      <c r="G247" s="9"/>
      <c r="H247" s="9"/>
      <c r="I247" s="186"/>
      <c r="J247" s="186"/>
      <c r="K247" s="1"/>
      <c r="L247" s="1"/>
      <c r="M247" s="197"/>
      <c r="N247" s="16"/>
      <c r="O247" s="16"/>
      <c r="P247" s="1"/>
    </row>
    <row r="248" spans="1:16">
      <c r="A248" s="6"/>
      <c r="B248" s="7"/>
      <c r="C248" s="67"/>
      <c r="D248" s="6"/>
      <c r="E248" s="6"/>
      <c r="F248" s="71"/>
      <c r="G248" s="9"/>
      <c r="H248" s="9"/>
      <c r="I248" s="186"/>
      <c r="J248" s="186"/>
      <c r="K248" s="1"/>
      <c r="L248" s="1"/>
      <c r="M248" s="197"/>
      <c r="N248" s="186"/>
      <c r="O248" s="186"/>
      <c r="P248" s="1"/>
    </row>
    <row r="249" spans="1:16">
      <c r="A249" s="6"/>
      <c r="B249" s="7"/>
      <c r="C249" s="67"/>
      <c r="D249" s="6"/>
      <c r="E249" s="6"/>
      <c r="F249" s="71"/>
      <c r="G249" s="9"/>
      <c r="H249" s="9"/>
      <c r="I249" s="186"/>
      <c r="J249" s="186"/>
      <c r="K249" s="1"/>
      <c r="L249" s="1"/>
      <c r="M249" s="197"/>
      <c r="N249" s="16"/>
      <c r="O249" s="16"/>
      <c r="P249" s="1"/>
    </row>
    <row r="250" spans="1:16">
      <c r="A250" s="6"/>
      <c r="B250" s="7"/>
      <c r="C250" s="67"/>
      <c r="D250" s="6"/>
      <c r="E250" s="6"/>
      <c r="F250" s="71"/>
      <c r="G250" s="9"/>
      <c r="H250" s="9"/>
      <c r="I250" s="186"/>
      <c r="J250" s="186"/>
      <c r="K250" s="1"/>
      <c r="L250" s="1"/>
      <c r="M250" s="197"/>
      <c r="N250" s="16"/>
      <c r="O250" s="16"/>
      <c r="P250" s="1"/>
    </row>
    <row r="251" spans="1:16">
      <c r="A251" s="6"/>
      <c r="B251" s="7"/>
      <c r="C251" s="67"/>
      <c r="D251" s="6"/>
      <c r="E251" s="6"/>
      <c r="F251" s="71"/>
      <c r="G251" s="9"/>
      <c r="H251" s="9"/>
      <c r="I251" s="186"/>
      <c r="J251" s="186"/>
      <c r="K251" s="1"/>
      <c r="L251" s="1"/>
      <c r="M251" s="197"/>
      <c r="N251" s="16"/>
      <c r="O251" s="16"/>
      <c r="P251" s="1"/>
    </row>
    <row r="252" spans="1:16">
      <c r="A252" s="6"/>
      <c r="B252" s="7"/>
      <c r="C252" s="67"/>
      <c r="D252" s="6"/>
      <c r="E252" s="6"/>
      <c r="F252" s="71"/>
      <c r="G252" s="9"/>
      <c r="H252" s="9"/>
      <c r="I252" s="186"/>
      <c r="J252" s="186"/>
      <c r="K252" s="1"/>
      <c r="L252" s="1"/>
      <c r="M252" s="197"/>
      <c r="N252" s="16"/>
      <c r="O252" s="16"/>
      <c r="P252" s="1"/>
    </row>
    <row r="253" spans="1:16">
      <c r="A253" s="6"/>
      <c r="B253" s="7"/>
      <c r="C253" s="67"/>
      <c r="D253" s="6"/>
      <c r="E253" s="6"/>
      <c r="F253" s="71"/>
      <c r="G253" s="9"/>
      <c r="H253" s="9"/>
      <c r="I253" s="186"/>
      <c r="J253" s="186"/>
      <c r="K253" s="1"/>
      <c r="L253" s="1"/>
      <c r="M253" s="197"/>
      <c r="N253" s="16"/>
      <c r="O253" s="16"/>
      <c r="P253" s="1"/>
    </row>
    <row r="254" spans="1:16">
      <c r="A254" s="6"/>
      <c r="B254" s="7"/>
      <c r="C254" s="67"/>
      <c r="D254" s="6"/>
      <c r="E254" s="6"/>
      <c r="F254" s="71"/>
      <c r="G254" s="9"/>
      <c r="H254" s="9"/>
      <c r="I254" s="186"/>
      <c r="J254" s="186"/>
      <c r="K254" s="1"/>
      <c r="L254" s="1"/>
      <c r="M254" s="197"/>
      <c r="N254" s="16"/>
      <c r="O254" s="16"/>
      <c r="P254" s="1"/>
    </row>
    <row r="255" spans="1:16">
      <c r="A255" s="6"/>
      <c r="B255" s="7"/>
      <c r="C255" s="67"/>
      <c r="D255" s="6"/>
      <c r="E255" s="6"/>
      <c r="F255" s="71"/>
      <c r="G255" s="9"/>
      <c r="H255" s="9"/>
      <c r="I255" s="186"/>
      <c r="J255" s="186"/>
      <c r="K255" s="1"/>
      <c r="L255" s="1"/>
      <c r="M255" s="197"/>
      <c r="N255" s="16"/>
      <c r="O255" s="16"/>
      <c r="P255" s="1"/>
    </row>
    <row r="256" spans="1:16">
      <c r="A256" s="6"/>
      <c r="B256" s="7"/>
      <c r="C256" s="67"/>
      <c r="D256" s="6"/>
      <c r="E256" s="6"/>
      <c r="F256" s="71"/>
      <c r="G256" s="9"/>
      <c r="H256" s="9"/>
      <c r="I256" s="186"/>
      <c r="J256" s="186"/>
      <c r="K256" s="1"/>
      <c r="L256" s="1"/>
      <c r="M256" s="197"/>
      <c r="N256" s="16"/>
      <c r="O256" s="16"/>
      <c r="P256" s="1"/>
    </row>
    <row r="257" spans="1:16">
      <c r="A257" s="6"/>
      <c r="B257" s="7"/>
      <c r="C257" s="67"/>
      <c r="D257" s="6"/>
      <c r="E257" s="6"/>
      <c r="F257" s="71"/>
      <c r="G257" s="9"/>
      <c r="H257" s="9"/>
      <c r="I257" s="186"/>
      <c r="J257" s="186"/>
      <c r="K257" s="1"/>
      <c r="L257" s="1"/>
      <c r="M257" s="197"/>
      <c r="N257" s="16"/>
      <c r="O257" s="16"/>
      <c r="P257" s="1"/>
    </row>
    <row r="258" spans="1:16">
      <c r="A258" s="6"/>
      <c r="B258" s="7"/>
      <c r="C258" s="67"/>
      <c r="D258" s="6"/>
      <c r="E258" s="6"/>
      <c r="F258" s="71"/>
      <c r="G258" s="9"/>
      <c r="H258" s="9"/>
      <c r="I258" s="186"/>
      <c r="J258" s="186"/>
      <c r="K258" s="1"/>
      <c r="L258" s="1"/>
      <c r="M258" s="197"/>
      <c r="N258" s="16"/>
      <c r="O258" s="16"/>
      <c r="P258" s="1"/>
    </row>
    <row r="259" spans="1:16">
      <c r="A259" s="6"/>
      <c r="B259" s="7"/>
      <c r="C259" s="67"/>
      <c r="D259" s="6"/>
      <c r="E259" s="6"/>
      <c r="F259" s="71"/>
      <c r="G259" s="9"/>
      <c r="H259" s="9"/>
      <c r="I259" s="186"/>
      <c r="J259" s="186"/>
      <c r="K259" s="1"/>
      <c r="L259" s="1"/>
      <c r="M259" s="197"/>
      <c r="N259" s="16"/>
      <c r="O259" s="16"/>
      <c r="P259" s="1"/>
    </row>
    <row r="260" spans="1:16">
      <c r="A260" s="6"/>
      <c r="B260" s="7"/>
      <c r="C260" s="67"/>
      <c r="D260" s="6"/>
      <c r="E260" s="6"/>
      <c r="F260" s="71"/>
      <c r="G260" s="9"/>
      <c r="H260" s="9"/>
      <c r="I260" s="186"/>
      <c r="J260" s="186"/>
      <c r="K260" s="1"/>
      <c r="L260" s="1"/>
      <c r="M260" s="197"/>
      <c r="N260" s="16"/>
      <c r="O260" s="16"/>
      <c r="P260" s="1"/>
    </row>
    <row r="261" spans="1:16">
      <c r="A261" s="6"/>
      <c r="B261" s="7"/>
      <c r="C261" s="67"/>
      <c r="D261" s="6"/>
      <c r="E261" s="6"/>
      <c r="F261" s="71"/>
      <c r="G261" s="9"/>
      <c r="H261" s="9"/>
      <c r="I261" s="186"/>
      <c r="J261" s="186"/>
      <c r="K261" s="1"/>
      <c r="L261" s="1"/>
      <c r="M261" s="197"/>
      <c r="N261" s="16"/>
      <c r="O261" s="16"/>
      <c r="P261" s="1"/>
    </row>
    <row r="262" spans="1:16">
      <c r="A262" s="6"/>
      <c r="B262" s="7"/>
      <c r="C262" s="67"/>
      <c r="D262" s="6"/>
      <c r="E262" s="6"/>
      <c r="F262" s="71"/>
      <c r="G262" s="9"/>
      <c r="H262" s="9"/>
      <c r="I262" s="186"/>
      <c r="J262" s="186"/>
      <c r="K262" s="1"/>
      <c r="L262" s="1"/>
      <c r="M262" s="197"/>
      <c r="N262" s="16"/>
      <c r="O262" s="16"/>
      <c r="P262" s="1"/>
    </row>
    <row r="263" spans="1:16">
      <c r="A263" s="6"/>
      <c r="B263" s="7"/>
      <c r="C263" s="67"/>
      <c r="D263" s="6"/>
      <c r="E263" s="6"/>
      <c r="F263" s="71"/>
      <c r="G263" s="9"/>
      <c r="H263" s="9"/>
      <c r="I263" s="186"/>
      <c r="J263" s="186"/>
      <c r="K263" s="1"/>
      <c r="L263" s="1"/>
      <c r="M263" s="197"/>
      <c r="N263" s="16"/>
      <c r="O263" s="16"/>
      <c r="P263" s="1"/>
    </row>
    <row r="264" spans="1:16">
      <c r="A264" s="6"/>
      <c r="B264" s="7"/>
      <c r="C264" s="67"/>
      <c r="D264" s="6"/>
      <c r="E264" s="6"/>
      <c r="F264" s="71"/>
      <c r="G264" s="9"/>
      <c r="H264" s="9"/>
      <c r="I264" s="186"/>
      <c r="J264" s="186"/>
      <c r="K264" s="1"/>
      <c r="L264" s="1"/>
      <c r="M264" s="197"/>
      <c r="N264" s="16"/>
      <c r="O264" s="16"/>
      <c r="P264" s="1"/>
    </row>
    <row r="265" spans="1:16">
      <c r="A265" s="6"/>
      <c r="B265" s="7"/>
      <c r="C265" s="67"/>
      <c r="D265" s="6"/>
      <c r="E265" s="6"/>
      <c r="F265" s="71"/>
      <c r="G265" s="9"/>
      <c r="H265" s="9"/>
      <c r="I265" s="186"/>
      <c r="J265" s="186"/>
      <c r="K265" s="1"/>
      <c r="L265" s="1"/>
      <c r="M265" s="197"/>
      <c r="N265" s="16"/>
      <c r="O265" s="16"/>
      <c r="P265" s="1"/>
    </row>
    <row r="266" spans="1:16">
      <c r="A266" s="6"/>
      <c r="B266" s="7"/>
      <c r="C266" s="67"/>
      <c r="D266" s="6"/>
      <c r="E266" s="6"/>
      <c r="F266" s="71"/>
      <c r="G266" s="9"/>
      <c r="H266" s="9"/>
      <c r="I266" s="186"/>
      <c r="J266" s="186"/>
      <c r="K266" s="1"/>
      <c r="L266" s="1"/>
      <c r="M266" s="197"/>
      <c r="N266" s="16"/>
      <c r="O266" s="16"/>
      <c r="P266" s="1"/>
    </row>
    <row r="267" spans="1:16">
      <c r="A267" s="6"/>
      <c r="B267" s="7"/>
      <c r="C267" s="67"/>
      <c r="D267" s="6"/>
      <c r="E267" s="6"/>
      <c r="F267" s="71"/>
      <c r="G267" s="9"/>
      <c r="H267" s="9"/>
      <c r="I267" s="186"/>
      <c r="J267" s="186"/>
      <c r="K267" s="1"/>
      <c r="L267" s="1"/>
      <c r="M267" s="197"/>
      <c r="N267" s="16"/>
      <c r="O267" s="16"/>
      <c r="P267" s="1"/>
    </row>
    <row r="268" spans="1:16">
      <c r="A268" s="6"/>
      <c r="B268" s="7"/>
      <c r="C268" s="67"/>
      <c r="D268" s="6"/>
      <c r="E268" s="6"/>
      <c r="F268" s="71"/>
      <c r="G268" s="9"/>
      <c r="H268" s="9"/>
      <c r="I268" s="186"/>
      <c r="J268" s="186"/>
      <c r="K268" s="1"/>
      <c r="L268" s="1"/>
      <c r="M268" s="197"/>
      <c r="N268" s="16"/>
      <c r="O268" s="16"/>
      <c r="P268" s="1"/>
    </row>
    <row r="269" spans="1:16">
      <c r="A269" s="6"/>
      <c r="B269" s="7"/>
      <c r="C269" s="67"/>
      <c r="D269" s="6"/>
      <c r="E269" s="6"/>
      <c r="F269" s="71"/>
      <c r="G269" s="9"/>
      <c r="H269" s="9"/>
      <c r="I269" s="186"/>
      <c r="J269" s="186"/>
      <c r="K269" s="1"/>
      <c r="L269" s="1"/>
      <c r="M269" s="197"/>
      <c r="N269" s="16"/>
      <c r="O269" s="16"/>
      <c r="P269" s="1"/>
    </row>
    <row r="270" spans="1:16">
      <c r="A270" s="6"/>
      <c r="B270" s="7"/>
      <c r="C270" s="67"/>
      <c r="D270" s="6"/>
      <c r="E270" s="6"/>
      <c r="F270" s="71"/>
      <c r="G270" s="9"/>
      <c r="H270" s="9"/>
      <c r="I270" s="186"/>
      <c r="J270" s="186"/>
      <c r="K270" s="1"/>
      <c r="L270" s="1"/>
      <c r="M270" s="197"/>
      <c r="N270" s="16"/>
      <c r="O270" s="16"/>
      <c r="P270" s="1"/>
    </row>
    <row r="271" spans="1:16">
      <c r="A271" s="6"/>
      <c r="B271" s="7"/>
      <c r="C271" s="67"/>
      <c r="D271" s="6"/>
      <c r="E271" s="6"/>
      <c r="F271" s="71"/>
      <c r="G271" s="9"/>
      <c r="H271" s="9"/>
      <c r="I271" s="186"/>
      <c r="J271" s="186"/>
      <c r="K271" s="1"/>
      <c r="L271" s="1"/>
      <c r="M271" s="197"/>
      <c r="N271" s="16"/>
      <c r="O271" s="16"/>
      <c r="P271" s="1"/>
    </row>
    <row r="272" spans="1:16">
      <c r="A272" s="6"/>
      <c r="B272" s="7"/>
      <c r="C272" s="67"/>
      <c r="D272" s="6"/>
      <c r="E272" s="6"/>
      <c r="F272" s="71"/>
      <c r="G272" s="9"/>
      <c r="H272" s="9"/>
      <c r="I272" s="186"/>
      <c r="J272" s="186"/>
      <c r="K272" s="1"/>
      <c r="L272" s="1"/>
      <c r="M272" s="197"/>
      <c r="N272" s="16"/>
      <c r="O272" s="16"/>
      <c r="P272" s="1"/>
    </row>
    <row r="273" spans="1:16">
      <c r="A273" s="6"/>
      <c r="B273" s="7"/>
      <c r="C273" s="67"/>
      <c r="D273" s="6"/>
      <c r="E273" s="6"/>
      <c r="F273" s="71"/>
      <c r="G273" s="9"/>
      <c r="H273" s="9"/>
      <c r="I273" s="186"/>
      <c r="J273" s="186"/>
      <c r="K273" s="1"/>
      <c r="L273" s="1"/>
      <c r="M273" s="197"/>
      <c r="N273" s="16"/>
      <c r="O273" s="16"/>
      <c r="P273" s="1"/>
    </row>
    <row r="274" spans="1:16">
      <c r="A274" s="6"/>
      <c r="B274" s="7"/>
      <c r="C274" s="67"/>
      <c r="D274" s="6"/>
      <c r="E274" s="6"/>
      <c r="F274" s="71"/>
      <c r="G274" s="9"/>
      <c r="H274" s="9"/>
      <c r="I274" s="186"/>
      <c r="J274" s="186"/>
      <c r="K274" s="1"/>
      <c r="L274" s="1"/>
      <c r="M274" s="197"/>
      <c r="N274" s="16"/>
      <c r="O274" s="16"/>
      <c r="P274" s="1"/>
    </row>
    <row r="275" spans="1:16">
      <c r="A275" s="6"/>
      <c r="B275" s="7"/>
      <c r="C275" s="67"/>
      <c r="D275" s="6"/>
      <c r="E275" s="6"/>
      <c r="F275" s="71"/>
      <c r="G275" s="9"/>
      <c r="H275" s="9"/>
      <c r="I275" s="186"/>
      <c r="J275" s="186"/>
      <c r="K275" s="1"/>
      <c r="L275" s="1"/>
      <c r="M275" s="197"/>
      <c r="N275" s="16"/>
      <c r="O275" s="16"/>
      <c r="P275" s="1"/>
    </row>
    <row r="276" spans="1:16">
      <c r="A276" s="6"/>
      <c r="B276" s="7"/>
      <c r="C276" s="67"/>
      <c r="D276" s="6"/>
      <c r="E276" s="6"/>
      <c r="F276" s="71"/>
      <c r="G276" s="9"/>
      <c r="H276" s="9"/>
      <c r="I276" s="186"/>
      <c r="J276" s="186"/>
      <c r="K276" s="1"/>
      <c r="L276" s="1"/>
      <c r="M276" s="197"/>
      <c r="N276" s="16"/>
      <c r="O276" s="16"/>
      <c r="P276" s="1"/>
    </row>
    <row r="277" spans="1:16">
      <c r="A277" s="6"/>
      <c r="B277" s="7"/>
      <c r="C277" s="67"/>
      <c r="D277" s="6"/>
      <c r="E277" s="6"/>
      <c r="F277" s="203"/>
      <c r="G277" s="9"/>
      <c r="H277" s="9"/>
      <c r="I277" s="186"/>
      <c r="J277" s="186"/>
      <c r="K277" s="1"/>
      <c r="L277" s="1"/>
      <c r="M277" s="197"/>
      <c r="N277" s="16"/>
      <c r="O277" s="16"/>
      <c r="P277" s="1"/>
    </row>
    <row r="278" spans="1:16">
      <c r="A278" s="6"/>
      <c r="B278" s="7"/>
      <c r="C278" s="67"/>
      <c r="D278" s="6"/>
      <c r="E278" s="6"/>
      <c r="F278" s="71"/>
      <c r="G278" s="9"/>
      <c r="H278" s="9"/>
      <c r="I278" s="186"/>
      <c r="J278" s="186"/>
      <c r="K278" s="1"/>
      <c r="L278" s="1"/>
      <c r="M278" s="197"/>
      <c r="N278" s="16"/>
      <c r="O278" s="16"/>
      <c r="P278" s="1"/>
    </row>
    <row r="279" spans="1:16">
      <c r="A279" s="6"/>
      <c r="B279" s="7"/>
      <c r="C279" s="67"/>
      <c r="D279" s="6"/>
      <c r="E279" s="6"/>
      <c r="F279" s="71"/>
      <c r="G279" s="9"/>
      <c r="H279" s="9"/>
      <c r="I279" s="186"/>
      <c r="J279" s="186"/>
      <c r="K279" s="1"/>
      <c r="L279" s="1"/>
      <c r="M279" s="197"/>
      <c r="N279" s="16"/>
      <c r="O279" s="16"/>
      <c r="P279" s="1"/>
    </row>
    <row r="280" spans="1:16">
      <c r="A280" s="6"/>
      <c r="B280" s="7"/>
      <c r="C280" s="67"/>
      <c r="D280" s="6"/>
      <c r="E280" s="6"/>
      <c r="F280" s="71"/>
      <c r="G280" s="9"/>
      <c r="H280" s="9"/>
      <c r="I280" s="186"/>
      <c r="J280" s="186"/>
      <c r="K280" s="1"/>
      <c r="L280" s="1"/>
      <c r="M280" s="197"/>
      <c r="N280" s="16"/>
      <c r="O280" s="16"/>
      <c r="P280" s="1"/>
    </row>
    <row r="281" spans="1:16">
      <c r="A281" s="6"/>
      <c r="B281" s="7"/>
      <c r="C281" s="67"/>
      <c r="D281" s="6"/>
      <c r="E281" s="6"/>
      <c r="F281" s="71"/>
      <c r="G281" s="9"/>
      <c r="H281" s="9"/>
      <c r="I281" s="186"/>
      <c r="J281" s="186"/>
      <c r="K281" s="1"/>
      <c r="L281" s="1"/>
      <c r="M281" s="197"/>
      <c r="N281" s="16"/>
      <c r="O281" s="16"/>
      <c r="P281" s="1"/>
    </row>
    <row r="282" spans="1:16">
      <c r="A282" s="6"/>
      <c r="B282" s="7"/>
      <c r="C282" s="67"/>
      <c r="D282" s="6"/>
      <c r="E282" s="6"/>
      <c r="F282" s="71"/>
      <c r="G282" s="9"/>
      <c r="H282" s="9"/>
      <c r="I282" s="186"/>
      <c r="J282" s="186"/>
      <c r="K282" s="1"/>
      <c r="L282" s="1"/>
      <c r="M282" s="197"/>
      <c r="N282" s="16"/>
      <c r="O282" s="16"/>
      <c r="P282" s="1"/>
    </row>
    <row r="283" spans="1:16">
      <c r="A283" s="6"/>
      <c r="B283" s="7"/>
      <c r="C283" s="67"/>
      <c r="D283" s="6"/>
      <c r="E283" s="6"/>
      <c r="F283" s="1"/>
      <c r="G283" s="9"/>
      <c r="H283" s="9"/>
      <c r="I283" s="186"/>
      <c r="J283" s="186"/>
      <c r="K283" s="1"/>
      <c r="L283" s="1"/>
      <c r="M283" s="197"/>
      <c r="N283" s="16"/>
      <c r="O283" s="16"/>
      <c r="P283" s="1"/>
    </row>
    <row r="284" spans="1:16">
      <c r="A284" s="6"/>
      <c r="B284" s="7"/>
      <c r="C284" s="67"/>
      <c r="D284" s="6"/>
      <c r="E284" s="6"/>
      <c r="F284" s="71"/>
      <c r="G284" s="9"/>
      <c r="H284" s="9"/>
      <c r="I284" s="186"/>
      <c r="J284" s="186"/>
      <c r="K284" s="1"/>
      <c r="L284" s="1"/>
      <c r="M284" s="197"/>
      <c r="N284" s="16"/>
      <c r="O284" s="16"/>
      <c r="P284" s="1"/>
    </row>
    <row r="285" spans="1:16">
      <c r="A285" s="6"/>
      <c r="B285" s="7"/>
      <c r="C285" s="67"/>
      <c r="D285" s="6"/>
      <c r="E285" s="6"/>
      <c r="F285" s="71"/>
      <c r="G285" s="9"/>
      <c r="H285" s="9"/>
      <c r="I285" s="186"/>
      <c r="J285" s="186"/>
      <c r="K285" s="1"/>
      <c r="L285" s="1"/>
      <c r="M285" s="197"/>
      <c r="N285" s="16"/>
      <c r="O285" s="16"/>
      <c r="P285" s="1"/>
    </row>
    <row r="286" spans="1:16">
      <c r="A286" s="6"/>
      <c r="B286" s="7"/>
      <c r="C286" s="67"/>
      <c r="D286" s="6"/>
      <c r="E286" s="6"/>
      <c r="F286" s="71"/>
      <c r="G286" s="9"/>
      <c r="H286" s="9"/>
      <c r="I286" s="186"/>
      <c r="J286" s="186"/>
      <c r="K286" s="1"/>
      <c r="L286" s="1"/>
      <c r="M286" s="197"/>
      <c r="N286" s="16"/>
      <c r="O286" s="16"/>
      <c r="P286" s="1"/>
    </row>
    <row r="287" spans="1:16">
      <c r="A287" s="6"/>
      <c r="B287" s="7"/>
      <c r="C287" s="67"/>
      <c r="D287" s="6"/>
      <c r="E287" s="6"/>
      <c r="F287" s="71"/>
      <c r="G287" s="9"/>
      <c r="H287" s="9"/>
      <c r="I287" s="186"/>
      <c r="J287" s="186"/>
      <c r="K287" s="1"/>
      <c r="L287" s="1"/>
      <c r="M287" s="197"/>
      <c r="N287" s="16"/>
      <c r="O287" s="16"/>
      <c r="P287" s="1"/>
    </row>
    <row r="288" spans="1:16">
      <c r="A288" s="6"/>
      <c r="B288" s="7"/>
      <c r="C288" s="67"/>
      <c r="D288" s="6"/>
      <c r="E288" s="6"/>
      <c r="F288" s="71"/>
      <c r="G288" s="9"/>
      <c r="H288" s="9"/>
      <c r="I288" s="186"/>
      <c r="J288" s="186"/>
      <c r="K288" s="1"/>
      <c r="L288" s="1"/>
      <c r="M288" s="197"/>
      <c r="N288" s="16"/>
      <c r="O288" s="16"/>
      <c r="P288" s="1"/>
    </row>
    <row r="289" spans="1:16">
      <c r="A289" s="6"/>
      <c r="B289" s="7"/>
      <c r="C289" s="67"/>
      <c r="D289" s="6"/>
      <c r="E289" s="6"/>
      <c r="F289" s="71"/>
      <c r="G289" s="9"/>
      <c r="H289" s="9"/>
      <c r="I289" s="186"/>
      <c r="J289" s="186"/>
      <c r="K289" s="1"/>
      <c r="L289" s="1"/>
      <c r="M289" s="197"/>
      <c r="N289" s="16"/>
      <c r="O289" s="16"/>
      <c r="P289" s="1"/>
    </row>
    <row r="290" spans="1:16">
      <c r="A290" s="6"/>
      <c r="B290" s="7"/>
      <c r="C290" s="67"/>
      <c r="D290" s="6"/>
      <c r="E290" s="6"/>
      <c r="F290" s="71"/>
      <c r="G290" s="9"/>
      <c r="H290" s="9"/>
      <c r="I290" s="186"/>
      <c r="J290" s="186"/>
      <c r="K290" s="1"/>
      <c r="L290" s="1"/>
      <c r="M290" s="197"/>
      <c r="N290" s="16"/>
      <c r="O290" s="16"/>
      <c r="P290" s="1"/>
    </row>
    <row r="291" spans="1:16">
      <c r="A291" s="6"/>
      <c r="B291" s="7"/>
      <c r="C291" s="67"/>
      <c r="D291" s="6"/>
      <c r="E291" s="6"/>
      <c r="F291" s="71"/>
      <c r="G291" s="9"/>
      <c r="H291" s="9"/>
      <c r="I291" s="186"/>
      <c r="J291" s="186"/>
      <c r="K291" s="1"/>
      <c r="L291" s="1"/>
      <c r="M291" s="197"/>
      <c r="N291" s="16"/>
      <c r="O291" s="16"/>
      <c r="P291" s="1"/>
    </row>
    <row r="292" spans="1:16">
      <c r="A292" s="6"/>
      <c r="B292" s="7"/>
      <c r="C292" s="67"/>
      <c r="D292" s="6"/>
      <c r="E292" s="6"/>
      <c r="F292" s="71"/>
      <c r="G292" s="9"/>
      <c r="H292" s="9"/>
      <c r="I292" s="186"/>
      <c r="J292" s="186"/>
      <c r="K292" s="1"/>
      <c r="L292" s="1"/>
      <c r="M292" s="197"/>
      <c r="N292" s="16"/>
      <c r="O292" s="16"/>
      <c r="P292" s="1"/>
    </row>
    <row r="293" spans="1:16">
      <c r="A293" s="6"/>
      <c r="B293" s="7"/>
      <c r="C293" s="67"/>
      <c r="D293" s="6"/>
      <c r="E293" s="6"/>
      <c r="F293" s="71"/>
      <c r="G293" s="9"/>
      <c r="H293" s="9"/>
      <c r="I293" s="186"/>
      <c r="J293" s="186"/>
      <c r="K293" s="1"/>
      <c r="L293" s="1"/>
      <c r="M293" s="197"/>
      <c r="N293" s="16"/>
      <c r="O293" s="16"/>
      <c r="P293" s="1"/>
    </row>
    <row r="294" spans="1:16">
      <c r="A294" s="6"/>
      <c r="B294" s="7"/>
      <c r="C294" s="67"/>
      <c r="D294" s="6"/>
      <c r="E294" s="6"/>
      <c r="F294" s="71"/>
      <c r="G294" s="9"/>
      <c r="H294" s="9"/>
      <c r="I294" s="186"/>
      <c r="J294" s="186"/>
      <c r="K294" s="1"/>
      <c r="L294" s="1"/>
      <c r="M294" s="197"/>
      <c r="N294" s="16"/>
      <c r="O294" s="16"/>
      <c r="P294" s="1"/>
    </row>
    <row r="295" spans="1:16">
      <c r="A295" s="6"/>
      <c r="B295" s="7"/>
      <c r="C295" s="67"/>
      <c r="D295" s="6"/>
      <c r="E295" s="6"/>
      <c r="F295" s="71"/>
      <c r="G295" s="9"/>
      <c r="H295" s="9"/>
      <c r="I295" s="186"/>
      <c r="J295" s="186"/>
      <c r="K295" s="1"/>
      <c r="L295" s="1"/>
      <c r="M295" s="197"/>
      <c r="N295" s="16"/>
      <c r="O295" s="16"/>
      <c r="P295" s="1"/>
    </row>
    <row r="296" spans="1:16">
      <c r="A296" s="6"/>
      <c r="B296" s="7"/>
      <c r="C296" s="67"/>
      <c r="D296" s="6"/>
      <c r="E296" s="6"/>
      <c r="F296" s="71"/>
      <c r="G296" s="9"/>
      <c r="H296" s="9"/>
      <c r="I296" s="186"/>
      <c r="J296" s="186"/>
      <c r="K296" s="1"/>
      <c r="L296" s="1"/>
      <c r="M296" s="197"/>
      <c r="N296" s="16"/>
      <c r="O296" s="16"/>
      <c r="P296" s="1"/>
    </row>
    <row r="297" spans="1:16">
      <c r="A297" s="6"/>
      <c r="B297" s="7"/>
      <c r="C297" s="67"/>
      <c r="D297" s="6"/>
      <c r="E297" s="6"/>
      <c r="F297" s="71"/>
      <c r="G297" s="9"/>
      <c r="H297" s="9"/>
      <c r="I297" s="186"/>
      <c r="J297" s="186"/>
      <c r="K297" s="1"/>
      <c r="L297" s="1"/>
      <c r="M297" s="197"/>
      <c r="N297" s="16"/>
      <c r="O297" s="16"/>
      <c r="P297" s="1"/>
    </row>
    <row r="298" spans="1:16">
      <c r="A298" s="6"/>
      <c r="B298" s="7"/>
      <c r="C298" s="67"/>
      <c r="D298" s="6"/>
      <c r="E298" s="6"/>
      <c r="F298" s="71"/>
      <c r="G298" s="9"/>
      <c r="H298" s="9"/>
      <c r="I298" s="186"/>
      <c r="J298" s="186"/>
      <c r="K298" s="1"/>
      <c r="L298" s="1"/>
      <c r="M298" s="197"/>
      <c r="N298" s="16"/>
      <c r="O298" s="16"/>
      <c r="P298" s="1"/>
    </row>
    <row r="299" spans="1:16">
      <c r="A299" s="6"/>
      <c r="B299" s="7"/>
      <c r="C299" s="67"/>
      <c r="D299" s="6"/>
      <c r="E299" s="6"/>
      <c r="F299" s="71"/>
      <c r="G299" s="9"/>
      <c r="H299" s="9"/>
      <c r="I299" s="186"/>
      <c r="J299" s="186"/>
      <c r="K299" s="1"/>
      <c r="L299" s="1"/>
      <c r="M299" s="197"/>
      <c r="N299" s="16"/>
      <c r="O299" s="16"/>
      <c r="P299" s="1"/>
    </row>
    <row r="300" spans="1:16">
      <c r="A300" s="6"/>
      <c r="B300" s="7"/>
      <c r="C300" s="67"/>
      <c r="D300" s="6"/>
      <c r="E300" s="6"/>
      <c r="F300" s="71"/>
      <c r="G300" s="9"/>
      <c r="H300" s="9"/>
      <c r="I300" s="186"/>
      <c r="J300" s="186"/>
      <c r="K300" s="1"/>
      <c r="L300" s="1"/>
      <c r="M300" s="197"/>
      <c r="N300" s="16"/>
      <c r="O300" s="16"/>
      <c r="P300" s="1"/>
    </row>
    <row r="301" spans="1:16">
      <c r="A301" s="6"/>
      <c r="B301" s="7"/>
      <c r="C301" s="67"/>
      <c r="D301" s="6"/>
      <c r="E301" s="6"/>
      <c r="F301" s="71"/>
      <c r="G301" s="9"/>
      <c r="H301" s="9"/>
      <c r="I301" s="186"/>
      <c r="J301" s="186"/>
      <c r="K301" s="1"/>
      <c r="L301" s="1"/>
      <c r="M301" s="197"/>
      <c r="N301" s="16"/>
      <c r="O301" s="16"/>
      <c r="P301" s="1"/>
    </row>
    <row r="302" spans="1:16">
      <c r="A302" s="6"/>
      <c r="B302" s="7"/>
      <c r="C302" s="67"/>
      <c r="D302" s="6"/>
      <c r="E302" s="6"/>
      <c r="F302" s="71"/>
      <c r="G302" s="9"/>
      <c r="H302" s="9"/>
      <c r="I302" s="186"/>
      <c r="J302" s="186"/>
      <c r="K302" s="1"/>
      <c r="L302" s="1"/>
      <c r="M302" s="197"/>
      <c r="N302" s="16"/>
      <c r="O302" s="16"/>
      <c r="P302" s="1"/>
    </row>
    <row r="303" spans="1:16">
      <c r="A303" s="6"/>
      <c r="B303" s="7"/>
      <c r="C303" s="67"/>
      <c r="D303" s="6"/>
      <c r="E303" s="6"/>
      <c r="F303" s="71"/>
      <c r="G303" s="9"/>
      <c r="H303" s="9"/>
      <c r="I303" s="186"/>
      <c r="J303" s="186"/>
      <c r="K303" s="1"/>
      <c r="L303" s="1"/>
      <c r="M303" s="197"/>
      <c r="N303" s="16"/>
      <c r="O303" s="16"/>
      <c r="P303" s="1"/>
    </row>
    <row r="304" spans="1:16">
      <c r="A304" s="6"/>
      <c r="B304" s="7"/>
      <c r="C304" s="67"/>
      <c r="D304" s="6"/>
      <c r="E304" s="6"/>
      <c r="F304" s="71"/>
      <c r="G304" s="9"/>
      <c r="H304" s="9"/>
      <c r="I304" s="186"/>
      <c r="J304" s="186"/>
      <c r="K304" s="1"/>
      <c r="L304" s="1"/>
      <c r="M304" s="197"/>
      <c r="N304" s="16"/>
      <c r="O304" s="16"/>
      <c r="P304" s="1"/>
    </row>
    <row r="305" spans="1:16">
      <c r="A305" s="6"/>
      <c r="B305" s="7"/>
      <c r="C305" s="67"/>
      <c r="D305" s="6"/>
      <c r="E305" s="6"/>
      <c r="F305" s="71"/>
      <c r="G305" s="9"/>
      <c r="H305" s="9"/>
      <c r="I305" s="186"/>
      <c r="J305" s="186"/>
      <c r="K305" s="1"/>
      <c r="L305" s="1"/>
      <c r="M305" s="197"/>
      <c r="N305" s="16"/>
      <c r="O305" s="16"/>
      <c r="P305" s="1"/>
    </row>
    <row r="306" spans="1:16">
      <c r="A306" s="6"/>
      <c r="B306" s="7"/>
      <c r="C306" s="67"/>
      <c r="D306" s="6"/>
      <c r="E306" s="6"/>
      <c r="F306" s="71"/>
      <c r="G306" s="9"/>
      <c r="H306" s="9"/>
      <c r="I306" s="186"/>
      <c r="J306" s="186"/>
      <c r="K306" s="1"/>
      <c r="L306" s="1"/>
      <c r="M306" s="197"/>
      <c r="N306" s="16"/>
      <c r="O306" s="16"/>
      <c r="P306" s="1"/>
    </row>
    <row r="307" spans="1:16">
      <c r="A307" s="6"/>
      <c r="B307" s="7"/>
      <c r="C307" s="67"/>
      <c r="D307" s="6"/>
      <c r="E307" s="6"/>
      <c r="F307" s="71"/>
      <c r="G307" s="9"/>
      <c r="H307" s="9"/>
      <c r="I307" s="186"/>
      <c r="J307" s="186"/>
      <c r="K307" s="1"/>
      <c r="L307" s="1"/>
      <c r="M307" s="197"/>
      <c r="N307" s="16"/>
      <c r="O307" s="16"/>
      <c r="P307" s="1"/>
    </row>
    <row r="308" spans="1:16">
      <c r="A308" s="6"/>
      <c r="B308" s="7"/>
      <c r="C308" s="67"/>
      <c r="D308" s="6"/>
      <c r="E308" s="6"/>
      <c r="F308" s="71"/>
      <c r="G308" s="9"/>
      <c r="H308" s="9"/>
      <c r="I308" s="186"/>
      <c r="J308" s="186"/>
      <c r="K308" s="1"/>
      <c r="L308" s="1"/>
      <c r="M308" s="197"/>
      <c r="N308" s="16"/>
      <c r="O308" s="16"/>
      <c r="P308" s="1"/>
    </row>
    <row r="309" spans="1:16">
      <c r="A309" s="6"/>
      <c r="B309" s="7"/>
      <c r="C309" s="67"/>
      <c r="D309" s="6"/>
      <c r="E309" s="6"/>
      <c r="F309" s="71"/>
      <c r="G309" s="9"/>
      <c r="H309" s="9"/>
      <c r="I309" s="186"/>
      <c r="J309" s="186"/>
      <c r="K309" s="1"/>
      <c r="L309" s="1"/>
      <c r="M309" s="197"/>
      <c r="N309" s="16"/>
      <c r="O309" s="16"/>
      <c r="P309" s="1"/>
    </row>
    <row r="310" spans="1:16">
      <c r="A310" s="6"/>
      <c r="B310" s="7"/>
      <c r="C310" s="67"/>
      <c r="D310" s="6"/>
      <c r="E310" s="6"/>
      <c r="F310" s="71"/>
      <c r="G310" s="9"/>
      <c r="H310" s="9"/>
      <c r="I310" s="186"/>
      <c r="J310" s="186"/>
      <c r="K310" s="1"/>
      <c r="L310" s="1"/>
      <c r="M310" s="197"/>
      <c r="N310" s="16"/>
      <c r="O310" s="16"/>
      <c r="P310" s="1"/>
    </row>
    <row r="311" spans="1:16">
      <c r="A311" s="6"/>
      <c r="B311" s="7"/>
      <c r="C311" s="67"/>
      <c r="D311" s="6"/>
      <c r="E311" s="6"/>
      <c r="F311" s="71"/>
      <c r="G311" s="9"/>
      <c r="H311" s="9"/>
      <c r="I311" s="186"/>
      <c r="J311" s="186"/>
      <c r="K311" s="1"/>
      <c r="L311" s="1"/>
      <c r="M311" s="197"/>
      <c r="N311" s="16"/>
      <c r="O311" s="16"/>
      <c r="P311" s="1"/>
    </row>
    <row r="312" spans="1:16">
      <c r="A312" s="6"/>
      <c r="B312" s="7"/>
      <c r="C312" s="67"/>
      <c r="D312" s="6"/>
      <c r="E312" s="6"/>
      <c r="F312" s="71"/>
      <c r="G312" s="9"/>
      <c r="H312" s="9"/>
      <c r="I312" s="186"/>
      <c r="J312" s="186"/>
      <c r="K312" s="1"/>
      <c r="L312" s="1"/>
      <c r="M312" s="197"/>
      <c r="N312" s="16"/>
      <c r="O312" s="16"/>
      <c r="P312" s="1"/>
    </row>
    <row r="313" spans="1:16">
      <c r="A313" s="6"/>
      <c r="B313" s="7"/>
      <c r="C313" s="67"/>
      <c r="D313" s="6"/>
      <c r="E313" s="6"/>
      <c r="F313" s="71"/>
      <c r="G313" s="9"/>
      <c r="H313" s="9"/>
      <c r="I313" s="186"/>
      <c r="J313" s="186"/>
      <c r="K313" s="1"/>
      <c r="L313" s="1"/>
      <c r="M313" s="197"/>
      <c r="N313" s="16"/>
      <c r="O313" s="16"/>
      <c r="P313" s="1"/>
    </row>
    <row r="314" spans="1:16">
      <c r="A314" s="6"/>
      <c r="B314" s="7"/>
      <c r="C314" s="67"/>
      <c r="D314" s="6"/>
      <c r="E314" s="6"/>
      <c r="F314" s="71"/>
      <c r="G314" s="9"/>
      <c r="H314" s="9"/>
      <c r="I314" s="186"/>
      <c r="J314" s="186"/>
      <c r="K314" s="1"/>
      <c r="L314" s="1"/>
      <c r="M314" s="197"/>
      <c r="N314" s="16"/>
      <c r="O314" s="16"/>
      <c r="P314" s="1"/>
    </row>
    <row r="315" spans="1:16">
      <c r="A315" s="6"/>
      <c r="B315" s="7"/>
      <c r="C315" s="67"/>
      <c r="D315" s="6"/>
      <c r="E315" s="6"/>
      <c r="F315" s="71"/>
      <c r="G315" s="9"/>
      <c r="H315" s="9"/>
      <c r="I315" s="186"/>
      <c r="J315" s="186"/>
      <c r="K315" s="1"/>
      <c r="L315" s="1"/>
      <c r="M315" s="197"/>
      <c r="N315" s="16"/>
      <c r="O315" s="16"/>
      <c r="P315" s="1"/>
    </row>
    <row r="316" spans="1:16">
      <c r="A316" s="6"/>
      <c r="B316" s="7"/>
      <c r="C316" s="67"/>
      <c r="D316" s="6"/>
      <c r="E316" s="6"/>
      <c r="F316" s="71"/>
      <c r="G316" s="9"/>
      <c r="H316" s="9"/>
      <c r="I316" s="186"/>
      <c r="J316" s="186"/>
      <c r="K316" s="1"/>
      <c r="L316" s="1"/>
      <c r="M316" s="197"/>
      <c r="N316" s="16"/>
      <c r="O316" s="16"/>
      <c r="P316" s="1"/>
    </row>
    <row r="317" spans="1:16">
      <c r="A317" s="6"/>
      <c r="B317" s="7"/>
      <c r="C317" s="67"/>
      <c r="D317" s="6"/>
      <c r="E317" s="6"/>
      <c r="F317" s="71"/>
      <c r="G317" s="9"/>
      <c r="H317" s="9"/>
      <c r="I317" s="186"/>
      <c r="J317" s="186"/>
      <c r="K317" s="1"/>
      <c r="L317" s="1"/>
      <c r="M317" s="197"/>
      <c r="N317" s="16"/>
      <c r="O317" s="16"/>
      <c r="P317" s="1"/>
    </row>
    <row r="318" spans="1:16">
      <c r="A318" s="6"/>
      <c r="B318" s="7"/>
      <c r="C318" s="67"/>
      <c r="D318" s="6"/>
      <c r="E318" s="6"/>
      <c r="F318" s="71"/>
      <c r="G318" s="9"/>
      <c r="H318" s="9"/>
      <c r="I318" s="186"/>
      <c r="J318" s="186"/>
      <c r="K318" s="1"/>
      <c r="L318" s="1"/>
      <c r="M318" s="197"/>
      <c r="N318" s="16"/>
      <c r="O318" s="16"/>
      <c r="P318" s="1"/>
    </row>
    <row r="319" spans="1:16">
      <c r="A319" s="6"/>
      <c r="B319" s="7"/>
      <c r="C319" s="67"/>
      <c r="D319" s="6"/>
      <c r="E319" s="6"/>
      <c r="F319" s="71"/>
      <c r="G319" s="9"/>
      <c r="H319" s="9"/>
      <c r="I319" s="186"/>
      <c r="J319" s="186"/>
      <c r="K319" s="1"/>
      <c r="L319" s="1"/>
      <c r="M319" s="197"/>
      <c r="N319" s="16"/>
      <c r="O319" s="16"/>
      <c r="P319" s="1"/>
    </row>
    <row r="320" spans="1:16">
      <c r="A320" s="6"/>
      <c r="B320" s="7"/>
      <c r="C320" s="67"/>
      <c r="D320" s="6"/>
      <c r="E320" s="6"/>
      <c r="F320" s="71"/>
      <c r="G320" s="9"/>
      <c r="H320" s="9"/>
      <c r="I320" s="186"/>
      <c r="J320" s="186"/>
      <c r="K320" s="1"/>
      <c r="L320" s="1"/>
      <c r="M320" s="197"/>
      <c r="N320" s="16"/>
      <c r="O320" s="16"/>
      <c r="P320" s="1"/>
    </row>
    <row r="321" spans="1:16">
      <c r="A321" s="6"/>
      <c r="B321" s="7"/>
      <c r="C321" s="67"/>
      <c r="D321" s="6"/>
      <c r="E321" s="6"/>
      <c r="F321" s="71"/>
      <c r="G321" s="9"/>
      <c r="H321" s="9"/>
      <c r="I321" s="186"/>
      <c r="J321" s="186"/>
      <c r="K321" s="1"/>
      <c r="L321" s="1"/>
      <c r="M321" s="197"/>
      <c r="N321" s="16"/>
      <c r="O321" s="16"/>
      <c r="P321" s="1"/>
    </row>
    <row r="322" spans="1:16">
      <c r="A322" s="6"/>
      <c r="B322" s="7"/>
      <c r="C322" s="67"/>
      <c r="D322" s="6"/>
      <c r="E322" s="6"/>
      <c r="F322" s="71"/>
      <c r="G322" s="9"/>
      <c r="H322" s="9"/>
      <c r="I322" s="186"/>
      <c r="J322" s="186"/>
      <c r="K322" s="1"/>
      <c r="L322" s="1"/>
      <c r="M322" s="197"/>
      <c r="N322" s="16"/>
      <c r="O322" s="16"/>
      <c r="P322" s="1"/>
    </row>
    <row r="323" spans="1:16">
      <c r="A323" s="6"/>
      <c r="B323" s="7"/>
      <c r="C323" s="67"/>
      <c r="D323" s="6"/>
      <c r="E323" s="6"/>
      <c r="F323" s="194"/>
      <c r="G323" s="9"/>
      <c r="H323" s="9"/>
      <c r="I323" s="186"/>
      <c r="J323" s="186"/>
      <c r="K323" s="1"/>
      <c r="L323" s="1"/>
      <c r="M323" s="197"/>
      <c r="N323" s="16"/>
      <c r="O323" s="16"/>
      <c r="P323" s="1"/>
    </row>
    <row r="324" spans="1:16">
      <c r="A324" s="6"/>
      <c r="B324" s="68"/>
      <c r="C324" s="67"/>
      <c r="D324" s="67"/>
      <c r="E324" s="67"/>
      <c r="F324" s="71"/>
      <c r="G324" s="9"/>
      <c r="H324" s="9"/>
      <c r="I324" s="186"/>
      <c r="J324" s="186"/>
      <c r="K324" s="1"/>
      <c r="L324" s="1"/>
      <c r="M324" s="197"/>
      <c r="N324" s="16"/>
      <c r="O324" s="16"/>
      <c r="P324" s="1"/>
    </row>
    <row r="325" spans="1:16">
      <c r="A325" s="6"/>
      <c r="B325" s="68"/>
      <c r="C325" s="67"/>
      <c r="D325" s="67"/>
      <c r="E325" s="67"/>
      <c r="F325" s="71"/>
      <c r="G325" s="9"/>
      <c r="H325" s="9"/>
      <c r="I325" s="186"/>
      <c r="J325" s="186"/>
      <c r="K325" s="1"/>
      <c r="L325" s="1"/>
      <c r="M325" s="197"/>
      <c r="N325" s="16"/>
      <c r="O325" s="16"/>
      <c r="P325" s="1"/>
    </row>
    <row r="326" spans="1:16">
      <c r="A326" s="6"/>
      <c r="B326" s="68"/>
      <c r="C326" s="67"/>
      <c r="D326" s="67"/>
      <c r="E326" s="67"/>
      <c r="F326" s="71"/>
      <c r="G326" s="9"/>
      <c r="H326" s="9"/>
      <c r="I326" s="186"/>
      <c r="J326" s="186"/>
      <c r="K326" s="1"/>
      <c r="L326" s="1"/>
      <c r="M326" s="197"/>
      <c r="N326" s="16"/>
      <c r="O326" s="16"/>
      <c r="P326" s="1"/>
    </row>
    <row r="327" spans="1:16">
      <c r="A327" s="6"/>
      <c r="B327" s="68"/>
      <c r="C327" s="67"/>
      <c r="D327" s="67"/>
      <c r="E327" s="67"/>
      <c r="F327" s="71"/>
      <c r="G327" s="9"/>
      <c r="H327" s="9"/>
      <c r="I327" s="186"/>
      <c r="J327" s="186"/>
      <c r="K327" s="1"/>
      <c r="L327" s="1"/>
      <c r="M327" s="197"/>
      <c r="N327" s="16"/>
      <c r="O327" s="16"/>
      <c r="P327" s="1"/>
    </row>
    <row r="328" spans="1:16">
      <c r="A328" s="6"/>
      <c r="B328" s="68"/>
      <c r="C328" s="67"/>
      <c r="D328" s="67"/>
      <c r="E328" s="67"/>
      <c r="F328" s="71"/>
      <c r="G328" s="9"/>
      <c r="H328" s="9"/>
      <c r="I328" s="186"/>
      <c r="J328" s="186"/>
      <c r="K328" s="1"/>
      <c r="L328" s="1"/>
      <c r="M328" s="197"/>
      <c r="N328" s="16"/>
      <c r="O328" s="16"/>
      <c r="P328" s="1"/>
    </row>
    <row r="329" spans="1:16">
      <c r="A329" s="6"/>
      <c r="B329" s="68"/>
      <c r="C329" s="67"/>
      <c r="D329" s="67"/>
      <c r="E329" s="67"/>
      <c r="F329" s="71"/>
      <c r="G329" s="9"/>
      <c r="H329" s="9"/>
      <c r="I329" s="186"/>
      <c r="J329" s="186"/>
      <c r="K329" s="1"/>
      <c r="L329" s="1"/>
      <c r="M329" s="197"/>
      <c r="N329" s="16"/>
      <c r="O329" s="16"/>
      <c r="P329" s="1"/>
    </row>
    <row r="330" spans="1:16">
      <c r="A330" s="6"/>
      <c r="B330" s="68"/>
      <c r="C330" s="67"/>
      <c r="D330" s="67"/>
      <c r="E330" s="67"/>
      <c r="F330" s="71"/>
      <c r="G330" s="9"/>
      <c r="H330" s="9"/>
      <c r="I330" s="186"/>
      <c r="J330" s="186"/>
      <c r="K330" s="1"/>
      <c r="L330" s="1"/>
      <c r="M330" s="197"/>
      <c r="N330" s="16"/>
      <c r="O330" s="16"/>
      <c r="P330" s="1"/>
    </row>
    <row r="331" spans="1:16">
      <c r="A331" s="6"/>
      <c r="B331" s="68"/>
      <c r="C331" s="67"/>
      <c r="D331" s="67"/>
      <c r="E331" s="67"/>
      <c r="F331" s="71"/>
      <c r="G331" s="9"/>
      <c r="H331" s="9"/>
      <c r="I331" s="186"/>
      <c r="J331" s="186"/>
      <c r="K331" s="1"/>
      <c r="L331" s="1"/>
      <c r="M331" s="197"/>
      <c r="N331" s="16"/>
      <c r="O331" s="16"/>
      <c r="P331" s="1"/>
    </row>
    <row r="332" spans="1:16">
      <c r="A332" s="6"/>
      <c r="B332" s="68"/>
      <c r="C332" s="67"/>
      <c r="D332" s="67"/>
      <c r="E332" s="67"/>
      <c r="F332" s="71"/>
      <c r="G332" s="9"/>
      <c r="H332" s="9"/>
      <c r="I332" s="186"/>
      <c r="J332" s="186"/>
      <c r="K332" s="1"/>
      <c r="L332" s="1"/>
      <c r="M332" s="198"/>
      <c r="N332" s="16"/>
      <c r="O332" s="16"/>
      <c r="P332" s="1"/>
    </row>
    <row r="333" spans="1:16">
      <c r="A333" s="6"/>
      <c r="B333" s="68"/>
      <c r="C333" s="67"/>
      <c r="D333" s="67"/>
      <c r="E333" s="67"/>
      <c r="F333" s="71"/>
      <c r="G333" s="9"/>
      <c r="H333" s="9"/>
      <c r="I333" s="186"/>
      <c r="J333" s="186"/>
      <c r="K333" s="1"/>
      <c r="L333" s="1"/>
      <c r="M333" s="198"/>
      <c r="N333" s="16"/>
      <c r="O333" s="16"/>
      <c r="P333" s="1"/>
    </row>
    <row r="334" spans="1:16">
      <c r="A334" s="6"/>
      <c r="B334" s="68"/>
      <c r="C334" s="67"/>
      <c r="D334" s="67"/>
      <c r="E334" s="67"/>
      <c r="F334" s="71"/>
      <c r="G334" s="9"/>
      <c r="H334" s="9"/>
      <c r="I334" s="186"/>
      <c r="J334" s="186"/>
      <c r="K334" s="1"/>
      <c r="L334" s="1"/>
      <c r="M334" s="198"/>
      <c r="N334" s="16"/>
      <c r="O334" s="16"/>
      <c r="P334" s="1"/>
    </row>
    <row r="335" spans="1:16">
      <c r="A335" s="6"/>
      <c r="B335" s="68"/>
      <c r="C335" s="67"/>
      <c r="D335" s="67"/>
      <c r="E335" s="67"/>
      <c r="F335" s="71"/>
      <c r="G335" s="9"/>
      <c r="H335" s="9"/>
      <c r="I335" s="186"/>
      <c r="J335" s="186"/>
      <c r="K335" s="1"/>
      <c r="L335" s="1"/>
      <c r="M335" s="199"/>
      <c r="N335" s="16"/>
      <c r="O335" s="16"/>
      <c r="P335" s="1"/>
    </row>
    <row r="336" spans="1:16">
      <c r="A336" s="6"/>
      <c r="B336" s="68"/>
      <c r="C336" s="67"/>
      <c r="D336" s="67"/>
      <c r="E336" s="67"/>
      <c r="F336" s="71"/>
      <c r="G336" s="9"/>
      <c r="H336" s="9"/>
      <c r="I336" s="186"/>
      <c r="J336" s="186"/>
      <c r="K336" s="1"/>
      <c r="L336" s="1"/>
      <c r="M336" s="199"/>
      <c r="N336" s="16"/>
      <c r="O336" s="16"/>
      <c r="P336" s="1"/>
    </row>
    <row r="337" spans="1:16">
      <c r="A337" s="6"/>
      <c r="B337" s="68"/>
      <c r="C337" s="67"/>
      <c r="D337" s="67"/>
      <c r="E337" s="67"/>
      <c r="F337" s="71"/>
      <c r="G337" s="72"/>
      <c r="H337" s="72"/>
      <c r="I337" s="186"/>
      <c r="J337" s="186"/>
      <c r="K337" s="1"/>
      <c r="L337" s="1"/>
      <c r="M337" s="197"/>
      <c r="N337" s="16"/>
      <c r="O337" s="16"/>
      <c r="P337" s="1"/>
    </row>
    <row r="338" spans="1:16">
      <c r="A338" s="6"/>
      <c r="B338" s="68"/>
      <c r="C338" s="67"/>
      <c r="D338" s="67"/>
      <c r="E338" s="67"/>
      <c r="F338" s="71"/>
      <c r="G338" s="72"/>
      <c r="H338" s="72"/>
      <c r="I338" s="186"/>
      <c r="J338" s="186"/>
      <c r="K338" s="1"/>
      <c r="L338" s="1"/>
      <c r="M338" s="197"/>
      <c r="N338" s="16"/>
      <c r="O338" s="16"/>
      <c r="P338" s="1"/>
    </row>
    <row r="339" spans="1:16">
      <c r="A339" s="6"/>
      <c r="B339" s="68"/>
      <c r="C339" s="67"/>
      <c r="D339" s="67"/>
      <c r="E339" s="67"/>
      <c r="F339" s="71"/>
      <c r="G339" s="72"/>
      <c r="H339" s="72"/>
      <c r="I339" s="186"/>
      <c r="J339" s="186"/>
      <c r="K339" s="1"/>
      <c r="L339" s="1"/>
      <c r="M339" s="197"/>
      <c r="N339" s="16"/>
      <c r="O339" s="16"/>
      <c r="P339" s="1"/>
    </row>
    <row r="340" spans="1:16">
      <c r="A340" s="6"/>
      <c r="B340" s="68"/>
      <c r="C340" s="67"/>
      <c r="D340" s="67"/>
      <c r="E340" s="67"/>
      <c r="F340" s="71"/>
      <c r="G340" s="72"/>
      <c r="H340" s="72"/>
      <c r="I340" s="186"/>
      <c r="J340" s="186"/>
      <c r="K340" s="1"/>
      <c r="L340" s="1"/>
      <c r="M340" s="197"/>
      <c r="N340" s="16"/>
      <c r="O340" s="16"/>
      <c r="P340" s="1"/>
    </row>
    <row r="341" spans="1:16">
      <c r="A341" s="6"/>
      <c r="B341" s="68"/>
      <c r="C341" s="67"/>
      <c r="D341" s="67"/>
      <c r="E341" s="67"/>
      <c r="F341" s="71"/>
      <c r="G341" s="72"/>
      <c r="H341" s="72"/>
      <c r="I341" s="186"/>
      <c r="J341" s="186"/>
      <c r="K341" s="1"/>
      <c r="L341" s="1"/>
      <c r="M341" s="197"/>
      <c r="N341" s="16"/>
      <c r="O341" s="16"/>
      <c r="P341" s="1"/>
    </row>
    <row r="342" spans="1:16">
      <c r="A342" s="6"/>
      <c r="B342" s="68"/>
      <c r="C342" s="67"/>
      <c r="D342" s="67"/>
      <c r="E342" s="67"/>
      <c r="F342" s="71"/>
      <c r="G342" s="72"/>
      <c r="H342" s="72"/>
      <c r="I342" s="186"/>
      <c r="J342" s="186"/>
      <c r="K342" s="1"/>
      <c r="L342" s="1"/>
      <c r="M342" s="197"/>
      <c r="N342" s="16"/>
      <c r="O342" s="16"/>
      <c r="P342" s="1"/>
    </row>
    <row r="343" spans="1:16">
      <c r="A343" s="6"/>
      <c r="B343" s="68"/>
      <c r="C343" s="67"/>
      <c r="D343" s="67"/>
      <c r="E343" s="67"/>
      <c r="F343" s="71"/>
      <c r="G343" s="72"/>
      <c r="H343" s="72"/>
      <c r="I343" s="186"/>
      <c r="J343" s="186"/>
      <c r="K343" s="1"/>
      <c r="L343" s="1"/>
      <c r="M343" s="197"/>
      <c r="N343" s="16"/>
      <c r="O343" s="16"/>
      <c r="P343" s="1"/>
    </row>
    <row r="344" spans="1:16">
      <c r="A344" s="6"/>
      <c r="B344" s="68"/>
      <c r="C344" s="67"/>
      <c r="D344" s="67"/>
      <c r="E344" s="67"/>
      <c r="F344" s="71"/>
      <c r="G344" s="72"/>
      <c r="H344" s="72"/>
      <c r="I344" s="186"/>
      <c r="J344" s="186"/>
      <c r="K344" s="1"/>
      <c r="L344" s="1"/>
      <c r="M344" s="197"/>
      <c r="N344" s="16"/>
      <c r="O344" s="16"/>
      <c r="P344" s="1"/>
    </row>
    <row r="345" spans="1:16">
      <c r="A345" s="6"/>
      <c r="B345" s="68"/>
      <c r="C345" s="67"/>
      <c r="D345" s="67"/>
      <c r="E345" s="67"/>
      <c r="F345" s="71"/>
      <c r="G345" s="72"/>
      <c r="H345" s="72"/>
      <c r="I345" s="186"/>
      <c r="J345" s="186"/>
      <c r="K345" s="1"/>
      <c r="L345" s="1"/>
      <c r="M345" s="197"/>
      <c r="N345" s="16"/>
      <c r="O345" s="16"/>
      <c r="P345" s="1"/>
    </row>
    <row r="346" spans="1:16">
      <c r="A346" s="6"/>
      <c r="B346" s="68"/>
      <c r="C346" s="67"/>
      <c r="D346" s="67"/>
      <c r="E346" s="67"/>
      <c r="F346" s="71"/>
      <c r="G346" s="72"/>
      <c r="H346" s="72"/>
      <c r="I346" s="186"/>
      <c r="J346" s="186"/>
      <c r="K346" s="1"/>
      <c r="L346" s="1"/>
      <c r="M346" s="197"/>
      <c r="N346" s="16"/>
      <c r="O346" s="16"/>
      <c r="P346" s="1"/>
    </row>
    <row r="347" spans="1:16">
      <c r="A347" s="6"/>
      <c r="B347" s="68"/>
      <c r="C347" s="67"/>
      <c r="D347" s="67"/>
      <c r="E347" s="67"/>
      <c r="F347" s="71"/>
      <c r="G347" s="72"/>
      <c r="H347" s="72"/>
      <c r="I347" s="186"/>
      <c r="J347" s="186"/>
      <c r="K347" s="1"/>
      <c r="L347" s="1"/>
      <c r="M347" s="197"/>
      <c r="N347" s="16"/>
      <c r="O347" s="16"/>
      <c r="P347" s="1"/>
    </row>
    <row r="348" spans="1:16">
      <c r="A348" s="6"/>
      <c r="B348" s="68"/>
      <c r="C348" s="67"/>
      <c r="D348" s="67"/>
      <c r="E348" s="67"/>
      <c r="F348" s="71"/>
      <c r="G348" s="72"/>
      <c r="H348" s="72"/>
      <c r="I348" s="186"/>
      <c r="J348" s="186"/>
      <c r="K348" s="1"/>
      <c r="L348" s="1"/>
      <c r="M348" s="197"/>
      <c r="N348" s="16"/>
      <c r="O348" s="16"/>
      <c r="P348" s="1"/>
    </row>
    <row r="349" spans="1:16">
      <c r="A349" s="6"/>
      <c r="B349" s="68"/>
      <c r="C349" s="67"/>
      <c r="D349" s="67"/>
      <c r="E349" s="67"/>
      <c r="F349" s="71"/>
      <c r="G349" s="72"/>
      <c r="H349" s="72"/>
      <c r="I349" s="186"/>
      <c r="J349" s="186"/>
      <c r="K349" s="1"/>
      <c r="L349" s="1"/>
      <c r="M349" s="197"/>
      <c r="N349" s="16"/>
      <c r="O349" s="16"/>
      <c r="P349" s="1"/>
    </row>
    <row r="350" spans="1:16">
      <c r="A350" s="6"/>
      <c r="B350" s="68"/>
      <c r="C350" s="67"/>
      <c r="D350" s="67"/>
      <c r="E350" s="67"/>
      <c r="F350" s="71"/>
      <c r="G350" s="72"/>
      <c r="H350" s="72"/>
      <c r="I350" s="186"/>
      <c r="J350" s="186"/>
      <c r="K350" s="1"/>
      <c r="L350" s="1"/>
      <c r="M350" s="197"/>
      <c r="N350" s="16"/>
      <c r="O350" s="16"/>
      <c r="P350" s="1"/>
    </row>
    <row r="351" spans="1:16">
      <c r="A351" s="6"/>
      <c r="B351" s="68"/>
      <c r="C351" s="67"/>
      <c r="D351" s="67"/>
      <c r="E351" s="67"/>
      <c r="F351" s="71"/>
      <c r="G351" s="72"/>
      <c r="H351" s="72"/>
      <c r="I351" s="186"/>
      <c r="J351" s="186"/>
      <c r="K351" s="1"/>
      <c r="L351" s="1"/>
      <c r="M351" s="197"/>
      <c r="N351" s="16"/>
      <c r="O351" s="16"/>
      <c r="P351" s="1"/>
    </row>
    <row r="352" spans="1:16">
      <c r="A352" s="6"/>
      <c r="B352" s="68"/>
      <c r="C352" s="67"/>
      <c r="D352" s="67"/>
      <c r="E352" s="67"/>
      <c r="F352" s="71"/>
      <c r="G352" s="72"/>
      <c r="H352" s="72"/>
      <c r="I352" s="186"/>
      <c r="J352" s="1"/>
      <c r="K352" s="1"/>
      <c r="L352" s="1"/>
      <c r="M352" s="197"/>
      <c r="N352" s="16"/>
      <c r="O352" s="16"/>
      <c r="P352" s="1"/>
    </row>
    <row r="353" spans="1:16">
      <c r="A353" s="6"/>
      <c r="B353" s="68"/>
      <c r="C353" s="67"/>
      <c r="D353" s="67"/>
      <c r="E353" s="67"/>
      <c r="F353" s="71"/>
      <c r="G353" s="72"/>
      <c r="H353" s="72"/>
      <c r="I353" s="186"/>
      <c r="J353" s="1"/>
      <c r="K353" s="1"/>
      <c r="L353" s="1"/>
      <c r="M353" s="197"/>
      <c r="N353" s="16"/>
      <c r="O353" s="16"/>
      <c r="P353" s="1"/>
    </row>
    <row r="354" spans="1:16">
      <c r="A354" s="6"/>
      <c r="B354" s="68"/>
      <c r="C354" s="67"/>
      <c r="D354" s="67"/>
      <c r="E354" s="67"/>
      <c r="F354" s="71"/>
      <c r="G354" s="72"/>
      <c r="H354" s="72"/>
      <c r="I354" s="186"/>
      <c r="J354" s="1"/>
      <c r="K354" s="1"/>
      <c r="L354" s="1"/>
      <c r="M354" s="197"/>
      <c r="N354" s="16"/>
      <c r="O354" s="16"/>
      <c r="P354" s="1"/>
    </row>
    <row r="355" spans="1:16">
      <c r="A355" s="6"/>
      <c r="B355" s="68"/>
      <c r="C355" s="67"/>
      <c r="D355" s="67"/>
      <c r="E355" s="67"/>
      <c r="F355" s="71"/>
      <c r="G355" s="72"/>
      <c r="H355" s="72"/>
      <c r="I355" s="186"/>
      <c r="J355" s="1"/>
      <c r="K355" s="1"/>
      <c r="L355" s="1"/>
      <c r="M355" s="197"/>
      <c r="N355" s="16"/>
      <c r="O355" s="16"/>
      <c r="P355" s="1"/>
    </row>
    <row r="356" spans="1:16">
      <c r="A356" s="6"/>
      <c r="B356" s="7"/>
      <c r="C356" s="6"/>
      <c r="D356" s="6"/>
      <c r="E356" s="6"/>
      <c r="F356" s="1"/>
      <c r="G356" s="72"/>
      <c r="H356" s="72"/>
      <c r="I356" s="186"/>
      <c r="J356" s="1"/>
      <c r="K356" s="1"/>
      <c r="L356" s="1"/>
      <c r="M356" s="197"/>
      <c r="N356" s="16"/>
      <c r="O356" s="16"/>
      <c r="P356" s="1"/>
    </row>
    <row r="357" spans="1:16">
      <c r="A357" s="6"/>
      <c r="B357" s="7"/>
      <c r="C357" s="6"/>
      <c r="D357" s="6"/>
      <c r="E357" s="6"/>
      <c r="F357" s="1"/>
      <c r="G357" s="72"/>
      <c r="H357" s="72"/>
      <c r="I357" s="186"/>
      <c r="J357" s="1"/>
      <c r="K357" s="1"/>
      <c r="L357" s="1"/>
      <c r="M357" s="197"/>
      <c r="N357" s="16"/>
      <c r="O357" s="16"/>
      <c r="P357" s="1"/>
    </row>
    <row r="358" spans="1:16">
      <c r="A358" s="6"/>
      <c r="B358" s="7"/>
      <c r="C358" s="6"/>
      <c r="D358" s="6"/>
      <c r="E358" s="6"/>
      <c r="F358" s="1"/>
      <c r="G358" s="72"/>
      <c r="H358" s="72"/>
      <c r="I358" s="186"/>
      <c r="J358" s="1"/>
      <c r="K358" s="1"/>
      <c r="L358" s="1"/>
      <c r="M358" s="197"/>
      <c r="N358" s="16"/>
      <c r="O358" s="16"/>
      <c r="P358" s="1"/>
    </row>
    <row r="359" spans="1:16">
      <c r="A359" s="6"/>
      <c r="B359" s="7"/>
      <c r="C359" s="6"/>
      <c r="D359" s="6"/>
      <c r="E359" s="6"/>
      <c r="F359" s="1"/>
      <c r="G359" s="72"/>
      <c r="H359" s="72"/>
      <c r="I359" s="186"/>
      <c r="J359" s="1"/>
      <c r="K359" s="1"/>
      <c r="L359" s="1"/>
      <c r="M359" s="197"/>
      <c r="N359" s="16"/>
      <c r="O359" s="16"/>
      <c r="P359" s="1"/>
    </row>
    <row r="360" spans="1:16">
      <c r="A360" s="6"/>
      <c r="B360" s="7"/>
      <c r="C360" s="6"/>
      <c r="D360" s="6"/>
      <c r="E360" s="6"/>
      <c r="F360" s="1"/>
      <c r="G360" s="72"/>
      <c r="H360" s="72"/>
      <c r="I360" s="186"/>
      <c r="J360" s="1"/>
      <c r="K360" s="1"/>
      <c r="L360" s="1"/>
      <c r="M360" s="197"/>
      <c r="N360" s="16"/>
      <c r="O360" s="16"/>
      <c r="P360" s="1"/>
    </row>
    <row r="361" spans="1:16">
      <c r="A361" s="6"/>
      <c r="B361" s="7"/>
      <c r="C361" s="6"/>
      <c r="D361" s="6"/>
      <c r="E361" s="6"/>
      <c r="F361" s="1"/>
      <c r="G361" s="72"/>
      <c r="H361" s="72"/>
      <c r="I361" s="186"/>
      <c r="J361" s="1"/>
      <c r="K361" s="1"/>
      <c r="L361" s="1"/>
      <c r="M361" s="197"/>
      <c r="N361" s="16"/>
      <c r="O361" s="16"/>
      <c r="P361" s="1"/>
    </row>
    <row r="362" spans="1:16">
      <c r="A362" s="6"/>
      <c r="B362" s="7"/>
      <c r="C362" s="6"/>
      <c r="D362" s="6"/>
      <c r="E362" s="6"/>
      <c r="F362" s="1"/>
      <c r="G362" s="72"/>
      <c r="H362" s="72"/>
      <c r="I362" s="186"/>
      <c r="J362" s="1"/>
      <c r="K362" s="1"/>
      <c r="L362" s="1"/>
      <c r="M362" s="197"/>
      <c r="N362" s="16"/>
      <c r="O362" s="16"/>
      <c r="P362" s="1"/>
    </row>
    <row r="363" spans="1:16">
      <c r="A363" s="6"/>
      <c r="B363" s="7"/>
      <c r="C363" s="6"/>
      <c r="D363" s="6"/>
      <c r="E363" s="6"/>
      <c r="F363" s="1"/>
      <c r="G363" s="72"/>
      <c r="H363" s="72"/>
      <c r="I363" s="186"/>
      <c r="J363" s="1"/>
      <c r="K363" s="1"/>
      <c r="L363" s="1"/>
      <c r="M363" s="197"/>
      <c r="N363" s="16"/>
      <c r="O363" s="16"/>
      <c r="P363" s="1"/>
    </row>
    <row r="364" spans="1:16">
      <c r="A364" s="6"/>
      <c r="B364" s="7"/>
      <c r="C364" s="6"/>
      <c r="D364" s="6"/>
      <c r="E364" s="6"/>
      <c r="F364" s="1"/>
      <c r="G364" s="72"/>
      <c r="H364" s="72"/>
      <c r="I364" s="186"/>
      <c r="J364" s="1"/>
      <c r="K364" s="1"/>
      <c r="L364" s="1"/>
      <c r="M364" s="197"/>
      <c r="N364" s="16"/>
      <c r="O364" s="16"/>
      <c r="P364" s="1"/>
    </row>
    <row r="365" spans="1:16">
      <c r="A365" s="6"/>
      <c r="B365" s="7"/>
      <c r="C365" s="6"/>
      <c r="D365" s="6"/>
      <c r="E365" s="6"/>
      <c r="F365" s="1"/>
      <c r="G365" s="72"/>
      <c r="H365" s="72"/>
      <c r="I365" s="186"/>
      <c r="J365" s="1"/>
      <c r="K365" s="1"/>
      <c r="L365" s="1"/>
      <c r="M365" s="197"/>
      <c r="N365" s="16"/>
      <c r="O365" s="16"/>
      <c r="P365" s="1"/>
    </row>
    <row r="366" spans="1:16">
      <c r="A366" s="6"/>
      <c r="B366" s="7"/>
      <c r="C366" s="6"/>
      <c r="D366" s="6"/>
      <c r="E366" s="6"/>
      <c r="F366" s="1"/>
      <c r="G366" s="72"/>
      <c r="H366" s="72"/>
      <c r="I366" s="186"/>
      <c r="J366" s="1"/>
      <c r="K366" s="1"/>
      <c r="L366" s="1"/>
      <c r="M366" s="197"/>
      <c r="N366" s="16"/>
      <c r="O366" s="16"/>
      <c r="P366" s="1"/>
    </row>
    <row r="367" spans="1:16">
      <c r="A367" s="6"/>
      <c r="B367" s="7"/>
      <c r="C367" s="6"/>
      <c r="D367" s="6"/>
      <c r="E367" s="6"/>
      <c r="F367" s="1"/>
      <c r="G367" s="72"/>
      <c r="H367" s="72"/>
      <c r="I367" s="186"/>
      <c r="J367" s="1"/>
      <c r="K367" s="1"/>
      <c r="L367" s="1"/>
      <c r="M367" s="197"/>
      <c r="N367" s="16"/>
      <c r="O367" s="16"/>
      <c r="P367" s="1"/>
    </row>
    <row r="368" spans="1:16">
      <c r="A368" s="6"/>
      <c r="B368" s="7"/>
      <c r="C368" s="6"/>
      <c r="D368" s="6"/>
      <c r="E368" s="6"/>
      <c r="F368" s="1"/>
      <c r="G368" s="72"/>
      <c r="H368" s="72"/>
      <c r="I368" s="186"/>
      <c r="J368" s="1"/>
      <c r="K368" s="1"/>
      <c r="L368" s="1"/>
      <c r="M368" s="197"/>
      <c r="N368" s="16"/>
      <c r="O368" s="16"/>
      <c r="P368" s="1"/>
    </row>
    <row r="369" spans="1:16">
      <c r="A369" s="6"/>
      <c r="B369" s="7"/>
      <c r="C369" s="6"/>
      <c r="D369" s="6"/>
      <c r="E369" s="6"/>
      <c r="F369" s="1"/>
      <c r="G369" s="72"/>
      <c r="H369" s="72"/>
      <c r="I369" s="186"/>
      <c r="J369" s="1"/>
      <c r="K369" s="1"/>
      <c r="L369" s="1"/>
      <c r="M369" s="197"/>
      <c r="N369" s="16"/>
      <c r="O369" s="16"/>
      <c r="P369" s="1"/>
    </row>
    <row r="370" spans="1:16">
      <c r="A370" s="6"/>
      <c r="B370" s="7"/>
      <c r="C370" s="6"/>
      <c r="D370" s="6"/>
      <c r="E370" s="6"/>
      <c r="F370" s="1"/>
      <c r="G370" s="72"/>
      <c r="H370" s="72"/>
      <c r="I370" s="186"/>
      <c r="J370" s="1"/>
      <c r="K370" s="1"/>
      <c r="L370" s="1"/>
      <c r="M370" s="197"/>
      <c r="N370" s="16"/>
      <c r="O370" s="16"/>
      <c r="P370" s="1"/>
    </row>
    <row r="371" spans="1:16">
      <c r="A371" s="6"/>
      <c r="B371" s="7"/>
      <c r="C371" s="6"/>
      <c r="D371" s="6"/>
      <c r="E371" s="6"/>
      <c r="F371" s="1"/>
      <c r="G371" s="72"/>
      <c r="H371" s="72"/>
      <c r="I371" s="186"/>
      <c r="J371" s="1"/>
      <c r="K371" s="1"/>
      <c r="L371" s="1"/>
      <c r="M371" s="197"/>
      <c r="N371" s="16"/>
      <c r="O371" s="16"/>
      <c r="P371" s="1"/>
    </row>
    <row r="372" spans="1:16">
      <c r="A372" s="6"/>
      <c r="B372" s="7"/>
      <c r="C372" s="6"/>
      <c r="D372" s="6"/>
      <c r="E372" s="6"/>
      <c r="F372" s="1"/>
      <c r="G372" s="72"/>
      <c r="H372" s="72"/>
      <c r="I372" s="186"/>
      <c r="J372" s="1"/>
      <c r="K372" s="1"/>
      <c r="L372" s="1"/>
      <c r="M372" s="197"/>
      <c r="N372" s="16"/>
      <c r="O372" s="16"/>
      <c r="P372" s="1"/>
    </row>
    <row r="373" spans="1:16">
      <c r="A373" s="6"/>
      <c r="B373" s="7"/>
      <c r="C373" s="6"/>
      <c r="D373" s="6"/>
      <c r="E373" s="6"/>
      <c r="F373" s="1"/>
      <c r="G373" s="72"/>
      <c r="H373" s="72"/>
      <c r="I373" s="186"/>
      <c r="J373" s="1"/>
      <c r="K373" s="1"/>
      <c r="L373" s="1"/>
      <c r="M373" s="198"/>
      <c r="N373" s="16"/>
      <c r="O373" s="16"/>
      <c r="P373" s="1"/>
    </row>
    <row r="374" spans="1:16">
      <c r="A374" s="6"/>
      <c r="B374" s="7"/>
      <c r="C374" s="6"/>
      <c r="D374" s="6"/>
      <c r="E374" s="6"/>
      <c r="F374" s="1"/>
      <c r="G374" s="72"/>
      <c r="H374" s="72"/>
      <c r="I374" s="186"/>
      <c r="J374" s="1"/>
      <c r="K374" s="1"/>
      <c r="L374" s="1"/>
      <c r="M374" s="198"/>
      <c r="N374" s="16"/>
      <c r="O374" s="16"/>
      <c r="P374" s="1"/>
    </row>
    <row r="375" spans="1:16">
      <c r="A375" s="6"/>
      <c r="B375" s="7"/>
      <c r="C375" s="6"/>
      <c r="D375" s="6"/>
      <c r="E375" s="6"/>
      <c r="F375" s="1"/>
      <c r="G375" s="72"/>
      <c r="H375" s="72"/>
      <c r="I375" s="186"/>
      <c r="J375" s="1"/>
      <c r="K375" s="1"/>
      <c r="L375" s="1"/>
      <c r="M375" s="198"/>
      <c r="N375" s="16"/>
      <c r="O375" s="16"/>
      <c r="P375" s="1"/>
    </row>
    <row r="376" spans="1:16">
      <c r="A376" s="6"/>
      <c r="B376" s="7"/>
      <c r="C376" s="6"/>
      <c r="D376" s="6"/>
      <c r="E376" s="6"/>
      <c r="F376" s="1"/>
      <c r="G376" s="72"/>
      <c r="H376" s="72"/>
      <c r="I376" s="186"/>
      <c r="J376" s="1"/>
      <c r="K376" s="1"/>
      <c r="L376" s="1"/>
      <c r="M376" s="198"/>
      <c r="N376" s="16"/>
      <c r="O376" s="16"/>
      <c r="P376" s="1"/>
    </row>
    <row r="377" spans="1:16">
      <c r="A377" s="6"/>
      <c r="B377" s="7"/>
      <c r="C377" s="6"/>
      <c r="D377" s="6"/>
      <c r="E377" s="6"/>
      <c r="F377" s="1"/>
      <c r="G377" s="72"/>
      <c r="H377" s="72"/>
      <c r="I377" s="186"/>
      <c r="J377" s="1"/>
      <c r="K377" s="1"/>
      <c r="L377" s="1"/>
      <c r="M377" s="197"/>
      <c r="N377" s="16"/>
      <c r="O377" s="16"/>
      <c r="P377" s="1"/>
    </row>
    <row r="378" spans="1:16">
      <c r="A378" s="6"/>
      <c r="B378" s="7"/>
      <c r="C378" s="6"/>
      <c r="D378" s="6"/>
      <c r="E378" s="6"/>
      <c r="F378" s="1"/>
      <c r="G378" s="9"/>
      <c r="H378" s="9"/>
      <c r="I378" s="186"/>
      <c r="J378" s="1"/>
      <c r="K378" s="1"/>
      <c r="L378" s="1"/>
      <c r="M378" s="197"/>
      <c r="N378" s="16"/>
      <c r="O378" s="16"/>
      <c r="P378" s="1"/>
    </row>
    <row r="379" spans="1:16">
      <c r="A379" s="6"/>
      <c r="B379" s="7"/>
      <c r="C379" s="6"/>
      <c r="D379" s="6"/>
      <c r="E379" s="6"/>
      <c r="F379" s="1"/>
      <c r="G379" s="72"/>
      <c r="H379" s="72"/>
      <c r="I379" s="186"/>
      <c r="J379" s="1"/>
      <c r="K379" s="1"/>
      <c r="L379" s="1"/>
      <c r="M379" s="197"/>
      <c r="N379" s="16"/>
      <c r="O379" s="16"/>
      <c r="P379" s="1"/>
    </row>
    <row r="380" spans="1:16">
      <c r="A380" s="6"/>
      <c r="B380" s="7"/>
      <c r="C380" s="6"/>
      <c r="D380" s="6"/>
      <c r="E380" s="6"/>
      <c r="F380" s="1"/>
      <c r="G380" s="72"/>
      <c r="H380" s="72"/>
      <c r="I380" s="186"/>
      <c r="J380" s="1"/>
      <c r="K380" s="1"/>
      <c r="L380" s="1"/>
      <c r="M380" s="197"/>
      <c r="N380" s="16"/>
      <c r="O380" s="16"/>
      <c r="P380" s="1"/>
    </row>
    <row r="381" spans="1:16">
      <c r="A381" s="6"/>
      <c r="B381" s="7"/>
      <c r="C381" s="6"/>
      <c r="D381" s="6"/>
      <c r="E381" s="6"/>
      <c r="F381" s="1"/>
      <c r="G381" s="72"/>
      <c r="H381" s="72"/>
      <c r="I381" s="186"/>
      <c r="J381" s="1"/>
      <c r="K381" s="1"/>
      <c r="L381" s="1"/>
      <c r="M381" s="197"/>
      <c r="N381" s="16"/>
      <c r="O381" s="16"/>
      <c r="P381" s="1"/>
    </row>
    <row r="382" spans="1:16">
      <c r="A382" s="6"/>
      <c r="B382" s="7"/>
      <c r="C382" s="6"/>
      <c r="D382" s="6"/>
      <c r="E382" s="6"/>
      <c r="F382" s="1"/>
      <c r="G382" s="72"/>
      <c r="H382" s="72"/>
      <c r="I382" s="186"/>
      <c r="J382" s="1"/>
      <c r="K382" s="1"/>
      <c r="L382" s="1"/>
      <c r="M382" s="197"/>
      <c r="N382" s="16"/>
      <c r="O382" s="16"/>
      <c r="P382" s="1"/>
    </row>
    <row r="383" spans="1:16">
      <c r="A383" s="6"/>
      <c r="B383" s="7"/>
      <c r="C383" s="6"/>
      <c r="D383" s="6"/>
      <c r="E383" s="6"/>
      <c r="F383" s="1"/>
      <c r="G383" s="72"/>
      <c r="H383" s="72"/>
      <c r="I383" s="186"/>
      <c r="J383" s="1"/>
      <c r="K383" s="1"/>
      <c r="L383" s="1"/>
      <c r="M383" s="197"/>
      <c r="N383" s="16"/>
      <c r="O383" s="16"/>
      <c r="P383" s="1"/>
    </row>
    <row r="384" spans="1:16">
      <c r="A384" s="6"/>
      <c r="B384" s="7"/>
      <c r="C384" s="6"/>
      <c r="D384" s="6"/>
      <c r="E384" s="6"/>
      <c r="F384" s="1"/>
      <c r="G384" s="72"/>
      <c r="H384" s="72"/>
      <c r="I384" s="186"/>
      <c r="J384" s="1"/>
      <c r="K384" s="1"/>
      <c r="L384" s="1"/>
      <c r="M384" s="197"/>
      <c r="N384" s="16"/>
      <c r="O384" s="16"/>
      <c r="P384" s="1"/>
    </row>
    <row r="385" spans="1:16">
      <c r="A385" s="6"/>
      <c r="B385" s="7"/>
      <c r="C385" s="6"/>
      <c r="D385" s="6"/>
      <c r="E385" s="6"/>
      <c r="F385" s="1"/>
      <c r="G385" s="72"/>
      <c r="H385" s="72"/>
      <c r="I385" s="186"/>
      <c r="J385" s="1"/>
      <c r="K385" s="1"/>
      <c r="L385" s="1"/>
      <c r="M385" s="197"/>
      <c r="N385" s="16"/>
      <c r="O385" s="16"/>
      <c r="P385" s="1"/>
    </row>
    <row r="386" spans="1:16">
      <c r="A386" s="6"/>
      <c r="B386" s="7"/>
      <c r="C386" s="6"/>
      <c r="D386" s="6"/>
      <c r="E386" s="6"/>
      <c r="F386" s="1"/>
      <c r="G386" s="9"/>
      <c r="H386" s="9"/>
      <c r="I386" s="186"/>
      <c r="J386" s="1"/>
      <c r="K386" s="1"/>
      <c r="L386" s="1"/>
      <c r="M386" s="197"/>
      <c r="N386" s="16"/>
      <c r="O386" s="16"/>
      <c r="P386" s="1"/>
    </row>
    <row r="387" spans="1:16">
      <c r="A387" s="6"/>
      <c r="B387" s="7"/>
      <c r="C387" s="6"/>
      <c r="D387" s="6"/>
      <c r="E387" s="6"/>
      <c r="F387" s="1"/>
      <c r="G387" s="9"/>
      <c r="H387" s="9"/>
      <c r="I387" s="186"/>
      <c r="J387" s="1"/>
      <c r="K387" s="1"/>
      <c r="L387" s="1"/>
      <c r="M387" s="197"/>
      <c r="N387" s="16"/>
      <c r="O387" s="16"/>
      <c r="P387" s="1"/>
    </row>
    <row r="388" spans="1:16">
      <c r="A388" s="6"/>
      <c r="B388" s="7"/>
      <c r="C388" s="6"/>
      <c r="D388" s="6"/>
      <c r="E388" s="6"/>
      <c r="F388" s="1"/>
      <c r="G388" s="9"/>
      <c r="H388" s="9"/>
      <c r="I388" s="186"/>
      <c r="J388" s="1"/>
      <c r="K388" s="1"/>
      <c r="L388" s="1"/>
      <c r="M388" s="197"/>
      <c r="N388" s="16"/>
      <c r="O388" s="16"/>
      <c r="P388" s="1"/>
    </row>
    <row r="389" spans="1:16">
      <c r="A389" s="6"/>
      <c r="B389" s="7"/>
      <c r="C389" s="6"/>
      <c r="D389" s="6"/>
      <c r="E389" s="6"/>
      <c r="F389" s="1"/>
      <c r="G389" s="9"/>
      <c r="H389" s="9"/>
      <c r="I389" s="186"/>
      <c r="J389" s="1"/>
      <c r="K389" s="1"/>
      <c r="L389" s="1"/>
      <c r="M389" s="197"/>
      <c r="N389" s="16"/>
      <c r="O389" s="16"/>
      <c r="P389" s="1"/>
    </row>
    <row r="390" spans="1:16">
      <c r="A390" s="6"/>
      <c r="B390" s="7"/>
      <c r="C390" s="6"/>
      <c r="D390" s="6"/>
      <c r="E390" s="6"/>
      <c r="F390" s="1"/>
      <c r="G390" s="9"/>
      <c r="H390" s="9"/>
      <c r="I390" s="186"/>
      <c r="J390" s="1"/>
      <c r="K390" s="1"/>
      <c r="L390" s="1"/>
      <c r="M390" s="197"/>
      <c r="N390" s="16"/>
      <c r="O390" s="16"/>
      <c r="P390" s="1"/>
    </row>
    <row r="391" spans="1:16">
      <c r="A391" s="6"/>
      <c r="B391" s="7"/>
      <c r="C391" s="6"/>
      <c r="D391" s="6"/>
      <c r="E391" s="6"/>
      <c r="F391" s="1"/>
      <c r="G391" s="9"/>
      <c r="H391" s="9"/>
      <c r="I391" s="186"/>
      <c r="J391" s="1"/>
      <c r="K391" s="1"/>
      <c r="L391" s="1"/>
      <c r="M391" s="197"/>
      <c r="N391" s="16"/>
      <c r="O391" s="16"/>
      <c r="P391" s="1"/>
    </row>
    <row r="392" spans="1:16">
      <c r="A392" s="6"/>
      <c r="B392" s="7"/>
      <c r="C392" s="6"/>
      <c r="D392" s="6"/>
      <c r="E392" s="6"/>
      <c r="F392" s="1"/>
      <c r="G392" s="9"/>
      <c r="H392" s="9"/>
      <c r="I392" s="186"/>
      <c r="J392" s="1"/>
      <c r="K392" s="1"/>
      <c r="L392" s="1"/>
      <c r="M392" s="197"/>
      <c r="N392" s="16"/>
      <c r="O392" s="16"/>
      <c r="P392" s="1"/>
    </row>
    <row r="393" spans="1:16">
      <c r="A393" s="6"/>
      <c r="B393" s="7"/>
      <c r="C393" s="6"/>
      <c r="D393" s="6"/>
      <c r="E393" s="6"/>
      <c r="F393" s="1"/>
      <c r="G393" s="9"/>
      <c r="H393" s="9"/>
      <c r="I393" s="186"/>
      <c r="J393" s="1"/>
      <c r="K393" s="1"/>
      <c r="L393" s="1"/>
      <c r="M393" s="198"/>
      <c r="N393" s="16"/>
      <c r="O393" s="16"/>
      <c r="P393" s="1"/>
    </row>
    <row r="394" spans="1:16">
      <c r="A394" s="6"/>
      <c r="B394" s="7"/>
      <c r="C394" s="6"/>
      <c r="D394" s="6"/>
      <c r="E394" s="6"/>
      <c r="F394" s="1"/>
      <c r="G394" s="9"/>
      <c r="H394" s="9"/>
      <c r="I394" s="186"/>
      <c r="J394" s="1"/>
      <c r="K394" s="1"/>
      <c r="L394" s="1"/>
      <c r="M394" s="197"/>
      <c r="N394" s="16"/>
      <c r="O394" s="16"/>
      <c r="P394" s="1"/>
    </row>
    <row r="395" spans="1:16">
      <c r="A395" s="6"/>
      <c r="B395" s="7"/>
      <c r="C395" s="6"/>
      <c r="D395" s="6"/>
      <c r="E395" s="6"/>
      <c r="F395" s="1"/>
      <c r="G395" s="9"/>
      <c r="H395" s="9"/>
      <c r="I395" s="186"/>
      <c r="J395" s="1"/>
      <c r="K395" s="1"/>
      <c r="L395" s="1"/>
      <c r="M395" s="197"/>
      <c r="N395" s="16"/>
      <c r="O395" s="16"/>
      <c r="P395" s="1"/>
    </row>
    <row r="396" spans="1:16">
      <c r="A396" s="6"/>
      <c r="B396" s="7"/>
      <c r="C396" s="6"/>
      <c r="D396" s="6"/>
      <c r="E396" s="6"/>
      <c r="F396" s="1"/>
      <c r="G396" s="9"/>
      <c r="H396" s="9"/>
      <c r="I396" s="186"/>
      <c r="J396" s="1"/>
      <c r="K396" s="1"/>
      <c r="L396" s="1"/>
      <c r="M396" s="198"/>
      <c r="N396" s="16"/>
      <c r="O396" s="16"/>
      <c r="P396" s="1"/>
    </row>
    <row r="397" spans="1:16">
      <c r="A397" s="6"/>
      <c r="B397" s="7"/>
      <c r="C397" s="6"/>
      <c r="D397" s="6"/>
      <c r="E397" s="6"/>
      <c r="F397" s="1"/>
      <c r="G397" s="9"/>
      <c r="H397" s="9"/>
      <c r="I397" s="186"/>
      <c r="J397" s="1"/>
      <c r="K397" s="1"/>
      <c r="L397" s="1"/>
      <c r="M397" s="197"/>
      <c r="N397" s="16"/>
      <c r="O397" s="16"/>
      <c r="P397" s="1"/>
    </row>
    <row r="398" spans="1:16">
      <c r="A398" s="6"/>
      <c r="B398" s="7"/>
      <c r="C398" s="6"/>
      <c r="D398" s="6"/>
      <c r="E398" s="6"/>
      <c r="F398" s="1"/>
      <c r="G398" s="9"/>
      <c r="H398" s="9"/>
      <c r="I398" s="186"/>
      <c r="J398" s="1"/>
      <c r="K398" s="1"/>
      <c r="L398" s="1"/>
      <c r="M398" s="197"/>
      <c r="N398" s="16"/>
      <c r="O398" s="16"/>
      <c r="P398" s="1"/>
    </row>
    <row r="399" spans="1:16">
      <c r="A399" s="6"/>
      <c r="B399" s="7"/>
      <c r="C399" s="6"/>
      <c r="D399" s="6"/>
      <c r="E399" s="6"/>
      <c r="F399" s="1"/>
      <c r="G399" s="9"/>
      <c r="H399" s="9"/>
      <c r="I399" s="186"/>
      <c r="J399" s="1"/>
      <c r="K399" s="1"/>
      <c r="L399" s="1"/>
      <c r="M399" s="197"/>
      <c r="N399" s="16"/>
      <c r="O399" s="16"/>
      <c r="P399" s="1"/>
    </row>
    <row r="400" spans="1:16">
      <c r="A400" s="6"/>
      <c r="B400" s="7"/>
      <c r="C400" s="6"/>
      <c r="D400" s="6"/>
      <c r="E400" s="6"/>
      <c r="F400" s="1"/>
      <c r="G400" s="9"/>
      <c r="H400" s="9"/>
      <c r="I400" s="186"/>
      <c r="J400" s="1"/>
      <c r="K400" s="1"/>
      <c r="L400" s="1"/>
      <c r="M400" s="198"/>
      <c r="N400" s="16"/>
      <c r="O400" s="16"/>
      <c r="P400" s="1"/>
    </row>
    <row r="401" spans="1:17">
      <c r="A401" s="6"/>
      <c r="B401" s="7"/>
      <c r="C401" s="6"/>
      <c r="D401" s="6"/>
      <c r="E401" s="6"/>
      <c r="F401" s="1"/>
      <c r="G401" s="9"/>
      <c r="H401" s="9"/>
      <c r="I401" s="186"/>
      <c r="J401" s="1"/>
      <c r="K401" s="1"/>
      <c r="L401" s="1"/>
      <c r="M401" s="197"/>
      <c r="N401" s="16"/>
      <c r="O401" s="16"/>
      <c r="P401" s="1"/>
    </row>
    <row r="402" spans="1:17">
      <c r="A402" s="6"/>
      <c r="B402" s="7"/>
      <c r="C402" s="6"/>
      <c r="D402" s="6"/>
      <c r="E402" s="6"/>
      <c r="F402" s="1"/>
      <c r="G402" s="9"/>
      <c r="H402" s="9"/>
      <c r="I402" s="186"/>
      <c r="J402" s="1"/>
      <c r="K402" s="1"/>
      <c r="L402" s="1"/>
      <c r="M402" s="198"/>
      <c r="N402" s="16"/>
      <c r="O402" s="16"/>
      <c r="P402" s="1"/>
    </row>
    <row r="403" spans="1:17">
      <c r="A403" s="6"/>
      <c r="B403" s="7"/>
      <c r="C403" s="6"/>
      <c r="D403" s="6"/>
      <c r="E403" s="6"/>
      <c r="F403" s="1"/>
      <c r="G403" s="9"/>
      <c r="H403" s="9"/>
      <c r="I403" s="186"/>
      <c r="J403" s="1"/>
      <c r="K403" s="1"/>
      <c r="L403" s="1"/>
      <c r="M403" s="197"/>
      <c r="N403" s="16"/>
      <c r="O403" s="16"/>
      <c r="P403" s="1"/>
    </row>
    <row r="404" spans="1:17">
      <c r="A404" s="6"/>
      <c r="B404" s="7"/>
      <c r="C404" s="6"/>
      <c r="D404" s="6"/>
      <c r="E404" s="6"/>
      <c r="F404" s="1"/>
      <c r="G404" s="9"/>
      <c r="H404" s="9"/>
      <c r="I404" s="186"/>
      <c r="J404" s="1"/>
      <c r="K404" s="1"/>
      <c r="L404" s="1"/>
      <c r="M404" s="197"/>
      <c r="N404" s="16"/>
      <c r="O404" s="16"/>
      <c r="P404" s="1"/>
    </row>
    <row r="405" spans="1:17">
      <c r="B405" s="7"/>
      <c r="C405" s="59"/>
      <c r="D405" s="59"/>
      <c r="E405" s="59"/>
      <c r="F405" s="1"/>
      <c r="G405" s="9"/>
      <c r="H405" s="9"/>
      <c r="I405" s="186"/>
      <c r="J405" s="1"/>
      <c r="K405" s="1"/>
      <c r="L405" s="1"/>
      <c r="M405" s="197"/>
      <c r="N405" s="14"/>
      <c r="O405" s="204"/>
      <c r="P405" s="1"/>
    </row>
    <row r="406" spans="1:17">
      <c r="B406" s="7"/>
      <c r="C406" s="59"/>
      <c r="D406" s="59"/>
      <c r="E406" s="59"/>
      <c r="F406" s="1"/>
      <c r="G406" s="9"/>
      <c r="H406" s="9"/>
      <c r="I406" s="186"/>
      <c r="J406" s="1"/>
      <c r="K406" s="1"/>
      <c r="L406" s="1"/>
      <c r="M406" s="197"/>
      <c r="N406" s="14"/>
      <c r="O406" s="204"/>
      <c r="P406" s="1"/>
    </row>
    <row r="407" spans="1:17">
      <c r="B407" s="7"/>
      <c r="C407" s="59"/>
      <c r="D407" s="59"/>
      <c r="E407" s="59"/>
      <c r="F407" s="1"/>
      <c r="G407" s="9"/>
      <c r="H407" s="9"/>
      <c r="I407" s="186"/>
      <c r="J407" s="1"/>
      <c r="K407" s="1"/>
      <c r="L407" s="1"/>
      <c r="M407" s="197"/>
      <c r="N407" s="14"/>
      <c r="O407" s="204"/>
      <c r="P407" s="1"/>
    </row>
    <row r="408" spans="1:17">
      <c r="B408" s="7"/>
      <c r="C408" s="59"/>
      <c r="D408" s="59"/>
      <c r="E408" s="59"/>
      <c r="F408" s="1"/>
      <c r="G408" s="9"/>
      <c r="H408" s="9"/>
      <c r="I408" s="186"/>
      <c r="J408" s="1"/>
      <c r="K408" s="1"/>
      <c r="L408" s="1"/>
      <c r="M408" s="197"/>
      <c r="N408" s="14"/>
      <c r="O408" s="204"/>
      <c r="P408" s="1"/>
    </row>
    <row r="409" spans="1:17">
      <c r="B409" s="7"/>
      <c r="C409" s="59"/>
      <c r="D409" s="59"/>
      <c r="E409" s="59"/>
      <c r="F409" s="1"/>
      <c r="G409" s="9"/>
      <c r="H409" s="9"/>
      <c r="I409" s="186"/>
      <c r="J409" s="1"/>
      <c r="K409" s="1"/>
      <c r="L409" s="1"/>
      <c r="M409" s="197"/>
      <c r="N409" s="14"/>
      <c r="O409" s="204"/>
      <c r="P409" s="1"/>
      <c r="Q409" s="1"/>
    </row>
    <row r="410" spans="1:17">
      <c r="B410" s="7"/>
      <c r="C410" s="59"/>
      <c r="D410" s="59"/>
      <c r="E410" s="59"/>
      <c r="F410" s="1"/>
      <c r="G410" s="72"/>
      <c r="H410" s="72"/>
      <c r="I410" s="186"/>
      <c r="J410" s="1"/>
      <c r="K410" s="1"/>
      <c r="L410" s="1"/>
      <c r="M410" s="197"/>
      <c r="N410" s="14"/>
      <c r="O410" s="204"/>
      <c r="P410" s="1"/>
    </row>
    <row r="411" spans="1:17">
      <c r="B411" s="7"/>
      <c r="C411" s="59"/>
      <c r="D411" s="59"/>
      <c r="E411" s="59"/>
      <c r="F411" s="1"/>
      <c r="G411" s="72"/>
      <c r="H411" s="72"/>
      <c r="I411" s="186"/>
      <c r="J411" s="1"/>
      <c r="K411" s="1"/>
      <c r="L411" s="1"/>
      <c r="M411" s="197"/>
      <c r="N411" s="14"/>
      <c r="O411" s="204"/>
      <c r="P411" s="1"/>
    </row>
    <row r="412" spans="1:17">
      <c r="B412" s="7"/>
      <c r="C412" s="59"/>
      <c r="D412" s="59"/>
      <c r="E412" s="59"/>
      <c r="F412" s="1"/>
      <c r="G412" s="72"/>
      <c r="H412" s="72"/>
      <c r="I412" s="186"/>
      <c r="J412" s="1"/>
      <c r="K412" s="1"/>
      <c r="L412" s="1"/>
      <c r="M412" s="197"/>
      <c r="N412" s="14"/>
      <c r="O412" s="204"/>
      <c r="P412" s="1"/>
    </row>
    <row r="413" spans="1:17">
      <c r="B413" s="7"/>
      <c r="C413" s="59"/>
      <c r="D413" s="59"/>
      <c r="E413" s="59"/>
      <c r="F413" s="1"/>
      <c r="G413" s="72"/>
      <c r="H413" s="72"/>
      <c r="I413" s="186"/>
      <c r="J413" s="1"/>
      <c r="K413" s="1"/>
      <c r="L413" s="1"/>
      <c r="M413" s="197"/>
      <c r="N413" s="14"/>
      <c r="O413" s="204"/>
      <c r="P413" s="1"/>
    </row>
    <row r="414" spans="1:17">
      <c r="B414" s="7"/>
      <c r="C414" s="59"/>
      <c r="D414" s="59"/>
      <c r="E414" s="59"/>
      <c r="F414" s="1"/>
      <c r="G414" s="72"/>
      <c r="H414" s="72"/>
      <c r="I414" s="186"/>
      <c r="J414" s="1"/>
      <c r="K414" s="1"/>
      <c r="L414" s="1"/>
      <c r="M414" s="197"/>
      <c r="N414" s="14"/>
      <c r="O414" s="204"/>
      <c r="P414" s="1"/>
    </row>
    <row r="415" spans="1:17">
      <c r="B415" s="7"/>
      <c r="C415" s="59"/>
      <c r="D415" s="59"/>
      <c r="E415" s="59"/>
      <c r="F415" s="1"/>
      <c r="G415" s="72"/>
      <c r="H415" s="72"/>
      <c r="I415" s="186"/>
      <c r="J415" s="1"/>
      <c r="K415" s="1"/>
      <c r="L415" s="1"/>
      <c r="M415" s="197"/>
      <c r="N415" s="14"/>
      <c r="O415" s="204"/>
      <c r="P415" s="1"/>
    </row>
    <row r="416" spans="1:17">
      <c r="B416" s="7"/>
      <c r="C416" s="59"/>
      <c r="D416" s="59"/>
      <c r="E416" s="59"/>
      <c r="F416" s="1"/>
      <c r="G416" s="72"/>
      <c r="H416" s="72"/>
      <c r="I416" s="186"/>
      <c r="J416" s="1"/>
      <c r="K416" s="1"/>
      <c r="L416" s="1"/>
      <c r="M416" s="197"/>
      <c r="N416" s="14"/>
      <c r="O416" s="204"/>
      <c r="P416" s="1"/>
    </row>
    <row r="417" spans="2:16">
      <c r="B417" s="7"/>
      <c r="C417" s="59"/>
      <c r="D417" s="59"/>
      <c r="E417" s="59"/>
      <c r="F417" s="1"/>
      <c r="G417" s="72"/>
      <c r="H417" s="72"/>
      <c r="I417" s="186"/>
      <c r="J417" s="1"/>
      <c r="K417" s="1"/>
      <c r="L417" s="1"/>
      <c r="M417" s="197"/>
      <c r="N417" s="14"/>
      <c r="O417" s="204"/>
      <c r="P417" s="1"/>
    </row>
    <row r="418" spans="2:16">
      <c r="B418" s="7"/>
      <c r="C418" s="59"/>
      <c r="D418" s="59"/>
      <c r="E418" s="59"/>
      <c r="F418" s="1"/>
      <c r="G418" s="72"/>
      <c r="H418" s="72"/>
      <c r="I418" s="186"/>
      <c r="J418" s="1"/>
      <c r="K418" s="1"/>
      <c r="L418" s="1"/>
      <c r="M418" s="197"/>
      <c r="N418" s="14"/>
      <c r="O418" s="204"/>
      <c r="P418" s="1"/>
    </row>
    <row r="419" spans="2:16">
      <c r="B419" s="7"/>
      <c r="C419" s="59"/>
      <c r="D419" s="59"/>
      <c r="E419" s="59"/>
      <c r="F419" s="1"/>
      <c r="G419" s="72"/>
      <c r="H419" s="72"/>
      <c r="I419" s="186"/>
      <c r="J419" s="1"/>
      <c r="K419" s="1"/>
      <c r="L419" s="1"/>
      <c r="M419" s="197"/>
      <c r="N419" s="14"/>
      <c r="O419" s="204"/>
      <c r="P419" s="1"/>
    </row>
    <row r="420" spans="2:16">
      <c r="B420" s="7"/>
      <c r="C420" s="59"/>
      <c r="D420" s="59"/>
      <c r="E420" s="59"/>
      <c r="F420" s="1"/>
      <c r="G420" s="72"/>
      <c r="H420" s="72"/>
      <c r="I420" s="186"/>
      <c r="J420" s="1"/>
      <c r="K420" s="1"/>
      <c r="L420" s="1"/>
      <c r="M420" s="197"/>
      <c r="N420" s="14"/>
      <c r="O420" s="204"/>
      <c r="P420" s="1"/>
    </row>
    <row r="421" spans="2:16">
      <c r="B421" s="7"/>
      <c r="C421" s="59"/>
      <c r="D421" s="59"/>
      <c r="E421" s="59"/>
      <c r="F421" s="1"/>
      <c r="G421" s="72"/>
      <c r="H421" s="72"/>
      <c r="I421" s="186"/>
      <c r="J421" s="1"/>
      <c r="K421" s="1"/>
      <c r="L421" s="1"/>
      <c r="M421" s="197"/>
      <c r="N421" s="14"/>
      <c r="O421" s="204"/>
      <c r="P421" s="1"/>
    </row>
    <row r="422" spans="2:16">
      <c r="B422" s="7"/>
      <c r="C422" s="59"/>
      <c r="D422" s="59"/>
      <c r="E422" s="59"/>
      <c r="F422" s="1"/>
      <c r="G422" s="72"/>
      <c r="H422" s="72"/>
      <c r="I422" s="186"/>
      <c r="J422" s="1"/>
      <c r="K422" s="1"/>
      <c r="L422" s="1"/>
      <c r="M422" s="197"/>
      <c r="N422" s="14"/>
      <c r="O422" s="204"/>
      <c r="P422" s="1"/>
    </row>
    <row r="423" spans="2:16">
      <c r="B423" s="7"/>
      <c r="C423" s="59"/>
      <c r="D423" s="59"/>
      <c r="E423" s="59"/>
      <c r="F423" s="1"/>
      <c r="G423" s="72"/>
      <c r="H423" s="72"/>
      <c r="I423" s="186"/>
      <c r="J423" s="1"/>
      <c r="K423" s="1"/>
      <c r="L423" s="1"/>
      <c r="M423" s="197"/>
      <c r="N423" s="14"/>
      <c r="O423" s="204"/>
      <c r="P423" s="1"/>
    </row>
    <row r="424" spans="2:16">
      <c r="B424" s="7"/>
      <c r="C424" s="59"/>
      <c r="D424" s="59"/>
      <c r="E424" s="59"/>
      <c r="F424" s="1"/>
      <c r="G424" s="72"/>
      <c r="H424" s="72"/>
      <c r="I424" s="186"/>
      <c r="J424" s="1"/>
      <c r="K424" s="1"/>
      <c r="L424" s="1"/>
      <c r="M424" s="197"/>
      <c r="N424" s="14"/>
      <c r="O424" s="204"/>
      <c r="P424" s="1"/>
    </row>
    <row r="425" spans="2:16">
      <c r="B425" s="7"/>
      <c r="C425" s="59"/>
      <c r="D425" s="59"/>
      <c r="E425" s="59"/>
      <c r="F425" s="1"/>
      <c r="G425" s="72"/>
      <c r="H425" s="72"/>
      <c r="I425" s="186"/>
      <c r="J425" s="1"/>
      <c r="K425" s="1"/>
      <c r="L425" s="1"/>
      <c r="M425" s="197"/>
      <c r="N425" s="14"/>
      <c r="O425" s="204"/>
      <c r="P425" s="1"/>
    </row>
    <row r="426" spans="2:16">
      <c r="B426" s="7"/>
      <c r="C426" s="59"/>
      <c r="D426" s="59"/>
      <c r="E426" s="59"/>
      <c r="F426" s="1"/>
      <c r="G426" s="72"/>
      <c r="H426" s="72"/>
      <c r="I426" s="186"/>
      <c r="J426" s="1"/>
      <c r="K426" s="1"/>
      <c r="L426" s="1"/>
      <c r="M426" s="197"/>
      <c r="N426" s="14"/>
      <c r="O426" s="204"/>
      <c r="P426" s="1"/>
    </row>
    <row r="427" spans="2:16">
      <c r="B427" s="7"/>
      <c r="C427" s="59"/>
      <c r="D427" s="59"/>
      <c r="E427" s="59"/>
      <c r="F427" s="1"/>
      <c r="G427" s="72"/>
      <c r="H427" s="72"/>
      <c r="I427" s="186"/>
      <c r="J427" s="1"/>
      <c r="K427" s="1"/>
      <c r="L427" s="1"/>
      <c r="M427" s="197"/>
      <c r="N427" s="14"/>
      <c r="O427" s="204"/>
      <c r="P427" s="1"/>
    </row>
    <row r="428" spans="2:16">
      <c r="B428" s="7"/>
      <c r="C428" s="59"/>
      <c r="D428" s="59"/>
      <c r="E428" s="59"/>
      <c r="F428" s="1"/>
      <c r="G428" s="72"/>
      <c r="H428" s="72"/>
      <c r="I428" s="186"/>
      <c r="J428" s="1"/>
      <c r="K428" s="1"/>
      <c r="L428" s="1"/>
      <c r="M428" s="197"/>
      <c r="N428" s="14"/>
      <c r="O428" s="204"/>
      <c r="P428" s="1"/>
    </row>
    <row r="429" spans="2:16">
      <c r="B429" s="7"/>
      <c r="C429" s="59"/>
      <c r="D429" s="59"/>
      <c r="E429" s="59"/>
      <c r="F429" s="1"/>
      <c r="G429" s="72"/>
      <c r="H429" s="72"/>
      <c r="I429" s="186"/>
      <c r="J429" s="1"/>
      <c r="K429" s="1"/>
      <c r="L429" s="1"/>
      <c r="M429" s="197"/>
      <c r="N429" s="14"/>
      <c r="O429" s="204"/>
      <c r="P429" s="1"/>
    </row>
    <row r="430" spans="2:16">
      <c r="B430" s="7"/>
      <c r="C430" s="59"/>
      <c r="D430" s="59"/>
      <c r="E430" s="59"/>
      <c r="F430" s="1"/>
      <c r="G430" s="72"/>
      <c r="H430" s="72"/>
      <c r="I430" s="186"/>
      <c r="J430" s="1"/>
      <c r="K430" s="1"/>
      <c r="L430" s="1"/>
      <c r="M430" s="197"/>
      <c r="N430" s="14"/>
      <c r="O430" s="204"/>
      <c r="P430" s="1"/>
    </row>
    <row r="431" spans="2:16">
      <c r="B431" s="7"/>
      <c r="C431" s="59"/>
      <c r="D431" s="59"/>
      <c r="E431" s="59"/>
      <c r="F431" s="1"/>
      <c r="G431" s="72"/>
      <c r="H431" s="72"/>
      <c r="I431" s="186"/>
      <c r="J431" s="1"/>
      <c r="K431" s="1"/>
      <c r="L431" s="1"/>
      <c r="M431" s="197"/>
      <c r="N431" s="14"/>
      <c r="O431" s="204"/>
      <c r="P431" s="1"/>
    </row>
    <row r="432" spans="2:16">
      <c r="B432" s="7"/>
      <c r="C432" s="59"/>
      <c r="D432" s="59"/>
      <c r="E432" s="59"/>
      <c r="F432" s="1"/>
      <c r="G432" s="72"/>
      <c r="H432" s="72"/>
      <c r="I432" s="186"/>
      <c r="J432" s="1"/>
      <c r="K432" s="1"/>
      <c r="L432" s="1"/>
      <c r="M432" s="197"/>
      <c r="N432" s="14"/>
      <c r="O432" s="204"/>
      <c r="P432" s="1"/>
    </row>
    <row r="433" spans="2:16">
      <c r="B433" s="7"/>
      <c r="C433" s="59"/>
      <c r="D433" s="59"/>
      <c r="E433" s="59"/>
      <c r="F433" s="1"/>
      <c r="G433" s="72"/>
      <c r="H433" s="72"/>
      <c r="I433" s="186"/>
      <c r="J433" s="1"/>
      <c r="K433" s="1"/>
      <c r="L433" s="1"/>
      <c r="M433" s="197"/>
      <c r="N433" s="14"/>
      <c r="O433" s="204"/>
      <c r="P433" s="1"/>
    </row>
    <row r="434" spans="2:16">
      <c r="B434" s="7"/>
      <c r="C434" s="59"/>
      <c r="D434" s="59"/>
      <c r="E434" s="59"/>
      <c r="F434" s="1"/>
      <c r="G434" s="9"/>
      <c r="H434" s="72"/>
      <c r="I434" s="186"/>
      <c r="J434" s="1"/>
      <c r="K434" s="1"/>
      <c r="L434" s="1"/>
      <c r="M434" s="197"/>
      <c r="N434" s="14"/>
      <c r="O434" s="204"/>
      <c r="P434" s="1"/>
    </row>
    <row r="435" spans="2:16">
      <c r="B435" s="7"/>
      <c r="C435" s="59"/>
      <c r="D435" s="59"/>
      <c r="E435" s="59"/>
      <c r="F435" s="1"/>
      <c r="G435" s="9"/>
      <c r="H435" s="9"/>
      <c r="I435" s="186"/>
      <c r="J435" s="1"/>
      <c r="K435" s="1"/>
      <c r="L435" s="1"/>
      <c r="M435" s="197"/>
      <c r="N435" s="14"/>
      <c r="O435" s="204"/>
      <c r="P435" s="1"/>
    </row>
    <row r="436" spans="2:16">
      <c r="B436" s="7"/>
      <c r="C436" s="59"/>
      <c r="D436" s="59"/>
      <c r="E436" s="59"/>
      <c r="F436" s="1"/>
      <c r="G436" s="9"/>
      <c r="H436" s="9"/>
      <c r="I436" s="186"/>
      <c r="J436" s="1"/>
      <c r="K436" s="1"/>
      <c r="L436" s="1"/>
      <c r="M436" s="197"/>
      <c r="N436" s="14"/>
      <c r="O436" s="204"/>
      <c r="P436" s="1"/>
    </row>
    <row r="437" spans="2:16">
      <c r="B437" s="7"/>
      <c r="C437" s="59"/>
      <c r="D437" s="59"/>
      <c r="E437" s="59"/>
      <c r="F437" s="1"/>
      <c r="G437" s="9"/>
      <c r="H437" s="9"/>
      <c r="I437" s="186"/>
      <c r="J437" s="1"/>
      <c r="K437" s="1"/>
      <c r="L437" s="1"/>
      <c r="M437" s="197"/>
      <c r="N437" s="14"/>
      <c r="O437" s="204"/>
      <c r="P437" s="1"/>
    </row>
    <row r="438" spans="2:16">
      <c r="B438" s="7"/>
      <c r="C438" s="59"/>
      <c r="D438" s="59"/>
      <c r="E438" s="59"/>
      <c r="F438" s="1"/>
      <c r="G438" s="9"/>
      <c r="H438" s="9"/>
      <c r="I438" s="186"/>
      <c r="J438" s="1"/>
      <c r="K438" s="1"/>
      <c r="L438" s="1"/>
      <c r="M438" s="197"/>
      <c r="N438" s="14"/>
      <c r="O438" s="204"/>
      <c r="P438" s="1"/>
    </row>
    <row r="439" spans="2:16">
      <c r="B439" s="7"/>
      <c r="C439" s="59"/>
      <c r="D439" s="59"/>
      <c r="E439" s="59"/>
      <c r="F439" s="1"/>
      <c r="G439" s="9"/>
      <c r="H439" s="1"/>
      <c r="I439" s="186"/>
      <c r="J439" s="1"/>
      <c r="K439" s="1"/>
      <c r="L439" s="1"/>
      <c r="M439" s="197"/>
      <c r="N439" s="14"/>
      <c r="O439" s="204"/>
      <c r="P439" s="1"/>
    </row>
    <row r="440" spans="2:16">
      <c r="B440" s="7"/>
      <c r="C440" s="59"/>
      <c r="D440" s="59"/>
      <c r="E440" s="59"/>
      <c r="F440" s="1"/>
      <c r="G440" s="9"/>
      <c r="H440" s="1"/>
      <c r="I440" s="186"/>
      <c r="J440" s="1"/>
      <c r="K440" s="1"/>
      <c r="L440" s="1" t="s">
        <v>315</v>
      </c>
      <c r="M440" s="197"/>
      <c r="N440" s="14">
        <f>Tabela138910111213[[#This Row],[Valor recibo]]</f>
        <v>0</v>
      </c>
      <c r="O440" s="204"/>
      <c r="P440" s="1"/>
    </row>
    <row r="448" spans="2:16">
      <c r="C448" t="s">
        <v>329</v>
      </c>
    </row>
  </sheetData>
  <autoFilter ref="G441" xr:uid="{6AE87EAB-FEB8-4AA1-8AF8-A6C374DACD80}"/>
  <conditionalFormatting sqref="A1:A5 A7:A1048576">
    <cfRule type="duplicateValues" dxfId="349" priority="5"/>
  </conditionalFormatting>
  <conditionalFormatting sqref="A3:A5 A7:A60">
    <cfRule type="duplicateValues" dxfId="348" priority="11"/>
  </conditionalFormatting>
  <conditionalFormatting sqref="A3:A5 A7:A323">
    <cfRule type="duplicateValues" dxfId="347" priority="930"/>
  </conditionalFormatting>
  <conditionalFormatting sqref="A3:A5 A7:A373">
    <cfRule type="duplicateValues" dxfId="346" priority="933"/>
  </conditionalFormatting>
  <conditionalFormatting sqref="A86">
    <cfRule type="cellIs" dxfId="345" priority="21" operator="equal">
      <formula>"CANCELADO"</formula>
    </cfRule>
  </conditionalFormatting>
  <conditionalFormatting sqref="A250:A304">
    <cfRule type="duplicateValues" dxfId="344" priority="4"/>
  </conditionalFormatting>
  <conditionalFormatting sqref="F101">
    <cfRule type="cellIs" dxfId="343" priority="10" operator="equal">
      <formula>"Interior"</formula>
    </cfRule>
  </conditionalFormatting>
  <conditionalFormatting sqref="L3:L440">
    <cfRule type="cellIs" dxfId="342" priority="1" operator="equal">
      <formula>"LANÇADO"</formula>
    </cfRule>
    <cfRule type="cellIs" dxfId="341" priority="2" operator="equal">
      <formula>"PENDENTE"</formula>
    </cfRule>
  </conditionalFormatting>
  <conditionalFormatting sqref="N3 N5:N6 N8:N33 N35:N83 N85:N86 N88:N241 N244:N247">
    <cfRule type="cellIs" dxfId="340" priority="3" operator="lessThan">
      <formula>0</formula>
    </cfRule>
  </conditionalFormatting>
  <conditionalFormatting sqref="N3:O4">
    <cfRule type="cellIs" dxfId="339" priority="17" operator="lessThan">
      <formula>0</formula>
    </cfRule>
  </conditionalFormatting>
  <conditionalFormatting sqref="N7:O7">
    <cfRule type="cellIs" dxfId="338" priority="12" operator="lessThan">
      <formula>0</formula>
    </cfRule>
  </conditionalFormatting>
  <conditionalFormatting sqref="N34:O34">
    <cfRule type="cellIs" dxfId="337" priority="18" operator="lessThan">
      <formula>0</formula>
    </cfRule>
  </conditionalFormatting>
  <conditionalFormatting sqref="O1:O3 O5:O6 O8:O33 O35:O83 O85:O86 O88:O241 O244:O247 N249:N404 O249:O1048576">
    <cfRule type="cellIs" dxfId="336" priority="24" operator="lessThan">
      <formula>0</formula>
    </cfRule>
  </conditionalFormatting>
  <dataValidations count="5">
    <dataValidation type="list" allowBlank="1" showInputMessage="1" showErrorMessage="1" sqref="K3:K331" xr:uid="{1EC853E7-8271-44D3-B7AF-145F78081EBA}">
      <formula1>"PENDENTE,ANEXADO,ISENTO"</formula1>
    </dataValidation>
    <dataValidation type="list" allowBlank="1" showInputMessage="1" showErrorMessage="1" sqref="K332:K404" xr:uid="{219AAE61-2BF2-4704-9D8D-91F572030091}">
      <formula1>"PENDENTE,ANEXADO"</formula1>
    </dataValidation>
    <dataValidation type="list" allowBlank="1" showInputMessage="1" showErrorMessage="1" sqref="J352:J404" xr:uid="{02B62168-3218-46F0-B075-EFD922E9B62C}">
      <formula1>"PENDENTE,OK"</formula1>
    </dataValidation>
    <dataValidation type="list" allowBlank="1" showInputMessage="1" showErrorMessage="1" sqref="C209 C315 L3:L440" xr:uid="{E19F5614-EBC5-42EA-8C4A-7B3F9E6B3E57}">
      <formula1>"LANÇADO,PENDENTE"</formula1>
    </dataValidation>
    <dataValidation type="list" allowBlank="1" showInputMessage="1" showErrorMessage="1" sqref="J3:J351" xr:uid="{A2BF50B6-89DC-48F1-9DD2-F2FE389F64B6}">
      <formula1>"PENDENTE,OK,ISENTO"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9967-F786-470C-8DEA-65AB4A9DF5AB}">
  <dimension ref="A1:P490"/>
  <sheetViews>
    <sheetView showGridLines="0" zoomScale="80" zoomScaleNormal="80" workbookViewId="0">
      <pane ySplit="2" topLeftCell="A3" activePane="bottomLeft" state="frozen"/>
      <selection pane="bottomLeft" activeCell="N1" sqref="N1"/>
    </sheetView>
  </sheetViews>
  <sheetFormatPr defaultRowHeight="15"/>
  <cols>
    <col min="1" max="1" width="16.85546875" style="1" customWidth="1"/>
    <col min="2" max="2" width="13.28515625" hidden="1" customWidth="1"/>
    <col min="3" max="3" width="12" hidden="1" customWidth="1"/>
    <col min="4" max="4" width="20.42578125" hidden="1" customWidth="1"/>
    <col min="5" max="5" width="7.7109375" hidden="1" customWidth="1"/>
    <col min="6" max="6" width="70.7109375" customWidth="1"/>
    <col min="7" max="7" width="18" customWidth="1"/>
    <col min="8" max="8" width="13.42578125" customWidth="1"/>
    <col min="9" max="9" width="14" style="60" customWidth="1"/>
    <col min="10" max="10" width="13.85546875" customWidth="1"/>
    <col min="11" max="11" width="8" hidden="1" customWidth="1"/>
    <col min="12" max="12" width="15.7109375" customWidth="1"/>
    <col min="13" max="13" width="21.140625" style="1" customWidth="1"/>
    <col min="14" max="14" width="18.42578125" style="14" bestFit="1" customWidth="1"/>
    <col min="15" max="15" width="14.5703125" customWidth="1"/>
    <col min="16" max="16" width="16.7109375" customWidth="1"/>
  </cols>
  <sheetData>
    <row r="1" spans="1:16" ht="15.75">
      <c r="A1" s="205"/>
      <c r="B1" s="206"/>
      <c r="C1" s="206"/>
      <c r="D1" s="206"/>
      <c r="E1" s="206"/>
      <c r="F1" s="206"/>
      <c r="G1" s="206"/>
      <c r="H1" s="206"/>
      <c r="I1" s="207"/>
      <c r="J1" s="206"/>
      <c r="K1" s="206"/>
      <c r="L1" s="206"/>
      <c r="M1" s="205"/>
      <c r="N1" s="218">
        <f>SUBTOTAL(9,Tabela1389101112131415[Match_Planilha])</f>
        <v>33625.449999999997</v>
      </c>
      <c r="O1" s="208">
        <f>SUBTOTAL(9,Tabela1389101112131415[Dif])</f>
        <v>0</v>
      </c>
      <c r="P1" s="206"/>
    </row>
    <row r="2" spans="1:16" ht="20.25" customHeight="1">
      <c r="A2" s="209" t="s">
        <v>0</v>
      </c>
      <c r="B2" s="210" t="s">
        <v>1</v>
      </c>
      <c r="C2" s="210" t="s">
        <v>316</v>
      </c>
      <c r="D2" s="210" t="s">
        <v>3</v>
      </c>
      <c r="E2" s="210" t="s">
        <v>4</v>
      </c>
      <c r="F2" s="210" t="s">
        <v>5</v>
      </c>
      <c r="G2" s="210" t="s">
        <v>6</v>
      </c>
      <c r="H2" s="210" t="s">
        <v>7</v>
      </c>
      <c r="I2" s="211" t="s">
        <v>8</v>
      </c>
      <c r="J2" s="210" t="s">
        <v>9</v>
      </c>
      <c r="K2" s="210" t="s">
        <v>10</v>
      </c>
      <c r="L2" s="212" t="s">
        <v>11</v>
      </c>
      <c r="M2" s="212" t="s">
        <v>12</v>
      </c>
      <c r="N2" s="213" t="s">
        <v>13</v>
      </c>
      <c r="O2" s="214" t="s">
        <v>14</v>
      </c>
      <c r="P2" s="212" t="s">
        <v>15</v>
      </c>
    </row>
    <row r="3" spans="1:16" ht="15.75">
      <c r="A3" s="205">
        <v>19450071</v>
      </c>
      <c r="B3" s="205"/>
      <c r="C3" s="205"/>
      <c r="D3" s="205"/>
      <c r="E3" s="205"/>
      <c r="F3" s="205">
        <v>53239</v>
      </c>
      <c r="G3" s="215">
        <v>45691</v>
      </c>
      <c r="H3" s="215">
        <v>45691</v>
      </c>
      <c r="I3" s="216">
        <v>0</v>
      </c>
      <c r="J3" s="205" t="s">
        <v>17</v>
      </c>
      <c r="K3" s="205"/>
      <c r="L3" s="205" t="s">
        <v>18</v>
      </c>
      <c r="M3" s="215">
        <v>45691</v>
      </c>
      <c r="N3" s="218">
        <f>Tabela1389101112131415[[#This Row],[Valor recibo]]</f>
        <v>0</v>
      </c>
      <c r="O3" s="217"/>
      <c r="P3" s="205" t="s">
        <v>330</v>
      </c>
    </row>
    <row r="4" spans="1:16" ht="15.75">
      <c r="A4" s="205">
        <v>19390987</v>
      </c>
      <c r="B4" s="205"/>
      <c r="C4" s="205"/>
      <c r="D4" s="205"/>
      <c r="E4" s="205"/>
      <c r="F4" s="205">
        <v>51778</v>
      </c>
      <c r="G4" s="215">
        <v>45681</v>
      </c>
      <c r="H4" s="215">
        <v>45712</v>
      </c>
      <c r="I4" s="216">
        <v>532</v>
      </c>
      <c r="J4" s="205" t="s">
        <v>17</v>
      </c>
      <c r="K4" s="205"/>
      <c r="L4" s="205" t="s">
        <v>18</v>
      </c>
      <c r="M4" s="215">
        <v>45691</v>
      </c>
      <c r="N4" s="218">
        <f>Tabela1389101112131415[[#This Row],[Valor recibo]]</f>
        <v>532</v>
      </c>
      <c r="O4" s="217"/>
      <c r="P4" s="205" t="s">
        <v>330</v>
      </c>
    </row>
    <row r="5" spans="1:16" ht="15.75">
      <c r="A5" s="205">
        <v>19443170</v>
      </c>
      <c r="B5" s="205"/>
      <c r="C5" s="205"/>
      <c r="D5" s="205"/>
      <c r="E5" s="205"/>
      <c r="F5" s="205">
        <v>52908</v>
      </c>
      <c r="G5" s="215">
        <v>45688</v>
      </c>
      <c r="H5" s="215">
        <v>45688</v>
      </c>
      <c r="I5" s="216">
        <v>476</v>
      </c>
      <c r="J5" s="205" t="s">
        <v>17</v>
      </c>
      <c r="K5" s="205"/>
      <c r="L5" s="205" t="s">
        <v>18</v>
      </c>
      <c r="M5" s="215">
        <v>45691</v>
      </c>
      <c r="N5" s="218">
        <f>Tabela1389101112131415[[#This Row],[Valor recibo]]</f>
        <v>476</v>
      </c>
      <c r="O5" s="217"/>
      <c r="P5" s="205" t="s">
        <v>330</v>
      </c>
    </row>
    <row r="6" spans="1:16" ht="15.75">
      <c r="A6" s="205">
        <v>19441830</v>
      </c>
      <c r="B6" s="205"/>
      <c r="C6" s="205"/>
      <c r="D6" s="205"/>
      <c r="E6" s="205"/>
      <c r="F6" s="205" t="s">
        <v>331</v>
      </c>
      <c r="G6" s="215">
        <v>45691</v>
      </c>
      <c r="H6" s="215">
        <v>45691</v>
      </c>
      <c r="I6" s="216">
        <v>442</v>
      </c>
      <c r="J6" s="205" t="s">
        <v>17</v>
      </c>
      <c r="K6" s="205"/>
      <c r="L6" s="205" t="s">
        <v>18</v>
      </c>
      <c r="M6" s="215">
        <v>45691</v>
      </c>
      <c r="N6" s="218">
        <f>Tabela1389101112131415[[#This Row],[Valor recibo]]</f>
        <v>442</v>
      </c>
      <c r="O6" s="217"/>
      <c r="P6" s="205" t="s">
        <v>330</v>
      </c>
    </row>
    <row r="7" spans="1:16" ht="15.75">
      <c r="A7" s="205">
        <v>19448927</v>
      </c>
      <c r="B7" s="215"/>
      <c r="C7" s="205"/>
      <c r="D7" s="205"/>
      <c r="E7" s="205"/>
      <c r="F7" s="205">
        <v>53238</v>
      </c>
      <c r="G7" s="215">
        <v>45689</v>
      </c>
      <c r="H7" s="215">
        <v>45689</v>
      </c>
      <c r="I7" s="216">
        <v>476</v>
      </c>
      <c r="J7" s="205" t="s">
        <v>17</v>
      </c>
      <c r="K7" s="205"/>
      <c r="L7" s="205" t="s">
        <v>18</v>
      </c>
      <c r="M7" s="215">
        <v>45691</v>
      </c>
      <c r="N7" s="218">
        <f>Tabela1389101112131415[[#This Row],[Valor recibo]]</f>
        <v>476</v>
      </c>
      <c r="O7" s="216"/>
      <c r="P7" s="205" t="s">
        <v>330</v>
      </c>
    </row>
    <row r="8" spans="1:16" ht="15.75">
      <c r="A8" s="205">
        <v>19443972</v>
      </c>
      <c r="B8" s="215"/>
      <c r="C8" s="205"/>
      <c r="D8" s="205"/>
      <c r="E8" s="205"/>
      <c r="F8" s="205" t="s">
        <v>332</v>
      </c>
      <c r="G8" s="215">
        <v>45688</v>
      </c>
      <c r="H8" s="215">
        <v>45688</v>
      </c>
      <c r="I8" s="216">
        <v>1645</v>
      </c>
      <c r="J8" s="205" t="s">
        <v>17</v>
      </c>
      <c r="K8" s="205"/>
      <c r="L8" s="205" t="s">
        <v>18</v>
      </c>
      <c r="M8" s="215">
        <v>45691</v>
      </c>
      <c r="N8" s="218">
        <f>Tabela1389101112131415[[#This Row],[Valor recibo]]</f>
        <v>1645</v>
      </c>
      <c r="O8" s="216"/>
      <c r="P8" s="205" t="s">
        <v>330</v>
      </c>
    </row>
    <row r="9" spans="1:16" ht="15.75">
      <c r="A9" s="205">
        <v>19405481</v>
      </c>
      <c r="B9" s="215"/>
      <c r="C9" s="205"/>
      <c r="D9" s="205"/>
      <c r="E9" s="205"/>
      <c r="F9" s="205">
        <v>53231</v>
      </c>
      <c r="G9" s="215">
        <v>45689</v>
      </c>
      <c r="H9" s="215">
        <v>45689</v>
      </c>
      <c r="I9" s="216">
        <v>0</v>
      </c>
      <c r="J9" s="205" t="s">
        <v>17</v>
      </c>
      <c r="K9" s="205"/>
      <c r="L9" s="205" t="s">
        <v>18</v>
      </c>
      <c r="M9" s="215">
        <v>45691</v>
      </c>
      <c r="N9" s="218">
        <f>Tabela1389101112131415[[#This Row],[Valor recibo]]</f>
        <v>0</v>
      </c>
      <c r="O9" s="216"/>
      <c r="P9" s="205" t="s">
        <v>330</v>
      </c>
    </row>
    <row r="10" spans="1:16" ht="15.75">
      <c r="A10" s="205">
        <v>19427603</v>
      </c>
      <c r="B10" s="215"/>
      <c r="C10" s="205"/>
      <c r="D10" s="205"/>
      <c r="E10" s="205"/>
      <c r="F10" s="205" t="s">
        <v>333</v>
      </c>
      <c r="G10" s="215">
        <v>45686</v>
      </c>
      <c r="H10" s="215">
        <v>45686</v>
      </c>
      <c r="I10" s="216">
        <v>476</v>
      </c>
      <c r="J10" s="205" t="s">
        <v>17</v>
      </c>
      <c r="K10" s="205"/>
      <c r="L10" s="205" t="s">
        <v>18</v>
      </c>
      <c r="M10" s="215">
        <v>45691</v>
      </c>
      <c r="N10" s="218">
        <f>Tabela1389101112131415[[#This Row],[Valor recibo]]</f>
        <v>476</v>
      </c>
      <c r="O10" s="216"/>
      <c r="P10" s="205" t="s">
        <v>330</v>
      </c>
    </row>
    <row r="11" spans="1:16" ht="15.75">
      <c r="A11" s="205">
        <v>19429660</v>
      </c>
      <c r="B11" s="215"/>
      <c r="C11" s="205"/>
      <c r="D11" s="205"/>
      <c r="E11" s="205"/>
      <c r="F11" s="205">
        <v>52983</v>
      </c>
      <c r="G11" s="215">
        <v>45688</v>
      </c>
      <c r="H11" s="215">
        <v>45688</v>
      </c>
      <c r="I11" s="216">
        <v>476</v>
      </c>
      <c r="J11" s="205" t="s">
        <v>17</v>
      </c>
      <c r="K11" s="205"/>
      <c r="L11" s="205" t="s">
        <v>18</v>
      </c>
      <c r="M11" s="215">
        <v>45691</v>
      </c>
      <c r="N11" s="218">
        <f>Tabela1389101112131415[[#This Row],[Valor recibo]]</f>
        <v>476</v>
      </c>
      <c r="O11" s="216"/>
      <c r="P11" s="205" t="s">
        <v>330</v>
      </c>
    </row>
    <row r="12" spans="1:16" ht="15.75">
      <c r="A12" s="205">
        <v>19434342</v>
      </c>
      <c r="B12" s="215"/>
      <c r="C12" s="205"/>
      <c r="D12" s="205"/>
      <c r="E12" s="205"/>
      <c r="F12" s="205" t="s">
        <v>334</v>
      </c>
      <c r="G12" s="215">
        <v>45688</v>
      </c>
      <c r="H12" s="215">
        <v>45688</v>
      </c>
      <c r="I12" s="216">
        <v>238</v>
      </c>
      <c r="J12" s="205" t="s">
        <v>17</v>
      </c>
      <c r="K12" s="205"/>
      <c r="L12" s="205" t="s">
        <v>18</v>
      </c>
      <c r="M12" s="215">
        <v>45691</v>
      </c>
      <c r="N12" s="218">
        <f>Tabela1389101112131415[[#This Row],[Valor recibo]]</f>
        <v>238</v>
      </c>
      <c r="O12" s="216"/>
      <c r="P12" s="205" t="s">
        <v>330</v>
      </c>
    </row>
    <row r="13" spans="1:16" ht="15.75">
      <c r="A13" s="205">
        <v>19432719</v>
      </c>
      <c r="B13" s="215"/>
      <c r="C13" s="205"/>
      <c r="D13" s="205"/>
      <c r="E13" s="205"/>
      <c r="F13" s="205">
        <v>52822</v>
      </c>
      <c r="G13" s="215">
        <v>45688</v>
      </c>
      <c r="H13" s="215">
        <v>45688</v>
      </c>
      <c r="I13" s="216">
        <v>1485.8</v>
      </c>
      <c r="J13" s="205" t="s">
        <v>17</v>
      </c>
      <c r="K13" s="205"/>
      <c r="L13" s="205" t="s">
        <v>18</v>
      </c>
      <c r="M13" s="215">
        <v>45691</v>
      </c>
      <c r="N13" s="218">
        <f>Tabela1389101112131415[[#This Row],[Valor recibo]]</f>
        <v>1485.8</v>
      </c>
      <c r="O13" s="216"/>
      <c r="P13" s="205" t="s">
        <v>330</v>
      </c>
    </row>
    <row r="14" spans="1:16" ht="15.75">
      <c r="A14" s="205">
        <v>19432500</v>
      </c>
      <c r="B14" s="215"/>
      <c r="C14" s="205"/>
      <c r="D14" s="205"/>
      <c r="E14" s="205"/>
      <c r="F14" s="205">
        <v>53026</v>
      </c>
      <c r="G14" s="215">
        <v>45688</v>
      </c>
      <c r="H14" s="215">
        <v>45688</v>
      </c>
      <c r="I14" s="216">
        <v>420</v>
      </c>
      <c r="J14" s="205" t="s">
        <v>17</v>
      </c>
      <c r="K14" s="205"/>
      <c r="L14" s="205" t="s">
        <v>18</v>
      </c>
      <c r="M14" s="215">
        <v>45691</v>
      </c>
      <c r="N14" s="218">
        <f>Tabela1389101112131415[[#This Row],[Valor recibo]]</f>
        <v>420</v>
      </c>
      <c r="O14" s="216"/>
      <c r="P14" s="205" t="s">
        <v>330</v>
      </c>
    </row>
    <row r="15" spans="1:16" ht="15.75">
      <c r="A15" s="205">
        <v>19444201</v>
      </c>
      <c r="B15" s="215"/>
      <c r="C15" s="205"/>
      <c r="D15" s="205"/>
      <c r="E15" s="205"/>
      <c r="F15" s="205">
        <v>24781</v>
      </c>
      <c r="G15" s="215">
        <v>45688</v>
      </c>
      <c r="H15" s="215">
        <v>45688</v>
      </c>
      <c r="I15" s="216">
        <v>489</v>
      </c>
      <c r="J15" s="205" t="s">
        <v>17</v>
      </c>
      <c r="K15" s="205"/>
      <c r="L15" s="205" t="s">
        <v>18</v>
      </c>
      <c r="M15" s="215">
        <v>45691</v>
      </c>
      <c r="N15" s="218">
        <f>Tabela1389101112131415[[#This Row],[Valor recibo]]</f>
        <v>489</v>
      </c>
      <c r="O15" s="216"/>
      <c r="P15" s="205" t="s">
        <v>330</v>
      </c>
    </row>
    <row r="16" spans="1:16" ht="15.75">
      <c r="A16" s="205">
        <v>19444686</v>
      </c>
      <c r="B16" s="215"/>
      <c r="C16" s="205"/>
      <c r="D16" s="205"/>
      <c r="E16" s="205"/>
      <c r="F16" s="205">
        <v>52843</v>
      </c>
      <c r="G16" s="215">
        <v>45688</v>
      </c>
      <c r="H16" s="215">
        <v>45688</v>
      </c>
      <c r="I16" s="216">
        <v>476</v>
      </c>
      <c r="J16" s="205" t="s">
        <v>17</v>
      </c>
      <c r="K16" s="205"/>
      <c r="L16" s="205" t="s">
        <v>18</v>
      </c>
      <c r="M16" s="215">
        <v>45691</v>
      </c>
      <c r="N16" s="218">
        <f>Tabela1389101112131415[[#This Row],[Valor recibo]]</f>
        <v>476</v>
      </c>
      <c r="O16" s="216"/>
      <c r="P16" s="205" t="s">
        <v>330</v>
      </c>
    </row>
    <row r="17" spans="1:16" ht="15.75">
      <c r="A17" s="205">
        <v>19442074</v>
      </c>
      <c r="B17" s="215"/>
      <c r="C17" s="205"/>
      <c r="D17" s="205"/>
      <c r="E17" s="205"/>
      <c r="F17" s="205">
        <v>53046</v>
      </c>
      <c r="G17" s="215">
        <v>45688</v>
      </c>
      <c r="H17" s="215">
        <v>45688</v>
      </c>
      <c r="I17" s="216">
        <v>476</v>
      </c>
      <c r="J17" s="205" t="s">
        <v>17</v>
      </c>
      <c r="K17" s="205"/>
      <c r="L17" s="205" t="s">
        <v>18</v>
      </c>
      <c r="M17" s="215">
        <v>45691</v>
      </c>
      <c r="N17" s="218">
        <f>Tabela1389101112131415[[#This Row],[Valor recibo]]</f>
        <v>476</v>
      </c>
      <c r="O17" s="216"/>
      <c r="P17" s="205" t="s">
        <v>330</v>
      </c>
    </row>
    <row r="18" spans="1:16" ht="15.75">
      <c r="A18" s="205">
        <v>19444707</v>
      </c>
      <c r="B18" s="215"/>
      <c r="C18" s="205"/>
      <c r="D18" s="205"/>
      <c r="E18" s="205"/>
      <c r="F18" s="205">
        <v>53233</v>
      </c>
      <c r="G18" s="215">
        <v>45689</v>
      </c>
      <c r="H18" s="215">
        <v>45689</v>
      </c>
      <c r="I18" s="216">
        <v>476</v>
      </c>
      <c r="J18" s="205" t="s">
        <v>17</v>
      </c>
      <c r="K18" s="205"/>
      <c r="L18" s="205" t="s">
        <v>18</v>
      </c>
      <c r="M18" s="215">
        <v>45691</v>
      </c>
      <c r="N18" s="218">
        <f>Tabela1389101112131415[[#This Row],[Valor recibo]]</f>
        <v>476</v>
      </c>
      <c r="O18" s="216"/>
      <c r="P18" s="205" t="s">
        <v>330</v>
      </c>
    </row>
    <row r="19" spans="1:16" ht="15.75">
      <c r="A19" s="205">
        <v>19448928</v>
      </c>
      <c r="B19" s="215"/>
      <c r="C19" s="205"/>
      <c r="D19" s="205"/>
      <c r="E19" s="205"/>
      <c r="F19" s="205">
        <v>53256</v>
      </c>
      <c r="G19" s="215">
        <v>45689</v>
      </c>
      <c r="H19" s="215">
        <v>45689</v>
      </c>
      <c r="I19" s="216">
        <v>476</v>
      </c>
      <c r="J19" s="205" t="s">
        <v>17</v>
      </c>
      <c r="K19" s="205"/>
      <c r="L19" s="205" t="s">
        <v>18</v>
      </c>
      <c r="M19" s="215">
        <v>45691</v>
      </c>
      <c r="N19" s="218">
        <f>Tabela1389101112131415[[#This Row],[Valor recibo]]</f>
        <v>476</v>
      </c>
      <c r="O19" s="216"/>
      <c r="P19" s="205" t="s">
        <v>330</v>
      </c>
    </row>
    <row r="20" spans="1:16" ht="15.75">
      <c r="A20" s="205">
        <v>19429669</v>
      </c>
      <c r="B20" s="215"/>
      <c r="C20" s="205"/>
      <c r="D20" s="205"/>
      <c r="E20" s="205"/>
      <c r="F20" s="205">
        <v>52861</v>
      </c>
      <c r="G20" s="215">
        <v>45688</v>
      </c>
      <c r="H20" s="215">
        <v>45688</v>
      </c>
      <c r="I20" s="216">
        <v>476</v>
      </c>
      <c r="J20" s="205" t="s">
        <v>17</v>
      </c>
      <c r="K20" s="205"/>
      <c r="L20" s="205" t="s">
        <v>18</v>
      </c>
      <c r="M20" s="215">
        <v>45691</v>
      </c>
      <c r="N20" s="218">
        <f>Tabela1389101112131415[[#This Row],[Valor recibo]]</f>
        <v>476</v>
      </c>
      <c r="O20" s="216"/>
      <c r="P20" s="221" t="s">
        <v>315</v>
      </c>
    </row>
    <row r="21" spans="1:16" ht="15.75">
      <c r="A21" s="205">
        <v>19444202</v>
      </c>
      <c r="B21" s="215"/>
      <c r="C21" s="205"/>
      <c r="D21" s="205"/>
      <c r="E21" s="205"/>
      <c r="F21" s="205">
        <v>24763</v>
      </c>
      <c r="G21" s="215">
        <v>45689</v>
      </c>
      <c r="H21" s="215">
        <v>45689</v>
      </c>
      <c r="I21" s="216">
        <v>864</v>
      </c>
      <c r="J21" s="205" t="s">
        <v>17</v>
      </c>
      <c r="K21" s="205"/>
      <c r="L21" s="205" t="s">
        <v>18</v>
      </c>
      <c r="M21" s="215">
        <v>45691</v>
      </c>
      <c r="N21" s="218">
        <f>Tabela1389101112131415[[#This Row],[Valor recibo]]</f>
        <v>864</v>
      </c>
      <c r="O21" s="216"/>
      <c r="P21" s="205" t="s">
        <v>330</v>
      </c>
    </row>
    <row r="22" spans="1:16" ht="15.75">
      <c r="A22" s="205">
        <v>19449915</v>
      </c>
      <c r="B22" s="215"/>
      <c r="C22" s="205"/>
      <c r="D22" s="205"/>
      <c r="E22" s="205"/>
      <c r="F22" s="205">
        <v>53252</v>
      </c>
      <c r="G22" s="215">
        <v>45689</v>
      </c>
      <c r="H22" s="215">
        <v>45689</v>
      </c>
      <c r="I22" s="216">
        <v>0</v>
      </c>
      <c r="J22" s="205" t="s">
        <v>17</v>
      </c>
      <c r="K22" s="205"/>
      <c r="L22" s="205" t="s">
        <v>18</v>
      </c>
      <c r="M22" s="215">
        <v>45691</v>
      </c>
      <c r="N22" s="218">
        <f>Tabela1389101112131415[[#This Row],[Valor recibo]]</f>
        <v>0</v>
      </c>
      <c r="O22" s="216"/>
      <c r="P22" s="205" t="s">
        <v>330</v>
      </c>
    </row>
    <row r="23" spans="1:16" ht="15.75">
      <c r="A23" s="205">
        <v>19449912</v>
      </c>
      <c r="B23" s="215"/>
      <c r="C23" s="205"/>
      <c r="D23" s="205"/>
      <c r="E23" s="205"/>
      <c r="F23" s="205" t="s">
        <v>335</v>
      </c>
      <c r="G23" s="215">
        <v>45689</v>
      </c>
      <c r="H23" s="215">
        <v>45689</v>
      </c>
      <c r="I23" s="216">
        <v>0</v>
      </c>
      <c r="J23" s="205" t="s">
        <v>17</v>
      </c>
      <c r="K23" s="205"/>
      <c r="L23" s="205" t="s">
        <v>18</v>
      </c>
      <c r="M23" s="215">
        <v>45691</v>
      </c>
      <c r="N23" s="218">
        <f>Tabela1389101112131415[[#This Row],[Valor recibo]]</f>
        <v>0</v>
      </c>
      <c r="O23" s="216"/>
      <c r="P23" s="205" t="s">
        <v>330</v>
      </c>
    </row>
    <row r="24" spans="1:16" ht="15.75">
      <c r="A24" s="205">
        <v>19448925</v>
      </c>
      <c r="B24" s="215"/>
      <c r="C24" s="205"/>
      <c r="D24" s="205"/>
      <c r="E24" s="205"/>
      <c r="F24" s="205">
        <v>53235</v>
      </c>
      <c r="G24" s="215">
        <v>45689</v>
      </c>
      <c r="H24" s="215">
        <v>45689</v>
      </c>
      <c r="I24" s="216">
        <v>476</v>
      </c>
      <c r="J24" s="205" t="s">
        <v>17</v>
      </c>
      <c r="K24" s="205"/>
      <c r="L24" s="205" t="s">
        <v>18</v>
      </c>
      <c r="M24" s="215">
        <v>45691</v>
      </c>
      <c r="N24" s="218">
        <f>Tabela1389101112131415[[#This Row],[Valor recibo]]</f>
        <v>476</v>
      </c>
      <c r="O24" s="216"/>
      <c r="P24" s="205" t="s">
        <v>330</v>
      </c>
    </row>
    <row r="25" spans="1:16" ht="15.75">
      <c r="A25" s="205">
        <v>19429396</v>
      </c>
      <c r="B25" s="215"/>
      <c r="C25" s="205"/>
      <c r="D25" s="205"/>
      <c r="E25" s="205"/>
      <c r="F25" s="205" t="s">
        <v>336</v>
      </c>
      <c r="G25" s="215">
        <v>45691</v>
      </c>
      <c r="H25" s="215">
        <v>45691</v>
      </c>
      <c r="I25" s="216">
        <v>476</v>
      </c>
      <c r="J25" s="205" t="s">
        <v>17</v>
      </c>
      <c r="K25" s="205"/>
      <c r="L25" s="205" t="s">
        <v>18</v>
      </c>
      <c r="M25" s="215">
        <v>45691</v>
      </c>
      <c r="N25" s="218">
        <f>Tabela1389101112131415[[#This Row],[Valor recibo]]</f>
        <v>476</v>
      </c>
      <c r="O25" s="216"/>
      <c r="P25" s="205" t="s">
        <v>330</v>
      </c>
    </row>
    <row r="26" spans="1:16" ht="15.75">
      <c r="A26" s="205">
        <v>19405482</v>
      </c>
      <c r="B26" s="215"/>
      <c r="C26" s="205"/>
      <c r="D26" s="205"/>
      <c r="E26" s="205"/>
      <c r="F26" s="205" t="s">
        <v>337</v>
      </c>
      <c r="G26" s="215">
        <v>45691</v>
      </c>
      <c r="H26" s="215">
        <v>45691</v>
      </c>
      <c r="I26" s="216">
        <v>0</v>
      </c>
      <c r="J26" s="205" t="s">
        <v>17</v>
      </c>
      <c r="K26" s="205"/>
      <c r="L26" s="205" t="s">
        <v>18</v>
      </c>
      <c r="M26" s="215">
        <v>45691</v>
      </c>
      <c r="N26" s="218">
        <f>Tabela1389101112131415[[#This Row],[Valor recibo]]</f>
        <v>0</v>
      </c>
      <c r="O26" s="216"/>
      <c r="P26" s="205" t="s">
        <v>330</v>
      </c>
    </row>
    <row r="27" spans="1:16" ht="15.75">
      <c r="A27" s="205">
        <v>19436253</v>
      </c>
      <c r="B27" s="215"/>
      <c r="C27" s="205"/>
      <c r="D27" s="205"/>
      <c r="E27" s="205"/>
      <c r="F27" s="205" t="s">
        <v>338</v>
      </c>
      <c r="G27" s="215">
        <v>45691</v>
      </c>
      <c r="H27" s="215">
        <v>45691</v>
      </c>
      <c r="I27" s="216">
        <v>238</v>
      </c>
      <c r="J27" s="205" t="s">
        <v>17</v>
      </c>
      <c r="K27" s="205"/>
      <c r="L27" s="205" t="s">
        <v>18</v>
      </c>
      <c r="M27" s="215">
        <v>45691</v>
      </c>
      <c r="N27" s="218">
        <f>Tabela1389101112131415[[#This Row],[Valor recibo]]</f>
        <v>238</v>
      </c>
      <c r="O27" s="216"/>
      <c r="P27" s="205" t="s">
        <v>330</v>
      </c>
    </row>
    <row r="28" spans="1:16" ht="15.75">
      <c r="A28" s="205">
        <v>19443508</v>
      </c>
      <c r="B28" s="215"/>
      <c r="C28" s="205"/>
      <c r="D28" s="205"/>
      <c r="E28" s="205"/>
      <c r="F28" s="205" t="s">
        <v>339</v>
      </c>
      <c r="G28" s="215">
        <v>45688</v>
      </c>
      <c r="H28" s="215">
        <v>45688</v>
      </c>
      <c r="I28" s="216">
        <v>1687.5</v>
      </c>
      <c r="J28" s="205" t="s">
        <v>17</v>
      </c>
      <c r="K28" s="205"/>
      <c r="L28" s="205" t="s">
        <v>18</v>
      </c>
      <c r="M28" s="215">
        <v>45691</v>
      </c>
      <c r="N28" s="218">
        <f>Tabela1389101112131415[[#This Row],[Valor recibo]]</f>
        <v>1687.5</v>
      </c>
      <c r="O28" s="216"/>
      <c r="P28" s="205" t="s">
        <v>330</v>
      </c>
    </row>
    <row r="29" spans="1:16" ht="15.75">
      <c r="A29" s="205">
        <v>19444455</v>
      </c>
      <c r="B29" s="215"/>
      <c r="C29" s="205"/>
      <c r="D29" s="205"/>
      <c r="E29" s="205"/>
      <c r="F29" s="205" t="s">
        <v>340</v>
      </c>
      <c r="G29" s="215">
        <v>45691</v>
      </c>
      <c r="H29" s="215">
        <v>45691</v>
      </c>
      <c r="I29" s="216">
        <v>476</v>
      </c>
      <c r="J29" s="205" t="s">
        <v>17</v>
      </c>
      <c r="K29" s="205"/>
      <c r="L29" s="205" t="s">
        <v>18</v>
      </c>
      <c r="M29" s="215">
        <v>45691</v>
      </c>
      <c r="N29" s="218">
        <f>Tabela1389101112131415[[#This Row],[Valor recibo]]</f>
        <v>476</v>
      </c>
      <c r="O29" s="216"/>
      <c r="P29" s="221" t="s">
        <v>315</v>
      </c>
    </row>
    <row r="30" spans="1:16" ht="15.75">
      <c r="A30" s="205">
        <v>19427692</v>
      </c>
      <c r="B30" s="215"/>
      <c r="C30" s="205"/>
      <c r="D30" s="205"/>
      <c r="E30" s="205"/>
      <c r="F30" s="205" t="s">
        <v>341</v>
      </c>
      <c r="G30" s="215">
        <v>45691</v>
      </c>
      <c r="H30" s="215">
        <v>45691</v>
      </c>
      <c r="I30" s="216">
        <v>476</v>
      </c>
      <c r="J30" s="205" t="s">
        <v>17</v>
      </c>
      <c r="K30" s="205"/>
      <c r="L30" s="205" t="s">
        <v>18</v>
      </c>
      <c r="M30" s="215">
        <v>45691</v>
      </c>
      <c r="N30" s="218">
        <f>Tabela1389101112131415[[#This Row],[Valor recibo]]</f>
        <v>476</v>
      </c>
      <c r="O30" s="216"/>
      <c r="P30" s="205" t="s">
        <v>330</v>
      </c>
    </row>
    <row r="31" spans="1:16" ht="15.75">
      <c r="A31" s="205">
        <v>19444452</v>
      </c>
      <c r="B31" s="215"/>
      <c r="C31" s="205"/>
      <c r="D31" s="205"/>
      <c r="E31" s="205"/>
      <c r="F31" s="205" t="s">
        <v>342</v>
      </c>
      <c r="G31" s="215">
        <v>45691</v>
      </c>
      <c r="H31" s="215">
        <v>45691</v>
      </c>
      <c r="I31" s="216">
        <v>476</v>
      </c>
      <c r="J31" s="205" t="s">
        <v>17</v>
      </c>
      <c r="K31" s="205"/>
      <c r="L31" s="205" t="s">
        <v>18</v>
      </c>
      <c r="M31" s="215">
        <v>45691</v>
      </c>
      <c r="N31" s="218">
        <f>Tabela1389101112131415[[#This Row],[Valor recibo]]</f>
        <v>476</v>
      </c>
      <c r="O31" s="216"/>
      <c r="P31" s="205" t="s">
        <v>330</v>
      </c>
    </row>
    <row r="32" spans="1:16" ht="15.75">
      <c r="A32" s="205">
        <v>19428102</v>
      </c>
      <c r="B32" s="215"/>
      <c r="C32" s="205"/>
      <c r="D32" s="205"/>
      <c r="E32" s="205"/>
      <c r="F32" s="205" t="s">
        <v>343</v>
      </c>
      <c r="G32" s="215">
        <v>45691</v>
      </c>
      <c r="H32" s="215">
        <v>45691</v>
      </c>
      <c r="I32" s="216">
        <v>476</v>
      </c>
      <c r="J32" s="205" t="s">
        <v>17</v>
      </c>
      <c r="K32" s="205"/>
      <c r="L32" s="205" t="s">
        <v>18</v>
      </c>
      <c r="M32" s="215">
        <v>45692</v>
      </c>
      <c r="N32" s="218">
        <f>Tabela1389101112131415[[#This Row],[Valor recibo]]</f>
        <v>476</v>
      </c>
      <c r="O32" s="216"/>
      <c r="P32" s="205" t="s">
        <v>330</v>
      </c>
    </row>
    <row r="33" spans="1:16" ht="15.75">
      <c r="A33" s="205">
        <v>19444451</v>
      </c>
      <c r="B33" s="215"/>
      <c r="C33" s="205"/>
      <c r="D33" s="205"/>
      <c r="E33" s="205"/>
      <c r="F33" s="205" t="s">
        <v>344</v>
      </c>
      <c r="G33" s="215">
        <v>45692</v>
      </c>
      <c r="H33" s="215">
        <v>45692</v>
      </c>
      <c r="I33" s="216">
        <v>442</v>
      </c>
      <c r="J33" s="205" t="s">
        <v>17</v>
      </c>
      <c r="K33" s="205"/>
      <c r="L33" s="205" t="s">
        <v>18</v>
      </c>
      <c r="M33" s="215">
        <v>45692</v>
      </c>
      <c r="N33" s="218">
        <f>Tabela1389101112131415[[#This Row],[Valor recibo]]</f>
        <v>442</v>
      </c>
      <c r="O33" s="216"/>
      <c r="P33" s="205" t="s">
        <v>330</v>
      </c>
    </row>
    <row r="34" spans="1:16" ht="15.75">
      <c r="A34" s="205">
        <v>19429401</v>
      </c>
      <c r="B34" s="215"/>
      <c r="C34" s="205"/>
      <c r="D34" s="205"/>
      <c r="E34" s="205"/>
      <c r="F34" s="205" t="s">
        <v>345</v>
      </c>
      <c r="G34" s="215">
        <v>45692</v>
      </c>
      <c r="H34" s="215">
        <v>45692</v>
      </c>
      <c r="I34" s="216">
        <v>476</v>
      </c>
      <c r="J34" s="205" t="s">
        <v>17</v>
      </c>
      <c r="K34" s="205"/>
      <c r="L34" s="205" t="s">
        <v>18</v>
      </c>
      <c r="M34" s="215">
        <v>45692</v>
      </c>
      <c r="N34" s="218">
        <f>Tabela1389101112131415[[#This Row],[Valor recibo]]</f>
        <v>476</v>
      </c>
      <c r="O34" s="216"/>
      <c r="P34" s="205" t="s">
        <v>330</v>
      </c>
    </row>
    <row r="35" spans="1:16" ht="15.75">
      <c r="A35" s="205">
        <v>19433642</v>
      </c>
      <c r="B35" s="215"/>
      <c r="C35" s="205"/>
      <c r="D35" s="205"/>
      <c r="E35" s="205"/>
      <c r="F35" s="205" t="s">
        <v>346</v>
      </c>
      <c r="G35" s="215">
        <v>45687</v>
      </c>
      <c r="H35" s="215">
        <v>45687</v>
      </c>
      <c r="I35" s="216">
        <v>238</v>
      </c>
      <c r="J35" s="205" t="s">
        <v>17</v>
      </c>
      <c r="K35" s="205"/>
      <c r="L35" s="205" t="s">
        <v>18</v>
      </c>
      <c r="M35" s="215">
        <v>45692</v>
      </c>
      <c r="N35" s="218">
        <f>Tabela1389101112131415[[#This Row],[Valor recibo]]</f>
        <v>238</v>
      </c>
      <c r="O35" s="216"/>
      <c r="P35" s="205" t="s">
        <v>330</v>
      </c>
    </row>
    <row r="36" spans="1:16" ht="15.75">
      <c r="A36" s="205">
        <v>19429636</v>
      </c>
      <c r="B36" s="215"/>
      <c r="C36" s="205"/>
      <c r="D36" s="205"/>
      <c r="E36" s="205"/>
      <c r="F36" s="205" t="s">
        <v>347</v>
      </c>
      <c r="G36" s="215">
        <v>45691</v>
      </c>
      <c r="H36" s="215">
        <v>45691</v>
      </c>
      <c r="I36" s="216">
        <v>238</v>
      </c>
      <c r="J36" s="205" t="s">
        <v>17</v>
      </c>
      <c r="K36" s="205"/>
      <c r="L36" s="205" t="s">
        <v>18</v>
      </c>
      <c r="M36" s="215">
        <v>45692</v>
      </c>
      <c r="N36" s="218">
        <f>Tabela1389101112131415[[#This Row],[Valor recibo]]</f>
        <v>238</v>
      </c>
      <c r="O36" s="216"/>
      <c r="P36" s="205" t="s">
        <v>330</v>
      </c>
    </row>
    <row r="37" spans="1:16" ht="15.75">
      <c r="A37" s="205">
        <v>19409127</v>
      </c>
      <c r="B37" s="215"/>
      <c r="C37" s="205"/>
      <c r="D37" s="205"/>
      <c r="E37" s="205"/>
      <c r="F37" s="205">
        <v>52409</v>
      </c>
      <c r="G37" s="215">
        <v>45686</v>
      </c>
      <c r="H37" s="215">
        <v>45686</v>
      </c>
      <c r="I37" s="216">
        <v>221</v>
      </c>
      <c r="J37" s="205" t="s">
        <v>17</v>
      </c>
      <c r="K37" s="205"/>
      <c r="L37" s="205" t="s">
        <v>18</v>
      </c>
      <c r="M37" s="215">
        <v>45692</v>
      </c>
      <c r="N37" s="218">
        <f>Tabela1389101112131415[[#This Row],[Valor recibo]]</f>
        <v>221</v>
      </c>
      <c r="O37" s="216"/>
      <c r="P37" s="205" t="s">
        <v>330</v>
      </c>
    </row>
    <row r="38" spans="1:16" ht="15.75">
      <c r="A38" s="205">
        <v>19441831</v>
      </c>
      <c r="B38" s="215"/>
      <c r="C38" s="205"/>
      <c r="D38" s="205"/>
      <c r="E38" s="205"/>
      <c r="F38" s="205" t="s">
        <v>348</v>
      </c>
      <c r="G38" s="215">
        <v>45691</v>
      </c>
      <c r="H38" s="215">
        <v>45691</v>
      </c>
      <c r="I38" s="216">
        <v>476</v>
      </c>
      <c r="J38" s="205" t="s">
        <v>17</v>
      </c>
      <c r="K38" s="205"/>
      <c r="L38" s="205" t="s">
        <v>18</v>
      </c>
      <c r="M38" s="215">
        <v>45692</v>
      </c>
      <c r="N38" s="218">
        <f>Tabela1389101112131415[[#This Row],[Valor recibo]]</f>
        <v>476</v>
      </c>
      <c r="O38" s="216"/>
      <c r="P38" s="205" t="s">
        <v>330</v>
      </c>
    </row>
    <row r="39" spans="1:16" ht="15.75">
      <c r="A39" s="205">
        <v>19448912</v>
      </c>
      <c r="B39" s="215"/>
      <c r="C39" s="205"/>
      <c r="D39" s="205"/>
      <c r="E39" s="205"/>
      <c r="F39" s="205" t="s">
        <v>349</v>
      </c>
      <c r="G39" s="215">
        <v>45691</v>
      </c>
      <c r="H39" s="215">
        <v>45691</v>
      </c>
      <c r="I39" s="216">
        <v>476</v>
      </c>
      <c r="J39" s="205" t="s">
        <v>17</v>
      </c>
      <c r="K39" s="205"/>
      <c r="L39" s="205" t="s">
        <v>18</v>
      </c>
      <c r="M39" s="215">
        <v>45692</v>
      </c>
      <c r="N39" s="218">
        <f>Tabela1389101112131415[[#This Row],[Valor recibo]]</f>
        <v>476</v>
      </c>
      <c r="O39" s="216"/>
      <c r="P39" s="205" t="s">
        <v>330</v>
      </c>
    </row>
    <row r="40" spans="1:16" ht="15.75">
      <c r="A40" s="205">
        <v>19445107</v>
      </c>
      <c r="B40" s="215"/>
      <c r="C40" s="205"/>
      <c r="D40" s="205"/>
      <c r="E40" s="205"/>
      <c r="F40" s="205">
        <v>24855</v>
      </c>
      <c r="G40" s="215">
        <v>45691</v>
      </c>
      <c r="H40" s="215">
        <v>45691</v>
      </c>
      <c r="I40" s="216">
        <v>1680</v>
      </c>
      <c r="J40" s="205" t="s">
        <v>17</v>
      </c>
      <c r="K40" s="205"/>
      <c r="L40" s="205" t="s">
        <v>18</v>
      </c>
      <c r="M40" s="215">
        <v>45692</v>
      </c>
      <c r="N40" s="218">
        <f>Tabela1389101112131415[[#This Row],[Valor recibo]]</f>
        <v>1680</v>
      </c>
      <c r="O40" s="216"/>
      <c r="P40" s="205" t="s">
        <v>330</v>
      </c>
    </row>
    <row r="41" spans="1:16" ht="15.75">
      <c r="A41" s="205">
        <v>19432705</v>
      </c>
      <c r="B41" s="215"/>
      <c r="C41" s="205"/>
      <c r="D41" s="205"/>
      <c r="E41" s="205"/>
      <c r="F41" s="205" t="s">
        <v>350</v>
      </c>
      <c r="G41" s="215">
        <v>45692</v>
      </c>
      <c r="H41" s="215">
        <v>45692</v>
      </c>
      <c r="I41" s="216">
        <v>510</v>
      </c>
      <c r="J41" s="205" t="s">
        <v>17</v>
      </c>
      <c r="K41" s="205"/>
      <c r="L41" s="205" t="s">
        <v>18</v>
      </c>
      <c r="M41" s="215">
        <v>45692</v>
      </c>
      <c r="N41" s="218">
        <f>Tabela1389101112131415[[#This Row],[Valor recibo]]</f>
        <v>510</v>
      </c>
      <c r="O41" s="216"/>
      <c r="P41" s="205" t="s">
        <v>330</v>
      </c>
    </row>
    <row r="42" spans="1:16" ht="15.75">
      <c r="A42" s="205">
        <v>19429399</v>
      </c>
      <c r="B42" s="215"/>
      <c r="C42" s="205"/>
      <c r="D42" s="205"/>
      <c r="E42" s="205"/>
      <c r="F42" s="205" t="s">
        <v>351</v>
      </c>
      <c r="G42" s="215">
        <v>45692</v>
      </c>
      <c r="H42" s="215">
        <v>45692</v>
      </c>
      <c r="I42" s="216">
        <v>476</v>
      </c>
      <c r="J42" s="205" t="s">
        <v>17</v>
      </c>
      <c r="K42" s="205"/>
      <c r="L42" s="205" t="s">
        <v>18</v>
      </c>
      <c r="M42" s="215">
        <v>45692</v>
      </c>
      <c r="N42" s="218">
        <f>Tabela1389101112131415[[#This Row],[Valor recibo]]</f>
        <v>476</v>
      </c>
      <c r="O42" s="216"/>
      <c r="P42" s="205" t="s">
        <v>330</v>
      </c>
    </row>
    <row r="43" spans="1:16" ht="15.75">
      <c r="A43" s="205">
        <v>19444367</v>
      </c>
      <c r="B43" s="215"/>
      <c r="C43" s="205"/>
      <c r="D43" s="205"/>
      <c r="E43" s="205"/>
      <c r="F43" s="205" t="s">
        <v>352</v>
      </c>
      <c r="G43" s="215">
        <v>45689</v>
      </c>
      <c r="H43" s="215">
        <v>45689</v>
      </c>
      <c r="I43" s="216">
        <v>408</v>
      </c>
      <c r="J43" s="205" t="s">
        <v>17</v>
      </c>
      <c r="K43" s="205"/>
      <c r="L43" s="205" t="s">
        <v>18</v>
      </c>
      <c r="M43" s="215">
        <v>45692</v>
      </c>
      <c r="N43" s="218">
        <f>Tabela1389101112131415[[#This Row],[Valor recibo]]</f>
        <v>408</v>
      </c>
      <c r="O43" s="216"/>
      <c r="P43" s="205" t="s">
        <v>330</v>
      </c>
    </row>
    <row r="44" spans="1:16" ht="15.75">
      <c r="A44" s="205">
        <v>19444454</v>
      </c>
      <c r="B44" s="215"/>
      <c r="C44" s="205"/>
      <c r="D44" s="205"/>
      <c r="E44" s="205"/>
      <c r="F44" s="205" t="s">
        <v>353</v>
      </c>
      <c r="G44" s="215">
        <v>45691</v>
      </c>
      <c r="H44" s="215">
        <v>45691</v>
      </c>
      <c r="I44" s="216">
        <v>442</v>
      </c>
      <c r="J44" s="205" t="s">
        <v>17</v>
      </c>
      <c r="K44" s="205"/>
      <c r="L44" s="205" t="s">
        <v>18</v>
      </c>
      <c r="M44" s="215">
        <v>45692</v>
      </c>
      <c r="N44" s="218">
        <f>Tabela1389101112131415[[#This Row],[Valor recibo]]</f>
        <v>442</v>
      </c>
      <c r="O44" s="216"/>
      <c r="P44" s="205" t="s">
        <v>330</v>
      </c>
    </row>
    <row r="45" spans="1:16" ht="15.75">
      <c r="A45" s="205">
        <v>19433726</v>
      </c>
      <c r="B45" s="215"/>
      <c r="C45" s="205"/>
      <c r="D45" s="205"/>
      <c r="E45" s="205"/>
      <c r="F45" s="205">
        <v>53487</v>
      </c>
      <c r="G45" s="215">
        <v>45691</v>
      </c>
      <c r="H45" s="215">
        <v>45691</v>
      </c>
      <c r="I45" s="216">
        <v>1495.3</v>
      </c>
      <c r="J45" s="205" t="s">
        <v>17</v>
      </c>
      <c r="K45" s="205"/>
      <c r="L45" s="205" t="s">
        <v>18</v>
      </c>
      <c r="M45" s="215">
        <v>45692</v>
      </c>
      <c r="N45" s="218">
        <f>Tabela1389101112131415[[#This Row],[Valor recibo]]</f>
        <v>1495.3</v>
      </c>
      <c r="O45" s="216"/>
      <c r="P45" s="205" t="s">
        <v>330</v>
      </c>
    </row>
    <row r="46" spans="1:16" ht="15.75">
      <c r="A46" s="205">
        <v>19405483</v>
      </c>
      <c r="B46" s="215"/>
      <c r="C46" s="205"/>
      <c r="D46" s="205"/>
      <c r="E46" s="205"/>
      <c r="F46" s="205">
        <v>53287</v>
      </c>
      <c r="G46" s="215">
        <v>45691</v>
      </c>
      <c r="H46" s="215">
        <v>45691</v>
      </c>
      <c r="I46" s="216">
        <v>0</v>
      </c>
      <c r="J46" s="205" t="s">
        <v>17</v>
      </c>
      <c r="K46" s="205"/>
      <c r="L46" s="205" t="s">
        <v>18</v>
      </c>
      <c r="M46" s="215">
        <v>45692</v>
      </c>
      <c r="N46" s="218">
        <f>Tabela1389101112131415[[#This Row],[Valor recibo]]</f>
        <v>0</v>
      </c>
      <c r="O46" s="216"/>
      <c r="P46" s="205" t="s">
        <v>330</v>
      </c>
    </row>
    <row r="47" spans="1:16" ht="15.75">
      <c r="A47" s="205">
        <v>19433881</v>
      </c>
      <c r="B47" s="215"/>
      <c r="C47" s="205"/>
      <c r="D47" s="205"/>
      <c r="E47" s="205"/>
      <c r="F47" s="205" t="s">
        <v>354</v>
      </c>
      <c r="G47" s="215">
        <v>45691</v>
      </c>
      <c r="H47" s="215">
        <v>45691</v>
      </c>
      <c r="I47" s="216">
        <v>448</v>
      </c>
      <c r="J47" s="205" t="s">
        <v>17</v>
      </c>
      <c r="K47" s="205"/>
      <c r="L47" s="205" t="s">
        <v>18</v>
      </c>
      <c r="M47" s="215">
        <v>45692</v>
      </c>
      <c r="N47" s="218">
        <f>Tabela1389101112131415[[#This Row],[Valor recibo]]</f>
        <v>448</v>
      </c>
      <c r="O47" s="216"/>
      <c r="P47" s="205" t="s">
        <v>330</v>
      </c>
    </row>
    <row r="48" spans="1:16" ht="15.75">
      <c r="A48" s="205">
        <v>19444696</v>
      </c>
      <c r="B48" s="215"/>
      <c r="C48" s="205"/>
      <c r="D48" s="205"/>
      <c r="E48" s="205"/>
      <c r="F48" s="205">
        <v>52994</v>
      </c>
      <c r="G48" s="215">
        <v>45691</v>
      </c>
      <c r="H48" s="215">
        <v>45691</v>
      </c>
      <c r="I48" s="216">
        <v>459</v>
      </c>
      <c r="J48" s="205" t="s">
        <v>17</v>
      </c>
      <c r="K48" s="205"/>
      <c r="L48" s="205" t="s">
        <v>18</v>
      </c>
      <c r="M48" s="215">
        <v>45692</v>
      </c>
      <c r="N48" s="218">
        <f>Tabela1389101112131415[[#This Row],[Valor recibo]]</f>
        <v>459</v>
      </c>
      <c r="O48" s="216"/>
      <c r="P48" s="205" t="s">
        <v>330</v>
      </c>
    </row>
    <row r="49" spans="1:16" ht="15.75">
      <c r="A49" s="205">
        <v>19429647</v>
      </c>
      <c r="B49" s="215"/>
      <c r="C49" s="205"/>
      <c r="D49" s="205"/>
      <c r="E49" s="205"/>
      <c r="F49" s="205" t="s">
        <v>355</v>
      </c>
      <c r="G49" s="215">
        <v>45687</v>
      </c>
      <c r="H49" s="215">
        <v>45687</v>
      </c>
      <c r="I49" s="216">
        <v>238</v>
      </c>
      <c r="J49" s="205" t="s">
        <v>17</v>
      </c>
      <c r="K49" s="205"/>
      <c r="L49" s="205" t="s">
        <v>18</v>
      </c>
      <c r="M49" s="215">
        <v>45692</v>
      </c>
      <c r="N49" s="218">
        <f>Tabela1389101112131415[[#This Row],[Valor recibo]]</f>
        <v>238</v>
      </c>
      <c r="O49" s="216"/>
      <c r="P49" s="205" t="s">
        <v>330</v>
      </c>
    </row>
    <row r="50" spans="1:16" ht="15.75">
      <c r="A50" s="205">
        <v>19444706</v>
      </c>
      <c r="B50" s="215"/>
      <c r="C50" s="205"/>
      <c r="D50" s="205"/>
      <c r="E50" s="205"/>
      <c r="F50" s="205">
        <v>53250</v>
      </c>
      <c r="G50" s="215">
        <v>45689</v>
      </c>
      <c r="H50" s="215">
        <v>45689</v>
      </c>
      <c r="I50" s="216">
        <v>476</v>
      </c>
      <c r="J50" s="205" t="s">
        <v>17</v>
      </c>
      <c r="K50" s="205"/>
      <c r="L50" s="205" t="s">
        <v>18</v>
      </c>
      <c r="M50" s="215">
        <v>45692</v>
      </c>
      <c r="N50" s="218">
        <f>Tabela1389101112131415[[#This Row],[Valor recibo]]</f>
        <v>476</v>
      </c>
      <c r="O50" s="216"/>
      <c r="P50" s="205" t="s">
        <v>330</v>
      </c>
    </row>
    <row r="51" spans="1:16" ht="15.75">
      <c r="A51" s="205">
        <v>19398819</v>
      </c>
      <c r="B51" s="215"/>
      <c r="C51" s="205"/>
      <c r="D51" s="205"/>
      <c r="E51" s="205"/>
      <c r="F51" s="205">
        <v>53351</v>
      </c>
      <c r="G51" s="215">
        <v>45691</v>
      </c>
      <c r="H51" s="215">
        <v>45691</v>
      </c>
      <c r="I51" s="216">
        <v>0</v>
      </c>
      <c r="J51" s="205" t="s">
        <v>17</v>
      </c>
      <c r="K51" s="205"/>
      <c r="L51" s="205" t="s">
        <v>18</v>
      </c>
      <c r="M51" s="215">
        <v>45692</v>
      </c>
      <c r="N51" s="218">
        <f>Tabela1389101112131415[[#This Row],[Valor recibo]]</f>
        <v>0</v>
      </c>
      <c r="O51" s="216"/>
      <c r="P51" s="205" t="s">
        <v>330</v>
      </c>
    </row>
    <row r="52" spans="1:16" ht="15.75">
      <c r="A52" s="205">
        <v>19429400</v>
      </c>
      <c r="B52" s="215"/>
      <c r="C52" s="205"/>
      <c r="D52" s="205"/>
      <c r="E52" s="205"/>
      <c r="F52" s="205" t="s">
        <v>356</v>
      </c>
      <c r="G52" s="215">
        <v>45692</v>
      </c>
      <c r="H52" s="215">
        <v>45692</v>
      </c>
      <c r="I52" s="216">
        <v>476</v>
      </c>
      <c r="J52" s="205" t="s">
        <v>17</v>
      </c>
      <c r="K52" s="205"/>
      <c r="L52" s="205" t="s">
        <v>18</v>
      </c>
      <c r="M52" s="215">
        <v>45692</v>
      </c>
      <c r="N52" s="218">
        <f>Tabela1389101112131415[[#This Row],[Valor recibo]]</f>
        <v>476</v>
      </c>
      <c r="O52" s="216"/>
      <c r="P52" s="205" t="s">
        <v>330</v>
      </c>
    </row>
    <row r="53" spans="1:16" ht="15.75">
      <c r="A53" s="205">
        <v>19429630</v>
      </c>
      <c r="B53" s="215"/>
      <c r="C53" s="205"/>
      <c r="D53" s="205"/>
      <c r="E53" s="205"/>
      <c r="F53" s="205" t="s">
        <v>357</v>
      </c>
      <c r="G53" s="215">
        <v>45691</v>
      </c>
      <c r="H53" s="215">
        <v>45691</v>
      </c>
      <c r="I53" s="216">
        <v>204</v>
      </c>
      <c r="J53" s="205" t="s">
        <v>17</v>
      </c>
      <c r="K53" s="205"/>
      <c r="L53" s="205" t="s">
        <v>18</v>
      </c>
      <c r="M53" s="215">
        <v>45692</v>
      </c>
      <c r="N53" s="218">
        <f>Tabela1389101112131415[[#This Row],[Valor recibo]]</f>
        <v>204</v>
      </c>
      <c r="O53" s="216"/>
      <c r="P53" s="205" t="s">
        <v>330</v>
      </c>
    </row>
    <row r="54" spans="1:16" ht="15.75">
      <c r="A54" s="205">
        <v>19404603</v>
      </c>
      <c r="B54" s="215"/>
      <c r="C54" s="205"/>
      <c r="D54" s="205"/>
      <c r="E54" s="205"/>
      <c r="F54" s="205" t="s">
        <v>358</v>
      </c>
      <c r="G54" s="215">
        <v>45692</v>
      </c>
      <c r="H54" s="215">
        <v>45692</v>
      </c>
      <c r="I54" s="216">
        <v>583.79999999999995</v>
      </c>
      <c r="J54" s="205" t="s">
        <v>17</v>
      </c>
      <c r="K54" s="205"/>
      <c r="L54" s="205" t="s">
        <v>18</v>
      </c>
      <c r="M54" s="215">
        <v>45692</v>
      </c>
      <c r="N54" s="218">
        <f>Tabela1389101112131415[[#This Row],[Valor recibo]]</f>
        <v>583.79999999999995</v>
      </c>
      <c r="O54" s="216"/>
      <c r="P54" s="205" t="s">
        <v>330</v>
      </c>
    </row>
    <row r="55" spans="1:16" ht="15.75">
      <c r="A55" s="205">
        <v>19427866</v>
      </c>
      <c r="B55" s="215"/>
      <c r="C55" s="205"/>
      <c r="D55" s="205"/>
      <c r="E55" s="205"/>
      <c r="F55" s="205" t="s">
        <v>359</v>
      </c>
      <c r="G55" s="215">
        <v>45692</v>
      </c>
      <c r="H55" s="215">
        <v>45692</v>
      </c>
      <c r="I55" s="216">
        <v>583.79999999999995</v>
      </c>
      <c r="J55" s="205" t="s">
        <v>17</v>
      </c>
      <c r="K55" s="205"/>
      <c r="L55" s="205" t="s">
        <v>18</v>
      </c>
      <c r="M55" s="215">
        <v>45692</v>
      </c>
      <c r="N55" s="218">
        <f>Tabela1389101112131415[[#This Row],[Valor recibo]]</f>
        <v>583.79999999999995</v>
      </c>
      <c r="O55" s="216"/>
      <c r="P55" s="205" t="s">
        <v>330</v>
      </c>
    </row>
    <row r="56" spans="1:16" ht="15.75">
      <c r="A56" s="205">
        <v>19429419</v>
      </c>
      <c r="B56" s="215"/>
      <c r="C56" s="205"/>
      <c r="D56" s="205"/>
      <c r="E56" s="205"/>
      <c r="F56" s="205" t="s">
        <v>360</v>
      </c>
      <c r="G56" s="215">
        <v>45691</v>
      </c>
      <c r="H56" s="215">
        <v>45691</v>
      </c>
      <c r="I56" s="216">
        <v>476</v>
      </c>
      <c r="J56" s="205" t="s">
        <v>17</v>
      </c>
      <c r="K56" s="205"/>
      <c r="L56" s="205" t="s">
        <v>18</v>
      </c>
      <c r="M56" s="215">
        <v>45692</v>
      </c>
      <c r="N56" s="218">
        <f>Tabela1389101112131415[[#This Row],[Valor recibo]]</f>
        <v>476</v>
      </c>
      <c r="O56" s="216"/>
      <c r="P56" s="205" t="s">
        <v>330</v>
      </c>
    </row>
    <row r="57" spans="1:16" ht="15.75">
      <c r="A57" s="205">
        <v>19398783</v>
      </c>
      <c r="B57" s="215"/>
      <c r="C57" s="205"/>
      <c r="D57" s="205"/>
      <c r="E57" s="205"/>
      <c r="F57" s="205" t="s">
        <v>361</v>
      </c>
      <c r="G57" s="215">
        <v>45687</v>
      </c>
      <c r="H57" s="215">
        <v>45687</v>
      </c>
      <c r="I57" s="216">
        <v>221</v>
      </c>
      <c r="J57" s="205" t="s">
        <v>17</v>
      </c>
      <c r="K57" s="205"/>
      <c r="L57" s="205" t="s">
        <v>18</v>
      </c>
      <c r="M57" s="215">
        <v>45692</v>
      </c>
      <c r="N57" s="218">
        <f>Tabela1389101112131415[[#This Row],[Valor recibo]]</f>
        <v>221</v>
      </c>
      <c r="O57" s="216"/>
      <c r="P57" s="205" t="s">
        <v>330</v>
      </c>
    </row>
    <row r="58" spans="1:16" ht="15.75">
      <c r="A58" s="205">
        <v>19409129</v>
      </c>
      <c r="B58" s="215"/>
      <c r="C58" s="205"/>
      <c r="D58" s="205"/>
      <c r="E58" s="205"/>
      <c r="F58" s="205">
        <v>52498</v>
      </c>
      <c r="G58" s="215">
        <v>45686</v>
      </c>
      <c r="H58" s="215">
        <v>45686</v>
      </c>
      <c r="I58" s="216">
        <v>238</v>
      </c>
      <c r="J58" s="205" t="s">
        <v>17</v>
      </c>
      <c r="K58" s="205"/>
      <c r="L58" s="205" t="s">
        <v>18</v>
      </c>
      <c r="M58" s="215">
        <v>45692</v>
      </c>
      <c r="N58" s="218">
        <f>Tabela1389101112131415[[#This Row],[Valor recibo]]</f>
        <v>238</v>
      </c>
      <c r="O58" s="216"/>
      <c r="P58" s="205" t="s">
        <v>330</v>
      </c>
    </row>
    <row r="59" spans="1:16" ht="15.75">
      <c r="A59" s="205">
        <v>19432686</v>
      </c>
      <c r="B59" s="215"/>
      <c r="C59" s="205"/>
      <c r="D59" s="205"/>
      <c r="E59" s="205"/>
      <c r="F59" s="205" t="s">
        <v>362</v>
      </c>
      <c r="G59" s="215">
        <v>45693</v>
      </c>
      <c r="H59" s="215">
        <v>45693</v>
      </c>
      <c r="I59" s="216">
        <v>583.79999999999995</v>
      </c>
      <c r="J59" s="205"/>
      <c r="K59" s="205"/>
      <c r="L59" s="205" t="s">
        <v>315</v>
      </c>
      <c r="M59" s="215"/>
      <c r="N59" s="218">
        <f>Tabela1389101112131415[[#This Row],[Valor recibo]]</f>
        <v>583.79999999999995</v>
      </c>
      <c r="O59" s="216"/>
      <c r="P59" s="205"/>
    </row>
    <row r="60" spans="1:16" ht="15.75">
      <c r="A60" s="205">
        <v>19427571</v>
      </c>
      <c r="B60" s="215"/>
      <c r="C60" s="205"/>
      <c r="D60" s="205"/>
      <c r="E60" s="205"/>
      <c r="F60" s="205" t="s">
        <v>363</v>
      </c>
      <c r="G60" s="215">
        <v>45693</v>
      </c>
      <c r="H60" s="215">
        <v>45693</v>
      </c>
      <c r="I60" s="216">
        <v>583.79999999999995</v>
      </c>
      <c r="J60" s="205"/>
      <c r="K60" s="205"/>
      <c r="L60" s="205" t="s">
        <v>315</v>
      </c>
      <c r="M60" s="215"/>
      <c r="N60" s="218">
        <f>Tabela1389101112131415[[#This Row],[Valor recibo]]</f>
        <v>583.79999999999995</v>
      </c>
      <c r="O60" s="216"/>
      <c r="P60" s="205"/>
    </row>
    <row r="61" spans="1:16" ht="15.75">
      <c r="A61" s="205">
        <v>19455438</v>
      </c>
      <c r="B61" s="215"/>
      <c r="C61" s="205"/>
      <c r="D61" s="205"/>
      <c r="E61" s="205"/>
      <c r="F61" s="205" t="s">
        <v>364</v>
      </c>
      <c r="G61" s="215">
        <v>45692</v>
      </c>
      <c r="H61" s="215">
        <v>45692</v>
      </c>
      <c r="I61" s="216">
        <v>238</v>
      </c>
      <c r="J61" s="205"/>
      <c r="K61" s="205"/>
      <c r="L61" s="205" t="s">
        <v>315</v>
      </c>
      <c r="M61" s="215"/>
      <c r="N61" s="218">
        <f>Tabela1389101112131415[[#This Row],[Valor recibo]]</f>
        <v>238</v>
      </c>
      <c r="O61" s="216"/>
      <c r="P61" s="205"/>
    </row>
    <row r="62" spans="1:16" ht="15.75">
      <c r="A62" s="205">
        <v>19453282</v>
      </c>
      <c r="B62" s="215"/>
      <c r="C62" s="205"/>
      <c r="D62" s="205"/>
      <c r="E62" s="205"/>
      <c r="F62" s="205" t="s">
        <v>365</v>
      </c>
      <c r="G62" s="215">
        <v>45692</v>
      </c>
      <c r="H62" s="215">
        <v>45692</v>
      </c>
      <c r="I62" s="216">
        <v>476</v>
      </c>
      <c r="J62" s="205"/>
      <c r="K62" s="205"/>
      <c r="L62" s="205" t="s">
        <v>315</v>
      </c>
      <c r="M62" s="215"/>
      <c r="N62" s="218">
        <f>Tabela1389101112131415[[#This Row],[Valor recibo]]</f>
        <v>476</v>
      </c>
      <c r="O62" s="216"/>
      <c r="P62" s="205"/>
    </row>
    <row r="63" spans="1:16" ht="15.75">
      <c r="A63" s="205">
        <v>19432717</v>
      </c>
      <c r="B63" s="215"/>
      <c r="C63" s="205"/>
      <c r="D63" s="205"/>
      <c r="E63" s="205"/>
      <c r="F63" s="205" t="s">
        <v>366</v>
      </c>
      <c r="G63" s="215">
        <v>45692</v>
      </c>
      <c r="H63" s="215">
        <v>45692</v>
      </c>
      <c r="I63" s="216">
        <v>476</v>
      </c>
      <c r="J63" s="205"/>
      <c r="K63" s="205"/>
      <c r="L63" s="205" t="s">
        <v>315</v>
      </c>
      <c r="M63" s="215"/>
      <c r="N63" s="218">
        <f>Tabela1389101112131415[[#This Row],[Valor recibo]]</f>
        <v>476</v>
      </c>
      <c r="O63" s="216"/>
      <c r="P63" s="205"/>
    </row>
    <row r="64" spans="1:16" ht="15.75">
      <c r="A64" s="205">
        <v>19398042</v>
      </c>
      <c r="B64" s="215"/>
      <c r="C64" s="205"/>
      <c r="D64" s="205"/>
      <c r="E64" s="205"/>
      <c r="F64" s="205" t="s">
        <v>367</v>
      </c>
      <c r="G64" s="215">
        <v>45692</v>
      </c>
      <c r="H64" s="215">
        <v>45692</v>
      </c>
      <c r="I64" s="216">
        <v>238</v>
      </c>
      <c r="J64" s="205"/>
      <c r="K64" s="205"/>
      <c r="L64" s="205" t="s">
        <v>315</v>
      </c>
      <c r="M64" s="215"/>
      <c r="N64" s="218">
        <f>Tabela1389101112131415[[#This Row],[Valor recibo]]</f>
        <v>238</v>
      </c>
      <c r="O64" s="216"/>
      <c r="P64" s="205"/>
    </row>
    <row r="65" spans="1:16" ht="15.75">
      <c r="A65" s="205">
        <v>19436237</v>
      </c>
      <c r="B65" s="215"/>
      <c r="C65" s="205"/>
      <c r="D65" s="205"/>
      <c r="E65" s="205"/>
      <c r="F65" s="205" t="s">
        <v>368</v>
      </c>
      <c r="G65" s="215">
        <v>45692</v>
      </c>
      <c r="H65" s="215">
        <v>45692</v>
      </c>
      <c r="I65" s="216">
        <v>476</v>
      </c>
      <c r="J65" s="205"/>
      <c r="K65" s="205"/>
      <c r="L65" s="205" t="s">
        <v>315</v>
      </c>
      <c r="M65" s="215"/>
      <c r="N65" s="218">
        <f>Tabela1389101112131415[[#This Row],[Valor recibo]]</f>
        <v>476</v>
      </c>
      <c r="O65" s="216"/>
      <c r="P65" s="205"/>
    </row>
    <row r="66" spans="1:16" ht="15.75">
      <c r="A66" s="205">
        <v>19298924</v>
      </c>
      <c r="B66" s="215"/>
      <c r="C66" s="205"/>
      <c r="D66" s="205"/>
      <c r="E66" s="205"/>
      <c r="F66" s="205" t="s">
        <v>369</v>
      </c>
      <c r="G66" s="215">
        <v>45692</v>
      </c>
      <c r="H66" s="215">
        <v>45692</v>
      </c>
      <c r="I66" s="216">
        <v>2438.65</v>
      </c>
      <c r="J66" s="205"/>
      <c r="K66" s="205"/>
      <c r="L66" s="205" t="s">
        <v>315</v>
      </c>
      <c r="M66" s="215"/>
      <c r="N66" s="218">
        <f>Tabela1389101112131415[[#This Row],[Valor recibo]]</f>
        <v>2438.65</v>
      </c>
      <c r="O66" s="216"/>
      <c r="P66" s="205"/>
    </row>
    <row r="67" spans="1:16" ht="15.75">
      <c r="A67" s="205">
        <v>19398665</v>
      </c>
      <c r="B67" s="215"/>
      <c r="C67" s="205"/>
      <c r="D67" s="205"/>
      <c r="E67" s="205"/>
      <c r="F67" s="205" t="s">
        <v>370</v>
      </c>
      <c r="G67" s="215">
        <v>45687</v>
      </c>
      <c r="H67" s="215">
        <v>45687</v>
      </c>
      <c r="I67" s="216">
        <v>238</v>
      </c>
      <c r="J67" s="205"/>
      <c r="K67" s="205"/>
      <c r="L67" s="205" t="s">
        <v>315</v>
      </c>
      <c r="M67" s="215"/>
      <c r="N67" s="218">
        <f>Tabela1389101112131415[[#This Row],[Valor recibo]]</f>
        <v>238</v>
      </c>
      <c r="O67" s="216"/>
      <c r="P67" s="205"/>
    </row>
    <row r="68" spans="1:16" ht="15.75">
      <c r="A68" s="205">
        <v>19436303</v>
      </c>
      <c r="B68" s="215"/>
      <c r="C68" s="205"/>
      <c r="D68" s="205"/>
      <c r="E68" s="205"/>
      <c r="F68" s="205">
        <v>53249</v>
      </c>
      <c r="G68" s="215">
        <v>45692</v>
      </c>
      <c r="H68" s="215">
        <v>45692</v>
      </c>
      <c r="I68" s="216">
        <v>238</v>
      </c>
      <c r="J68" s="205"/>
      <c r="K68" s="205"/>
      <c r="L68" s="205" t="s">
        <v>315</v>
      </c>
      <c r="M68" s="215"/>
      <c r="N68" s="218">
        <f>Tabela1389101112131415[[#This Row],[Valor recibo]]</f>
        <v>238</v>
      </c>
      <c r="O68" s="216"/>
      <c r="P68" s="205"/>
    </row>
    <row r="69" spans="1:16" ht="15.75">
      <c r="A69" s="205">
        <v>19432715</v>
      </c>
      <c r="B69" s="215"/>
      <c r="C69" s="205"/>
      <c r="D69" s="205"/>
      <c r="E69" s="205"/>
      <c r="F69" s="205" t="s">
        <v>371</v>
      </c>
      <c r="G69" s="215">
        <v>45692</v>
      </c>
      <c r="H69" s="215">
        <v>45692</v>
      </c>
      <c r="I69" s="216">
        <v>476</v>
      </c>
      <c r="J69" s="205"/>
      <c r="K69" s="205"/>
      <c r="L69" s="205" t="s">
        <v>315</v>
      </c>
      <c r="M69" s="215"/>
      <c r="N69" s="218">
        <f>Tabela1389101112131415[[#This Row],[Valor recibo]]</f>
        <v>476</v>
      </c>
      <c r="O69" s="216"/>
      <c r="P69" s="205"/>
    </row>
    <row r="70" spans="1:16" ht="15.75">
      <c r="A70" s="205"/>
      <c r="B70" s="215"/>
      <c r="C70" s="205"/>
      <c r="D70" s="205"/>
      <c r="E70" s="205"/>
      <c r="F70" s="205"/>
      <c r="G70" s="215"/>
      <c r="H70" s="215"/>
      <c r="I70" s="216"/>
      <c r="J70" s="205"/>
      <c r="K70" s="205"/>
      <c r="L70" s="205" t="s">
        <v>315</v>
      </c>
      <c r="M70" s="215"/>
      <c r="N70" s="218">
        <f>Tabela1389101112131415[[#This Row],[Valor recibo]]</f>
        <v>0</v>
      </c>
      <c r="O70" s="216"/>
      <c r="P70" s="205"/>
    </row>
    <row r="71" spans="1:16" ht="15.75">
      <c r="A71" s="205"/>
      <c r="B71" s="215"/>
      <c r="C71" s="205"/>
      <c r="D71" s="205"/>
      <c r="E71" s="205"/>
      <c r="F71" s="205"/>
      <c r="G71" s="215"/>
      <c r="H71" s="215"/>
      <c r="I71" s="216"/>
      <c r="J71" s="205"/>
      <c r="K71" s="205"/>
      <c r="L71" s="205" t="s">
        <v>315</v>
      </c>
      <c r="M71" s="215"/>
      <c r="N71" s="218">
        <f>Tabela1389101112131415[[#This Row],[Valor recibo]]</f>
        <v>0</v>
      </c>
      <c r="O71" s="216"/>
      <c r="P71" s="205"/>
    </row>
    <row r="72" spans="1:16" ht="15.75">
      <c r="A72" s="205"/>
      <c r="B72" s="215"/>
      <c r="C72" s="205"/>
      <c r="D72" s="205"/>
      <c r="E72" s="205"/>
      <c r="F72" s="205"/>
      <c r="G72" s="215"/>
      <c r="H72" s="215"/>
      <c r="I72" s="216"/>
      <c r="J72" s="205"/>
      <c r="K72" s="205"/>
      <c r="L72" s="205" t="s">
        <v>315</v>
      </c>
      <c r="M72" s="215"/>
      <c r="N72" s="218">
        <f>Tabela1389101112131415[[#This Row],[Valor recibo]]</f>
        <v>0</v>
      </c>
      <c r="O72" s="216"/>
      <c r="P72" s="205"/>
    </row>
    <row r="73" spans="1:16" ht="15.75">
      <c r="A73" s="205"/>
      <c r="B73" s="215"/>
      <c r="C73" s="205"/>
      <c r="D73" s="205"/>
      <c r="E73" s="205"/>
      <c r="F73" s="205"/>
      <c r="G73" s="215"/>
      <c r="H73" s="215"/>
      <c r="I73" s="216"/>
      <c r="J73" s="205"/>
      <c r="K73" s="205"/>
      <c r="L73" s="205" t="s">
        <v>315</v>
      </c>
      <c r="M73" s="215"/>
      <c r="N73" s="218">
        <f>Tabela1389101112131415[[#This Row],[Valor recibo]]</f>
        <v>0</v>
      </c>
      <c r="O73" s="216"/>
      <c r="P73" s="205"/>
    </row>
    <row r="74" spans="1:16" ht="15.75">
      <c r="A74" s="205"/>
      <c r="B74" s="215"/>
      <c r="C74" s="205"/>
      <c r="D74" s="205"/>
      <c r="E74" s="205"/>
      <c r="F74" s="205"/>
      <c r="G74" s="215"/>
      <c r="H74" s="215"/>
      <c r="I74" s="216"/>
      <c r="J74" s="205"/>
      <c r="K74" s="205"/>
      <c r="L74" s="205" t="s">
        <v>315</v>
      </c>
      <c r="M74" s="215"/>
      <c r="N74" s="218">
        <f>Tabela1389101112131415[[#This Row],[Valor recibo]]</f>
        <v>0</v>
      </c>
      <c r="O74" s="216"/>
      <c r="P74" s="205"/>
    </row>
    <row r="75" spans="1:16" ht="15.75">
      <c r="A75" s="205"/>
      <c r="B75" s="215"/>
      <c r="C75" s="205"/>
      <c r="D75" s="205"/>
      <c r="E75" s="205"/>
      <c r="F75" s="205"/>
      <c r="G75" s="215"/>
      <c r="H75" s="215"/>
      <c r="I75" s="216"/>
      <c r="J75" s="205"/>
      <c r="K75" s="205"/>
      <c r="L75" s="205" t="s">
        <v>315</v>
      </c>
      <c r="M75" s="215"/>
      <c r="N75" s="218">
        <f>Tabela1389101112131415[[#This Row],[Valor recibo]]</f>
        <v>0</v>
      </c>
      <c r="O75" s="216"/>
      <c r="P75" s="205"/>
    </row>
    <row r="76" spans="1:16" ht="15.75">
      <c r="A76" s="205"/>
      <c r="B76" s="215"/>
      <c r="C76" s="205"/>
      <c r="D76" s="205"/>
      <c r="E76" s="205"/>
      <c r="F76" s="205"/>
      <c r="G76" s="215"/>
      <c r="H76" s="215"/>
      <c r="I76" s="216"/>
      <c r="J76" s="205"/>
      <c r="K76" s="205"/>
      <c r="L76" s="205" t="s">
        <v>315</v>
      </c>
      <c r="M76" s="215"/>
      <c r="N76" s="218">
        <f>Tabela1389101112131415[[#This Row],[Valor recibo]]</f>
        <v>0</v>
      </c>
      <c r="O76" s="216"/>
      <c r="P76" s="205"/>
    </row>
    <row r="77" spans="1:16" ht="15.75">
      <c r="A77" s="205"/>
      <c r="B77" s="215"/>
      <c r="C77" s="205"/>
      <c r="D77" s="205"/>
      <c r="E77" s="205"/>
      <c r="F77" s="205"/>
      <c r="G77" s="215"/>
      <c r="H77" s="215"/>
      <c r="I77" s="216"/>
      <c r="J77" s="205"/>
      <c r="K77" s="205"/>
      <c r="L77" s="205" t="s">
        <v>315</v>
      </c>
      <c r="M77" s="215"/>
      <c r="N77" s="218">
        <f>Tabela1389101112131415[[#This Row],[Valor recibo]]</f>
        <v>0</v>
      </c>
      <c r="O77" s="216"/>
      <c r="P77" s="205"/>
    </row>
    <row r="78" spans="1:16" ht="15.75">
      <c r="A78" s="205"/>
      <c r="B78" s="215"/>
      <c r="C78" s="205"/>
      <c r="D78" s="205"/>
      <c r="E78" s="205"/>
      <c r="F78" s="205"/>
      <c r="G78" s="215"/>
      <c r="H78" s="215"/>
      <c r="I78" s="216"/>
      <c r="J78" s="205"/>
      <c r="K78" s="205"/>
      <c r="L78" s="205" t="s">
        <v>315</v>
      </c>
      <c r="M78" s="215"/>
      <c r="N78" s="218">
        <f>Tabela1389101112131415[[#This Row],[Valor recibo]]</f>
        <v>0</v>
      </c>
      <c r="O78" s="216"/>
      <c r="P78" s="205"/>
    </row>
    <row r="79" spans="1:16" ht="15.75">
      <c r="A79" s="205"/>
      <c r="B79" s="215"/>
      <c r="C79" s="205"/>
      <c r="D79" s="205"/>
      <c r="E79" s="205"/>
      <c r="F79" s="205"/>
      <c r="G79" s="215"/>
      <c r="H79" s="215"/>
      <c r="I79" s="216"/>
      <c r="J79" s="205"/>
      <c r="K79" s="205"/>
      <c r="L79" s="205" t="s">
        <v>315</v>
      </c>
      <c r="M79" s="215"/>
      <c r="N79" s="218">
        <f>Tabela1389101112131415[[#This Row],[Valor recibo]]</f>
        <v>0</v>
      </c>
      <c r="O79" s="216"/>
      <c r="P79" s="205"/>
    </row>
    <row r="80" spans="1:16" ht="15.75">
      <c r="A80" s="205"/>
      <c r="B80" s="215"/>
      <c r="C80" s="205"/>
      <c r="D80" s="205"/>
      <c r="E80" s="205"/>
      <c r="F80" s="205"/>
      <c r="G80" s="215"/>
      <c r="H80" s="215"/>
      <c r="I80" s="216"/>
      <c r="J80" s="205"/>
      <c r="K80" s="205"/>
      <c r="L80" s="205" t="s">
        <v>315</v>
      </c>
      <c r="M80" s="215"/>
      <c r="N80" s="218">
        <f>Tabela1389101112131415[[#This Row],[Valor recibo]]</f>
        <v>0</v>
      </c>
      <c r="O80" s="216"/>
      <c r="P80" s="205"/>
    </row>
    <row r="81" spans="1:16" ht="15.75">
      <c r="A81" s="205"/>
      <c r="B81" s="215"/>
      <c r="C81" s="205"/>
      <c r="D81" s="205"/>
      <c r="E81" s="205"/>
      <c r="F81" s="205"/>
      <c r="G81" s="215"/>
      <c r="H81" s="215"/>
      <c r="I81" s="216"/>
      <c r="J81" s="205"/>
      <c r="K81" s="205"/>
      <c r="L81" s="205" t="s">
        <v>315</v>
      </c>
      <c r="M81" s="215"/>
      <c r="N81" s="218">
        <f>Tabela1389101112131415[[#This Row],[Valor recibo]]</f>
        <v>0</v>
      </c>
      <c r="O81" s="216"/>
      <c r="P81" s="205"/>
    </row>
    <row r="82" spans="1:16" ht="15.75">
      <c r="A82" s="205"/>
      <c r="B82" s="215"/>
      <c r="C82" s="205"/>
      <c r="D82" s="205"/>
      <c r="E82" s="205"/>
      <c r="F82" s="205"/>
      <c r="G82" s="215"/>
      <c r="H82" s="215"/>
      <c r="I82" s="216"/>
      <c r="J82" s="205"/>
      <c r="K82" s="205"/>
      <c r="L82" s="205" t="s">
        <v>315</v>
      </c>
      <c r="M82" s="215"/>
      <c r="N82" s="218">
        <f>Tabela1389101112131415[[#This Row],[Valor recibo]]</f>
        <v>0</v>
      </c>
      <c r="O82" s="216"/>
      <c r="P82" s="205"/>
    </row>
    <row r="83" spans="1:16" ht="15.75">
      <c r="A83" s="205"/>
      <c r="B83" s="215"/>
      <c r="C83" s="205"/>
      <c r="D83" s="205"/>
      <c r="E83" s="205"/>
      <c r="F83" s="205"/>
      <c r="G83" s="215"/>
      <c r="H83" s="215"/>
      <c r="I83" s="216"/>
      <c r="J83" s="205"/>
      <c r="K83" s="205"/>
      <c r="L83" s="205" t="s">
        <v>315</v>
      </c>
      <c r="M83" s="215"/>
      <c r="N83" s="218">
        <f>Tabela1389101112131415[[#This Row],[Valor recibo]]</f>
        <v>0</v>
      </c>
      <c r="O83" s="216"/>
      <c r="P83" s="205"/>
    </row>
    <row r="84" spans="1:16" ht="15.75">
      <c r="A84" s="205"/>
      <c r="B84" s="215"/>
      <c r="C84" s="205"/>
      <c r="D84" s="205"/>
      <c r="E84" s="205"/>
      <c r="F84" s="205"/>
      <c r="G84" s="215"/>
      <c r="H84" s="215"/>
      <c r="I84" s="216"/>
      <c r="J84" s="205"/>
      <c r="K84" s="205"/>
      <c r="L84" s="205" t="s">
        <v>315</v>
      </c>
      <c r="M84" s="215"/>
      <c r="N84" s="218">
        <f>Tabela1389101112131415[[#This Row],[Valor recibo]]</f>
        <v>0</v>
      </c>
      <c r="O84" s="216"/>
      <c r="P84" s="205"/>
    </row>
    <row r="85" spans="1:16" ht="15.75">
      <c r="A85" s="205"/>
      <c r="B85" s="215"/>
      <c r="C85" s="205"/>
      <c r="D85" s="205"/>
      <c r="E85" s="205"/>
      <c r="F85" s="205"/>
      <c r="G85" s="215"/>
      <c r="H85" s="215"/>
      <c r="I85" s="216"/>
      <c r="J85" s="205"/>
      <c r="K85" s="205"/>
      <c r="L85" s="205" t="s">
        <v>315</v>
      </c>
      <c r="M85" s="215"/>
      <c r="N85" s="218">
        <f>Tabela1389101112131415[[#This Row],[Valor recibo]]</f>
        <v>0</v>
      </c>
      <c r="O85" s="216"/>
      <c r="P85" s="205"/>
    </row>
    <row r="86" spans="1:16" ht="15.75">
      <c r="A86" s="205"/>
      <c r="B86" s="215"/>
      <c r="C86" s="205"/>
      <c r="D86" s="205"/>
      <c r="E86" s="205"/>
      <c r="F86" s="205"/>
      <c r="G86" s="215"/>
      <c r="H86" s="215"/>
      <c r="I86" s="216"/>
      <c r="J86" s="205"/>
      <c r="K86" s="205"/>
      <c r="L86" s="205" t="s">
        <v>315</v>
      </c>
      <c r="M86" s="215"/>
      <c r="N86" s="218">
        <f>Tabela1389101112131415[[#This Row],[Valor recibo]]</f>
        <v>0</v>
      </c>
      <c r="O86" s="216"/>
      <c r="P86" s="205"/>
    </row>
    <row r="87" spans="1:16" ht="15.75">
      <c r="A87" s="205"/>
      <c r="B87" s="215"/>
      <c r="C87" s="205"/>
      <c r="D87" s="205"/>
      <c r="E87" s="205"/>
      <c r="F87" s="205"/>
      <c r="G87" s="215"/>
      <c r="H87" s="215"/>
      <c r="I87" s="216"/>
      <c r="J87" s="205"/>
      <c r="K87" s="205"/>
      <c r="L87" s="205" t="s">
        <v>315</v>
      </c>
      <c r="M87" s="215"/>
      <c r="N87" s="218">
        <f>Tabela1389101112131415[[#This Row],[Valor recibo]]</f>
        <v>0</v>
      </c>
      <c r="O87" s="216"/>
      <c r="P87" s="205"/>
    </row>
    <row r="88" spans="1:16" ht="15.75">
      <c r="A88" s="205"/>
      <c r="B88" s="215"/>
      <c r="C88" s="205"/>
      <c r="D88" s="205"/>
      <c r="E88" s="205"/>
      <c r="F88" s="205"/>
      <c r="G88" s="215"/>
      <c r="H88" s="215"/>
      <c r="I88" s="216"/>
      <c r="J88" s="205"/>
      <c r="K88" s="205"/>
      <c r="L88" s="205" t="s">
        <v>315</v>
      </c>
      <c r="M88" s="215"/>
      <c r="N88" s="218">
        <f>Tabela1389101112131415[[#This Row],[Valor recibo]]</f>
        <v>0</v>
      </c>
      <c r="O88" s="216"/>
      <c r="P88" s="205"/>
    </row>
    <row r="89" spans="1:16" ht="15.75">
      <c r="A89" s="205"/>
      <c r="B89" s="215"/>
      <c r="C89" s="205"/>
      <c r="D89" s="205"/>
      <c r="E89" s="205"/>
      <c r="F89" s="205"/>
      <c r="G89" s="215"/>
      <c r="H89" s="215"/>
      <c r="I89" s="216"/>
      <c r="J89" s="205"/>
      <c r="K89" s="205"/>
      <c r="L89" s="205" t="s">
        <v>315</v>
      </c>
      <c r="M89" s="215"/>
      <c r="N89" s="218">
        <f>Tabela1389101112131415[[#This Row],[Valor recibo]]</f>
        <v>0</v>
      </c>
      <c r="O89" s="216"/>
      <c r="P89" s="205"/>
    </row>
    <row r="90" spans="1:16" ht="15.75">
      <c r="A90" s="205"/>
      <c r="B90" s="215"/>
      <c r="C90" s="205"/>
      <c r="D90" s="205"/>
      <c r="E90" s="205"/>
      <c r="F90" s="205"/>
      <c r="G90" s="215"/>
      <c r="H90" s="215"/>
      <c r="I90" s="216"/>
      <c r="J90" s="205"/>
      <c r="K90" s="205"/>
      <c r="L90" s="205" t="s">
        <v>315</v>
      </c>
      <c r="M90" s="215"/>
      <c r="N90" s="218">
        <f>Tabela1389101112131415[[#This Row],[Valor recibo]]</f>
        <v>0</v>
      </c>
      <c r="O90" s="216"/>
      <c r="P90" s="205"/>
    </row>
    <row r="91" spans="1:16" ht="15.75">
      <c r="A91" s="205"/>
      <c r="B91" s="215"/>
      <c r="C91" s="205"/>
      <c r="D91" s="205"/>
      <c r="E91" s="205"/>
      <c r="F91" s="205"/>
      <c r="G91" s="215"/>
      <c r="H91" s="215"/>
      <c r="I91" s="216"/>
      <c r="J91" s="205"/>
      <c r="K91" s="205"/>
      <c r="L91" s="205" t="s">
        <v>315</v>
      </c>
      <c r="M91" s="215"/>
      <c r="N91" s="218">
        <f>Tabela1389101112131415[[#This Row],[Valor recibo]]</f>
        <v>0</v>
      </c>
      <c r="O91" s="216"/>
      <c r="P91" s="205"/>
    </row>
    <row r="92" spans="1:16" ht="15.75">
      <c r="A92" s="205"/>
      <c r="B92" s="215"/>
      <c r="C92" s="205"/>
      <c r="D92" s="205"/>
      <c r="E92" s="205"/>
      <c r="F92" s="205"/>
      <c r="G92" s="215"/>
      <c r="H92" s="215"/>
      <c r="I92" s="216"/>
      <c r="J92" s="205"/>
      <c r="K92" s="205"/>
      <c r="L92" s="205" t="s">
        <v>315</v>
      </c>
      <c r="M92" s="215"/>
      <c r="N92" s="218">
        <f>Tabela1389101112131415[[#This Row],[Valor recibo]]</f>
        <v>0</v>
      </c>
      <c r="O92" s="216"/>
      <c r="P92" s="205"/>
    </row>
    <row r="93" spans="1:16" ht="15.75">
      <c r="A93" s="205"/>
      <c r="B93" s="215"/>
      <c r="C93" s="205"/>
      <c r="D93" s="205"/>
      <c r="E93" s="205"/>
      <c r="F93" s="205"/>
      <c r="G93" s="215"/>
      <c r="H93" s="215"/>
      <c r="I93" s="216"/>
      <c r="J93" s="205"/>
      <c r="K93" s="205"/>
      <c r="L93" s="205" t="s">
        <v>315</v>
      </c>
      <c r="M93" s="215"/>
      <c r="N93" s="218">
        <f>Tabela1389101112131415[[#This Row],[Valor recibo]]</f>
        <v>0</v>
      </c>
      <c r="O93" s="216"/>
      <c r="P93" s="205"/>
    </row>
    <row r="94" spans="1:16" ht="15.75">
      <c r="A94" s="205"/>
      <c r="B94" s="215"/>
      <c r="C94" s="205"/>
      <c r="D94" s="205"/>
      <c r="E94" s="205"/>
      <c r="F94" s="205"/>
      <c r="G94" s="215"/>
      <c r="H94" s="215"/>
      <c r="I94" s="216"/>
      <c r="J94" s="205"/>
      <c r="K94" s="205"/>
      <c r="L94" s="205" t="s">
        <v>315</v>
      </c>
      <c r="M94" s="215"/>
      <c r="N94" s="218">
        <f>Tabela1389101112131415[[#This Row],[Valor recibo]]</f>
        <v>0</v>
      </c>
      <c r="O94" s="216"/>
      <c r="P94" s="205"/>
    </row>
    <row r="95" spans="1:16" ht="15.75">
      <c r="A95" s="205"/>
      <c r="B95" s="215"/>
      <c r="C95" s="205"/>
      <c r="D95" s="205"/>
      <c r="E95" s="205"/>
      <c r="F95" s="205"/>
      <c r="G95" s="215"/>
      <c r="H95" s="215"/>
      <c r="I95" s="216"/>
      <c r="J95" s="205"/>
      <c r="K95" s="205"/>
      <c r="L95" s="205" t="s">
        <v>315</v>
      </c>
      <c r="M95" s="215"/>
      <c r="N95" s="218">
        <f>Tabela1389101112131415[[#This Row],[Valor recibo]]</f>
        <v>0</v>
      </c>
      <c r="O95" s="216"/>
      <c r="P95" s="205"/>
    </row>
    <row r="96" spans="1:16" ht="15.75">
      <c r="A96" s="205"/>
      <c r="B96" s="215"/>
      <c r="C96" s="205"/>
      <c r="D96" s="205"/>
      <c r="E96" s="205"/>
      <c r="F96" s="205"/>
      <c r="G96" s="215"/>
      <c r="H96" s="215"/>
      <c r="I96" s="216"/>
      <c r="J96" s="205"/>
      <c r="K96" s="205"/>
      <c r="L96" s="205" t="s">
        <v>315</v>
      </c>
      <c r="M96" s="215"/>
      <c r="N96" s="218">
        <f>Tabela1389101112131415[[#This Row],[Valor recibo]]</f>
        <v>0</v>
      </c>
      <c r="O96" s="216"/>
      <c r="P96" s="205"/>
    </row>
    <row r="97" spans="1:16" ht="15.75">
      <c r="A97" s="205"/>
      <c r="B97" s="215"/>
      <c r="C97" s="205"/>
      <c r="D97" s="205"/>
      <c r="E97" s="205"/>
      <c r="F97" s="205"/>
      <c r="G97" s="215"/>
      <c r="H97" s="215"/>
      <c r="I97" s="216"/>
      <c r="J97" s="205"/>
      <c r="K97" s="205"/>
      <c r="L97" s="205" t="s">
        <v>315</v>
      </c>
      <c r="M97" s="215"/>
      <c r="N97" s="218">
        <f>Tabela1389101112131415[[#This Row],[Valor recibo]]</f>
        <v>0</v>
      </c>
      <c r="O97" s="216"/>
      <c r="P97" s="205"/>
    </row>
    <row r="98" spans="1:16" ht="15.75">
      <c r="A98" s="205"/>
      <c r="B98" s="215"/>
      <c r="C98" s="205"/>
      <c r="D98" s="205"/>
      <c r="E98" s="205"/>
      <c r="F98" s="205"/>
      <c r="G98" s="215"/>
      <c r="H98" s="215"/>
      <c r="I98" s="216"/>
      <c r="J98" s="205"/>
      <c r="K98" s="205"/>
      <c r="L98" s="205" t="s">
        <v>315</v>
      </c>
      <c r="M98" s="215"/>
      <c r="N98" s="218">
        <f>Tabela1389101112131415[[#This Row],[Valor recibo]]</f>
        <v>0</v>
      </c>
      <c r="O98" s="216"/>
      <c r="P98" s="205"/>
    </row>
    <row r="99" spans="1:16" ht="15.75">
      <c r="A99" s="205"/>
      <c r="B99" s="215"/>
      <c r="C99" s="205"/>
      <c r="D99" s="205"/>
      <c r="E99" s="205"/>
      <c r="F99" s="205"/>
      <c r="G99" s="215"/>
      <c r="H99" s="215"/>
      <c r="I99" s="216"/>
      <c r="J99" s="205"/>
      <c r="K99" s="205"/>
      <c r="L99" s="205" t="s">
        <v>315</v>
      </c>
      <c r="M99" s="215"/>
      <c r="N99" s="218">
        <f>Tabela1389101112131415[[#This Row],[Valor recibo]]</f>
        <v>0</v>
      </c>
      <c r="O99" s="216"/>
      <c r="P99" s="205"/>
    </row>
    <row r="100" spans="1:16" ht="15.75">
      <c r="A100" s="205"/>
      <c r="B100" s="215"/>
      <c r="C100" s="205"/>
      <c r="D100" s="205"/>
      <c r="E100" s="205"/>
      <c r="F100" s="205"/>
      <c r="G100" s="215"/>
      <c r="H100" s="215"/>
      <c r="I100" s="216"/>
      <c r="J100" s="205"/>
      <c r="K100" s="205"/>
      <c r="L100" s="205" t="s">
        <v>315</v>
      </c>
      <c r="M100" s="215"/>
      <c r="N100" s="218">
        <f>Tabela1389101112131415[[#This Row],[Valor recibo]]</f>
        <v>0</v>
      </c>
      <c r="O100" s="216"/>
      <c r="P100" s="205"/>
    </row>
    <row r="101" spans="1:16" ht="15.75">
      <c r="A101" s="205"/>
      <c r="B101" s="215"/>
      <c r="C101" s="205"/>
      <c r="D101" s="205"/>
      <c r="E101" s="205"/>
      <c r="F101" s="205"/>
      <c r="G101" s="215"/>
      <c r="H101" s="215"/>
      <c r="I101" s="216"/>
      <c r="J101" s="205"/>
      <c r="K101" s="205"/>
      <c r="L101" s="205" t="s">
        <v>315</v>
      </c>
      <c r="M101" s="215"/>
      <c r="N101" s="218">
        <f>Tabela1389101112131415[[#This Row],[Valor recibo]]</f>
        <v>0</v>
      </c>
      <c r="O101" s="216"/>
      <c r="P101" s="205"/>
    </row>
    <row r="102" spans="1:16" ht="15.75">
      <c r="A102" s="205"/>
      <c r="B102" s="215"/>
      <c r="C102" s="205"/>
      <c r="D102" s="205"/>
      <c r="E102" s="205"/>
      <c r="F102" s="205"/>
      <c r="G102" s="215"/>
      <c r="H102" s="215"/>
      <c r="I102" s="216"/>
      <c r="J102" s="205"/>
      <c r="K102" s="205"/>
      <c r="L102" s="205" t="s">
        <v>315</v>
      </c>
      <c r="M102" s="215"/>
      <c r="N102" s="218">
        <f>Tabela1389101112131415[[#This Row],[Valor recibo]]</f>
        <v>0</v>
      </c>
      <c r="O102" s="216"/>
      <c r="P102" s="205"/>
    </row>
    <row r="103" spans="1:16" ht="15.75">
      <c r="A103" s="205"/>
      <c r="B103" s="215"/>
      <c r="C103" s="205"/>
      <c r="D103" s="205"/>
      <c r="E103" s="205"/>
      <c r="F103" s="205"/>
      <c r="G103" s="215"/>
      <c r="H103" s="215"/>
      <c r="I103" s="216"/>
      <c r="J103" s="205"/>
      <c r="K103" s="205"/>
      <c r="L103" s="205" t="s">
        <v>315</v>
      </c>
      <c r="M103" s="215"/>
      <c r="N103" s="218">
        <f>Tabela1389101112131415[[#This Row],[Valor recibo]]</f>
        <v>0</v>
      </c>
      <c r="O103" s="216"/>
      <c r="P103" s="205"/>
    </row>
    <row r="104" spans="1:16" ht="15.75">
      <c r="A104" s="205"/>
      <c r="B104" s="215"/>
      <c r="C104" s="205"/>
      <c r="D104" s="205"/>
      <c r="E104" s="205"/>
      <c r="F104" s="205"/>
      <c r="G104" s="215"/>
      <c r="H104" s="215"/>
      <c r="I104" s="216"/>
      <c r="J104" s="205"/>
      <c r="K104" s="205"/>
      <c r="L104" s="205" t="s">
        <v>315</v>
      </c>
      <c r="M104" s="215"/>
      <c r="N104" s="218">
        <f>Tabela1389101112131415[[#This Row],[Valor recibo]]</f>
        <v>0</v>
      </c>
      <c r="O104" s="216"/>
      <c r="P104" s="205"/>
    </row>
    <row r="105" spans="1:16" ht="15.75">
      <c r="A105" s="205"/>
      <c r="B105" s="215"/>
      <c r="C105" s="205"/>
      <c r="D105" s="205"/>
      <c r="E105" s="205"/>
      <c r="F105" s="205"/>
      <c r="G105" s="215"/>
      <c r="H105" s="215"/>
      <c r="I105" s="216"/>
      <c r="J105" s="205"/>
      <c r="K105" s="205"/>
      <c r="L105" s="205" t="s">
        <v>315</v>
      </c>
      <c r="M105" s="215"/>
      <c r="N105" s="218">
        <f>Tabela1389101112131415[[#This Row],[Valor recibo]]</f>
        <v>0</v>
      </c>
      <c r="O105" s="216"/>
      <c r="P105" s="205"/>
    </row>
    <row r="106" spans="1:16" ht="15.75">
      <c r="A106" s="205"/>
      <c r="B106" s="215"/>
      <c r="C106" s="205"/>
      <c r="D106" s="205"/>
      <c r="E106" s="205"/>
      <c r="F106" s="205"/>
      <c r="G106" s="215"/>
      <c r="H106" s="215"/>
      <c r="I106" s="216"/>
      <c r="J106" s="205"/>
      <c r="K106" s="205"/>
      <c r="L106" s="205" t="s">
        <v>315</v>
      </c>
      <c r="M106" s="215"/>
      <c r="N106" s="218">
        <f>Tabela1389101112131415[[#This Row],[Valor recibo]]</f>
        <v>0</v>
      </c>
      <c r="O106" s="216"/>
      <c r="P106" s="219"/>
    </row>
    <row r="107" spans="1:16" ht="15.75">
      <c r="A107" s="205"/>
      <c r="B107" s="215"/>
      <c r="C107" s="205"/>
      <c r="D107" s="205"/>
      <c r="E107" s="205"/>
      <c r="F107" s="205"/>
      <c r="G107" s="215"/>
      <c r="H107" s="215"/>
      <c r="I107" s="216"/>
      <c r="J107" s="205"/>
      <c r="K107" s="205"/>
      <c r="L107" s="205" t="s">
        <v>315</v>
      </c>
      <c r="M107" s="215"/>
      <c r="N107" s="218">
        <f>Tabela1389101112131415[[#This Row],[Valor recibo]]</f>
        <v>0</v>
      </c>
      <c r="O107" s="216"/>
      <c r="P107" s="205"/>
    </row>
    <row r="108" spans="1:16" ht="15.75">
      <c r="A108" s="205"/>
      <c r="B108" s="215"/>
      <c r="C108" s="205"/>
      <c r="D108" s="205"/>
      <c r="E108" s="205"/>
      <c r="F108" s="205"/>
      <c r="G108" s="215"/>
      <c r="H108" s="215"/>
      <c r="I108" s="216"/>
      <c r="J108" s="205"/>
      <c r="K108" s="205"/>
      <c r="L108" s="205" t="s">
        <v>315</v>
      </c>
      <c r="M108" s="215"/>
      <c r="N108" s="218">
        <f>Tabela1389101112131415[[#This Row],[Valor recibo]]</f>
        <v>0</v>
      </c>
      <c r="O108" s="216"/>
      <c r="P108" s="205"/>
    </row>
    <row r="109" spans="1:16" ht="15.75">
      <c r="A109" s="205"/>
      <c r="B109" s="215"/>
      <c r="C109" s="205"/>
      <c r="D109" s="205"/>
      <c r="E109" s="205"/>
      <c r="F109" s="205"/>
      <c r="G109" s="215"/>
      <c r="H109" s="215"/>
      <c r="I109" s="216"/>
      <c r="J109" s="205"/>
      <c r="K109" s="205"/>
      <c r="L109" s="205" t="s">
        <v>315</v>
      </c>
      <c r="M109" s="215"/>
      <c r="N109" s="218">
        <f>Tabela1389101112131415[[#This Row],[Valor recibo]]</f>
        <v>0</v>
      </c>
      <c r="O109" s="216"/>
      <c r="P109" s="205"/>
    </row>
    <row r="110" spans="1:16" ht="15.75">
      <c r="A110" s="205"/>
      <c r="B110" s="215"/>
      <c r="C110" s="205"/>
      <c r="D110" s="205"/>
      <c r="E110" s="205"/>
      <c r="F110" s="205"/>
      <c r="G110" s="215"/>
      <c r="H110" s="215"/>
      <c r="I110" s="216"/>
      <c r="J110" s="205"/>
      <c r="K110" s="205"/>
      <c r="L110" s="205" t="s">
        <v>315</v>
      </c>
      <c r="M110" s="215"/>
      <c r="N110" s="218">
        <f>Tabela1389101112131415[[#This Row],[Valor recibo]]</f>
        <v>0</v>
      </c>
      <c r="O110" s="216"/>
      <c r="P110" s="205"/>
    </row>
    <row r="111" spans="1:16" ht="15.75">
      <c r="A111" s="205"/>
      <c r="B111" s="215"/>
      <c r="C111" s="205"/>
      <c r="D111" s="205"/>
      <c r="E111" s="205"/>
      <c r="F111" s="205"/>
      <c r="G111" s="215"/>
      <c r="H111" s="215"/>
      <c r="I111" s="216"/>
      <c r="J111" s="205"/>
      <c r="K111" s="205"/>
      <c r="L111" s="205" t="s">
        <v>315</v>
      </c>
      <c r="M111" s="215"/>
      <c r="N111" s="218">
        <f>Tabela1389101112131415[[#This Row],[Valor recibo]]</f>
        <v>0</v>
      </c>
      <c r="O111" s="216"/>
      <c r="P111" s="205"/>
    </row>
    <row r="112" spans="1:16" ht="15.75">
      <c r="A112" s="205"/>
      <c r="B112" s="215"/>
      <c r="C112" s="205"/>
      <c r="D112" s="205"/>
      <c r="E112" s="205"/>
      <c r="F112" s="205"/>
      <c r="G112" s="215"/>
      <c r="H112" s="215"/>
      <c r="I112" s="216"/>
      <c r="J112" s="205"/>
      <c r="K112" s="205"/>
      <c r="L112" s="205" t="s">
        <v>315</v>
      </c>
      <c r="M112" s="215"/>
      <c r="N112" s="218">
        <f>Tabela1389101112131415[[#This Row],[Valor recibo]]</f>
        <v>0</v>
      </c>
      <c r="O112" s="216"/>
      <c r="P112" s="205"/>
    </row>
    <row r="113" spans="1:16" ht="15.75">
      <c r="A113" s="205"/>
      <c r="B113" s="215"/>
      <c r="C113" s="205"/>
      <c r="D113" s="205"/>
      <c r="E113" s="205"/>
      <c r="F113" s="205"/>
      <c r="G113" s="215"/>
      <c r="H113" s="215"/>
      <c r="I113" s="216"/>
      <c r="J113" s="205"/>
      <c r="K113" s="205"/>
      <c r="L113" s="205" t="s">
        <v>315</v>
      </c>
      <c r="M113" s="215"/>
      <c r="N113" s="218">
        <f>Tabela1389101112131415[[#This Row],[Valor recibo]]</f>
        <v>0</v>
      </c>
      <c r="O113" s="216"/>
      <c r="P113" s="205"/>
    </row>
    <row r="114" spans="1:16" ht="15.75">
      <c r="A114" s="205"/>
      <c r="B114" s="215"/>
      <c r="C114" s="205"/>
      <c r="D114" s="205"/>
      <c r="E114" s="205"/>
      <c r="F114" s="205"/>
      <c r="G114" s="215"/>
      <c r="H114" s="215"/>
      <c r="I114" s="216"/>
      <c r="J114" s="205"/>
      <c r="K114" s="205"/>
      <c r="L114" s="205" t="s">
        <v>315</v>
      </c>
      <c r="M114" s="215"/>
      <c r="N114" s="218">
        <f>Tabela1389101112131415[[#This Row],[Valor recibo]]</f>
        <v>0</v>
      </c>
      <c r="O114" s="216"/>
      <c r="P114" s="205"/>
    </row>
    <row r="115" spans="1:16" ht="15.75">
      <c r="A115" s="205"/>
      <c r="B115" s="215"/>
      <c r="C115" s="205"/>
      <c r="D115" s="205"/>
      <c r="E115" s="205"/>
      <c r="F115" s="205"/>
      <c r="G115" s="215"/>
      <c r="H115" s="215"/>
      <c r="I115" s="216"/>
      <c r="J115" s="205"/>
      <c r="K115" s="205"/>
      <c r="L115" s="205" t="s">
        <v>315</v>
      </c>
      <c r="M115" s="215"/>
      <c r="N115" s="218">
        <f>Tabela1389101112131415[[#This Row],[Valor recibo]]</f>
        <v>0</v>
      </c>
      <c r="O115" s="216"/>
      <c r="P115" s="205"/>
    </row>
    <row r="116" spans="1:16" ht="15.75">
      <c r="A116" s="205"/>
      <c r="B116" s="215"/>
      <c r="C116" s="205"/>
      <c r="D116" s="205"/>
      <c r="E116" s="205"/>
      <c r="F116" s="205"/>
      <c r="G116" s="215"/>
      <c r="H116" s="215"/>
      <c r="I116" s="216"/>
      <c r="J116" s="205"/>
      <c r="K116" s="205"/>
      <c r="L116" s="205" t="s">
        <v>315</v>
      </c>
      <c r="M116" s="215"/>
      <c r="N116" s="218">
        <f>Tabela1389101112131415[[#This Row],[Valor recibo]]</f>
        <v>0</v>
      </c>
      <c r="O116" s="216"/>
      <c r="P116" s="205"/>
    </row>
    <row r="117" spans="1:16" ht="15.75">
      <c r="A117" s="205"/>
      <c r="B117" s="215"/>
      <c r="C117" s="205"/>
      <c r="D117" s="205"/>
      <c r="E117" s="205"/>
      <c r="F117" s="205"/>
      <c r="G117" s="215"/>
      <c r="H117" s="215"/>
      <c r="I117" s="216"/>
      <c r="J117" s="205"/>
      <c r="K117" s="205"/>
      <c r="L117" s="205" t="s">
        <v>315</v>
      </c>
      <c r="M117" s="215"/>
      <c r="N117" s="218">
        <f>Tabela1389101112131415[[#This Row],[Valor recibo]]</f>
        <v>0</v>
      </c>
      <c r="O117" s="216"/>
      <c r="P117" s="205"/>
    </row>
    <row r="118" spans="1:16" ht="15.75">
      <c r="A118" s="205"/>
      <c r="B118" s="215"/>
      <c r="C118" s="205"/>
      <c r="D118" s="205"/>
      <c r="E118" s="205"/>
      <c r="F118" s="205"/>
      <c r="G118" s="215"/>
      <c r="H118" s="215"/>
      <c r="I118" s="216"/>
      <c r="J118" s="205"/>
      <c r="K118" s="205"/>
      <c r="L118" s="205" t="s">
        <v>315</v>
      </c>
      <c r="M118" s="215"/>
      <c r="N118" s="218">
        <f>Tabela1389101112131415[[#This Row],[Valor recibo]]</f>
        <v>0</v>
      </c>
      <c r="O118" s="216"/>
      <c r="P118" s="205"/>
    </row>
    <row r="119" spans="1:16" ht="15.75">
      <c r="A119" s="205"/>
      <c r="B119" s="215"/>
      <c r="C119" s="205"/>
      <c r="D119" s="205"/>
      <c r="E119" s="205"/>
      <c r="F119" s="205"/>
      <c r="G119" s="215"/>
      <c r="H119" s="215"/>
      <c r="I119" s="216"/>
      <c r="J119" s="205"/>
      <c r="K119" s="205"/>
      <c r="L119" s="205" t="s">
        <v>315</v>
      </c>
      <c r="M119" s="215"/>
      <c r="N119" s="218">
        <f>Tabela1389101112131415[[#This Row],[Valor recibo]]</f>
        <v>0</v>
      </c>
      <c r="O119" s="216"/>
      <c r="P119" s="205"/>
    </row>
    <row r="120" spans="1:16" ht="15.75">
      <c r="A120" s="205"/>
      <c r="B120" s="215"/>
      <c r="C120" s="205"/>
      <c r="D120" s="205"/>
      <c r="E120" s="205"/>
      <c r="F120" s="205"/>
      <c r="G120" s="215"/>
      <c r="H120" s="215"/>
      <c r="I120" s="216"/>
      <c r="J120" s="205"/>
      <c r="K120" s="205"/>
      <c r="L120" s="205" t="s">
        <v>315</v>
      </c>
      <c r="M120" s="215"/>
      <c r="N120" s="218">
        <f>Tabela1389101112131415[[#This Row],[Valor recibo]]</f>
        <v>0</v>
      </c>
      <c r="O120" s="216"/>
      <c r="P120" s="205"/>
    </row>
    <row r="121" spans="1:16" ht="15.75">
      <c r="A121" s="205"/>
      <c r="B121" s="215"/>
      <c r="C121" s="205"/>
      <c r="D121" s="205"/>
      <c r="E121" s="205"/>
      <c r="F121" s="205"/>
      <c r="G121" s="215"/>
      <c r="H121" s="215"/>
      <c r="I121" s="216"/>
      <c r="J121" s="205"/>
      <c r="K121" s="205"/>
      <c r="L121" s="205" t="s">
        <v>315</v>
      </c>
      <c r="M121" s="215"/>
      <c r="N121" s="218">
        <f>Tabela1389101112131415[[#This Row],[Valor recibo]]</f>
        <v>0</v>
      </c>
      <c r="O121" s="216"/>
      <c r="P121" s="205"/>
    </row>
    <row r="122" spans="1:16" ht="15.75">
      <c r="A122" s="205"/>
      <c r="B122" s="215"/>
      <c r="C122" s="205"/>
      <c r="D122" s="205"/>
      <c r="E122" s="205"/>
      <c r="F122" s="205"/>
      <c r="G122" s="215"/>
      <c r="H122" s="215"/>
      <c r="I122" s="216"/>
      <c r="J122" s="205"/>
      <c r="K122" s="205"/>
      <c r="L122" s="205" t="s">
        <v>315</v>
      </c>
      <c r="M122" s="215"/>
      <c r="N122" s="218">
        <f>Tabela1389101112131415[[#This Row],[Valor recibo]]</f>
        <v>0</v>
      </c>
      <c r="O122" s="216"/>
      <c r="P122" s="219"/>
    </row>
    <row r="123" spans="1:16" ht="15.75">
      <c r="A123" s="205"/>
      <c r="B123" s="215"/>
      <c r="C123" s="205"/>
      <c r="D123" s="205"/>
      <c r="E123" s="205"/>
      <c r="F123" s="205"/>
      <c r="G123" s="215"/>
      <c r="H123" s="215"/>
      <c r="I123" s="216"/>
      <c r="J123" s="205"/>
      <c r="K123" s="205"/>
      <c r="L123" s="205" t="s">
        <v>315</v>
      </c>
      <c r="M123" s="215"/>
      <c r="N123" s="218">
        <f>Tabela1389101112131415[[#This Row],[Valor recibo]]</f>
        <v>0</v>
      </c>
      <c r="O123" s="216"/>
      <c r="P123" s="205"/>
    </row>
    <row r="124" spans="1:16" ht="15.75">
      <c r="A124" s="205"/>
      <c r="B124" s="215"/>
      <c r="C124" s="205"/>
      <c r="D124" s="205"/>
      <c r="E124" s="205"/>
      <c r="F124" s="205"/>
      <c r="G124" s="215"/>
      <c r="H124" s="215"/>
      <c r="I124" s="216"/>
      <c r="J124" s="205"/>
      <c r="K124" s="205"/>
      <c r="L124" s="205" t="s">
        <v>315</v>
      </c>
      <c r="M124" s="215"/>
      <c r="N124" s="218">
        <f>Tabela1389101112131415[[#This Row],[Valor recibo]]</f>
        <v>0</v>
      </c>
      <c r="O124" s="216"/>
      <c r="P124" s="205"/>
    </row>
    <row r="125" spans="1:16" ht="15.75">
      <c r="A125" s="205"/>
      <c r="B125" s="215"/>
      <c r="C125" s="205"/>
      <c r="D125" s="205"/>
      <c r="E125" s="205"/>
      <c r="F125" s="205"/>
      <c r="G125" s="215"/>
      <c r="H125" s="215"/>
      <c r="I125" s="216"/>
      <c r="J125" s="205"/>
      <c r="K125" s="205"/>
      <c r="L125" s="205" t="s">
        <v>315</v>
      </c>
      <c r="M125" s="215"/>
      <c r="N125" s="218">
        <f>Tabela1389101112131415[[#This Row],[Valor recibo]]</f>
        <v>0</v>
      </c>
      <c r="O125" s="216"/>
      <c r="P125" s="205"/>
    </row>
    <row r="126" spans="1:16" ht="15.75">
      <c r="A126" s="205"/>
      <c r="B126" s="215"/>
      <c r="C126" s="205"/>
      <c r="D126" s="205"/>
      <c r="E126" s="205"/>
      <c r="F126" s="205"/>
      <c r="G126" s="215"/>
      <c r="H126" s="215"/>
      <c r="I126" s="216"/>
      <c r="J126" s="205"/>
      <c r="K126" s="205"/>
      <c r="L126" s="205" t="s">
        <v>315</v>
      </c>
      <c r="M126" s="215"/>
      <c r="N126" s="218">
        <f>Tabela1389101112131415[[#This Row],[Valor recibo]]</f>
        <v>0</v>
      </c>
      <c r="O126" s="216"/>
      <c r="P126" s="205"/>
    </row>
    <row r="127" spans="1:16" ht="15.75">
      <c r="A127" s="205"/>
      <c r="B127" s="215"/>
      <c r="C127" s="205"/>
      <c r="D127" s="205"/>
      <c r="E127" s="205"/>
      <c r="F127" s="205"/>
      <c r="G127" s="215"/>
      <c r="H127" s="215"/>
      <c r="I127" s="216"/>
      <c r="J127" s="205"/>
      <c r="K127" s="205"/>
      <c r="L127" s="205" t="s">
        <v>315</v>
      </c>
      <c r="M127" s="215"/>
      <c r="N127" s="218">
        <f>Tabela1389101112131415[[#This Row],[Valor recibo]]</f>
        <v>0</v>
      </c>
      <c r="O127" s="216"/>
      <c r="P127" s="205"/>
    </row>
    <row r="128" spans="1:16" ht="15.75">
      <c r="A128" s="205"/>
      <c r="B128" s="215"/>
      <c r="C128" s="205"/>
      <c r="D128" s="205"/>
      <c r="E128" s="205"/>
      <c r="F128" s="205"/>
      <c r="G128" s="215"/>
      <c r="H128" s="215"/>
      <c r="I128" s="216"/>
      <c r="J128" s="205"/>
      <c r="K128" s="205"/>
      <c r="L128" s="205" t="s">
        <v>315</v>
      </c>
      <c r="M128" s="215"/>
      <c r="N128" s="218">
        <f>Tabela1389101112131415[[#This Row],[Valor recibo]]</f>
        <v>0</v>
      </c>
      <c r="O128" s="216"/>
      <c r="P128" s="205"/>
    </row>
    <row r="129" spans="1:16" ht="15.75">
      <c r="A129" s="205"/>
      <c r="B129" s="215"/>
      <c r="C129" s="205"/>
      <c r="D129" s="205"/>
      <c r="E129" s="205"/>
      <c r="F129" s="205"/>
      <c r="G129" s="215"/>
      <c r="H129" s="215"/>
      <c r="I129" s="216"/>
      <c r="J129" s="205"/>
      <c r="K129" s="205"/>
      <c r="L129" s="205" t="s">
        <v>315</v>
      </c>
      <c r="M129" s="215"/>
      <c r="N129" s="218">
        <f>Tabela1389101112131415[[#This Row],[Valor recibo]]</f>
        <v>0</v>
      </c>
      <c r="O129" s="216"/>
      <c r="P129" s="205"/>
    </row>
    <row r="130" spans="1:16" ht="15.75">
      <c r="A130" s="205"/>
      <c r="B130" s="215"/>
      <c r="C130" s="205"/>
      <c r="D130" s="205"/>
      <c r="E130" s="205"/>
      <c r="F130" s="205"/>
      <c r="G130" s="215"/>
      <c r="H130" s="215"/>
      <c r="I130" s="216"/>
      <c r="J130" s="205"/>
      <c r="K130" s="205"/>
      <c r="L130" s="205" t="s">
        <v>315</v>
      </c>
      <c r="M130" s="215"/>
      <c r="N130" s="218">
        <f>Tabela1389101112131415[[#This Row],[Valor recibo]]</f>
        <v>0</v>
      </c>
      <c r="O130" s="216"/>
      <c r="P130" s="205"/>
    </row>
    <row r="131" spans="1:16" ht="15.75">
      <c r="A131" s="205"/>
      <c r="B131" s="215"/>
      <c r="C131" s="205"/>
      <c r="D131" s="205"/>
      <c r="E131" s="205"/>
      <c r="F131" s="205"/>
      <c r="G131" s="215"/>
      <c r="H131" s="215"/>
      <c r="I131" s="216"/>
      <c r="J131" s="205"/>
      <c r="K131" s="205"/>
      <c r="L131" s="205" t="s">
        <v>315</v>
      </c>
      <c r="M131" s="215"/>
      <c r="N131" s="218">
        <f>Tabela1389101112131415[[#This Row],[Valor recibo]]</f>
        <v>0</v>
      </c>
      <c r="O131" s="216"/>
      <c r="P131" s="205"/>
    </row>
    <row r="132" spans="1:16" ht="15.75">
      <c r="A132" s="205"/>
      <c r="B132" s="215"/>
      <c r="C132" s="205"/>
      <c r="D132" s="205"/>
      <c r="E132" s="205"/>
      <c r="F132" s="205"/>
      <c r="G132" s="215"/>
      <c r="H132" s="215"/>
      <c r="I132" s="216"/>
      <c r="J132" s="205"/>
      <c r="K132" s="205"/>
      <c r="L132" s="205" t="s">
        <v>315</v>
      </c>
      <c r="M132" s="215"/>
      <c r="N132" s="218">
        <f>Tabela1389101112131415[[#This Row],[Valor recibo]]</f>
        <v>0</v>
      </c>
      <c r="O132" s="216"/>
      <c r="P132" s="205"/>
    </row>
    <row r="133" spans="1:16" ht="15.75">
      <c r="A133" s="205"/>
      <c r="B133" s="215"/>
      <c r="C133" s="205"/>
      <c r="D133" s="205"/>
      <c r="E133" s="205"/>
      <c r="F133" s="205"/>
      <c r="G133" s="215"/>
      <c r="H133" s="215"/>
      <c r="I133" s="216"/>
      <c r="J133" s="205"/>
      <c r="K133" s="205"/>
      <c r="L133" s="205" t="s">
        <v>315</v>
      </c>
      <c r="M133" s="215"/>
      <c r="N133" s="218">
        <f>Tabela1389101112131415[[#This Row],[Valor recibo]]</f>
        <v>0</v>
      </c>
      <c r="O133" s="216"/>
      <c r="P133" s="219"/>
    </row>
    <row r="134" spans="1:16" ht="15.75">
      <c r="A134" s="205"/>
      <c r="B134" s="215"/>
      <c r="C134" s="205"/>
      <c r="D134" s="205"/>
      <c r="E134" s="205"/>
      <c r="F134" s="205"/>
      <c r="G134" s="215"/>
      <c r="H134" s="215"/>
      <c r="I134" s="216"/>
      <c r="J134" s="205"/>
      <c r="K134" s="205"/>
      <c r="L134" s="205" t="s">
        <v>315</v>
      </c>
      <c r="M134" s="215"/>
      <c r="N134" s="218">
        <f>Tabela1389101112131415[[#This Row],[Valor recibo]]</f>
        <v>0</v>
      </c>
      <c r="O134" s="216"/>
      <c r="P134" s="205"/>
    </row>
    <row r="135" spans="1:16" ht="15.75">
      <c r="A135" s="205"/>
      <c r="B135" s="215"/>
      <c r="C135" s="205"/>
      <c r="D135" s="205"/>
      <c r="E135" s="205"/>
      <c r="F135" s="205"/>
      <c r="G135" s="215"/>
      <c r="H135" s="215"/>
      <c r="I135" s="216"/>
      <c r="J135" s="205"/>
      <c r="K135" s="205"/>
      <c r="L135" s="205" t="s">
        <v>315</v>
      </c>
      <c r="M135" s="215"/>
      <c r="N135" s="218">
        <f>Tabela1389101112131415[[#This Row],[Valor recibo]]</f>
        <v>0</v>
      </c>
      <c r="O135" s="216"/>
      <c r="P135" s="205"/>
    </row>
    <row r="136" spans="1:16" ht="15.75">
      <c r="A136" s="205"/>
      <c r="B136" s="215"/>
      <c r="C136" s="205"/>
      <c r="D136" s="205"/>
      <c r="E136" s="205"/>
      <c r="F136" s="205"/>
      <c r="G136" s="215"/>
      <c r="H136" s="215"/>
      <c r="I136" s="216"/>
      <c r="J136" s="205"/>
      <c r="K136" s="205"/>
      <c r="L136" s="205" t="s">
        <v>315</v>
      </c>
      <c r="M136" s="215"/>
      <c r="N136" s="218">
        <f>Tabela1389101112131415[[#This Row],[Valor recibo]]</f>
        <v>0</v>
      </c>
      <c r="O136" s="216"/>
      <c r="P136" s="205"/>
    </row>
    <row r="137" spans="1:16" ht="15.75">
      <c r="A137" s="205"/>
      <c r="B137" s="215"/>
      <c r="C137" s="205"/>
      <c r="D137" s="205"/>
      <c r="E137" s="205"/>
      <c r="F137" s="205"/>
      <c r="G137" s="215"/>
      <c r="H137" s="215"/>
      <c r="I137" s="216"/>
      <c r="J137" s="205"/>
      <c r="K137" s="205"/>
      <c r="L137" s="205" t="s">
        <v>315</v>
      </c>
      <c r="M137" s="215"/>
      <c r="N137" s="218">
        <f>Tabela1389101112131415[[#This Row],[Valor recibo]]</f>
        <v>0</v>
      </c>
      <c r="O137" s="216"/>
      <c r="P137" s="205"/>
    </row>
    <row r="138" spans="1:16" ht="15.75">
      <c r="A138" s="205"/>
      <c r="B138" s="215"/>
      <c r="C138" s="205"/>
      <c r="D138" s="205"/>
      <c r="E138" s="205"/>
      <c r="F138" s="205"/>
      <c r="G138" s="215"/>
      <c r="H138" s="215"/>
      <c r="I138" s="216"/>
      <c r="J138" s="205"/>
      <c r="K138" s="205"/>
      <c r="L138" s="205" t="s">
        <v>315</v>
      </c>
      <c r="M138" s="215"/>
      <c r="N138" s="218">
        <f>Tabela1389101112131415[[#This Row],[Valor recibo]]</f>
        <v>0</v>
      </c>
      <c r="O138" s="216"/>
      <c r="P138" s="219"/>
    </row>
    <row r="139" spans="1:16" ht="15.75">
      <c r="A139" s="205"/>
      <c r="B139" s="215"/>
      <c r="C139" s="205"/>
      <c r="D139" s="205"/>
      <c r="E139" s="205"/>
      <c r="F139" s="205"/>
      <c r="G139" s="215"/>
      <c r="H139" s="215"/>
      <c r="I139" s="216"/>
      <c r="J139" s="205"/>
      <c r="K139" s="205"/>
      <c r="L139" s="205" t="s">
        <v>315</v>
      </c>
      <c r="M139" s="215"/>
      <c r="N139" s="218">
        <f>Tabela1389101112131415[[#This Row],[Valor recibo]]</f>
        <v>0</v>
      </c>
      <c r="O139" s="216"/>
      <c r="P139" s="205"/>
    </row>
    <row r="140" spans="1:16" ht="15.75">
      <c r="A140" s="205"/>
      <c r="B140" s="215"/>
      <c r="C140" s="205"/>
      <c r="D140" s="205"/>
      <c r="E140" s="205"/>
      <c r="F140" s="205"/>
      <c r="G140" s="215"/>
      <c r="H140" s="215"/>
      <c r="I140" s="216"/>
      <c r="J140" s="205"/>
      <c r="K140" s="205"/>
      <c r="L140" s="205" t="s">
        <v>315</v>
      </c>
      <c r="M140" s="215"/>
      <c r="N140" s="218">
        <f>Tabela1389101112131415[[#This Row],[Valor recibo]]</f>
        <v>0</v>
      </c>
      <c r="O140" s="216"/>
      <c r="P140" s="205"/>
    </row>
    <row r="141" spans="1:16" ht="15.75">
      <c r="A141" s="205"/>
      <c r="B141" s="215"/>
      <c r="C141" s="205"/>
      <c r="D141" s="205"/>
      <c r="E141" s="205"/>
      <c r="F141" s="205"/>
      <c r="G141" s="215"/>
      <c r="H141" s="215"/>
      <c r="I141" s="216"/>
      <c r="J141" s="205"/>
      <c r="K141" s="205"/>
      <c r="L141" s="205" t="s">
        <v>315</v>
      </c>
      <c r="M141" s="215"/>
      <c r="N141" s="218">
        <f>Tabela1389101112131415[[#This Row],[Valor recibo]]</f>
        <v>0</v>
      </c>
      <c r="O141" s="216"/>
      <c r="P141" s="205"/>
    </row>
    <row r="142" spans="1:16" ht="15.75">
      <c r="A142" s="205"/>
      <c r="B142" s="215"/>
      <c r="C142" s="205"/>
      <c r="D142" s="205"/>
      <c r="E142" s="205"/>
      <c r="F142" s="205"/>
      <c r="G142" s="215"/>
      <c r="H142" s="215"/>
      <c r="I142" s="216"/>
      <c r="J142" s="205"/>
      <c r="K142" s="205"/>
      <c r="L142" s="205" t="s">
        <v>315</v>
      </c>
      <c r="M142" s="215"/>
      <c r="N142" s="218">
        <f>Tabela1389101112131415[[#This Row],[Valor recibo]]</f>
        <v>0</v>
      </c>
      <c r="O142" s="216"/>
      <c r="P142" s="205"/>
    </row>
    <row r="143" spans="1:16" ht="15.75">
      <c r="A143" s="205"/>
      <c r="B143" s="215"/>
      <c r="C143" s="205"/>
      <c r="D143" s="205"/>
      <c r="E143" s="205"/>
      <c r="F143" s="205"/>
      <c r="G143" s="215"/>
      <c r="H143" s="215"/>
      <c r="I143" s="216"/>
      <c r="J143" s="205"/>
      <c r="K143" s="205"/>
      <c r="L143" s="205" t="s">
        <v>315</v>
      </c>
      <c r="M143" s="215"/>
      <c r="N143" s="218">
        <f>Tabela1389101112131415[[#This Row],[Valor recibo]]</f>
        <v>0</v>
      </c>
      <c r="O143" s="216"/>
      <c r="P143" s="205"/>
    </row>
    <row r="144" spans="1:16" ht="15.75">
      <c r="A144" s="205"/>
      <c r="B144" s="215"/>
      <c r="C144" s="205"/>
      <c r="D144" s="205"/>
      <c r="E144" s="205"/>
      <c r="F144" s="205"/>
      <c r="G144" s="215"/>
      <c r="H144" s="215"/>
      <c r="I144" s="216"/>
      <c r="J144" s="205"/>
      <c r="K144" s="205"/>
      <c r="L144" s="205" t="s">
        <v>315</v>
      </c>
      <c r="M144" s="215"/>
      <c r="N144" s="218">
        <f>Tabela1389101112131415[[#This Row],[Valor recibo]]</f>
        <v>0</v>
      </c>
      <c r="O144" s="216"/>
      <c r="P144" s="205"/>
    </row>
    <row r="145" spans="1:16" ht="15.75">
      <c r="A145" s="205"/>
      <c r="B145" s="215"/>
      <c r="C145" s="205"/>
      <c r="D145" s="205"/>
      <c r="E145" s="205"/>
      <c r="F145" s="205"/>
      <c r="G145" s="215"/>
      <c r="H145" s="215"/>
      <c r="I145" s="216"/>
      <c r="J145" s="205"/>
      <c r="K145" s="205"/>
      <c r="L145" s="205" t="s">
        <v>315</v>
      </c>
      <c r="M145" s="215"/>
      <c r="N145" s="218">
        <f>Tabela1389101112131415[[#This Row],[Valor recibo]]</f>
        <v>0</v>
      </c>
      <c r="O145" s="216"/>
      <c r="P145" s="205"/>
    </row>
    <row r="146" spans="1:16" ht="15.75">
      <c r="A146" s="205"/>
      <c r="B146" s="215"/>
      <c r="C146" s="205"/>
      <c r="D146" s="205"/>
      <c r="E146" s="205"/>
      <c r="F146" s="205"/>
      <c r="G146" s="215"/>
      <c r="H146" s="215"/>
      <c r="I146" s="216"/>
      <c r="J146" s="205"/>
      <c r="K146" s="205"/>
      <c r="L146" s="205" t="s">
        <v>315</v>
      </c>
      <c r="M146" s="215"/>
      <c r="N146" s="218">
        <f>Tabela1389101112131415[[#This Row],[Valor recibo]]</f>
        <v>0</v>
      </c>
      <c r="O146" s="216"/>
      <c r="P146" s="205"/>
    </row>
    <row r="147" spans="1:16" ht="15.75">
      <c r="A147" s="205"/>
      <c r="B147" s="215"/>
      <c r="C147" s="205"/>
      <c r="D147" s="205"/>
      <c r="E147" s="205"/>
      <c r="F147" s="205"/>
      <c r="G147" s="215"/>
      <c r="H147" s="215"/>
      <c r="I147" s="216"/>
      <c r="J147" s="205"/>
      <c r="K147" s="205"/>
      <c r="L147" s="205" t="s">
        <v>315</v>
      </c>
      <c r="M147" s="215"/>
      <c r="N147" s="218">
        <f>Tabela1389101112131415[[#This Row],[Valor recibo]]</f>
        <v>0</v>
      </c>
      <c r="O147" s="216"/>
      <c r="P147" s="205"/>
    </row>
    <row r="148" spans="1:16" ht="15.75">
      <c r="A148" s="205"/>
      <c r="B148" s="215"/>
      <c r="C148" s="205"/>
      <c r="D148" s="205"/>
      <c r="E148" s="205"/>
      <c r="F148" s="205"/>
      <c r="G148" s="215"/>
      <c r="H148" s="215"/>
      <c r="I148" s="216"/>
      <c r="J148" s="205"/>
      <c r="K148" s="205"/>
      <c r="L148" s="205" t="s">
        <v>315</v>
      </c>
      <c r="M148" s="215"/>
      <c r="N148" s="218">
        <f>Tabela1389101112131415[[#This Row],[Valor recibo]]</f>
        <v>0</v>
      </c>
      <c r="O148" s="216"/>
      <c r="P148" s="205"/>
    </row>
    <row r="149" spans="1:16" ht="15.75">
      <c r="A149" s="205"/>
      <c r="B149" s="215"/>
      <c r="C149" s="205"/>
      <c r="D149" s="205"/>
      <c r="E149" s="205"/>
      <c r="F149" s="205"/>
      <c r="G149" s="215"/>
      <c r="H149" s="215"/>
      <c r="I149" s="216"/>
      <c r="J149" s="205"/>
      <c r="K149" s="205"/>
      <c r="L149" s="205" t="s">
        <v>315</v>
      </c>
      <c r="M149" s="215"/>
      <c r="N149" s="218">
        <f>Tabela1389101112131415[[#This Row],[Valor recibo]]</f>
        <v>0</v>
      </c>
      <c r="O149" s="216"/>
      <c r="P149" s="205"/>
    </row>
    <row r="150" spans="1:16" ht="15.75">
      <c r="A150" s="205"/>
      <c r="B150" s="215"/>
      <c r="C150" s="205"/>
      <c r="D150" s="205"/>
      <c r="E150" s="205"/>
      <c r="F150" s="205"/>
      <c r="G150" s="215"/>
      <c r="H150" s="215"/>
      <c r="I150" s="216"/>
      <c r="J150" s="205"/>
      <c r="K150" s="205"/>
      <c r="L150" s="205" t="s">
        <v>315</v>
      </c>
      <c r="M150" s="215"/>
      <c r="N150" s="218">
        <f>Tabela1389101112131415[[#This Row],[Valor recibo]]</f>
        <v>0</v>
      </c>
      <c r="O150" s="216"/>
      <c r="P150" s="205"/>
    </row>
    <row r="151" spans="1:16" ht="15.75">
      <c r="A151" s="205"/>
      <c r="B151" s="215"/>
      <c r="C151" s="205"/>
      <c r="D151" s="205"/>
      <c r="E151" s="205"/>
      <c r="F151" s="205"/>
      <c r="G151" s="215"/>
      <c r="H151" s="215"/>
      <c r="I151" s="216"/>
      <c r="J151" s="205"/>
      <c r="K151" s="205"/>
      <c r="L151" s="205" t="s">
        <v>315</v>
      </c>
      <c r="M151" s="215"/>
      <c r="N151" s="218">
        <f>Tabela1389101112131415[[#This Row],[Valor recibo]]</f>
        <v>0</v>
      </c>
      <c r="O151" s="216"/>
      <c r="P151" s="205"/>
    </row>
    <row r="152" spans="1:16" ht="15.75">
      <c r="A152" s="205"/>
      <c r="B152" s="215"/>
      <c r="C152" s="205"/>
      <c r="D152" s="205"/>
      <c r="E152" s="205"/>
      <c r="F152" s="205"/>
      <c r="G152" s="215"/>
      <c r="H152" s="215"/>
      <c r="I152" s="216"/>
      <c r="J152" s="205"/>
      <c r="K152" s="205"/>
      <c r="L152" s="205" t="s">
        <v>315</v>
      </c>
      <c r="M152" s="215"/>
      <c r="N152" s="218">
        <f>Tabela1389101112131415[[#This Row],[Valor recibo]]</f>
        <v>0</v>
      </c>
      <c r="O152" s="216"/>
      <c r="P152" s="205"/>
    </row>
    <row r="153" spans="1:16" ht="15.75">
      <c r="A153" s="205"/>
      <c r="B153" s="215"/>
      <c r="C153" s="205"/>
      <c r="D153" s="205"/>
      <c r="E153" s="205"/>
      <c r="F153" s="205"/>
      <c r="G153" s="215"/>
      <c r="H153" s="215"/>
      <c r="I153" s="216"/>
      <c r="J153" s="205"/>
      <c r="K153" s="205"/>
      <c r="L153" s="205" t="s">
        <v>315</v>
      </c>
      <c r="M153" s="215"/>
      <c r="N153" s="218">
        <f>Tabela1389101112131415[[#This Row],[Valor recibo]]</f>
        <v>0</v>
      </c>
      <c r="O153" s="216"/>
      <c r="P153" s="205"/>
    </row>
    <row r="154" spans="1:16" ht="15.75">
      <c r="A154" s="205"/>
      <c r="B154" s="215"/>
      <c r="C154" s="205"/>
      <c r="D154" s="205"/>
      <c r="E154" s="205"/>
      <c r="F154" s="205"/>
      <c r="G154" s="215"/>
      <c r="H154" s="215"/>
      <c r="I154" s="216"/>
      <c r="J154" s="205"/>
      <c r="K154" s="205"/>
      <c r="L154" s="205" t="s">
        <v>315</v>
      </c>
      <c r="M154" s="215"/>
      <c r="N154" s="218">
        <f>Tabela1389101112131415[[#This Row],[Valor recibo]]</f>
        <v>0</v>
      </c>
      <c r="O154" s="216"/>
      <c r="P154" s="205"/>
    </row>
    <row r="155" spans="1:16" ht="15.75">
      <c r="A155" s="205"/>
      <c r="B155" s="215"/>
      <c r="C155" s="205"/>
      <c r="D155" s="205"/>
      <c r="E155" s="205"/>
      <c r="F155" s="205"/>
      <c r="G155" s="215"/>
      <c r="H155" s="215"/>
      <c r="I155" s="216"/>
      <c r="J155" s="205"/>
      <c r="K155" s="205"/>
      <c r="L155" s="205" t="s">
        <v>315</v>
      </c>
      <c r="M155" s="215"/>
      <c r="N155" s="218">
        <f>Tabela1389101112131415[[#This Row],[Valor recibo]]</f>
        <v>0</v>
      </c>
      <c r="O155" s="216"/>
      <c r="P155" s="205"/>
    </row>
    <row r="156" spans="1:16" ht="15.75">
      <c r="A156" s="205"/>
      <c r="B156" s="215"/>
      <c r="C156" s="205"/>
      <c r="D156" s="205"/>
      <c r="E156" s="205"/>
      <c r="F156" s="205"/>
      <c r="G156" s="215"/>
      <c r="H156" s="215"/>
      <c r="I156" s="216"/>
      <c r="J156" s="205"/>
      <c r="K156" s="205"/>
      <c r="L156" s="205" t="s">
        <v>315</v>
      </c>
      <c r="M156" s="215"/>
      <c r="N156" s="218">
        <f>Tabela1389101112131415[[#This Row],[Valor recibo]]</f>
        <v>0</v>
      </c>
      <c r="O156" s="216"/>
      <c r="P156" s="205"/>
    </row>
    <row r="157" spans="1:16" ht="15.75">
      <c r="A157" s="205"/>
      <c r="B157" s="215"/>
      <c r="C157" s="205"/>
      <c r="D157" s="205"/>
      <c r="E157" s="205"/>
      <c r="F157" s="205"/>
      <c r="G157" s="215"/>
      <c r="H157" s="215"/>
      <c r="I157" s="216"/>
      <c r="J157" s="205"/>
      <c r="K157" s="205"/>
      <c r="L157" s="205" t="s">
        <v>315</v>
      </c>
      <c r="M157" s="215"/>
      <c r="N157" s="218">
        <f>Tabela1389101112131415[[#This Row],[Valor recibo]]</f>
        <v>0</v>
      </c>
      <c r="O157" s="216"/>
      <c r="P157" s="205"/>
    </row>
    <row r="158" spans="1:16" ht="15.75">
      <c r="A158" s="205"/>
      <c r="B158" s="215"/>
      <c r="C158" s="205"/>
      <c r="D158" s="205"/>
      <c r="E158" s="205"/>
      <c r="F158" s="205"/>
      <c r="G158" s="215"/>
      <c r="H158" s="215"/>
      <c r="I158" s="216"/>
      <c r="J158" s="205"/>
      <c r="K158" s="205"/>
      <c r="L158" s="205" t="s">
        <v>315</v>
      </c>
      <c r="M158" s="215"/>
      <c r="N158" s="218">
        <f>Tabela1389101112131415[[#This Row],[Valor recibo]]</f>
        <v>0</v>
      </c>
      <c r="O158" s="216"/>
      <c r="P158" s="205"/>
    </row>
    <row r="159" spans="1:16" ht="15.75">
      <c r="A159" s="205"/>
      <c r="B159" s="215"/>
      <c r="C159" s="205"/>
      <c r="D159" s="205"/>
      <c r="E159" s="205"/>
      <c r="F159" s="205"/>
      <c r="G159" s="215"/>
      <c r="H159" s="215"/>
      <c r="I159" s="216"/>
      <c r="J159" s="205"/>
      <c r="K159" s="205"/>
      <c r="L159" s="205" t="s">
        <v>315</v>
      </c>
      <c r="M159" s="215"/>
      <c r="N159" s="218">
        <f>Tabela1389101112131415[[#This Row],[Valor recibo]]</f>
        <v>0</v>
      </c>
      <c r="O159" s="216"/>
      <c r="P159" s="205"/>
    </row>
    <row r="160" spans="1:16" ht="15.75">
      <c r="A160" s="205"/>
      <c r="B160" s="215"/>
      <c r="C160" s="205"/>
      <c r="D160" s="205"/>
      <c r="E160" s="205"/>
      <c r="F160" s="205"/>
      <c r="G160" s="215"/>
      <c r="H160" s="215"/>
      <c r="I160" s="216"/>
      <c r="J160" s="205"/>
      <c r="K160" s="205"/>
      <c r="L160" s="205" t="s">
        <v>315</v>
      </c>
      <c r="M160" s="215"/>
      <c r="N160" s="218">
        <f>Tabela1389101112131415[[#This Row],[Valor recibo]]</f>
        <v>0</v>
      </c>
      <c r="O160" s="216"/>
      <c r="P160" s="205"/>
    </row>
    <row r="161" spans="1:16" ht="15.75">
      <c r="A161" s="205"/>
      <c r="B161" s="215"/>
      <c r="C161" s="205"/>
      <c r="D161" s="205"/>
      <c r="E161" s="205"/>
      <c r="F161" s="205"/>
      <c r="G161" s="215"/>
      <c r="H161" s="215"/>
      <c r="I161" s="216"/>
      <c r="J161" s="205"/>
      <c r="K161" s="205"/>
      <c r="L161" s="205" t="s">
        <v>315</v>
      </c>
      <c r="M161" s="215"/>
      <c r="N161" s="218">
        <f>Tabela1389101112131415[[#This Row],[Valor recibo]]</f>
        <v>0</v>
      </c>
      <c r="O161" s="216"/>
      <c r="P161" s="205"/>
    </row>
    <row r="162" spans="1:16" ht="15.75">
      <c r="A162" s="205"/>
      <c r="B162" s="215"/>
      <c r="C162" s="205"/>
      <c r="D162" s="205"/>
      <c r="E162" s="205"/>
      <c r="F162" s="205"/>
      <c r="G162" s="215"/>
      <c r="H162" s="215"/>
      <c r="I162" s="216"/>
      <c r="J162" s="205"/>
      <c r="K162" s="205"/>
      <c r="L162" s="205" t="s">
        <v>315</v>
      </c>
      <c r="M162" s="215"/>
      <c r="N162" s="218">
        <f>Tabela1389101112131415[[#This Row],[Valor recibo]]</f>
        <v>0</v>
      </c>
      <c r="O162" s="216"/>
      <c r="P162" s="205"/>
    </row>
    <row r="163" spans="1:16" ht="15.75">
      <c r="A163" s="205"/>
      <c r="B163" s="215"/>
      <c r="C163" s="205"/>
      <c r="D163" s="205"/>
      <c r="E163" s="205"/>
      <c r="F163" s="205"/>
      <c r="G163" s="215"/>
      <c r="H163" s="215"/>
      <c r="I163" s="216"/>
      <c r="J163" s="205"/>
      <c r="K163" s="205"/>
      <c r="L163" s="205" t="s">
        <v>315</v>
      </c>
      <c r="M163" s="215"/>
      <c r="N163" s="218">
        <f>Tabela1389101112131415[[#This Row],[Valor recibo]]</f>
        <v>0</v>
      </c>
      <c r="O163" s="216"/>
      <c r="P163" s="205"/>
    </row>
    <row r="164" spans="1:16" ht="15.75">
      <c r="A164" s="205"/>
      <c r="B164" s="215"/>
      <c r="C164" s="205"/>
      <c r="D164" s="205"/>
      <c r="E164" s="205"/>
      <c r="F164" s="205"/>
      <c r="G164" s="215"/>
      <c r="H164" s="215"/>
      <c r="I164" s="216"/>
      <c r="J164" s="205"/>
      <c r="K164" s="205"/>
      <c r="L164" s="205" t="s">
        <v>315</v>
      </c>
      <c r="M164" s="215"/>
      <c r="N164" s="218">
        <f>Tabela1389101112131415[[#This Row],[Valor recibo]]</f>
        <v>0</v>
      </c>
      <c r="O164" s="216"/>
      <c r="P164" s="205"/>
    </row>
    <row r="165" spans="1:16" ht="15.75">
      <c r="A165" s="205"/>
      <c r="B165" s="215"/>
      <c r="C165" s="205"/>
      <c r="D165" s="205"/>
      <c r="E165" s="205"/>
      <c r="F165" s="205"/>
      <c r="G165" s="215"/>
      <c r="H165" s="215"/>
      <c r="I165" s="216"/>
      <c r="J165" s="205"/>
      <c r="K165" s="205"/>
      <c r="L165" s="205" t="s">
        <v>315</v>
      </c>
      <c r="M165" s="215"/>
      <c r="N165" s="218">
        <f>Tabela1389101112131415[[#This Row],[Valor recibo]]</f>
        <v>0</v>
      </c>
      <c r="O165" s="216"/>
      <c r="P165" s="205"/>
    </row>
    <row r="166" spans="1:16" ht="15.75">
      <c r="A166" s="205"/>
      <c r="B166" s="215"/>
      <c r="C166" s="205"/>
      <c r="D166" s="205"/>
      <c r="E166" s="205"/>
      <c r="F166" s="205"/>
      <c r="G166" s="215"/>
      <c r="H166" s="215"/>
      <c r="I166" s="216"/>
      <c r="J166" s="205"/>
      <c r="K166" s="205"/>
      <c r="L166" s="205" t="s">
        <v>315</v>
      </c>
      <c r="M166" s="215"/>
      <c r="N166" s="218">
        <f>Tabela1389101112131415[[#This Row],[Valor recibo]]</f>
        <v>0</v>
      </c>
      <c r="O166" s="216"/>
      <c r="P166" s="205"/>
    </row>
    <row r="167" spans="1:16" ht="15.75">
      <c r="A167" s="205"/>
      <c r="B167" s="215"/>
      <c r="C167" s="205"/>
      <c r="D167" s="205"/>
      <c r="E167" s="205"/>
      <c r="F167" s="205"/>
      <c r="G167" s="215"/>
      <c r="H167" s="215"/>
      <c r="I167" s="216"/>
      <c r="J167" s="205"/>
      <c r="K167" s="205"/>
      <c r="L167" s="205" t="s">
        <v>315</v>
      </c>
      <c r="M167" s="215"/>
      <c r="N167" s="218">
        <f>Tabela1389101112131415[[#This Row],[Valor recibo]]</f>
        <v>0</v>
      </c>
      <c r="O167" s="216"/>
      <c r="P167" s="205"/>
    </row>
    <row r="168" spans="1:16" ht="15.75">
      <c r="A168" s="205"/>
      <c r="B168" s="215"/>
      <c r="C168" s="205"/>
      <c r="D168" s="205"/>
      <c r="E168" s="205"/>
      <c r="F168" s="205"/>
      <c r="G168" s="215"/>
      <c r="H168" s="215"/>
      <c r="I168" s="216"/>
      <c r="J168" s="205"/>
      <c r="K168" s="205"/>
      <c r="L168" s="205" t="s">
        <v>315</v>
      </c>
      <c r="M168" s="215"/>
      <c r="N168" s="218">
        <f>Tabela1389101112131415[[#This Row],[Valor recibo]]</f>
        <v>0</v>
      </c>
      <c r="O168" s="216"/>
      <c r="P168" s="205"/>
    </row>
    <row r="169" spans="1:16" ht="15.75">
      <c r="A169" s="205"/>
      <c r="B169" s="215"/>
      <c r="C169" s="205"/>
      <c r="D169" s="205"/>
      <c r="E169" s="205"/>
      <c r="F169" s="205"/>
      <c r="G169" s="215"/>
      <c r="H169" s="215"/>
      <c r="I169" s="216"/>
      <c r="J169" s="205"/>
      <c r="K169" s="205"/>
      <c r="L169" s="205" t="s">
        <v>315</v>
      </c>
      <c r="M169" s="215"/>
      <c r="N169" s="218">
        <f>Tabela1389101112131415[[#This Row],[Valor recibo]]</f>
        <v>0</v>
      </c>
      <c r="O169" s="216"/>
      <c r="P169" s="205"/>
    </row>
    <row r="170" spans="1:16" ht="15.75">
      <c r="A170" s="205"/>
      <c r="B170" s="215"/>
      <c r="C170" s="205"/>
      <c r="D170" s="205"/>
      <c r="E170" s="205"/>
      <c r="F170" s="205"/>
      <c r="G170" s="215"/>
      <c r="H170" s="215"/>
      <c r="I170" s="216"/>
      <c r="J170" s="205"/>
      <c r="K170" s="205"/>
      <c r="L170" s="205" t="s">
        <v>315</v>
      </c>
      <c r="M170" s="215"/>
      <c r="N170" s="218">
        <f>Tabela1389101112131415[[#This Row],[Valor recibo]]</f>
        <v>0</v>
      </c>
      <c r="O170" s="216"/>
      <c r="P170" s="205"/>
    </row>
    <row r="171" spans="1:16" ht="15.75">
      <c r="A171" s="205"/>
      <c r="B171" s="215"/>
      <c r="C171" s="205"/>
      <c r="D171" s="205"/>
      <c r="E171" s="205"/>
      <c r="F171" s="205"/>
      <c r="G171" s="215"/>
      <c r="H171" s="215"/>
      <c r="I171" s="216"/>
      <c r="J171" s="205"/>
      <c r="K171" s="205"/>
      <c r="L171" s="205" t="s">
        <v>315</v>
      </c>
      <c r="M171" s="215"/>
      <c r="N171" s="218">
        <f>Tabela1389101112131415[[#This Row],[Valor recibo]]</f>
        <v>0</v>
      </c>
      <c r="O171" s="216"/>
      <c r="P171" s="205"/>
    </row>
    <row r="172" spans="1:16" ht="15.75">
      <c r="A172" s="205"/>
      <c r="B172" s="215"/>
      <c r="C172" s="205"/>
      <c r="D172" s="205"/>
      <c r="E172" s="205"/>
      <c r="F172" s="205"/>
      <c r="G172" s="215"/>
      <c r="H172" s="215"/>
      <c r="I172" s="216"/>
      <c r="J172" s="205"/>
      <c r="K172" s="205"/>
      <c r="L172" s="205" t="s">
        <v>315</v>
      </c>
      <c r="M172" s="215"/>
      <c r="N172" s="218">
        <f>Tabela1389101112131415[[#This Row],[Valor recibo]]</f>
        <v>0</v>
      </c>
      <c r="O172" s="216"/>
      <c r="P172" s="205"/>
    </row>
    <row r="173" spans="1:16" ht="15.75">
      <c r="A173" s="205"/>
      <c r="B173" s="215"/>
      <c r="C173" s="205"/>
      <c r="D173" s="205"/>
      <c r="E173" s="205"/>
      <c r="F173" s="205"/>
      <c r="G173" s="215"/>
      <c r="H173" s="215"/>
      <c r="I173" s="216"/>
      <c r="J173" s="205"/>
      <c r="K173" s="205"/>
      <c r="L173" s="205" t="s">
        <v>315</v>
      </c>
      <c r="M173" s="215"/>
      <c r="N173" s="218">
        <f>Tabela1389101112131415[[#This Row],[Valor recibo]]</f>
        <v>0</v>
      </c>
      <c r="O173" s="216"/>
      <c r="P173" s="205"/>
    </row>
    <row r="174" spans="1:16" ht="15.75">
      <c r="A174" s="205"/>
      <c r="B174" s="215"/>
      <c r="C174" s="205"/>
      <c r="D174" s="205"/>
      <c r="E174" s="205"/>
      <c r="F174" s="205"/>
      <c r="G174" s="215"/>
      <c r="H174" s="215"/>
      <c r="I174" s="216"/>
      <c r="J174" s="205"/>
      <c r="K174" s="205"/>
      <c r="L174" s="205" t="s">
        <v>315</v>
      </c>
      <c r="M174" s="215"/>
      <c r="N174" s="218">
        <f>Tabela1389101112131415[[#This Row],[Valor recibo]]</f>
        <v>0</v>
      </c>
      <c r="O174" s="216"/>
      <c r="P174" s="205"/>
    </row>
    <row r="175" spans="1:16" ht="15.75">
      <c r="A175" s="205"/>
      <c r="B175" s="215"/>
      <c r="C175" s="205"/>
      <c r="D175" s="205"/>
      <c r="E175" s="205"/>
      <c r="F175" s="205"/>
      <c r="G175" s="215"/>
      <c r="H175" s="215"/>
      <c r="I175" s="216"/>
      <c r="J175" s="205"/>
      <c r="K175" s="205"/>
      <c r="L175" s="205" t="s">
        <v>315</v>
      </c>
      <c r="M175" s="215"/>
      <c r="N175" s="218">
        <f>Tabela1389101112131415[[#This Row],[Valor recibo]]</f>
        <v>0</v>
      </c>
      <c r="O175" s="216"/>
      <c r="P175" s="205"/>
    </row>
    <row r="176" spans="1:16" ht="15.75">
      <c r="A176" s="205"/>
      <c r="B176" s="215"/>
      <c r="C176" s="205"/>
      <c r="D176" s="205"/>
      <c r="E176" s="205"/>
      <c r="F176" s="205"/>
      <c r="G176" s="215"/>
      <c r="H176" s="215"/>
      <c r="I176" s="216"/>
      <c r="J176" s="205"/>
      <c r="K176" s="205"/>
      <c r="L176" s="205" t="s">
        <v>315</v>
      </c>
      <c r="M176" s="215"/>
      <c r="N176" s="218">
        <f>Tabela1389101112131415[[#This Row],[Valor recibo]]</f>
        <v>0</v>
      </c>
      <c r="O176" s="216"/>
      <c r="P176" s="205"/>
    </row>
    <row r="177" spans="1:16" ht="15.75">
      <c r="A177" s="205"/>
      <c r="B177" s="215"/>
      <c r="C177" s="205"/>
      <c r="D177" s="205"/>
      <c r="E177" s="205"/>
      <c r="F177" s="205"/>
      <c r="G177" s="215"/>
      <c r="H177" s="215"/>
      <c r="I177" s="216"/>
      <c r="J177" s="205"/>
      <c r="K177" s="205"/>
      <c r="L177" s="205" t="s">
        <v>315</v>
      </c>
      <c r="M177" s="215"/>
      <c r="N177" s="218">
        <f>Tabela1389101112131415[[#This Row],[Valor recibo]]</f>
        <v>0</v>
      </c>
      <c r="O177" s="216"/>
      <c r="P177" s="205"/>
    </row>
    <row r="178" spans="1:16" ht="15.75">
      <c r="A178" s="205"/>
      <c r="B178" s="215"/>
      <c r="C178" s="205"/>
      <c r="D178" s="205"/>
      <c r="E178" s="205"/>
      <c r="F178" s="205"/>
      <c r="G178" s="215"/>
      <c r="H178" s="215"/>
      <c r="I178" s="216"/>
      <c r="J178" s="205"/>
      <c r="K178" s="205"/>
      <c r="L178" s="205" t="s">
        <v>315</v>
      </c>
      <c r="M178" s="215"/>
      <c r="N178" s="218">
        <f>Tabela1389101112131415[[#This Row],[Valor recibo]]</f>
        <v>0</v>
      </c>
      <c r="O178" s="216"/>
      <c r="P178" s="205"/>
    </row>
    <row r="179" spans="1:16" ht="15.75">
      <c r="A179" s="205"/>
      <c r="B179" s="215"/>
      <c r="C179" s="205"/>
      <c r="D179" s="205"/>
      <c r="E179" s="205"/>
      <c r="F179" s="205"/>
      <c r="G179" s="215"/>
      <c r="H179" s="215"/>
      <c r="I179" s="216"/>
      <c r="J179" s="205"/>
      <c r="K179" s="205"/>
      <c r="L179" s="205" t="s">
        <v>315</v>
      </c>
      <c r="M179" s="215"/>
      <c r="N179" s="218">
        <f>Tabela1389101112131415[[#This Row],[Valor recibo]]</f>
        <v>0</v>
      </c>
      <c r="O179" s="216"/>
      <c r="P179" s="205"/>
    </row>
    <row r="180" spans="1:16" ht="15.75">
      <c r="A180" s="205"/>
      <c r="B180" s="215"/>
      <c r="C180" s="205"/>
      <c r="D180" s="205"/>
      <c r="E180" s="205"/>
      <c r="F180" s="205"/>
      <c r="G180" s="215"/>
      <c r="H180" s="215"/>
      <c r="I180" s="216"/>
      <c r="J180" s="205"/>
      <c r="K180" s="205"/>
      <c r="L180" s="205" t="s">
        <v>315</v>
      </c>
      <c r="M180" s="215"/>
      <c r="N180" s="218">
        <f>Tabela1389101112131415[[#This Row],[Valor recibo]]</f>
        <v>0</v>
      </c>
      <c r="O180" s="216"/>
      <c r="P180" s="219"/>
    </row>
    <row r="181" spans="1:16" ht="15.75">
      <c r="A181" s="205"/>
      <c r="B181" s="215"/>
      <c r="C181" s="205"/>
      <c r="D181" s="205"/>
      <c r="E181" s="205"/>
      <c r="F181" s="205"/>
      <c r="G181" s="215"/>
      <c r="H181" s="215"/>
      <c r="I181" s="216"/>
      <c r="J181" s="205"/>
      <c r="K181" s="205"/>
      <c r="L181" s="205" t="s">
        <v>315</v>
      </c>
      <c r="M181" s="215"/>
      <c r="N181" s="218">
        <f>Tabela1389101112131415[[#This Row],[Valor recibo]]</f>
        <v>0</v>
      </c>
      <c r="O181" s="216"/>
      <c r="P181" s="205"/>
    </row>
    <row r="182" spans="1:16" ht="15.75">
      <c r="A182" s="205"/>
      <c r="B182" s="215"/>
      <c r="C182" s="205"/>
      <c r="D182" s="205"/>
      <c r="E182" s="205"/>
      <c r="F182" s="205"/>
      <c r="G182" s="215"/>
      <c r="H182" s="215"/>
      <c r="I182" s="216"/>
      <c r="J182" s="205"/>
      <c r="K182" s="205"/>
      <c r="L182" s="205" t="s">
        <v>315</v>
      </c>
      <c r="M182" s="215"/>
      <c r="N182" s="218">
        <f>Tabela1389101112131415[[#This Row],[Valor recibo]]</f>
        <v>0</v>
      </c>
      <c r="O182" s="216"/>
      <c r="P182" s="205"/>
    </row>
    <row r="183" spans="1:16" ht="15.75">
      <c r="A183" s="205"/>
      <c r="B183" s="215"/>
      <c r="C183" s="205"/>
      <c r="D183" s="205"/>
      <c r="E183" s="205"/>
      <c r="F183" s="205"/>
      <c r="G183" s="215"/>
      <c r="H183" s="215"/>
      <c r="I183" s="216"/>
      <c r="J183" s="205"/>
      <c r="K183" s="205"/>
      <c r="L183" s="205" t="s">
        <v>315</v>
      </c>
      <c r="M183" s="215"/>
      <c r="N183" s="218">
        <f>Tabela1389101112131415[[#This Row],[Valor recibo]]</f>
        <v>0</v>
      </c>
      <c r="O183" s="216"/>
      <c r="P183" s="205"/>
    </row>
    <row r="184" spans="1:16" ht="15.75">
      <c r="A184" s="205"/>
      <c r="B184" s="215"/>
      <c r="C184" s="205"/>
      <c r="D184" s="205"/>
      <c r="E184" s="205"/>
      <c r="F184" s="205"/>
      <c r="G184" s="215"/>
      <c r="H184" s="215"/>
      <c r="I184" s="216"/>
      <c r="J184" s="205"/>
      <c r="K184" s="205"/>
      <c r="L184" s="205" t="s">
        <v>315</v>
      </c>
      <c r="M184" s="215"/>
      <c r="N184" s="218">
        <f>Tabela1389101112131415[[#This Row],[Valor recibo]]</f>
        <v>0</v>
      </c>
      <c r="O184" s="216"/>
      <c r="P184" s="205"/>
    </row>
    <row r="185" spans="1:16" ht="15.75">
      <c r="A185" s="205"/>
      <c r="B185" s="215"/>
      <c r="C185" s="205"/>
      <c r="D185" s="205"/>
      <c r="E185" s="205"/>
      <c r="F185" s="205"/>
      <c r="G185" s="215"/>
      <c r="H185" s="215"/>
      <c r="I185" s="216"/>
      <c r="J185" s="205"/>
      <c r="K185" s="205"/>
      <c r="L185" s="205" t="s">
        <v>315</v>
      </c>
      <c r="M185" s="215"/>
      <c r="N185" s="218">
        <f>Tabela1389101112131415[[#This Row],[Valor recibo]]</f>
        <v>0</v>
      </c>
      <c r="O185" s="216"/>
      <c r="P185" s="205"/>
    </row>
    <row r="186" spans="1:16" ht="15.75">
      <c r="A186" s="205"/>
      <c r="B186" s="215"/>
      <c r="C186" s="205"/>
      <c r="D186" s="205"/>
      <c r="E186" s="205"/>
      <c r="F186" s="205"/>
      <c r="G186" s="215"/>
      <c r="H186" s="215"/>
      <c r="I186" s="216"/>
      <c r="J186" s="205"/>
      <c r="K186" s="205"/>
      <c r="L186" s="205" t="s">
        <v>315</v>
      </c>
      <c r="M186" s="215"/>
      <c r="N186" s="218">
        <f>Tabela1389101112131415[[#This Row],[Valor recibo]]</f>
        <v>0</v>
      </c>
      <c r="O186" s="216"/>
      <c r="P186" s="205"/>
    </row>
    <row r="187" spans="1:16" ht="15.75">
      <c r="A187" s="205"/>
      <c r="B187" s="215"/>
      <c r="C187" s="205"/>
      <c r="D187" s="205"/>
      <c r="E187" s="205"/>
      <c r="F187" s="205"/>
      <c r="G187" s="215"/>
      <c r="H187" s="215"/>
      <c r="I187" s="216"/>
      <c r="J187" s="205"/>
      <c r="K187" s="205"/>
      <c r="L187" s="205" t="s">
        <v>315</v>
      </c>
      <c r="M187" s="215"/>
      <c r="N187" s="218">
        <f>Tabela1389101112131415[[#This Row],[Valor recibo]]</f>
        <v>0</v>
      </c>
      <c r="O187" s="216"/>
      <c r="P187" s="205"/>
    </row>
    <row r="188" spans="1:16" ht="15.75">
      <c r="A188" s="205"/>
      <c r="B188" s="215"/>
      <c r="C188" s="205"/>
      <c r="D188" s="205"/>
      <c r="E188" s="205"/>
      <c r="F188" s="205"/>
      <c r="G188" s="215"/>
      <c r="H188" s="215"/>
      <c r="I188" s="216"/>
      <c r="J188" s="205"/>
      <c r="K188" s="205"/>
      <c r="L188" s="205" t="s">
        <v>315</v>
      </c>
      <c r="M188" s="215"/>
      <c r="N188" s="218">
        <f>Tabela1389101112131415[[#This Row],[Valor recibo]]</f>
        <v>0</v>
      </c>
      <c r="O188" s="216"/>
      <c r="P188" s="205"/>
    </row>
    <row r="189" spans="1:16" ht="15.75">
      <c r="A189" s="205"/>
      <c r="B189" s="215"/>
      <c r="C189" s="205"/>
      <c r="D189" s="205"/>
      <c r="E189" s="205"/>
      <c r="F189" s="205"/>
      <c r="G189" s="215"/>
      <c r="H189" s="215"/>
      <c r="I189" s="216"/>
      <c r="J189" s="205"/>
      <c r="K189" s="205"/>
      <c r="L189" s="205" t="s">
        <v>315</v>
      </c>
      <c r="M189" s="215"/>
      <c r="N189" s="218">
        <f>Tabela1389101112131415[[#This Row],[Valor recibo]]</f>
        <v>0</v>
      </c>
      <c r="O189" s="216"/>
      <c r="P189" s="205"/>
    </row>
    <row r="190" spans="1:16" ht="15.75">
      <c r="A190" s="205"/>
      <c r="B190" s="215"/>
      <c r="C190" s="205"/>
      <c r="D190" s="205"/>
      <c r="E190" s="205"/>
      <c r="F190" s="205"/>
      <c r="G190" s="215"/>
      <c r="H190" s="215"/>
      <c r="I190" s="216"/>
      <c r="J190" s="205"/>
      <c r="K190" s="205"/>
      <c r="L190" s="205" t="s">
        <v>315</v>
      </c>
      <c r="M190" s="215"/>
      <c r="N190" s="218">
        <f>Tabela1389101112131415[[#This Row],[Valor recibo]]</f>
        <v>0</v>
      </c>
      <c r="O190" s="216"/>
      <c r="P190" s="219"/>
    </row>
    <row r="191" spans="1:16" ht="15.75">
      <c r="A191" s="205"/>
      <c r="B191" s="215"/>
      <c r="C191" s="205"/>
      <c r="D191" s="205"/>
      <c r="E191" s="205"/>
      <c r="F191" s="205"/>
      <c r="G191" s="215"/>
      <c r="H191" s="215"/>
      <c r="I191" s="216"/>
      <c r="J191" s="205"/>
      <c r="K191" s="205"/>
      <c r="L191" s="205" t="s">
        <v>315</v>
      </c>
      <c r="M191" s="215"/>
      <c r="N191" s="218">
        <f>Tabela1389101112131415[[#This Row],[Valor recibo]]</f>
        <v>0</v>
      </c>
      <c r="O191" s="216"/>
      <c r="P191" s="205"/>
    </row>
    <row r="192" spans="1:16" ht="15.75">
      <c r="A192" s="205"/>
      <c r="B192" s="215"/>
      <c r="C192" s="205"/>
      <c r="D192" s="205"/>
      <c r="E192" s="205"/>
      <c r="F192" s="205"/>
      <c r="G192" s="215"/>
      <c r="H192" s="215"/>
      <c r="I192" s="216"/>
      <c r="J192" s="205"/>
      <c r="K192" s="205"/>
      <c r="L192" s="205" t="s">
        <v>315</v>
      </c>
      <c r="M192" s="215"/>
      <c r="N192" s="218">
        <f>Tabela1389101112131415[[#This Row],[Valor recibo]]</f>
        <v>0</v>
      </c>
      <c r="O192" s="216"/>
      <c r="P192" s="205"/>
    </row>
    <row r="193" spans="1:16" ht="15.75">
      <c r="A193" s="205"/>
      <c r="B193" s="215"/>
      <c r="C193" s="205"/>
      <c r="D193" s="205"/>
      <c r="E193" s="205"/>
      <c r="F193" s="205"/>
      <c r="G193" s="215"/>
      <c r="H193" s="215"/>
      <c r="I193" s="216"/>
      <c r="J193" s="205"/>
      <c r="K193" s="205"/>
      <c r="L193" s="205" t="s">
        <v>315</v>
      </c>
      <c r="M193" s="215"/>
      <c r="N193" s="218">
        <f>Tabela1389101112131415[[#This Row],[Valor recibo]]</f>
        <v>0</v>
      </c>
      <c r="O193" s="216"/>
      <c r="P193" s="205"/>
    </row>
    <row r="194" spans="1:16" ht="15.75">
      <c r="A194" s="205"/>
      <c r="B194" s="215"/>
      <c r="C194" s="205"/>
      <c r="D194" s="205"/>
      <c r="E194" s="205"/>
      <c r="F194" s="205"/>
      <c r="G194" s="215"/>
      <c r="H194" s="215"/>
      <c r="I194" s="216"/>
      <c r="J194" s="205"/>
      <c r="K194" s="205"/>
      <c r="L194" s="205" t="s">
        <v>315</v>
      </c>
      <c r="M194" s="215"/>
      <c r="N194" s="218">
        <f>Tabela1389101112131415[[#This Row],[Valor recibo]]</f>
        <v>0</v>
      </c>
      <c r="O194" s="216"/>
      <c r="P194" s="205"/>
    </row>
    <row r="195" spans="1:16" ht="15.75">
      <c r="A195" s="205"/>
      <c r="B195" s="215"/>
      <c r="C195" s="205"/>
      <c r="D195" s="205"/>
      <c r="E195" s="205"/>
      <c r="F195" s="205"/>
      <c r="G195" s="215"/>
      <c r="H195" s="215"/>
      <c r="I195" s="216"/>
      <c r="J195" s="205"/>
      <c r="K195" s="205"/>
      <c r="L195" s="205" t="s">
        <v>315</v>
      </c>
      <c r="M195" s="215"/>
      <c r="N195" s="218">
        <f>Tabela1389101112131415[[#This Row],[Valor recibo]]</f>
        <v>0</v>
      </c>
      <c r="O195" s="216"/>
      <c r="P195" s="205"/>
    </row>
    <row r="196" spans="1:16" ht="15.75">
      <c r="A196" s="205"/>
      <c r="B196" s="215"/>
      <c r="C196" s="205"/>
      <c r="D196" s="205"/>
      <c r="E196" s="205"/>
      <c r="F196" s="205"/>
      <c r="G196" s="215"/>
      <c r="H196" s="215"/>
      <c r="I196" s="216"/>
      <c r="J196" s="205"/>
      <c r="K196" s="205"/>
      <c r="L196" s="205" t="s">
        <v>315</v>
      </c>
      <c r="M196" s="215"/>
      <c r="N196" s="218">
        <f>Tabela1389101112131415[[#This Row],[Valor recibo]]</f>
        <v>0</v>
      </c>
      <c r="O196" s="216"/>
      <c r="P196" s="205"/>
    </row>
    <row r="197" spans="1:16" ht="15.75">
      <c r="A197" s="205"/>
      <c r="B197" s="215"/>
      <c r="C197" s="205"/>
      <c r="D197" s="205"/>
      <c r="E197" s="205"/>
      <c r="F197" s="205"/>
      <c r="G197" s="215"/>
      <c r="H197" s="215"/>
      <c r="I197" s="216"/>
      <c r="J197" s="205"/>
      <c r="K197" s="205"/>
      <c r="L197" s="205" t="s">
        <v>315</v>
      </c>
      <c r="M197" s="215"/>
      <c r="N197" s="218">
        <f>Tabela1389101112131415[[#This Row],[Valor recibo]]</f>
        <v>0</v>
      </c>
      <c r="O197" s="216"/>
      <c r="P197" s="205"/>
    </row>
    <row r="198" spans="1:16" ht="15.75">
      <c r="A198" s="205"/>
      <c r="B198" s="215"/>
      <c r="C198" s="205"/>
      <c r="D198" s="205"/>
      <c r="E198" s="205"/>
      <c r="F198" s="205"/>
      <c r="G198" s="215"/>
      <c r="H198" s="215"/>
      <c r="I198" s="216"/>
      <c r="J198" s="205"/>
      <c r="K198" s="205"/>
      <c r="L198" s="205" t="s">
        <v>315</v>
      </c>
      <c r="M198" s="215"/>
      <c r="N198" s="218">
        <f>Tabela1389101112131415[[#This Row],[Valor recibo]]</f>
        <v>0</v>
      </c>
      <c r="O198" s="216"/>
      <c r="P198" s="205"/>
    </row>
    <row r="199" spans="1:16" ht="15.75">
      <c r="A199" s="205"/>
      <c r="B199" s="215"/>
      <c r="C199" s="205"/>
      <c r="D199" s="205"/>
      <c r="E199" s="205"/>
      <c r="F199" s="205"/>
      <c r="G199" s="215"/>
      <c r="H199" s="215"/>
      <c r="I199" s="216"/>
      <c r="J199" s="205"/>
      <c r="K199" s="205"/>
      <c r="L199" s="205" t="s">
        <v>315</v>
      </c>
      <c r="M199" s="215"/>
      <c r="N199" s="218">
        <f>Tabela1389101112131415[[#This Row],[Valor recibo]]</f>
        <v>0</v>
      </c>
      <c r="O199" s="216"/>
      <c r="P199" s="205"/>
    </row>
    <row r="200" spans="1:16" ht="15.75">
      <c r="A200" s="205"/>
      <c r="B200" s="215"/>
      <c r="C200" s="205"/>
      <c r="D200" s="205"/>
      <c r="E200" s="205"/>
      <c r="F200" s="205"/>
      <c r="G200" s="215"/>
      <c r="H200" s="215"/>
      <c r="I200" s="216"/>
      <c r="J200" s="205"/>
      <c r="K200" s="205"/>
      <c r="L200" s="205" t="s">
        <v>315</v>
      </c>
      <c r="M200" s="215"/>
      <c r="N200" s="218">
        <f>Tabela1389101112131415[[#This Row],[Valor recibo]]</f>
        <v>0</v>
      </c>
      <c r="O200" s="216"/>
      <c r="P200" s="205"/>
    </row>
    <row r="201" spans="1:16" ht="15.75">
      <c r="A201" s="205"/>
      <c r="B201" s="215"/>
      <c r="C201" s="205"/>
      <c r="D201" s="205"/>
      <c r="E201" s="205"/>
      <c r="F201" s="205"/>
      <c r="G201" s="215"/>
      <c r="H201" s="215"/>
      <c r="I201" s="216"/>
      <c r="J201" s="205"/>
      <c r="K201" s="205"/>
      <c r="L201" s="205" t="s">
        <v>315</v>
      </c>
      <c r="M201" s="215"/>
      <c r="N201" s="218">
        <f>Tabela1389101112131415[[#This Row],[Valor recibo]]</f>
        <v>0</v>
      </c>
      <c r="O201" s="216"/>
      <c r="P201" s="205"/>
    </row>
    <row r="202" spans="1:16" ht="15.75">
      <c r="A202" s="205"/>
      <c r="B202" s="215"/>
      <c r="C202" s="205"/>
      <c r="D202" s="205"/>
      <c r="E202" s="205"/>
      <c r="F202" s="205"/>
      <c r="G202" s="215"/>
      <c r="H202" s="215"/>
      <c r="I202" s="216"/>
      <c r="J202" s="205"/>
      <c r="K202" s="205"/>
      <c r="L202" s="205" t="s">
        <v>315</v>
      </c>
      <c r="M202" s="215"/>
      <c r="N202" s="218">
        <f>Tabela1389101112131415[[#This Row],[Valor recibo]]</f>
        <v>0</v>
      </c>
      <c r="O202" s="216"/>
      <c r="P202" s="219"/>
    </row>
    <row r="203" spans="1:16" ht="15.75">
      <c r="A203" s="205"/>
      <c r="B203" s="215"/>
      <c r="C203" s="205"/>
      <c r="D203" s="205"/>
      <c r="E203" s="205"/>
      <c r="F203" s="205"/>
      <c r="G203" s="215"/>
      <c r="H203" s="215"/>
      <c r="I203" s="216"/>
      <c r="J203" s="205"/>
      <c r="K203" s="205"/>
      <c r="L203" s="205" t="s">
        <v>315</v>
      </c>
      <c r="M203" s="215"/>
      <c r="N203" s="218">
        <f>Tabela1389101112131415[[#This Row],[Valor recibo]]</f>
        <v>0</v>
      </c>
      <c r="O203" s="216"/>
      <c r="P203" s="205"/>
    </row>
    <row r="204" spans="1:16" ht="15.75">
      <c r="A204" s="205"/>
      <c r="B204" s="215"/>
      <c r="C204" s="205"/>
      <c r="D204" s="205"/>
      <c r="E204" s="205"/>
      <c r="F204" s="205"/>
      <c r="G204" s="215"/>
      <c r="H204" s="215"/>
      <c r="I204" s="216"/>
      <c r="J204" s="205"/>
      <c r="K204" s="205"/>
      <c r="L204" s="205" t="s">
        <v>315</v>
      </c>
      <c r="M204" s="215"/>
      <c r="N204" s="218">
        <f>Tabela1389101112131415[[#This Row],[Valor recibo]]</f>
        <v>0</v>
      </c>
      <c r="O204" s="216"/>
      <c r="P204" s="205"/>
    </row>
    <row r="205" spans="1:16" ht="15.75">
      <c r="A205" s="205"/>
      <c r="B205" s="215"/>
      <c r="C205" s="205"/>
      <c r="D205" s="205"/>
      <c r="E205" s="205"/>
      <c r="F205" s="205"/>
      <c r="G205" s="215"/>
      <c r="H205" s="215"/>
      <c r="I205" s="216"/>
      <c r="J205" s="205"/>
      <c r="K205" s="205"/>
      <c r="L205" s="205" t="s">
        <v>315</v>
      </c>
      <c r="M205" s="215"/>
      <c r="N205" s="218">
        <f>Tabela1389101112131415[[#This Row],[Valor recibo]]</f>
        <v>0</v>
      </c>
      <c r="O205" s="216"/>
      <c r="P205" s="205"/>
    </row>
    <row r="206" spans="1:16" ht="15.75">
      <c r="A206" s="205"/>
      <c r="B206" s="215"/>
      <c r="C206" s="205"/>
      <c r="D206" s="205"/>
      <c r="E206" s="205"/>
      <c r="F206" s="205"/>
      <c r="G206" s="215"/>
      <c r="H206" s="215"/>
      <c r="I206" s="216"/>
      <c r="J206" s="205"/>
      <c r="K206" s="205"/>
      <c r="L206" s="205" t="s">
        <v>315</v>
      </c>
      <c r="M206" s="215"/>
      <c r="N206" s="218">
        <f>Tabela1389101112131415[[#This Row],[Valor recibo]]</f>
        <v>0</v>
      </c>
      <c r="O206" s="216"/>
      <c r="P206" s="205"/>
    </row>
    <row r="207" spans="1:16" ht="15.75">
      <c r="A207" s="205"/>
      <c r="B207" s="215"/>
      <c r="C207" s="205"/>
      <c r="D207" s="205"/>
      <c r="E207" s="205"/>
      <c r="F207" s="205"/>
      <c r="G207" s="215"/>
      <c r="H207" s="215"/>
      <c r="I207" s="216"/>
      <c r="J207" s="205"/>
      <c r="K207" s="205"/>
      <c r="L207" s="205" t="s">
        <v>315</v>
      </c>
      <c r="M207" s="215"/>
      <c r="N207" s="218">
        <f>Tabela1389101112131415[[#This Row],[Valor recibo]]</f>
        <v>0</v>
      </c>
      <c r="O207" s="216"/>
      <c r="P207" s="205"/>
    </row>
    <row r="208" spans="1:16" ht="15.75">
      <c r="A208" s="205"/>
      <c r="B208" s="215"/>
      <c r="C208" s="205"/>
      <c r="D208" s="205"/>
      <c r="E208" s="205"/>
      <c r="F208" s="205"/>
      <c r="G208" s="215"/>
      <c r="H208" s="215"/>
      <c r="I208" s="216"/>
      <c r="J208" s="205"/>
      <c r="K208" s="205"/>
      <c r="L208" s="205" t="s">
        <v>315</v>
      </c>
      <c r="M208" s="215"/>
      <c r="N208" s="218">
        <f>Tabela1389101112131415[[#This Row],[Valor recibo]]</f>
        <v>0</v>
      </c>
      <c r="O208" s="216"/>
      <c r="P208" s="205"/>
    </row>
    <row r="209" spans="1:16" ht="15.75">
      <c r="A209" s="205"/>
      <c r="B209" s="215"/>
      <c r="C209" s="205"/>
      <c r="D209" s="205"/>
      <c r="E209" s="205"/>
      <c r="F209" s="205"/>
      <c r="G209" s="215"/>
      <c r="H209" s="215"/>
      <c r="I209" s="216"/>
      <c r="J209" s="205"/>
      <c r="K209" s="205"/>
      <c r="L209" s="205" t="s">
        <v>315</v>
      </c>
      <c r="M209" s="215"/>
      <c r="N209" s="218">
        <f>Tabela1389101112131415[[#This Row],[Valor recibo]]</f>
        <v>0</v>
      </c>
      <c r="O209" s="216"/>
      <c r="P209" s="205"/>
    </row>
    <row r="210" spans="1:16" ht="15.75">
      <c r="A210" s="205"/>
      <c r="B210" s="215"/>
      <c r="C210" s="205"/>
      <c r="D210" s="205"/>
      <c r="E210" s="205"/>
      <c r="F210" s="205"/>
      <c r="G210" s="215"/>
      <c r="H210" s="215"/>
      <c r="I210" s="216"/>
      <c r="J210" s="205"/>
      <c r="K210" s="205"/>
      <c r="L210" s="205" t="s">
        <v>315</v>
      </c>
      <c r="M210" s="215"/>
      <c r="N210" s="218">
        <f>Tabela1389101112131415[[#This Row],[Valor recibo]]</f>
        <v>0</v>
      </c>
      <c r="O210" s="216"/>
      <c r="P210" s="205"/>
    </row>
    <row r="211" spans="1:16" ht="15.75">
      <c r="A211" s="205"/>
      <c r="B211" s="215"/>
      <c r="C211" s="205"/>
      <c r="D211" s="205"/>
      <c r="E211" s="205"/>
      <c r="F211" s="205"/>
      <c r="G211" s="215"/>
      <c r="H211" s="215"/>
      <c r="I211" s="216"/>
      <c r="J211" s="205"/>
      <c r="K211" s="205"/>
      <c r="L211" s="205" t="s">
        <v>315</v>
      </c>
      <c r="M211" s="215"/>
      <c r="N211" s="218">
        <f>Tabela1389101112131415[[#This Row],[Valor recibo]]</f>
        <v>0</v>
      </c>
      <c r="O211" s="216"/>
      <c r="P211" s="205"/>
    </row>
    <row r="212" spans="1:16" ht="15.75">
      <c r="A212" s="205"/>
      <c r="B212" s="215"/>
      <c r="C212" s="205"/>
      <c r="D212" s="205"/>
      <c r="E212" s="205"/>
      <c r="F212" s="205"/>
      <c r="G212" s="215"/>
      <c r="H212" s="215"/>
      <c r="I212" s="216"/>
      <c r="J212" s="205"/>
      <c r="K212" s="205"/>
      <c r="L212" s="205" t="s">
        <v>315</v>
      </c>
      <c r="M212" s="215"/>
      <c r="N212" s="218">
        <f>Tabela1389101112131415[[#This Row],[Valor recibo]]</f>
        <v>0</v>
      </c>
      <c r="O212" s="216"/>
      <c r="P212" s="205"/>
    </row>
    <row r="213" spans="1:16" ht="15.75">
      <c r="A213" s="205"/>
      <c r="B213" s="215"/>
      <c r="C213" s="205"/>
      <c r="D213" s="205"/>
      <c r="E213" s="205"/>
      <c r="F213" s="205"/>
      <c r="G213" s="215"/>
      <c r="H213" s="215"/>
      <c r="I213" s="216"/>
      <c r="J213" s="205"/>
      <c r="K213" s="205"/>
      <c r="L213" s="205" t="s">
        <v>315</v>
      </c>
      <c r="M213" s="215"/>
      <c r="N213" s="218">
        <f>Tabela1389101112131415[[#This Row],[Valor recibo]]</f>
        <v>0</v>
      </c>
      <c r="O213" s="216"/>
      <c r="P213" s="205"/>
    </row>
    <row r="214" spans="1:16" ht="15.75">
      <c r="A214" s="205"/>
      <c r="B214" s="215"/>
      <c r="C214" s="205"/>
      <c r="D214" s="205"/>
      <c r="E214" s="205"/>
      <c r="F214" s="205"/>
      <c r="G214" s="215"/>
      <c r="H214" s="215"/>
      <c r="I214" s="216"/>
      <c r="J214" s="205"/>
      <c r="K214" s="205"/>
      <c r="L214" s="205" t="s">
        <v>315</v>
      </c>
      <c r="M214" s="215"/>
      <c r="N214" s="218">
        <f>Tabela1389101112131415[[#This Row],[Valor recibo]]</f>
        <v>0</v>
      </c>
      <c r="O214" s="216"/>
      <c r="P214" s="205"/>
    </row>
    <row r="215" spans="1:16" ht="15.75">
      <c r="A215" s="205"/>
      <c r="B215" s="215"/>
      <c r="C215" s="205"/>
      <c r="D215" s="205"/>
      <c r="E215" s="205"/>
      <c r="F215" s="205"/>
      <c r="G215" s="215"/>
      <c r="H215" s="215"/>
      <c r="I215" s="216"/>
      <c r="J215" s="205"/>
      <c r="K215" s="205"/>
      <c r="L215" s="205" t="s">
        <v>315</v>
      </c>
      <c r="M215" s="215"/>
      <c r="N215" s="218">
        <f>Tabela1389101112131415[[#This Row],[Valor recibo]]</f>
        <v>0</v>
      </c>
      <c r="O215" s="216"/>
      <c r="P215" s="205"/>
    </row>
    <row r="216" spans="1:16" ht="15.75">
      <c r="A216" s="205"/>
      <c r="B216" s="215"/>
      <c r="C216" s="205"/>
      <c r="D216" s="205"/>
      <c r="E216" s="205"/>
      <c r="F216" s="205"/>
      <c r="G216" s="215"/>
      <c r="H216" s="215"/>
      <c r="I216" s="216"/>
      <c r="J216" s="205"/>
      <c r="K216" s="205"/>
      <c r="L216" s="205" t="s">
        <v>315</v>
      </c>
      <c r="M216" s="215"/>
      <c r="N216" s="218">
        <f>Tabela1389101112131415[[#This Row],[Valor recibo]]</f>
        <v>0</v>
      </c>
      <c r="O216" s="216"/>
      <c r="P216" s="205"/>
    </row>
    <row r="217" spans="1:16" ht="15.75">
      <c r="A217" s="205"/>
      <c r="B217" s="215"/>
      <c r="C217" s="205"/>
      <c r="D217" s="205"/>
      <c r="E217" s="205"/>
      <c r="F217" s="205"/>
      <c r="G217" s="215"/>
      <c r="H217" s="215"/>
      <c r="I217" s="216"/>
      <c r="J217" s="205"/>
      <c r="K217" s="205"/>
      <c r="L217" s="205" t="s">
        <v>315</v>
      </c>
      <c r="M217" s="215"/>
      <c r="N217" s="218">
        <f>Tabela1389101112131415[[#This Row],[Valor recibo]]</f>
        <v>0</v>
      </c>
      <c r="O217" s="216"/>
      <c r="P217" s="205"/>
    </row>
    <row r="218" spans="1:16" ht="15.75">
      <c r="A218" s="205"/>
      <c r="B218" s="215"/>
      <c r="C218" s="205"/>
      <c r="D218" s="205"/>
      <c r="E218" s="205"/>
      <c r="F218" s="205"/>
      <c r="G218" s="215"/>
      <c r="H218" s="215"/>
      <c r="I218" s="216"/>
      <c r="J218" s="205"/>
      <c r="K218" s="205"/>
      <c r="L218" s="205" t="s">
        <v>315</v>
      </c>
      <c r="M218" s="215"/>
      <c r="N218" s="218">
        <f>Tabela1389101112131415[[#This Row],[Valor recibo]]</f>
        <v>0</v>
      </c>
      <c r="O218" s="216"/>
      <c r="P218" s="205"/>
    </row>
    <row r="219" spans="1:16" ht="15.75">
      <c r="A219" s="205"/>
      <c r="B219" s="215"/>
      <c r="C219" s="205"/>
      <c r="D219" s="205"/>
      <c r="E219" s="205"/>
      <c r="F219" s="205"/>
      <c r="G219" s="215"/>
      <c r="H219" s="215"/>
      <c r="I219" s="216"/>
      <c r="J219" s="205"/>
      <c r="K219" s="205"/>
      <c r="L219" s="205" t="s">
        <v>315</v>
      </c>
      <c r="M219" s="215"/>
      <c r="N219" s="218">
        <f>Tabela1389101112131415[[#This Row],[Valor recibo]]</f>
        <v>0</v>
      </c>
      <c r="O219" s="216"/>
      <c r="P219" s="205"/>
    </row>
    <row r="220" spans="1:16" ht="15.75">
      <c r="A220" s="205"/>
      <c r="B220" s="215"/>
      <c r="C220" s="205"/>
      <c r="D220" s="205"/>
      <c r="E220" s="205"/>
      <c r="F220" s="205"/>
      <c r="G220" s="215"/>
      <c r="H220" s="215"/>
      <c r="I220" s="216"/>
      <c r="J220" s="205"/>
      <c r="K220" s="205"/>
      <c r="L220" s="205" t="s">
        <v>315</v>
      </c>
      <c r="M220" s="215"/>
      <c r="N220" s="218">
        <f>Tabela1389101112131415[[#This Row],[Valor recibo]]</f>
        <v>0</v>
      </c>
      <c r="O220" s="216"/>
      <c r="P220" s="205"/>
    </row>
    <row r="221" spans="1:16" ht="15.75">
      <c r="A221" s="205"/>
      <c r="B221" s="215"/>
      <c r="C221" s="205"/>
      <c r="D221" s="205"/>
      <c r="E221" s="205"/>
      <c r="F221" s="205"/>
      <c r="G221" s="215"/>
      <c r="H221" s="215"/>
      <c r="I221" s="216"/>
      <c r="J221" s="205"/>
      <c r="K221" s="205"/>
      <c r="L221" s="205" t="s">
        <v>315</v>
      </c>
      <c r="M221" s="215"/>
      <c r="N221" s="218">
        <f>Tabela1389101112131415[[#This Row],[Valor recibo]]</f>
        <v>0</v>
      </c>
      <c r="O221" s="216"/>
      <c r="P221" s="205"/>
    </row>
    <row r="222" spans="1:16" ht="15.75">
      <c r="A222" s="205"/>
      <c r="B222" s="215"/>
      <c r="C222" s="205"/>
      <c r="D222" s="205"/>
      <c r="E222" s="205"/>
      <c r="F222" s="205"/>
      <c r="G222" s="215"/>
      <c r="H222" s="215"/>
      <c r="I222" s="216"/>
      <c r="J222" s="205"/>
      <c r="K222" s="205"/>
      <c r="L222" s="205" t="s">
        <v>315</v>
      </c>
      <c r="M222" s="215"/>
      <c r="N222" s="218">
        <f>Tabela1389101112131415[[#This Row],[Valor recibo]]</f>
        <v>0</v>
      </c>
      <c r="O222" s="216"/>
      <c r="P222" s="205"/>
    </row>
    <row r="223" spans="1:16" ht="15.75">
      <c r="A223" s="205"/>
      <c r="B223" s="215"/>
      <c r="C223" s="205"/>
      <c r="D223" s="205"/>
      <c r="E223" s="205"/>
      <c r="F223" s="205"/>
      <c r="G223" s="215"/>
      <c r="H223" s="215"/>
      <c r="I223" s="216"/>
      <c r="J223" s="205"/>
      <c r="K223" s="205"/>
      <c r="L223" s="205" t="s">
        <v>315</v>
      </c>
      <c r="M223" s="215"/>
      <c r="N223" s="218">
        <f>Tabela1389101112131415[[#This Row],[Valor recibo]]</f>
        <v>0</v>
      </c>
      <c r="O223" s="216"/>
      <c r="P223" s="205"/>
    </row>
    <row r="224" spans="1:16" ht="15.75">
      <c r="A224" s="205"/>
      <c r="B224" s="215"/>
      <c r="C224" s="205"/>
      <c r="D224" s="205"/>
      <c r="E224" s="205"/>
      <c r="F224" s="205"/>
      <c r="G224" s="215"/>
      <c r="H224" s="215"/>
      <c r="I224" s="216"/>
      <c r="J224" s="205"/>
      <c r="K224" s="205"/>
      <c r="L224" s="205" t="s">
        <v>315</v>
      </c>
      <c r="M224" s="215"/>
      <c r="N224" s="218">
        <f>Tabela1389101112131415[[#This Row],[Valor recibo]]</f>
        <v>0</v>
      </c>
      <c r="O224" s="216"/>
      <c r="P224" s="205"/>
    </row>
    <row r="225" spans="1:16" ht="15.75">
      <c r="A225" s="205"/>
      <c r="B225" s="215"/>
      <c r="C225" s="205"/>
      <c r="D225" s="205"/>
      <c r="E225" s="205"/>
      <c r="F225" s="205"/>
      <c r="G225" s="215"/>
      <c r="H225" s="215"/>
      <c r="I225" s="216"/>
      <c r="J225" s="205"/>
      <c r="K225" s="205"/>
      <c r="L225" s="205" t="s">
        <v>315</v>
      </c>
      <c r="M225" s="215"/>
      <c r="N225" s="218">
        <f>Tabela1389101112131415[[#This Row],[Valor recibo]]</f>
        <v>0</v>
      </c>
      <c r="O225" s="216"/>
      <c r="P225" s="205"/>
    </row>
    <row r="226" spans="1:16" ht="15.75">
      <c r="A226" s="205"/>
      <c r="B226" s="215"/>
      <c r="C226" s="205"/>
      <c r="D226" s="205"/>
      <c r="E226" s="205"/>
      <c r="F226" s="205"/>
      <c r="G226" s="215"/>
      <c r="H226" s="215"/>
      <c r="I226" s="216"/>
      <c r="J226" s="205"/>
      <c r="K226" s="205"/>
      <c r="L226" s="205" t="s">
        <v>315</v>
      </c>
      <c r="M226" s="215"/>
      <c r="N226" s="218">
        <f>Tabela1389101112131415[[#This Row],[Valor recibo]]</f>
        <v>0</v>
      </c>
      <c r="O226" s="216"/>
      <c r="P226" s="205"/>
    </row>
    <row r="227" spans="1:16" ht="15.75">
      <c r="A227" s="205"/>
      <c r="B227" s="215"/>
      <c r="C227" s="205"/>
      <c r="D227" s="205"/>
      <c r="E227" s="205"/>
      <c r="F227" s="205"/>
      <c r="G227" s="215"/>
      <c r="H227" s="215"/>
      <c r="I227" s="216"/>
      <c r="J227" s="205"/>
      <c r="K227" s="205"/>
      <c r="L227" s="205" t="s">
        <v>315</v>
      </c>
      <c r="M227" s="215"/>
      <c r="N227" s="218">
        <f>Tabela1389101112131415[[#This Row],[Valor recibo]]</f>
        <v>0</v>
      </c>
      <c r="O227" s="216"/>
      <c r="P227" s="205"/>
    </row>
    <row r="228" spans="1:16" ht="15.75">
      <c r="A228" s="205"/>
      <c r="B228" s="215"/>
      <c r="C228" s="205"/>
      <c r="D228" s="205"/>
      <c r="E228" s="205"/>
      <c r="F228" s="205"/>
      <c r="G228" s="215"/>
      <c r="H228" s="215"/>
      <c r="I228" s="216"/>
      <c r="J228" s="205"/>
      <c r="K228" s="205"/>
      <c r="L228" s="205" t="s">
        <v>315</v>
      </c>
      <c r="M228" s="215"/>
      <c r="N228" s="218">
        <f>Tabela1389101112131415[[#This Row],[Valor recibo]]</f>
        <v>0</v>
      </c>
      <c r="O228" s="216"/>
      <c r="P228" s="219"/>
    </row>
    <row r="229" spans="1:16" ht="15.75">
      <c r="A229" s="205"/>
      <c r="B229" s="215"/>
      <c r="C229" s="205"/>
      <c r="D229" s="205"/>
      <c r="E229" s="205"/>
      <c r="F229" s="205"/>
      <c r="G229" s="215"/>
      <c r="H229" s="215"/>
      <c r="I229" s="216"/>
      <c r="J229" s="205"/>
      <c r="K229" s="205"/>
      <c r="L229" s="205" t="s">
        <v>315</v>
      </c>
      <c r="M229" s="215"/>
      <c r="N229" s="218">
        <f>Tabela1389101112131415[[#This Row],[Valor recibo]]</f>
        <v>0</v>
      </c>
      <c r="O229" s="216"/>
      <c r="P229" s="205"/>
    </row>
    <row r="230" spans="1:16" ht="15.75">
      <c r="A230" s="205"/>
      <c r="B230" s="215"/>
      <c r="C230" s="205"/>
      <c r="D230" s="205"/>
      <c r="E230" s="205"/>
      <c r="F230" s="205"/>
      <c r="G230" s="215"/>
      <c r="H230" s="215"/>
      <c r="I230" s="216"/>
      <c r="J230" s="205"/>
      <c r="K230" s="205"/>
      <c r="L230" s="205" t="s">
        <v>315</v>
      </c>
      <c r="M230" s="215"/>
      <c r="N230" s="218">
        <f>Tabela1389101112131415[[#This Row],[Valor recibo]]</f>
        <v>0</v>
      </c>
      <c r="O230" s="216"/>
      <c r="P230" s="205"/>
    </row>
    <row r="231" spans="1:16" ht="15.75">
      <c r="A231" s="205"/>
      <c r="B231" s="215"/>
      <c r="C231" s="205"/>
      <c r="D231" s="205"/>
      <c r="E231" s="205"/>
      <c r="F231" s="205"/>
      <c r="G231" s="215"/>
      <c r="H231" s="215"/>
      <c r="I231" s="216"/>
      <c r="J231" s="205"/>
      <c r="K231" s="205"/>
      <c r="L231" s="205" t="s">
        <v>315</v>
      </c>
      <c r="M231" s="215"/>
      <c r="N231" s="218">
        <f>Tabela1389101112131415[[#This Row],[Valor recibo]]</f>
        <v>0</v>
      </c>
      <c r="O231" s="216"/>
      <c r="P231" s="205"/>
    </row>
    <row r="232" spans="1:16" ht="15.75">
      <c r="A232" s="205"/>
      <c r="B232" s="215"/>
      <c r="C232" s="205"/>
      <c r="D232" s="205"/>
      <c r="E232" s="205"/>
      <c r="F232" s="205"/>
      <c r="G232" s="215"/>
      <c r="H232" s="215"/>
      <c r="I232" s="216"/>
      <c r="J232" s="205"/>
      <c r="K232" s="205"/>
      <c r="L232" s="205" t="s">
        <v>315</v>
      </c>
      <c r="M232" s="215"/>
      <c r="N232" s="218">
        <f>Tabela1389101112131415[[#This Row],[Valor recibo]]</f>
        <v>0</v>
      </c>
      <c r="O232" s="216"/>
      <c r="P232" s="205"/>
    </row>
    <row r="233" spans="1:16" ht="15.75">
      <c r="A233" s="205"/>
      <c r="B233" s="215"/>
      <c r="C233" s="205"/>
      <c r="D233" s="205"/>
      <c r="E233" s="205"/>
      <c r="F233" s="205"/>
      <c r="G233" s="215"/>
      <c r="H233" s="215"/>
      <c r="I233" s="216"/>
      <c r="J233" s="205"/>
      <c r="K233" s="205"/>
      <c r="L233" s="205" t="s">
        <v>315</v>
      </c>
      <c r="M233" s="215"/>
      <c r="N233" s="218">
        <f>Tabela1389101112131415[[#This Row],[Valor recibo]]</f>
        <v>0</v>
      </c>
      <c r="O233" s="216"/>
      <c r="P233" s="205"/>
    </row>
    <row r="234" spans="1:16" ht="15.75">
      <c r="A234" s="205"/>
      <c r="B234" s="215"/>
      <c r="C234" s="205"/>
      <c r="D234" s="205"/>
      <c r="E234" s="205"/>
      <c r="F234" s="205"/>
      <c r="G234" s="215"/>
      <c r="H234" s="215"/>
      <c r="I234" s="216"/>
      <c r="J234" s="205"/>
      <c r="K234" s="205"/>
      <c r="L234" s="205" t="s">
        <v>315</v>
      </c>
      <c r="M234" s="215"/>
      <c r="N234" s="218">
        <f>Tabela1389101112131415[[#This Row],[Valor recibo]]</f>
        <v>0</v>
      </c>
      <c r="O234" s="216"/>
      <c r="P234" s="205"/>
    </row>
    <row r="235" spans="1:16" ht="15.75">
      <c r="A235" s="205"/>
      <c r="B235" s="215"/>
      <c r="C235" s="205"/>
      <c r="D235" s="205"/>
      <c r="E235" s="205"/>
      <c r="F235" s="205"/>
      <c r="G235" s="215"/>
      <c r="H235" s="215"/>
      <c r="I235" s="216"/>
      <c r="J235" s="205"/>
      <c r="K235" s="205"/>
      <c r="L235" s="205" t="s">
        <v>315</v>
      </c>
      <c r="M235" s="215"/>
      <c r="N235" s="218">
        <f>Tabela1389101112131415[[#This Row],[Valor recibo]]</f>
        <v>0</v>
      </c>
      <c r="O235" s="216"/>
      <c r="P235" s="205"/>
    </row>
    <row r="236" spans="1:16" ht="15.75">
      <c r="A236" s="205"/>
      <c r="B236" s="215"/>
      <c r="C236" s="205"/>
      <c r="D236" s="205"/>
      <c r="E236" s="205"/>
      <c r="F236" s="205"/>
      <c r="G236" s="215"/>
      <c r="H236" s="215"/>
      <c r="I236" s="216"/>
      <c r="J236" s="205"/>
      <c r="K236" s="205"/>
      <c r="L236" s="205" t="s">
        <v>315</v>
      </c>
      <c r="M236" s="215"/>
      <c r="N236" s="218">
        <f>Tabela1389101112131415[[#This Row],[Valor recibo]]</f>
        <v>0</v>
      </c>
      <c r="O236" s="216"/>
      <c r="P236" s="205"/>
    </row>
    <row r="237" spans="1:16" ht="15.75">
      <c r="A237" s="205"/>
      <c r="B237" s="215"/>
      <c r="C237" s="205"/>
      <c r="D237" s="205"/>
      <c r="E237" s="205"/>
      <c r="F237" s="205"/>
      <c r="G237" s="215"/>
      <c r="H237" s="215"/>
      <c r="I237" s="216"/>
      <c r="J237" s="205"/>
      <c r="K237" s="205"/>
      <c r="L237" s="205" t="s">
        <v>315</v>
      </c>
      <c r="M237" s="215"/>
      <c r="N237" s="218">
        <f>Tabela1389101112131415[[#This Row],[Valor recibo]]</f>
        <v>0</v>
      </c>
      <c r="O237" s="216"/>
      <c r="P237" s="205"/>
    </row>
    <row r="238" spans="1:16" ht="15.75">
      <c r="A238" s="205"/>
      <c r="B238" s="215"/>
      <c r="C238" s="205"/>
      <c r="D238" s="205"/>
      <c r="E238" s="205"/>
      <c r="F238" s="205"/>
      <c r="G238" s="215"/>
      <c r="H238" s="215"/>
      <c r="I238" s="216"/>
      <c r="J238" s="205"/>
      <c r="K238" s="205"/>
      <c r="L238" s="205" t="s">
        <v>315</v>
      </c>
      <c r="M238" s="215"/>
      <c r="N238" s="218">
        <f>Tabela1389101112131415[[#This Row],[Valor recibo]]</f>
        <v>0</v>
      </c>
      <c r="O238" s="216"/>
      <c r="P238" s="205"/>
    </row>
    <row r="239" spans="1:16" ht="15.75">
      <c r="A239" s="205"/>
      <c r="B239" s="215"/>
      <c r="C239" s="205"/>
      <c r="D239" s="205"/>
      <c r="E239" s="205"/>
      <c r="F239" s="205"/>
      <c r="G239" s="215"/>
      <c r="H239" s="215"/>
      <c r="I239" s="216"/>
      <c r="J239" s="205"/>
      <c r="K239" s="205"/>
      <c r="L239" s="205" t="s">
        <v>315</v>
      </c>
      <c r="M239" s="215"/>
      <c r="N239" s="218">
        <f>Tabela1389101112131415[[#This Row],[Valor recibo]]</f>
        <v>0</v>
      </c>
      <c r="O239" s="216"/>
      <c r="P239" s="205"/>
    </row>
    <row r="240" spans="1:16" ht="15.75">
      <c r="A240" s="205"/>
      <c r="B240" s="215"/>
      <c r="C240" s="205"/>
      <c r="D240" s="205"/>
      <c r="E240" s="205"/>
      <c r="F240" s="205"/>
      <c r="G240" s="215"/>
      <c r="H240" s="215"/>
      <c r="I240" s="216"/>
      <c r="J240" s="205"/>
      <c r="K240" s="205"/>
      <c r="L240" s="205" t="s">
        <v>315</v>
      </c>
      <c r="M240" s="215"/>
      <c r="N240" s="218">
        <f>Tabela1389101112131415[[#This Row],[Valor recibo]]</f>
        <v>0</v>
      </c>
      <c r="O240" s="216"/>
      <c r="P240" s="219"/>
    </row>
    <row r="241" spans="1:16" ht="15.75">
      <c r="A241" s="205"/>
      <c r="B241" s="215"/>
      <c r="C241" s="205"/>
      <c r="D241" s="205"/>
      <c r="E241" s="205"/>
      <c r="F241" s="205"/>
      <c r="G241" s="215"/>
      <c r="H241" s="215"/>
      <c r="I241" s="216"/>
      <c r="J241" s="205"/>
      <c r="K241" s="205"/>
      <c r="L241" s="205" t="s">
        <v>315</v>
      </c>
      <c r="M241" s="215"/>
      <c r="N241" s="218">
        <f>Tabela1389101112131415[[#This Row],[Valor recibo]]</f>
        <v>0</v>
      </c>
      <c r="O241" s="216"/>
      <c r="P241" s="219"/>
    </row>
    <row r="242" spans="1:16" ht="15.75">
      <c r="A242" s="205"/>
      <c r="B242" s="215"/>
      <c r="C242" s="205"/>
      <c r="D242" s="205"/>
      <c r="E242" s="205"/>
      <c r="F242" s="205"/>
      <c r="G242" s="215"/>
      <c r="H242" s="215"/>
      <c r="I242" s="216"/>
      <c r="J242" s="205"/>
      <c r="K242" s="205"/>
      <c r="L242" s="205" t="s">
        <v>315</v>
      </c>
      <c r="M242" s="215"/>
      <c r="N242" s="218">
        <f>Tabela1389101112131415[[#This Row],[Valor recibo]]</f>
        <v>0</v>
      </c>
      <c r="O242" s="216"/>
      <c r="P242" s="205"/>
    </row>
    <row r="243" spans="1:16" ht="15.75">
      <c r="A243" s="205"/>
      <c r="B243" s="215"/>
      <c r="C243" s="205"/>
      <c r="D243" s="205"/>
      <c r="E243" s="205"/>
      <c r="F243" s="205"/>
      <c r="G243" s="215"/>
      <c r="H243" s="215"/>
      <c r="I243" s="216"/>
      <c r="J243" s="205"/>
      <c r="K243" s="205"/>
      <c r="L243" s="205" t="s">
        <v>315</v>
      </c>
      <c r="M243" s="215"/>
      <c r="N243" s="218">
        <f>Tabela1389101112131415[[#This Row],[Valor recibo]]</f>
        <v>0</v>
      </c>
      <c r="O243" s="216"/>
      <c r="P243" s="205"/>
    </row>
    <row r="244" spans="1:16" ht="15.75">
      <c r="A244" s="205"/>
      <c r="B244" s="215"/>
      <c r="C244" s="205"/>
      <c r="D244" s="205"/>
      <c r="E244" s="205"/>
      <c r="F244" s="205"/>
      <c r="G244" s="215"/>
      <c r="H244" s="215"/>
      <c r="I244" s="216"/>
      <c r="J244" s="205"/>
      <c r="K244" s="205"/>
      <c r="L244" s="205" t="s">
        <v>315</v>
      </c>
      <c r="M244" s="215"/>
      <c r="N244" s="218">
        <f>Tabela1389101112131415[[#This Row],[Valor recibo]]</f>
        <v>0</v>
      </c>
      <c r="O244" s="216"/>
      <c r="P244" s="205"/>
    </row>
    <row r="245" spans="1:16" ht="15.75">
      <c r="A245" s="205"/>
      <c r="B245" s="215"/>
      <c r="C245" s="205"/>
      <c r="D245" s="205"/>
      <c r="E245" s="205"/>
      <c r="F245" s="205"/>
      <c r="G245" s="215"/>
      <c r="H245" s="215"/>
      <c r="I245" s="216"/>
      <c r="J245" s="205"/>
      <c r="K245" s="205"/>
      <c r="L245" s="205" t="s">
        <v>315</v>
      </c>
      <c r="M245" s="215"/>
      <c r="N245" s="218">
        <f>Tabela1389101112131415[[#This Row],[Valor recibo]]</f>
        <v>0</v>
      </c>
      <c r="O245" s="216"/>
      <c r="P245" s="205"/>
    </row>
    <row r="246" spans="1:16" ht="15.75">
      <c r="A246" s="205"/>
      <c r="B246" s="215"/>
      <c r="C246" s="205"/>
      <c r="D246" s="205"/>
      <c r="E246" s="205"/>
      <c r="F246" s="205"/>
      <c r="G246" s="215"/>
      <c r="H246" s="215"/>
      <c r="I246" s="216"/>
      <c r="J246" s="205"/>
      <c r="K246" s="205"/>
      <c r="L246" s="205" t="s">
        <v>315</v>
      </c>
      <c r="M246" s="215"/>
      <c r="N246" s="218">
        <f>Tabela1389101112131415[[#This Row],[Valor recibo]]</f>
        <v>0</v>
      </c>
      <c r="O246" s="216"/>
      <c r="P246" s="205"/>
    </row>
    <row r="247" spans="1:16" ht="15.75">
      <c r="A247" s="205"/>
      <c r="B247" s="215"/>
      <c r="C247" s="205"/>
      <c r="D247" s="205"/>
      <c r="E247" s="205"/>
      <c r="F247" s="205"/>
      <c r="G247" s="215"/>
      <c r="H247" s="215"/>
      <c r="I247" s="216"/>
      <c r="J247" s="205"/>
      <c r="K247" s="205"/>
      <c r="L247" s="205" t="s">
        <v>315</v>
      </c>
      <c r="M247" s="215"/>
      <c r="N247" s="218">
        <f>Tabela1389101112131415[[#This Row],[Valor recibo]]</f>
        <v>0</v>
      </c>
      <c r="O247" s="216"/>
      <c r="P247" s="205"/>
    </row>
    <row r="248" spans="1:16" ht="15.75">
      <c r="A248" s="205"/>
      <c r="B248" s="215"/>
      <c r="C248" s="205"/>
      <c r="D248" s="205"/>
      <c r="E248" s="205"/>
      <c r="F248" s="205"/>
      <c r="G248" s="215"/>
      <c r="H248" s="215"/>
      <c r="I248" s="216"/>
      <c r="J248" s="205"/>
      <c r="K248" s="205"/>
      <c r="L248" s="205" t="s">
        <v>315</v>
      </c>
      <c r="M248" s="215"/>
      <c r="N248" s="218">
        <f>Tabela1389101112131415[[#This Row],[Valor recibo]]</f>
        <v>0</v>
      </c>
      <c r="O248" s="216"/>
      <c r="P248" s="219"/>
    </row>
    <row r="249" spans="1:16" ht="15.75">
      <c r="A249" s="205"/>
      <c r="B249" s="215"/>
      <c r="C249" s="205"/>
      <c r="D249" s="205"/>
      <c r="E249" s="205"/>
      <c r="F249" s="205"/>
      <c r="G249" s="215"/>
      <c r="H249" s="215"/>
      <c r="I249" s="216"/>
      <c r="J249" s="205"/>
      <c r="K249" s="205"/>
      <c r="L249" s="205" t="s">
        <v>315</v>
      </c>
      <c r="M249" s="215"/>
      <c r="N249" s="218">
        <f>Tabela1389101112131415[[#This Row],[Valor recibo]]</f>
        <v>0</v>
      </c>
      <c r="O249" s="216"/>
      <c r="P249" s="205"/>
    </row>
    <row r="250" spans="1:16" ht="15.75">
      <c r="A250" s="205"/>
      <c r="B250" s="215"/>
      <c r="C250" s="205"/>
      <c r="D250" s="205"/>
      <c r="E250" s="205"/>
      <c r="F250" s="205"/>
      <c r="G250" s="215"/>
      <c r="H250" s="215"/>
      <c r="I250" s="216"/>
      <c r="J250" s="205"/>
      <c r="K250" s="205"/>
      <c r="L250" s="205" t="s">
        <v>315</v>
      </c>
      <c r="M250" s="215"/>
      <c r="N250" s="218">
        <f>Tabela1389101112131415[[#This Row],[Valor recibo]]</f>
        <v>0</v>
      </c>
      <c r="O250" s="216"/>
      <c r="P250" s="205"/>
    </row>
    <row r="251" spans="1:16" ht="15.75">
      <c r="A251" s="205"/>
      <c r="B251" s="215"/>
      <c r="C251" s="205"/>
      <c r="D251" s="205"/>
      <c r="E251" s="205"/>
      <c r="F251" s="205"/>
      <c r="G251" s="215"/>
      <c r="H251" s="215"/>
      <c r="I251" s="216"/>
      <c r="J251" s="205"/>
      <c r="K251" s="205"/>
      <c r="L251" s="205" t="s">
        <v>315</v>
      </c>
      <c r="M251" s="215"/>
      <c r="N251" s="218">
        <f>Tabela1389101112131415[[#This Row],[Valor recibo]]</f>
        <v>0</v>
      </c>
      <c r="O251" s="216"/>
      <c r="P251" s="205"/>
    </row>
    <row r="252" spans="1:16" ht="15.75">
      <c r="A252" s="205"/>
      <c r="B252" s="215"/>
      <c r="C252" s="205"/>
      <c r="D252" s="205"/>
      <c r="E252" s="205"/>
      <c r="F252" s="205"/>
      <c r="G252" s="215"/>
      <c r="H252" s="215"/>
      <c r="I252" s="216"/>
      <c r="J252" s="205"/>
      <c r="K252" s="205"/>
      <c r="L252" s="205" t="s">
        <v>315</v>
      </c>
      <c r="M252" s="215"/>
      <c r="N252" s="218">
        <f>Tabela1389101112131415[[#This Row],[Valor recibo]]</f>
        <v>0</v>
      </c>
      <c r="O252" s="216"/>
      <c r="P252" s="205"/>
    </row>
    <row r="253" spans="1:16" ht="15.75">
      <c r="A253" s="205"/>
      <c r="B253" s="215"/>
      <c r="C253" s="205"/>
      <c r="D253" s="205"/>
      <c r="E253" s="205"/>
      <c r="F253" s="205"/>
      <c r="G253" s="215"/>
      <c r="H253" s="215"/>
      <c r="I253" s="216"/>
      <c r="J253" s="205"/>
      <c r="K253" s="205"/>
      <c r="L253" s="205" t="s">
        <v>315</v>
      </c>
      <c r="M253" s="215"/>
      <c r="N253" s="218">
        <f>Tabela1389101112131415[[#This Row],[Valor recibo]]</f>
        <v>0</v>
      </c>
      <c r="O253" s="216"/>
      <c r="P253" s="205"/>
    </row>
    <row r="254" spans="1:16" ht="15.75">
      <c r="A254" s="205"/>
      <c r="B254" s="215"/>
      <c r="C254" s="205"/>
      <c r="D254" s="205"/>
      <c r="E254" s="205"/>
      <c r="F254" s="205"/>
      <c r="G254" s="215"/>
      <c r="H254" s="215"/>
      <c r="I254" s="216"/>
      <c r="J254" s="205"/>
      <c r="K254" s="205"/>
      <c r="L254" s="205" t="s">
        <v>315</v>
      </c>
      <c r="M254" s="215"/>
      <c r="N254" s="218">
        <f>Tabela1389101112131415[[#This Row],[Valor recibo]]</f>
        <v>0</v>
      </c>
      <c r="O254" s="216"/>
      <c r="P254" s="205"/>
    </row>
    <row r="255" spans="1:16" ht="15.75">
      <c r="A255" s="220"/>
      <c r="B255" s="215"/>
      <c r="C255" s="205"/>
      <c r="D255" s="205"/>
      <c r="E255" s="205"/>
      <c r="F255" s="205"/>
      <c r="G255" s="215"/>
      <c r="H255" s="215"/>
      <c r="I255" s="216"/>
      <c r="J255" s="205"/>
      <c r="K255" s="205"/>
      <c r="L255" s="205" t="s">
        <v>315</v>
      </c>
      <c r="M255" s="215"/>
      <c r="N255" s="218">
        <f>Tabela1389101112131415[[#This Row],[Valor recibo]]</f>
        <v>0</v>
      </c>
      <c r="O255" s="216"/>
      <c r="P255" s="205"/>
    </row>
    <row r="256" spans="1:16" ht="15.75">
      <c r="A256" s="205"/>
      <c r="B256" s="215"/>
      <c r="C256" s="205"/>
      <c r="D256" s="205"/>
      <c r="E256" s="205"/>
      <c r="F256" s="205"/>
      <c r="G256" s="215"/>
      <c r="H256" s="215"/>
      <c r="I256" s="216"/>
      <c r="J256" s="205"/>
      <c r="K256" s="205"/>
      <c r="L256" s="205" t="s">
        <v>315</v>
      </c>
      <c r="M256" s="215"/>
      <c r="N256" s="218">
        <f>Tabela1389101112131415[[#This Row],[Valor recibo]]</f>
        <v>0</v>
      </c>
      <c r="O256" s="216"/>
      <c r="P256" s="205"/>
    </row>
    <row r="257" spans="1:16" ht="15.75">
      <c r="A257" s="205"/>
      <c r="B257" s="215"/>
      <c r="C257" s="205"/>
      <c r="D257" s="205"/>
      <c r="E257" s="205"/>
      <c r="F257" s="205"/>
      <c r="G257" s="215"/>
      <c r="H257" s="215"/>
      <c r="I257" s="216"/>
      <c r="J257" s="205"/>
      <c r="K257" s="205"/>
      <c r="L257" s="205" t="s">
        <v>315</v>
      </c>
      <c r="M257" s="215"/>
      <c r="N257" s="218">
        <f>Tabela1389101112131415[[#This Row],[Valor recibo]]</f>
        <v>0</v>
      </c>
      <c r="O257" s="216"/>
      <c r="P257" s="205"/>
    </row>
    <row r="258" spans="1:16" ht="15.75">
      <c r="A258" s="205"/>
      <c r="B258" s="215"/>
      <c r="C258" s="205"/>
      <c r="D258" s="205"/>
      <c r="E258" s="205"/>
      <c r="F258" s="205"/>
      <c r="G258" s="215"/>
      <c r="H258" s="215"/>
      <c r="I258" s="216"/>
      <c r="J258" s="205"/>
      <c r="K258" s="205"/>
      <c r="L258" s="205" t="s">
        <v>315</v>
      </c>
      <c r="M258" s="215"/>
      <c r="N258" s="218">
        <f>Tabela1389101112131415[[#This Row],[Valor recibo]]</f>
        <v>0</v>
      </c>
      <c r="O258" s="216"/>
      <c r="P258" s="205"/>
    </row>
    <row r="259" spans="1:16" ht="15.75">
      <c r="A259" s="205"/>
      <c r="B259" s="215"/>
      <c r="C259" s="205"/>
      <c r="D259" s="205"/>
      <c r="E259" s="205"/>
      <c r="F259" s="205"/>
      <c r="G259" s="215"/>
      <c r="H259" s="215"/>
      <c r="I259" s="216"/>
      <c r="J259" s="205"/>
      <c r="K259" s="205"/>
      <c r="L259" s="205" t="s">
        <v>315</v>
      </c>
      <c r="M259" s="215"/>
      <c r="N259" s="218">
        <f>Tabela1389101112131415[[#This Row],[Valor recibo]]</f>
        <v>0</v>
      </c>
      <c r="O259" s="216"/>
      <c r="P259" s="205"/>
    </row>
    <row r="260" spans="1:16" ht="15.75">
      <c r="A260" s="205"/>
      <c r="B260" s="215"/>
      <c r="C260" s="205"/>
      <c r="D260" s="205"/>
      <c r="E260" s="205"/>
      <c r="F260" s="205"/>
      <c r="G260" s="215"/>
      <c r="H260" s="215"/>
      <c r="I260" s="216"/>
      <c r="J260" s="205"/>
      <c r="K260" s="205"/>
      <c r="L260" s="205" t="s">
        <v>315</v>
      </c>
      <c r="M260" s="215"/>
      <c r="N260" s="218">
        <f>Tabela1389101112131415[[#This Row],[Valor recibo]]</f>
        <v>0</v>
      </c>
      <c r="O260" s="216"/>
      <c r="P260" s="205"/>
    </row>
    <row r="261" spans="1:16" ht="15.75">
      <c r="A261" s="205"/>
      <c r="B261" s="215"/>
      <c r="C261" s="205"/>
      <c r="D261" s="205"/>
      <c r="E261" s="205"/>
      <c r="F261" s="205"/>
      <c r="G261" s="215"/>
      <c r="H261" s="215"/>
      <c r="I261" s="216"/>
      <c r="J261" s="205"/>
      <c r="K261" s="205"/>
      <c r="L261" s="205" t="s">
        <v>315</v>
      </c>
      <c r="M261" s="215"/>
      <c r="N261" s="218">
        <f>Tabela1389101112131415[[#This Row],[Valor recibo]]</f>
        <v>0</v>
      </c>
      <c r="O261" s="216"/>
      <c r="P261" s="219"/>
    </row>
    <row r="262" spans="1:16" ht="15.75">
      <c r="A262" s="205"/>
      <c r="B262" s="215"/>
      <c r="C262" s="205"/>
      <c r="D262" s="205"/>
      <c r="E262" s="205"/>
      <c r="F262" s="205"/>
      <c r="G262" s="215"/>
      <c r="H262" s="215"/>
      <c r="I262" s="216"/>
      <c r="J262" s="205"/>
      <c r="K262" s="205"/>
      <c r="L262" s="205" t="s">
        <v>315</v>
      </c>
      <c r="M262" s="215"/>
      <c r="N262" s="218">
        <f>Tabela1389101112131415[[#This Row],[Valor recibo]]</f>
        <v>0</v>
      </c>
      <c r="O262" s="216"/>
      <c r="P262" s="205"/>
    </row>
    <row r="263" spans="1:16" ht="15.75">
      <c r="A263" s="205"/>
      <c r="B263" s="215"/>
      <c r="C263" s="205"/>
      <c r="D263" s="205"/>
      <c r="E263" s="205"/>
      <c r="F263" s="205"/>
      <c r="G263" s="215"/>
      <c r="H263" s="215"/>
      <c r="I263" s="216"/>
      <c r="J263" s="205"/>
      <c r="K263" s="205"/>
      <c r="L263" s="205" t="s">
        <v>315</v>
      </c>
      <c r="M263" s="215"/>
      <c r="N263" s="218">
        <f>Tabela1389101112131415[[#This Row],[Valor recibo]]</f>
        <v>0</v>
      </c>
      <c r="O263" s="216"/>
      <c r="P263" s="205"/>
    </row>
    <row r="264" spans="1:16" ht="15.75">
      <c r="A264" s="205"/>
      <c r="B264" s="215"/>
      <c r="C264" s="205"/>
      <c r="D264" s="205"/>
      <c r="E264" s="205"/>
      <c r="F264" s="205"/>
      <c r="G264" s="215"/>
      <c r="H264" s="215"/>
      <c r="I264" s="216"/>
      <c r="J264" s="205"/>
      <c r="K264" s="205"/>
      <c r="L264" s="205" t="s">
        <v>315</v>
      </c>
      <c r="M264" s="215"/>
      <c r="N264" s="218">
        <f>Tabela1389101112131415[[#This Row],[Valor recibo]]</f>
        <v>0</v>
      </c>
      <c r="O264" s="216"/>
      <c r="P264" s="205"/>
    </row>
    <row r="265" spans="1:16" ht="15.75">
      <c r="A265" s="205"/>
      <c r="B265" s="215"/>
      <c r="C265" s="205"/>
      <c r="D265" s="205"/>
      <c r="E265" s="205"/>
      <c r="F265" s="205"/>
      <c r="G265" s="215"/>
      <c r="H265" s="215"/>
      <c r="I265" s="216"/>
      <c r="J265" s="205"/>
      <c r="K265" s="205"/>
      <c r="L265" s="205" t="s">
        <v>315</v>
      </c>
      <c r="M265" s="215"/>
      <c r="N265" s="218">
        <f>Tabela1389101112131415[[#This Row],[Valor recibo]]</f>
        <v>0</v>
      </c>
      <c r="O265" s="216"/>
      <c r="P265" s="205"/>
    </row>
    <row r="266" spans="1:16" ht="15.75">
      <c r="A266" s="205"/>
      <c r="B266" s="215"/>
      <c r="C266" s="205"/>
      <c r="D266" s="205"/>
      <c r="E266" s="205"/>
      <c r="F266" s="205"/>
      <c r="G266" s="215"/>
      <c r="H266" s="215"/>
      <c r="I266" s="216"/>
      <c r="J266" s="205"/>
      <c r="K266" s="205"/>
      <c r="L266" s="205" t="s">
        <v>315</v>
      </c>
      <c r="M266" s="215"/>
      <c r="N266" s="218">
        <f>Tabela1389101112131415[[#This Row],[Valor recibo]]</f>
        <v>0</v>
      </c>
      <c r="O266" s="216"/>
      <c r="P266" s="205"/>
    </row>
    <row r="267" spans="1:16" ht="15.75">
      <c r="A267" s="205"/>
      <c r="B267" s="215"/>
      <c r="C267" s="205"/>
      <c r="D267" s="205"/>
      <c r="E267" s="205"/>
      <c r="F267" s="205"/>
      <c r="G267" s="215"/>
      <c r="H267" s="215"/>
      <c r="I267" s="216"/>
      <c r="J267" s="205"/>
      <c r="K267" s="205"/>
      <c r="L267" s="205" t="s">
        <v>315</v>
      </c>
      <c r="M267" s="215"/>
      <c r="N267" s="218">
        <f>Tabela1389101112131415[[#This Row],[Valor recibo]]</f>
        <v>0</v>
      </c>
      <c r="O267" s="216"/>
      <c r="P267" s="205"/>
    </row>
    <row r="268" spans="1:16" ht="15.75">
      <c r="A268" s="205"/>
      <c r="B268" s="215"/>
      <c r="C268" s="205"/>
      <c r="D268" s="205"/>
      <c r="E268" s="205"/>
      <c r="F268" s="205"/>
      <c r="G268" s="215"/>
      <c r="H268" s="215"/>
      <c r="I268" s="216"/>
      <c r="J268" s="205"/>
      <c r="K268" s="205"/>
      <c r="L268" s="205" t="s">
        <v>315</v>
      </c>
      <c r="M268" s="215"/>
      <c r="N268" s="218">
        <f>Tabela1389101112131415[[#This Row],[Valor recibo]]</f>
        <v>0</v>
      </c>
      <c r="O268" s="216"/>
      <c r="P268" s="205"/>
    </row>
    <row r="269" spans="1:16" ht="15.75">
      <c r="A269" s="205"/>
      <c r="B269" s="215"/>
      <c r="C269" s="205"/>
      <c r="D269" s="205"/>
      <c r="E269" s="205"/>
      <c r="F269" s="205"/>
      <c r="G269" s="215"/>
      <c r="H269" s="215"/>
      <c r="I269" s="216"/>
      <c r="J269" s="205"/>
      <c r="K269" s="205"/>
      <c r="L269" s="205" t="s">
        <v>315</v>
      </c>
      <c r="M269" s="215"/>
      <c r="N269" s="218">
        <f>Tabela1389101112131415[[#This Row],[Valor recibo]]</f>
        <v>0</v>
      </c>
      <c r="O269" s="216"/>
      <c r="P269" s="205"/>
    </row>
    <row r="270" spans="1:16" ht="15.75">
      <c r="A270" s="205"/>
      <c r="B270" s="215"/>
      <c r="C270" s="205"/>
      <c r="D270" s="205"/>
      <c r="E270" s="205"/>
      <c r="F270" s="205"/>
      <c r="G270" s="215"/>
      <c r="H270" s="215"/>
      <c r="I270" s="216"/>
      <c r="J270" s="205"/>
      <c r="K270" s="205"/>
      <c r="L270" s="205" t="s">
        <v>315</v>
      </c>
      <c r="M270" s="215"/>
      <c r="N270" s="218">
        <f>Tabela1389101112131415[[#This Row],[Valor recibo]]</f>
        <v>0</v>
      </c>
      <c r="O270" s="216"/>
      <c r="P270" s="205"/>
    </row>
    <row r="271" spans="1:16" ht="15.75">
      <c r="A271" s="205"/>
      <c r="B271" s="215"/>
      <c r="C271" s="205"/>
      <c r="D271" s="205"/>
      <c r="E271" s="205"/>
      <c r="F271" s="205"/>
      <c r="G271" s="215"/>
      <c r="H271" s="215"/>
      <c r="I271" s="216"/>
      <c r="J271" s="205"/>
      <c r="K271" s="205"/>
      <c r="L271" s="205" t="s">
        <v>315</v>
      </c>
      <c r="M271" s="215"/>
      <c r="N271" s="218">
        <f>Tabela1389101112131415[[#This Row],[Valor recibo]]</f>
        <v>0</v>
      </c>
      <c r="O271" s="216"/>
      <c r="P271" s="205"/>
    </row>
    <row r="272" spans="1:16" ht="15.75">
      <c r="A272" s="205"/>
      <c r="B272" s="215"/>
      <c r="C272" s="205"/>
      <c r="D272" s="205"/>
      <c r="E272" s="205"/>
      <c r="F272" s="205"/>
      <c r="G272" s="215"/>
      <c r="H272" s="215"/>
      <c r="I272" s="216"/>
      <c r="J272" s="205"/>
      <c r="K272" s="205"/>
      <c r="L272" s="205" t="s">
        <v>315</v>
      </c>
      <c r="M272" s="215"/>
      <c r="N272" s="218">
        <f>Tabela1389101112131415[[#This Row],[Valor recibo]]</f>
        <v>0</v>
      </c>
      <c r="O272" s="216"/>
      <c r="P272" s="205"/>
    </row>
    <row r="273" spans="1:16" ht="15.75">
      <c r="A273" s="205"/>
      <c r="B273" s="215"/>
      <c r="C273" s="205"/>
      <c r="D273" s="205"/>
      <c r="E273" s="205"/>
      <c r="F273" s="205"/>
      <c r="G273" s="215"/>
      <c r="H273" s="215"/>
      <c r="I273" s="216"/>
      <c r="J273" s="205"/>
      <c r="K273" s="205"/>
      <c r="L273" s="205" t="s">
        <v>315</v>
      </c>
      <c r="M273" s="215"/>
      <c r="N273" s="218">
        <f>Tabela1389101112131415[[#This Row],[Valor recibo]]</f>
        <v>0</v>
      </c>
      <c r="O273" s="216"/>
      <c r="P273" s="205"/>
    </row>
    <row r="274" spans="1:16" ht="15.75">
      <c r="A274" s="205"/>
      <c r="B274" s="215"/>
      <c r="C274" s="205"/>
      <c r="D274" s="205"/>
      <c r="E274" s="205"/>
      <c r="F274" s="205"/>
      <c r="G274" s="215"/>
      <c r="H274" s="215"/>
      <c r="I274" s="216"/>
      <c r="J274" s="205"/>
      <c r="K274" s="205"/>
      <c r="L274" s="205" t="s">
        <v>315</v>
      </c>
      <c r="M274" s="215"/>
      <c r="N274" s="218">
        <f>Tabela1389101112131415[[#This Row],[Valor recibo]]</f>
        <v>0</v>
      </c>
      <c r="O274" s="216"/>
      <c r="P274" s="219"/>
    </row>
    <row r="275" spans="1:16" ht="15.75">
      <c r="A275" s="205"/>
      <c r="B275" s="215"/>
      <c r="C275" s="205"/>
      <c r="D275" s="205"/>
      <c r="E275" s="205"/>
      <c r="F275" s="205"/>
      <c r="G275" s="215"/>
      <c r="H275" s="215"/>
      <c r="I275" s="216"/>
      <c r="J275" s="205"/>
      <c r="K275" s="205"/>
      <c r="L275" s="205" t="s">
        <v>315</v>
      </c>
      <c r="M275" s="215"/>
      <c r="N275" s="218">
        <f>Tabela1389101112131415[[#This Row],[Valor recibo]]</f>
        <v>0</v>
      </c>
      <c r="O275" s="216"/>
      <c r="P275" s="205"/>
    </row>
    <row r="276" spans="1:16" ht="15.75">
      <c r="A276" s="205"/>
      <c r="B276" s="215"/>
      <c r="C276" s="205"/>
      <c r="D276" s="205"/>
      <c r="E276" s="205"/>
      <c r="F276" s="205"/>
      <c r="G276" s="215"/>
      <c r="H276" s="215"/>
      <c r="I276" s="216"/>
      <c r="J276" s="205"/>
      <c r="K276" s="205"/>
      <c r="L276" s="205" t="s">
        <v>315</v>
      </c>
      <c r="M276" s="215"/>
      <c r="N276" s="218">
        <f>Tabela1389101112131415[[#This Row],[Valor recibo]]</f>
        <v>0</v>
      </c>
      <c r="O276" s="216"/>
      <c r="P276" s="205"/>
    </row>
    <row r="277" spans="1:16" ht="15.75">
      <c r="A277" s="205"/>
      <c r="B277" s="215"/>
      <c r="C277" s="205"/>
      <c r="D277" s="205"/>
      <c r="E277" s="205"/>
      <c r="F277" s="205"/>
      <c r="G277" s="215"/>
      <c r="H277" s="215"/>
      <c r="I277" s="216"/>
      <c r="J277" s="205"/>
      <c r="K277" s="205"/>
      <c r="L277" s="205" t="s">
        <v>315</v>
      </c>
      <c r="M277" s="215"/>
      <c r="N277" s="218">
        <f>Tabela1389101112131415[[#This Row],[Valor recibo]]</f>
        <v>0</v>
      </c>
      <c r="O277" s="216"/>
      <c r="P277" s="205"/>
    </row>
    <row r="278" spans="1:16" ht="15.75">
      <c r="A278" s="205"/>
      <c r="B278" s="215"/>
      <c r="C278" s="205"/>
      <c r="D278" s="205"/>
      <c r="E278" s="205"/>
      <c r="F278" s="205"/>
      <c r="G278" s="215"/>
      <c r="H278" s="215"/>
      <c r="I278" s="216"/>
      <c r="J278" s="205"/>
      <c r="K278" s="205"/>
      <c r="L278" s="205" t="s">
        <v>315</v>
      </c>
      <c r="M278" s="215"/>
      <c r="N278" s="218">
        <f>Tabela1389101112131415[[#This Row],[Valor recibo]]</f>
        <v>0</v>
      </c>
      <c r="O278" s="216"/>
      <c r="P278" s="205"/>
    </row>
    <row r="279" spans="1:16" ht="15.75">
      <c r="A279" s="205"/>
      <c r="B279" s="215"/>
      <c r="C279" s="205"/>
      <c r="D279" s="205"/>
      <c r="E279" s="205"/>
      <c r="F279" s="205"/>
      <c r="G279" s="215"/>
      <c r="H279" s="215"/>
      <c r="I279" s="216"/>
      <c r="J279" s="205"/>
      <c r="K279" s="205"/>
      <c r="L279" s="205" t="s">
        <v>315</v>
      </c>
      <c r="M279" s="215"/>
      <c r="N279" s="218">
        <f>Tabela1389101112131415[[#This Row],[Valor recibo]]</f>
        <v>0</v>
      </c>
      <c r="O279" s="216"/>
      <c r="P279" s="205"/>
    </row>
    <row r="280" spans="1:16" ht="15.75">
      <c r="A280" s="205"/>
      <c r="B280" s="215"/>
      <c r="C280" s="205"/>
      <c r="D280" s="205"/>
      <c r="E280" s="205"/>
      <c r="F280" s="205"/>
      <c r="G280" s="215"/>
      <c r="H280" s="215"/>
      <c r="I280" s="216"/>
      <c r="J280" s="205"/>
      <c r="K280" s="205"/>
      <c r="L280" s="205" t="s">
        <v>315</v>
      </c>
      <c r="M280" s="215"/>
      <c r="N280" s="218">
        <f>Tabela1389101112131415[[#This Row],[Valor recibo]]</f>
        <v>0</v>
      </c>
      <c r="O280" s="216"/>
      <c r="P280" s="205"/>
    </row>
    <row r="281" spans="1:16" ht="15.75">
      <c r="A281" s="205"/>
      <c r="B281" s="215"/>
      <c r="C281" s="205"/>
      <c r="D281" s="205"/>
      <c r="E281" s="205"/>
      <c r="F281" s="205"/>
      <c r="G281" s="215"/>
      <c r="H281" s="215"/>
      <c r="I281" s="216"/>
      <c r="J281" s="205"/>
      <c r="K281" s="205"/>
      <c r="L281" s="205" t="s">
        <v>315</v>
      </c>
      <c r="M281" s="215"/>
      <c r="N281" s="218">
        <f>Tabela1389101112131415[[#This Row],[Valor recibo]]</f>
        <v>0</v>
      </c>
      <c r="O281" s="216"/>
      <c r="P281" s="205"/>
    </row>
    <row r="282" spans="1:16" ht="15.75">
      <c r="A282" s="205"/>
      <c r="B282" s="215"/>
      <c r="C282" s="205"/>
      <c r="D282" s="205"/>
      <c r="E282" s="205"/>
      <c r="F282" s="205"/>
      <c r="G282" s="215"/>
      <c r="H282" s="215"/>
      <c r="I282" s="216"/>
      <c r="J282" s="205"/>
      <c r="K282" s="205"/>
      <c r="L282" s="205" t="s">
        <v>315</v>
      </c>
      <c r="M282" s="215"/>
      <c r="N282" s="218">
        <f>Tabela1389101112131415[[#This Row],[Valor recibo]]</f>
        <v>0</v>
      </c>
      <c r="O282" s="216"/>
      <c r="P282" s="205"/>
    </row>
    <row r="283" spans="1:16" ht="15.75">
      <c r="A283" s="205"/>
      <c r="B283" s="215"/>
      <c r="C283" s="205"/>
      <c r="D283" s="205"/>
      <c r="E283" s="205"/>
      <c r="F283" s="205"/>
      <c r="G283" s="215"/>
      <c r="H283" s="215"/>
      <c r="I283" s="216"/>
      <c r="J283" s="205"/>
      <c r="K283" s="205"/>
      <c r="L283" s="205" t="s">
        <v>315</v>
      </c>
      <c r="M283" s="215"/>
      <c r="N283" s="218">
        <f>Tabela1389101112131415[[#This Row],[Valor recibo]]</f>
        <v>0</v>
      </c>
      <c r="O283" s="216"/>
      <c r="P283" s="205"/>
    </row>
    <row r="284" spans="1:16" ht="15.75">
      <c r="A284" s="205"/>
      <c r="B284" s="215"/>
      <c r="C284" s="205"/>
      <c r="D284" s="205"/>
      <c r="E284" s="205"/>
      <c r="F284" s="205"/>
      <c r="G284" s="215"/>
      <c r="H284" s="215"/>
      <c r="I284" s="216"/>
      <c r="J284" s="205"/>
      <c r="K284" s="205"/>
      <c r="L284" s="205" t="s">
        <v>315</v>
      </c>
      <c r="M284" s="215"/>
      <c r="N284" s="218">
        <f>Tabela1389101112131415[[#This Row],[Valor recibo]]</f>
        <v>0</v>
      </c>
      <c r="O284" s="216"/>
      <c r="P284" s="205"/>
    </row>
    <row r="285" spans="1:16" ht="15.75">
      <c r="A285" s="205"/>
      <c r="B285" s="215"/>
      <c r="C285" s="205"/>
      <c r="D285" s="205"/>
      <c r="E285" s="205"/>
      <c r="F285" s="205"/>
      <c r="G285" s="215"/>
      <c r="H285" s="215"/>
      <c r="I285" s="216"/>
      <c r="J285" s="205"/>
      <c r="K285" s="205"/>
      <c r="L285" s="205" t="s">
        <v>315</v>
      </c>
      <c r="M285" s="215"/>
      <c r="N285" s="218">
        <f>Tabela1389101112131415[[#This Row],[Valor recibo]]</f>
        <v>0</v>
      </c>
      <c r="O285" s="216"/>
      <c r="P285" s="205"/>
    </row>
    <row r="286" spans="1:16" ht="15.75">
      <c r="A286" s="205"/>
      <c r="B286" s="215"/>
      <c r="C286" s="205"/>
      <c r="D286" s="205"/>
      <c r="E286" s="205"/>
      <c r="F286" s="205"/>
      <c r="G286" s="215"/>
      <c r="H286" s="215"/>
      <c r="I286" s="216"/>
      <c r="J286" s="205"/>
      <c r="K286" s="205"/>
      <c r="L286" s="205" t="s">
        <v>315</v>
      </c>
      <c r="M286" s="215"/>
      <c r="N286" s="218">
        <f>Tabela1389101112131415[[#This Row],[Valor recibo]]</f>
        <v>0</v>
      </c>
      <c r="O286" s="216"/>
      <c r="P286" s="205"/>
    </row>
    <row r="287" spans="1:16" ht="15.75">
      <c r="A287" s="205"/>
      <c r="B287" s="215"/>
      <c r="C287" s="205"/>
      <c r="D287" s="205"/>
      <c r="E287" s="205"/>
      <c r="F287" s="205"/>
      <c r="G287" s="215"/>
      <c r="H287" s="215"/>
      <c r="I287" s="216"/>
      <c r="J287" s="205"/>
      <c r="K287" s="205"/>
      <c r="L287" s="205" t="s">
        <v>315</v>
      </c>
      <c r="M287" s="215"/>
      <c r="N287" s="218">
        <f>Tabela1389101112131415[[#This Row],[Valor recibo]]</f>
        <v>0</v>
      </c>
      <c r="O287" s="216"/>
      <c r="P287" s="205"/>
    </row>
    <row r="288" spans="1:16" ht="15.75">
      <c r="A288" s="205"/>
      <c r="B288" s="215"/>
      <c r="C288" s="205"/>
      <c r="D288" s="205"/>
      <c r="E288" s="205"/>
      <c r="F288" s="205"/>
      <c r="G288" s="215"/>
      <c r="H288" s="215"/>
      <c r="I288" s="216"/>
      <c r="J288" s="205"/>
      <c r="K288" s="205"/>
      <c r="L288" s="205" t="s">
        <v>315</v>
      </c>
      <c r="M288" s="215"/>
      <c r="N288" s="218">
        <f>Tabela1389101112131415[[#This Row],[Valor recibo]]</f>
        <v>0</v>
      </c>
      <c r="O288" s="216"/>
      <c r="P288" s="205"/>
    </row>
    <row r="289" spans="1:16" ht="15.75">
      <c r="A289" s="205"/>
      <c r="B289" s="215"/>
      <c r="C289" s="205"/>
      <c r="D289" s="205"/>
      <c r="E289" s="205"/>
      <c r="F289" s="205"/>
      <c r="G289" s="215"/>
      <c r="H289" s="215"/>
      <c r="I289" s="216"/>
      <c r="J289" s="205"/>
      <c r="K289" s="205"/>
      <c r="L289" s="205" t="s">
        <v>315</v>
      </c>
      <c r="M289" s="215"/>
      <c r="N289" s="218">
        <f>Tabela1389101112131415[[#This Row],[Valor recibo]]</f>
        <v>0</v>
      </c>
      <c r="O289" s="216"/>
      <c r="P289" s="205"/>
    </row>
    <row r="290" spans="1:16" ht="15.75">
      <c r="A290" s="205"/>
      <c r="B290" s="215"/>
      <c r="C290" s="205"/>
      <c r="D290" s="205"/>
      <c r="E290" s="205"/>
      <c r="F290" s="205"/>
      <c r="G290" s="215"/>
      <c r="H290" s="215"/>
      <c r="I290" s="216"/>
      <c r="J290" s="205"/>
      <c r="K290" s="205"/>
      <c r="L290" s="205" t="s">
        <v>315</v>
      </c>
      <c r="M290" s="215"/>
      <c r="N290" s="218">
        <f>Tabela1389101112131415[[#This Row],[Valor recibo]]</f>
        <v>0</v>
      </c>
      <c r="O290" s="216"/>
      <c r="P290" s="219"/>
    </row>
    <row r="291" spans="1:16" ht="15.75">
      <c r="A291" s="205"/>
      <c r="B291" s="215"/>
      <c r="C291" s="205"/>
      <c r="D291" s="205"/>
      <c r="E291" s="205"/>
      <c r="F291" s="205"/>
      <c r="G291" s="215"/>
      <c r="H291" s="215"/>
      <c r="I291" s="216"/>
      <c r="J291" s="205"/>
      <c r="K291" s="205"/>
      <c r="L291" s="205" t="s">
        <v>315</v>
      </c>
      <c r="M291" s="215"/>
      <c r="N291" s="218">
        <f>Tabela1389101112131415[[#This Row],[Valor recibo]]</f>
        <v>0</v>
      </c>
      <c r="O291" s="216"/>
      <c r="P291" s="205"/>
    </row>
    <row r="292" spans="1:16" ht="15.75">
      <c r="A292" s="205"/>
      <c r="B292" s="215"/>
      <c r="C292" s="205"/>
      <c r="D292" s="205"/>
      <c r="E292" s="205"/>
      <c r="F292" s="205"/>
      <c r="G292" s="215"/>
      <c r="H292" s="215"/>
      <c r="I292" s="216"/>
      <c r="J292" s="205"/>
      <c r="K292" s="205"/>
      <c r="L292" s="205" t="s">
        <v>315</v>
      </c>
      <c r="M292" s="215"/>
      <c r="N292" s="218">
        <f>Tabela1389101112131415[[#This Row],[Valor recibo]]</f>
        <v>0</v>
      </c>
      <c r="O292" s="216"/>
      <c r="P292" s="205"/>
    </row>
    <row r="293" spans="1:16" ht="15.75">
      <c r="A293" s="205"/>
      <c r="B293" s="215"/>
      <c r="C293" s="205"/>
      <c r="D293" s="205"/>
      <c r="E293" s="205"/>
      <c r="F293" s="205"/>
      <c r="G293" s="215"/>
      <c r="H293" s="215"/>
      <c r="I293" s="216"/>
      <c r="J293" s="205"/>
      <c r="K293" s="205"/>
      <c r="L293" s="205" t="s">
        <v>315</v>
      </c>
      <c r="M293" s="215"/>
      <c r="N293" s="218">
        <f>Tabela1389101112131415[[#This Row],[Valor recibo]]</f>
        <v>0</v>
      </c>
      <c r="O293" s="216"/>
      <c r="P293" s="205"/>
    </row>
    <row r="294" spans="1:16" ht="15.75">
      <c r="A294" s="205"/>
      <c r="B294" s="215"/>
      <c r="C294" s="205"/>
      <c r="D294" s="205"/>
      <c r="E294" s="205"/>
      <c r="F294" s="205"/>
      <c r="G294" s="215"/>
      <c r="H294" s="215"/>
      <c r="I294" s="216"/>
      <c r="J294" s="205"/>
      <c r="K294" s="205"/>
      <c r="L294" s="205" t="s">
        <v>315</v>
      </c>
      <c r="M294" s="215"/>
      <c r="N294" s="218">
        <f>Tabela1389101112131415[[#This Row],[Valor recibo]]</f>
        <v>0</v>
      </c>
      <c r="O294" s="216"/>
      <c r="P294" s="205"/>
    </row>
    <row r="295" spans="1:16" ht="15.75">
      <c r="A295" s="205"/>
      <c r="B295" s="215"/>
      <c r="C295" s="205"/>
      <c r="D295" s="205"/>
      <c r="E295" s="205"/>
      <c r="F295" s="205"/>
      <c r="G295" s="215"/>
      <c r="H295" s="215"/>
      <c r="I295" s="216"/>
      <c r="J295" s="205"/>
      <c r="K295" s="205"/>
      <c r="L295" s="205" t="s">
        <v>315</v>
      </c>
      <c r="M295" s="215"/>
      <c r="N295" s="218">
        <f>Tabela1389101112131415[[#This Row],[Valor recibo]]</f>
        <v>0</v>
      </c>
      <c r="O295" s="216"/>
      <c r="P295" s="205"/>
    </row>
    <row r="296" spans="1:16" ht="15.75">
      <c r="A296" s="205"/>
      <c r="B296" s="215"/>
      <c r="C296" s="205"/>
      <c r="D296" s="205"/>
      <c r="E296" s="205"/>
      <c r="F296" s="205"/>
      <c r="G296" s="215"/>
      <c r="H296" s="215"/>
      <c r="I296" s="216"/>
      <c r="J296" s="205"/>
      <c r="K296" s="205"/>
      <c r="L296" s="205" t="s">
        <v>315</v>
      </c>
      <c r="M296" s="215"/>
      <c r="N296" s="218">
        <f>Tabela1389101112131415[[#This Row],[Valor recibo]]</f>
        <v>0</v>
      </c>
      <c r="O296" s="216"/>
      <c r="P296" s="205"/>
    </row>
    <row r="297" spans="1:16" ht="15.75">
      <c r="A297" s="205"/>
      <c r="B297" s="215"/>
      <c r="C297" s="205"/>
      <c r="D297" s="205"/>
      <c r="E297" s="205"/>
      <c r="F297" s="205"/>
      <c r="G297" s="215"/>
      <c r="H297" s="215"/>
      <c r="I297" s="216"/>
      <c r="J297" s="205"/>
      <c r="K297" s="205"/>
      <c r="L297" s="205" t="s">
        <v>315</v>
      </c>
      <c r="M297" s="215"/>
      <c r="N297" s="218">
        <f>Tabela1389101112131415[[#This Row],[Valor recibo]]</f>
        <v>0</v>
      </c>
      <c r="O297" s="216"/>
      <c r="P297" s="205"/>
    </row>
    <row r="298" spans="1:16" ht="15.75">
      <c r="A298" s="205"/>
      <c r="B298" s="215"/>
      <c r="C298" s="205"/>
      <c r="D298" s="205"/>
      <c r="E298" s="205"/>
      <c r="F298" s="205"/>
      <c r="G298" s="215"/>
      <c r="H298" s="215"/>
      <c r="I298" s="216"/>
      <c r="J298" s="205"/>
      <c r="K298" s="205"/>
      <c r="L298" s="205" t="s">
        <v>315</v>
      </c>
      <c r="M298" s="215"/>
      <c r="N298" s="218">
        <f>Tabela1389101112131415[[#This Row],[Valor recibo]]</f>
        <v>0</v>
      </c>
      <c r="O298" s="216"/>
      <c r="P298" s="205"/>
    </row>
    <row r="299" spans="1:16" ht="15.75">
      <c r="A299" s="205"/>
      <c r="B299" s="215"/>
      <c r="C299" s="205"/>
      <c r="D299" s="205"/>
      <c r="E299" s="205"/>
      <c r="F299" s="205"/>
      <c r="G299" s="215"/>
      <c r="H299" s="215"/>
      <c r="I299" s="216"/>
      <c r="J299" s="205"/>
      <c r="K299" s="205"/>
      <c r="L299" s="205" t="s">
        <v>315</v>
      </c>
      <c r="M299" s="215"/>
      <c r="N299" s="218">
        <f>Tabela1389101112131415[[#This Row],[Valor recibo]]</f>
        <v>0</v>
      </c>
      <c r="O299" s="216"/>
      <c r="P299" s="205"/>
    </row>
    <row r="300" spans="1:16" ht="15.75">
      <c r="A300" s="205"/>
      <c r="B300" s="215"/>
      <c r="C300" s="205"/>
      <c r="D300" s="205"/>
      <c r="E300" s="205"/>
      <c r="F300" s="205"/>
      <c r="G300" s="215"/>
      <c r="H300" s="215"/>
      <c r="I300" s="216"/>
      <c r="J300" s="205"/>
      <c r="K300" s="205"/>
      <c r="L300" s="205" t="s">
        <v>315</v>
      </c>
      <c r="M300" s="215"/>
      <c r="N300" s="218">
        <f>Tabela1389101112131415[[#This Row],[Valor recibo]]</f>
        <v>0</v>
      </c>
      <c r="O300" s="216"/>
      <c r="P300" s="205"/>
    </row>
    <row r="301" spans="1:16" ht="15.75">
      <c r="A301" s="205"/>
      <c r="B301" s="215"/>
      <c r="C301" s="205"/>
      <c r="D301" s="205"/>
      <c r="E301" s="205"/>
      <c r="F301" s="205"/>
      <c r="G301" s="215"/>
      <c r="H301" s="215"/>
      <c r="I301" s="216"/>
      <c r="J301" s="205"/>
      <c r="K301" s="205"/>
      <c r="L301" s="205" t="s">
        <v>315</v>
      </c>
      <c r="M301" s="215"/>
      <c r="N301" s="218">
        <f>Tabela1389101112131415[[#This Row],[Valor recibo]]</f>
        <v>0</v>
      </c>
      <c r="O301" s="216"/>
      <c r="P301" s="205"/>
    </row>
    <row r="302" spans="1:16" ht="15.75">
      <c r="A302" s="205"/>
      <c r="B302" s="215"/>
      <c r="C302" s="205"/>
      <c r="D302" s="205"/>
      <c r="E302" s="205"/>
      <c r="F302" s="205"/>
      <c r="G302" s="215"/>
      <c r="H302" s="215"/>
      <c r="I302" s="216"/>
      <c r="J302" s="205"/>
      <c r="K302" s="205"/>
      <c r="L302" s="205" t="s">
        <v>315</v>
      </c>
      <c r="M302" s="215"/>
      <c r="N302" s="218">
        <f>Tabela1389101112131415[[#This Row],[Valor recibo]]</f>
        <v>0</v>
      </c>
      <c r="O302" s="216"/>
      <c r="P302" s="205"/>
    </row>
    <row r="303" spans="1:16" ht="15.75">
      <c r="A303" s="205"/>
      <c r="B303" s="215"/>
      <c r="C303" s="205"/>
      <c r="D303" s="205"/>
      <c r="E303" s="205"/>
      <c r="F303" s="205"/>
      <c r="G303" s="215"/>
      <c r="H303" s="215"/>
      <c r="I303" s="216"/>
      <c r="J303" s="205"/>
      <c r="K303" s="205"/>
      <c r="L303" s="205" t="s">
        <v>315</v>
      </c>
      <c r="M303" s="215"/>
      <c r="N303" s="218">
        <f>Tabela1389101112131415[[#This Row],[Valor recibo]]</f>
        <v>0</v>
      </c>
      <c r="O303" s="216"/>
      <c r="P303" s="205"/>
    </row>
    <row r="304" spans="1:16" ht="15.75">
      <c r="A304" s="205"/>
      <c r="B304" s="215"/>
      <c r="C304" s="205"/>
      <c r="D304" s="205"/>
      <c r="E304" s="205"/>
      <c r="F304" s="205"/>
      <c r="G304" s="215"/>
      <c r="H304" s="215"/>
      <c r="I304" s="216"/>
      <c r="J304" s="205"/>
      <c r="K304" s="205"/>
      <c r="L304" s="205" t="s">
        <v>315</v>
      </c>
      <c r="M304" s="215"/>
      <c r="N304" s="218">
        <f>Tabela1389101112131415[[#This Row],[Valor recibo]]</f>
        <v>0</v>
      </c>
      <c r="O304" s="216"/>
      <c r="P304" s="205"/>
    </row>
    <row r="305" spans="1:16" ht="15.75">
      <c r="A305" s="205"/>
      <c r="B305" s="215"/>
      <c r="C305" s="205"/>
      <c r="D305" s="205"/>
      <c r="E305" s="205"/>
      <c r="F305" s="205"/>
      <c r="G305" s="215"/>
      <c r="H305" s="215"/>
      <c r="I305" s="216"/>
      <c r="J305" s="205"/>
      <c r="K305" s="205"/>
      <c r="L305" s="205" t="s">
        <v>315</v>
      </c>
      <c r="M305" s="215"/>
      <c r="N305" s="218">
        <f>Tabela1389101112131415[[#This Row],[Valor recibo]]</f>
        <v>0</v>
      </c>
      <c r="O305" s="216"/>
      <c r="P305" s="205"/>
    </row>
    <row r="306" spans="1:16" ht="15.75">
      <c r="A306" s="205"/>
      <c r="B306" s="215"/>
      <c r="C306" s="205"/>
      <c r="D306" s="205"/>
      <c r="E306" s="205"/>
      <c r="F306" s="205"/>
      <c r="G306" s="215"/>
      <c r="H306" s="215"/>
      <c r="I306" s="216"/>
      <c r="J306" s="205"/>
      <c r="K306" s="205"/>
      <c r="L306" s="205" t="s">
        <v>315</v>
      </c>
      <c r="M306" s="215"/>
      <c r="N306" s="218">
        <f>Tabela1389101112131415[[#This Row],[Valor recibo]]</f>
        <v>0</v>
      </c>
      <c r="O306" s="216"/>
      <c r="P306" s="205"/>
    </row>
    <row r="307" spans="1:16" ht="15.75">
      <c r="A307" s="205"/>
      <c r="B307" s="215"/>
      <c r="C307" s="205"/>
      <c r="D307" s="205"/>
      <c r="E307" s="205"/>
      <c r="F307" s="205"/>
      <c r="G307" s="215"/>
      <c r="H307" s="215"/>
      <c r="I307" s="216"/>
      <c r="J307" s="205"/>
      <c r="K307" s="205"/>
      <c r="L307" s="205" t="s">
        <v>315</v>
      </c>
      <c r="M307" s="215"/>
      <c r="N307" s="218">
        <f>Tabela1389101112131415[[#This Row],[Valor recibo]]</f>
        <v>0</v>
      </c>
      <c r="O307" s="216"/>
      <c r="P307" s="205"/>
    </row>
    <row r="308" spans="1:16" ht="15.75">
      <c r="A308" s="205"/>
      <c r="B308" s="215"/>
      <c r="C308" s="205"/>
      <c r="D308" s="205"/>
      <c r="E308" s="205"/>
      <c r="F308" s="205"/>
      <c r="G308" s="215"/>
      <c r="H308" s="215"/>
      <c r="I308" s="216"/>
      <c r="J308" s="205"/>
      <c r="K308" s="205"/>
      <c r="L308" s="205" t="s">
        <v>315</v>
      </c>
      <c r="M308" s="215"/>
      <c r="N308" s="218">
        <f>Tabela1389101112131415[[#This Row],[Valor recibo]]</f>
        <v>0</v>
      </c>
      <c r="O308" s="216"/>
      <c r="P308" s="205"/>
    </row>
    <row r="309" spans="1:16" ht="15.75">
      <c r="A309" s="205"/>
      <c r="B309" s="215"/>
      <c r="C309" s="205"/>
      <c r="D309" s="205"/>
      <c r="E309" s="205"/>
      <c r="F309" s="205"/>
      <c r="G309" s="215"/>
      <c r="H309" s="215"/>
      <c r="I309" s="216"/>
      <c r="J309" s="205"/>
      <c r="K309" s="205"/>
      <c r="L309" s="205" t="s">
        <v>315</v>
      </c>
      <c r="M309" s="215"/>
      <c r="N309" s="218">
        <f>Tabela1389101112131415[[#This Row],[Valor recibo]]</f>
        <v>0</v>
      </c>
      <c r="O309" s="216"/>
      <c r="P309" s="205"/>
    </row>
    <row r="310" spans="1:16" ht="15.75">
      <c r="A310" s="205"/>
      <c r="B310" s="215"/>
      <c r="C310" s="205"/>
      <c r="D310" s="205"/>
      <c r="E310" s="205"/>
      <c r="F310" s="205"/>
      <c r="G310" s="215"/>
      <c r="H310" s="215"/>
      <c r="I310" s="216"/>
      <c r="J310" s="205"/>
      <c r="K310" s="205"/>
      <c r="L310" s="205" t="s">
        <v>315</v>
      </c>
      <c r="M310" s="215"/>
      <c r="N310" s="218">
        <f>Tabela1389101112131415[[#This Row],[Valor recibo]]</f>
        <v>0</v>
      </c>
      <c r="O310" s="216"/>
      <c r="P310" s="205"/>
    </row>
    <row r="311" spans="1:16" ht="15.75">
      <c r="A311" s="205"/>
      <c r="B311" s="215"/>
      <c r="C311" s="205"/>
      <c r="D311" s="205"/>
      <c r="E311" s="205"/>
      <c r="F311" s="205"/>
      <c r="G311" s="215"/>
      <c r="H311" s="215"/>
      <c r="I311" s="216"/>
      <c r="J311" s="205"/>
      <c r="K311" s="205"/>
      <c r="L311" s="205" t="s">
        <v>315</v>
      </c>
      <c r="M311" s="215"/>
      <c r="N311" s="218">
        <f>Tabela1389101112131415[[#This Row],[Valor recibo]]</f>
        <v>0</v>
      </c>
      <c r="O311" s="216"/>
      <c r="P311" s="205"/>
    </row>
    <row r="312" spans="1:16" ht="15.75">
      <c r="A312" s="205"/>
      <c r="B312" s="215"/>
      <c r="C312" s="205"/>
      <c r="D312" s="205"/>
      <c r="E312" s="205"/>
      <c r="F312" s="205"/>
      <c r="G312" s="215"/>
      <c r="H312" s="215"/>
      <c r="I312" s="216"/>
      <c r="J312" s="205"/>
      <c r="K312" s="205"/>
      <c r="L312" s="205" t="s">
        <v>315</v>
      </c>
      <c r="M312" s="215"/>
      <c r="N312" s="218">
        <f>Tabela1389101112131415[[#This Row],[Valor recibo]]</f>
        <v>0</v>
      </c>
      <c r="O312" s="216"/>
      <c r="P312" s="205"/>
    </row>
    <row r="313" spans="1:16" ht="15.75">
      <c r="A313" s="205"/>
      <c r="B313" s="215"/>
      <c r="C313" s="205"/>
      <c r="D313" s="205"/>
      <c r="E313" s="205"/>
      <c r="F313" s="205"/>
      <c r="G313" s="215"/>
      <c r="H313" s="215"/>
      <c r="I313" s="216"/>
      <c r="J313" s="205"/>
      <c r="K313" s="205"/>
      <c r="L313" s="205" t="s">
        <v>315</v>
      </c>
      <c r="M313" s="215"/>
      <c r="N313" s="218">
        <f>Tabela1389101112131415[[#This Row],[Valor recibo]]</f>
        <v>0</v>
      </c>
      <c r="O313" s="216"/>
      <c r="P313" s="205"/>
    </row>
    <row r="314" spans="1:16" ht="15.75">
      <c r="A314" s="205"/>
      <c r="B314" s="215"/>
      <c r="C314" s="205"/>
      <c r="D314" s="205"/>
      <c r="E314" s="205"/>
      <c r="F314" s="205"/>
      <c r="G314" s="215"/>
      <c r="H314" s="215"/>
      <c r="I314" s="216"/>
      <c r="J314" s="205"/>
      <c r="K314" s="205"/>
      <c r="L314" s="205" t="s">
        <v>315</v>
      </c>
      <c r="M314" s="215"/>
      <c r="N314" s="218">
        <f>Tabela1389101112131415[[#This Row],[Valor recibo]]</f>
        <v>0</v>
      </c>
      <c r="O314" s="216"/>
      <c r="P314" s="205"/>
    </row>
    <row r="315" spans="1:16" ht="15.75">
      <c r="A315" s="205"/>
      <c r="B315" s="215"/>
      <c r="C315" s="205"/>
      <c r="D315" s="205"/>
      <c r="E315" s="205"/>
      <c r="F315" s="205"/>
      <c r="G315" s="215"/>
      <c r="H315" s="215"/>
      <c r="I315" s="216"/>
      <c r="J315" s="205"/>
      <c r="K315" s="205"/>
      <c r="L315" s="205" t="s">
        <v>315</v>
      </c>
      <c r="M315" s="215"/>
      <c r="N315" s="218">
        <f>Tabela1389101112131415[[#This Row],[Valor recibo]]</f>
        <v>0</v>
      </c>
      <c r="O315" s="216"/>
      <c r="P315" s="205"/>
    </row>
    <row r="316" spans="1:16" ht="15.75">
      <c r="A316" s="205"/>
      <c r="B316" s="215"/>
      <c r="C316" s="205"/>
      <c r="D316" s="205"/>
      <c r="E316" s="205"/>
      <c r="F316" s="205"/>
      <c r="G316" s="215"/>
      <c r="H316" s="215"/>
      <c r="I316" s="216"/>
      <c r="J316" s="205"/>
      <c r="K316" s="205"/>
      <c r="L316" s="205" t="s">
        <v>315</v>
      </c>
      <c r="M316" s="215"/>
      <c r="N316" s="218">
        <f>Tabela1389101112131415[[#This Row],[Valor recibo]]</f>
        <v>0</v>
      </c>
      <c r="O316" s="216"/>
      <c r="P316" s="205"/>
    </row>
    <row r="317" spans="1:16" ht="15.75">
      <c r="A317" s="205"/>
      <c r="B317" s="215"/>
      <c r="C317" s="205"/>
      <c r="D317" s="205"/>
      <c r="E317" s="205"/>
      <c r="F317" s="205"/>
      <c r="G317" s="215"/>
      <c r="H317" s="215"/>
      <c r="I317" s="216"/>
      <c r="J317" s="205"/>
      <c r="K317" s="205"/>
      <c r="L317" s="205" t="s">
        <v>315</v>
      </c>
      <c r="M317" s="215"/>
      <c r="N317" s="218">
        <f>Tabela1389101112131415[[#This Row],[Valor recibo]]</f>
        <v>0</v>
      </c>
      <c r="O317" s="216"/>
      <c r="P317" s="205"/>
    </row>
    <row r="318" spans="1:16" ht="15.75">
      <c r="A318" s="205"/>
      <c r="B318" s="215"/>
      <c r="C318" s="205"/>
      <c r="D318" s="205"/>
      <c r="E318" s="205"/>
      <c r="F318" s="205"/>
      <c r="G318" s="215"/>
      <c r="H318" s="215"/>
      <c r="I318" s="216"/>
      <c r="J318" s="205"/>
      <c r="K318" s="205"/>
      <c r="L318" s="205" t="s">
        <v>315</v>
      </c>
      <c r="M318" s="215"/>
      <c r="N318" s="218">
        <f>Tabela1389101112131415[[#This Row],[Valor recibo]]</f>
        <v>0</v>
      </c>
      <c r="O318" s="216"/>
      <c r="P318" s="205"/>
    </row>
    <row r="319" spans="1:16" ht="15.75">
      <c r="A319" s="205"/>
      <c r="B319" s="215"/>
      <c r="C319" s="205"/>
      <c r="D319" s="205"/>
      <c r="E319" s="205"/>
      <c r="F319" s="205"/>
      <c r="G319" s="215"/>
      <c r="H319" s="215"/>
      <c r="I319" s="216"/>
      <c r="J319" s="205"/>
      <c r="K319" s="205"/>
      <c r="L319" s="205" t="s">
        <v>315</v>
      </c>
      <c r="M319" s="215"/>
      <c r="N319" s="218">
        <f>Tabela1389101112131415[[#This Row],[Valor recibo]]</f>
        <v>0</v>
      </c>
      <c r="O319" s="216"/>
      <c r="P319" s="205"/>
    </row>
    <row r="320" spans="1:16" ht="15.75">
      <c r="A320" s="205"/>
      <c r="B320" s="215"/>
      <c r="C320" s="205"/>
      <c r="D320" s="205"/>
      <c r="E320" s="205"/>
      <c r="F320" s="205"/>
      <c r="G320" s="215"/>
      <c r="H320" s="215"/>
      <c r="I320" s="216"/>
      <c r="J320" s="205"/>
      <c r="K320" s="205"/>
      <c r="L320" s="205" t="s">
        <v>315</v>
      </c>
      <c r="M320" s="215"/>
      <c r="N320" s="218">
        <f>Tabela1389101112131415[[#This Row],[Valor recibo]]</f>
        <v>0</v>
      </c>
      <c r="O320" s="216"/>
      <c r="P320" s="205"/>
    </row>
    <row r="321" spans="1:16" ht="15.75">
      <c r="A321" s="205"/>
      <c r="B321" s="215"/>
      <c r="C321" s="205"/>
      <c r="D321" s="205"/>
      <c r="E321" s="205"/>
      <c r="F321" s="205"/>
      <c r="G321" s="215"/>
      <c r="H321" s="215"/>
      <c r="I321" s="216"/>
      <c r="J321" s="205"/>
      <c r="K321" s="205"/>
      <c r="L321" s="205" t="s">
        <v>315</v>
      </c>
      <c r="M321" s="215"/>
      <c r="N321" s="218">
        <f>Tabela1389101112131415[[#This Row],[Valor recibo]]</f>
        <v>0</v>
      </c>
      <c r="O321" s="216"/>
      <c r="P321" s="219"/>
    </row>
    <row r="322" spans="1:16" ht="15.75">
      <c r="A322" s="205"/>
      <c r="B322" s="215"/>
      <c r="C322" s="205"/>
      <c r="D322" s="205"/>
      <c r="E322" s="205"/>
      <c r="F322" s="205"/>
      <c r="G322" s="215"/>
      <c r="H322" s="215"/>
      <c r="I322" s="216"/>
      <c r="J322" s="205"/>
      <c r="K322" s="205"/>
      <c r="L322" s="205" t="s">
        <v>315</v>
      </c>
      <c r="M322" s="215"/>
      <c r="N322" s="218">
        <f>Tabela1389101112131415[[#This Row],[Valor recibo]]</f>
        <v>0</v>
      </c>
      <c r="O322" s="216"/>
      <c r="P322" s="219"/>
    </row>
    <row r="323" spans="1:16" ht="15.75">
      <c r="A323" s="205"/>
      <c r="B323" s="215"/>
      <c r="C323" s="205"/>
      <c r="D323" s="205"/>
      <c r="E323" s="205"/>
      <c r="F323" s="205"/>
      <c r="G323" s="215"/>
      <c r="H323" s="215"/>
      <c r="I323" s="216"/>
      <c r="J323" s="205"/>
      <c r="K323" s="205"/>
      <c r="L323" s="205" t="s">
        <v>315</v>
      </c>
      <c r="M323" s="215"/>
      <c r="N323" s="218">
        <f>Tabela1389101112131415[[#This Row],[Valor recibo]]</f>
        <v>0</v>
      </c>
      <c r="O323" s="216"/>
      <c r="P323" s="205"/>
    </row>
    <row r="324" spans="1:16" ht="15.75">
      <c r="A324" s="205"/>
      <c r="B324" s="215"/>
      <c r="C324" s="205"/>
      <c r="D324" s="205"/>
      <c r="E324" s="205"/>
      <c r="F324" s="205"/>
      <c r="G324" s="215"/>
      <c r="H324" s="215"/>
      <c r="I324" s="216"/>
      <c r="J324" s="205"/>
      <c r="K324" s="205"/>
      <c r="L324" s="205" t="s">
        <v>315</v>
      </c>
      <c r="M324" s="215"/>
      <c r="N324" s="218">
        <f>Tabela1389101112131415[[#This Row],[Valor recibo]]</f>
        <v>0</v>
      </c>
      <c r="O324" s="216"/>
      <c r="P324" s="205"/>
    </row>
    <row r="325" spans="1:16" ht="15.75">
      <c r="A325" s="205"/>
      <c r="B325" s="215"/>
      <c r="C325" s="205"/>
      <c r="D325" s="205"/>
      <c r="E325" s="205"/>
      <c r="F325" s="205"/>
      <c r="G325" s="215"/>
      <c r="H325" s="215"/>
      <c r="I325" s="216"/>
      <c r="J325" s="205"/>
      <c r="K325" s="205"/>
      <c r="L325" s="205" t="s">
        <v>315</v>
      </c>
      <c r="M325" s="215"/>
      <c r="N325" s="218">
        <f>Tabela1389101112131415[[#This Row],[Valor recibo]]</f>
        <v>0</v>
      </c>
      <c r="O325" s="216"/>
      <c r="P325" s="205"/>
    </row>
    <row r="326" spans="1:16" ht="15.75">
      <c r="A326" s="205"/>
      <c r="B326" s="215"/>
      <c r="C326" s="205"/>
      <c r="D326" s="205"/>
      <c r="E326" s="205"/>
      <c r="F326" s="205"/>
      <c r="G326" s="215"/>
      <c r="H326" s="215"/>
      <c r="I326" s="216"/>
      <c r="J326" s="205"/>
      <c r="K326" s="205"/>
      <c r="L326" s="205" t="s">
        <v>315</v>
      </c>
      <c r="M326" s="215"/>
      <c r="N326" s="218">
        <f>Tabela1389101112131415[[#This Row],[Valor recibo]]</f>
        <v>0</v>
      </c>
      <c r="O326" s="216"/>
      <c r="P326" s="205"/>
    </row>
    <row r="327" spans="1:16" ht="15.75">
      <c r="A327" s="205"/>
      <c r="B327" s="215"/>
      <c r="C327" s="205"/>
      <c r="D327" s="205"/>
      <c r="E327" s="205"/>
      <c r="F327" s="205"/>
      <c r="G327" s="215"/>
      <c r="H327" s="215"/>
      <c r="I327" s="216"/>
      <c r="J327" s="205"/>
      <c r="K327" s="205"/>
      <c r="L327" s="205" t="s">
        <v>315</v>
      </c>
      <c r="M327" s="215"/>
      <c r="N327" s="218">
        <f>Tabela1389101112131415[[#This Row],[Valor recibo]]</f>
        <v>0</v>
      </c>
      <c r="O327" s="216"/>
      <c r="P327" s="205"/>
    </row>
    <row r="328" spans="1:16" ht="15.75">
      <c r="A328" s="205"/>
      <c r="B328" s="215"/>
      <c r="C328" s="205"/>
      <c r="D328" s="205"/>
      <c r="E328" s="205"/>
      <c r="F328" s="205"/>
      <c r="G328" s="215"/>
      <c r="H328" s="215"/>
      <c r="I328" s="216"/>
      <c r="J328" s="205"/>
      <c r="K328" s="205"/>
      <c r="L328" s="205" t="s">
        <v>315</v>
      </c>
      <c r="M328" s="215"/>
      <c r="N328" s="218">
        <f>Tabela1389101112131415[[#This Row],[Valor recibo]]</f>
        <v>0</v>
      </c>
      <c r="O328" s="216"/>
      <c r="P328" s="205"/>
    </row>
    <row r="329" spans="1:16" ht="15.75">
      <c r="A329" s="205"/>
      <c r="B329" s="215"/>
      <c r="C329" s="205"/>
      <c r="D329" s="205"/>
      <c r="E329" s="205"/>
      <c r="F329" s="205"/>
      <c r="G329" s="215"/>
      <c r="H329" s="215"/>
      <c r="I329" s="216"/>
      <c r="J329" s="205"/>
      <c r="K329" s="205"/>
      <c r="L329" s="205" t="s">
        <v>315</v>
      </c>
      <c r="M329" s="215"/>
      <c r="N329" s="218">
        <f>Tabela1389101112131415[[#This Row],[Valor recibo]]</f>
        <v>0</v>
      </c>
      <c r="O329" s="216"/>
      <c r="P329" s="205"/>
    </row>
    <row r="330" spans="1:16" ht="15.75">
      <c r="A330" s="205"/>
      <c r="B330" s="215"/>
      <c r="C330" s="205"/>
      <c r="D330" s="205"/>
      <c r="E330" s="205"/>
      <c r="F330" s="205"/>
      <c r="G330" s="215"/>
      <c r="H330" s="215"/>
      <c r="I330" s="216"/>
      <c r="J330" s="205"/>
      <c r="K330" s="205"/>
      <c r="L330" s="205" t="s">
        <v>315</v>
      </c>
      <c r="M330" s="215"/>
      <c r="N330" s="218">
        <f>Tabela1389101112131415[[#This Row],[Valor recibo]]</f>
        <v>0</v>
      </c>
      <c r="O330" s="216"/>
      <c r="P330" s="205"/>
    </row>
    <row r="331" spans="1:16" ht="15.75">
      <c r="A331" s="205"/>
      <c r="B331" s="215"/>
      <c r="C331" s="205"/>
      <c r="D331" s="205"/>
      <c r="E331" s="205"/>
      <c r="F331" s="205"/>
      <c r="G331" s="215"/>
      <c r="H331" s="215"/>
      <c r="I331" s="216"/>
      <c r="J331" s="205"/>
      <c r="K331" s="205"/>
      <c r="L331" s="205" t="s">
        <v>315</v>
      </c>
      <c r="M331" s="215"/>
      <c r="N331" s="218">
        <f>Tabela1389101112131415[[#This Row],[Valor recibo]]</f>
        <v>0</v>
      </c>
      <c r="O331" s="216"/>
      <c r="P331" s="205"/>
    </row>
    <row r="332" spans="1:16" ht="15.75">
      <c r="A332" s="205"/>
      <c r="B332" s="215"/>
      <c r="C332" s="205"/>
      <c r="D332" s="205"/>
      <c r="E332" s="205"/>
      <c r="F332" s="205"/>
      <c r="G332" s="215"/>
      <c r="H332" s="215"/>
      <c r="I332" s="216"/>
      <c r="J332" s="205"/>
      <c r="K332" s="205"/>
      <c r="L332" s="205" t="s">
        <v>315</v>
      </c>
      <c r="M332" s="215"/>
      <c r="N332" s="218">
        <f>Tabela1389101112131415[[#This Row],[Valor recibo]]</f>
        <v>0</v>
      </c>
      <c r="O332" s="216"/>
      <c r="P332" s="205"/>
    </row>
    <row r="333" spans="1:16" ht="15.75">
      <c r="A333" s="205"/>
      <c r="B333" s="215"/>
      <c r="C333" s="205"/>
      <c r="D333" s="205"/>
      <c r="E333" s="205"/>
      <c r="F333" s="205"/>
      <c r="G333" s="215"/>
      <c r="H333" s="215"/>
      <c r="I333" s="216"/>
      <c r="J333" s="205"/>
      <c r="K333" s="205"/>
      <c r="L333" s="205" t="s">
        <v>315</v>
      </c>
      <c r="M333" s="215"/>
      <c r="N333" s="218">
        <f>Tabela1389101112131415[[#This Row],[Valor recibo]]</f>
        <v>0</v>
      </c>
      <c r="O333" s="216"/>
      <c r="P333" s="205"/>
    </row>
    <row r="334" spans="1:16" ht="15.75">
      <c r="A334" s="205"/>
      <c r="B334" s="215"/>
      <c r="C334" s="205"/>
      <c r="D334" s="205"/>
      <c r="E334" s="205"/>
      <c r="F334" s="205"/>
      <c r="G334" s="215"/>
      <c r="H334" s="215"/>
      <c r="I334" s="216"/>
      <c r="J334" s="205"/>
      <c r="K334" s="205"/>
      <c r="L334" s="205" t="s">
        <v>315</v>
      </c>
      <c r="M334" s="215"/>
      <c r="N334" s="218">
        <f>Tabela1389101112131415[[#This Row],[Valor recibo]]</f>
        <v>0</v>
      </c>
      <c r="O334" s="216"/>
      <c r="P334" s="205"/>
    </row>
    <row r="335" spans="1:16" ht="15.75">
      <c r="A335" s="205"/>
      <c r="B335" s="215"/>
      <c r="C335" s="205"/>
      <c r="D335" s="205"/>
      <c r="E335" s="205"/>
      <c r="F335" s="205"/>
      <c r="G335" s="215"/>
      <c r="H335" s="215"/>
      <c r="I335" s="216"/>
      <c r="J335" s="205"/>
      <c r="K335" s="205"/>
      <c r="L335" s="205" t="s">
        <v>315</v>
      </c>
      <c r="M335" s="215"/>
      <c r="N335" s="218">
        <f>Tabela1389101112131415[[#This Row],[Valor recibo]]</f>
        <v>0</v>
      </c>
      <c r="O335" s="216"/>
      <c r="P335" s="205"/>
    </row>
    <row r="336" spans="1:16" ht="15.75">
      <c r="A336" s="205"/>
      <c r="B336" s="215"/>
      <c r="C336" s="205"/>
      <c r="D336" s="205"/>
      <c r="E336" s="205"/>
      <c r="F336" s="205"/>
      <c r="G336" s="215"/>
      <c r="H336" s="215"/>
      <c r="I336" s="216"/>
      <c r="J336" s="205"/>
      <c r="K336" s="205"/>
      <c r="L336" s="205" t="s">
        <v>315</v>
      </c>
      <c r="M336" s="215"/>
      <c r="N336" s="218">
        <f>Tabela1389101112131415[[#This Row],[Valor recibo]]</f>
        <v>0</v>
      </c>
      <c r="O336" s="216"/>
      <c r="P336" s="205"/>
    </row>
    <row r="337" spans="1:16" ht="15.75">
      <c r="A337" s="205"/>
      <c r="B337" s="215"/>
      <c r="C337" s="205"/>
      <c r="D337" s="205"/>
      <c r="E337" s="205"/>
      <c r="F337" s="205"/>
      <c r="G337" s="215"/>
      <c r="H337" s="215"/>
      <c r="I337" s="216"/>
      <c r="J337" s="205"/>
      <c r="K337" s="205"/>
      <c r="L337" s="205" t="s">
        <v>315</v>
      </c>
      <c r="M337" s="215"/>
      <c r="N337" s="218">
        <f>Tabela1389101112131415[[#This Row],[Valor recibo]]</f>
        <v>0</v>
      </c>
      <c r="O337" s="216"/>
      <c r="P337" s="205"/>
    </row>
    <row r="338" spans="1:16" ht="15.75">
      <c r="A338" s="205"/>
      <c r="B338" s="215"/>
      <c r="C338" s="205"/>
      <c r="D338" s="205"/>
      <c r="E338" s="205"/>
      <c r="F338" s="205"/>
      <c r="G338" s="215"/>
      <c r="H338" s="215"/>
      <c r="I338" s="216"/>
      <c r="J338" s="205"/>
      <c r="K338" s="205"/>
      <c r="L338" s="205" t="s">
        <v>315</v>
      </c>
      <c r="M338" s="215"/>
      <c r="N338" s="218">
        <f>Tabela1389101112131415[[#This Row],[Valor recibo]]</f>
        <v>0</v>
      </c>
      <c r="O338" s="216"/>
      <c r="P338" s="205"/>
    </row>
    <row r="339" spans="1:16" ht="15.75">
      <c r="A339" s="205"/>
      <c r="B339" s="215"/>
      <c r="C339" s="205"/>
      <c r="D339" s="205"/>
      <c r="E339" s="205"/>
      <c r="F339" s="205"/>
      <c r="G339" s="215"/>
      <c r="H339" s="215"/>
      <c r="I339" s="216"/>
      <c r="J339" s="205"/>
      <c r="K339" s="205"/>
      <c r="L339" s="205" t="s">
        <v>315</v>
      </c>
      <c r="M339" s="215"/>
      <c r="N339" s="218">
        <f>Tabela1389101112131415[[#This Row],[Valor recibo]]</f>
        <v>0</v>
      </c>
      <c r="O339" s="216"/>
      <c r="P339" s="205"/>
    </row>
    <row r="340" spans="1:16" ht="15.75">
      <c r="A340" s="205"/>
      <c r="B340" s="215"/>
      <c r="C340" s="205"/>
      <c r="D340" s="205"/>
      <c r="E340" s="205"/>
      <c r="F340" s="205"/>
      <c r="G340" s="215"/>
      <c r="H340" s="215"/>
      <c r="I340" s="216"/>
      <c r="J340" s="205"/>
      <c r="K340" s="205"/>
      <c r="L340" s="205" t="s">
        <v>315</v>
      </c>
      <c r="M340" s="215"/>
      <c r="N340" s="218">
        <f>Tabela1389101112131415[[#This Row],[Valor recibo]]</f>
        <v>0</v>
      </c>
      <c r="O340" s="216"/>
      <c r="P340" s="205"/>
    </row>
    <row r="341" spans="1:16" ht="15.75">
      <c r="A341" s="205"/>
      <c r="B341" s="215"/>
      <c r="C341" s="205"/>
      <c r="D341" s="205"/>
      <c r="E341" s="205"/>
      <c r="F341" s="205"/>
      <c r="G341" s="215"/>
      <c r="H341" s="215"/>
      <c r="I341" s="216"/>
      <c r="J341" s="205"/>
      <c r="K341" s="205"/>
      <c r="L341" s="205" t="s">
        <v>315</v>
      </c>
      <c r="M341" s="215"/>
      <c r="N341" s="218">
        <f>Tabela1389101112131415[[#This Row],[Valor recibo]]</f>
        <v>0</v>
      </c>
      <c r="O341" s="216"/>
      <c r="P341" s="205"/>
    </row>
    <row r="342" spans="1:16" ht="15.75">
      <c r="A342" s="205"/>
      <c r="B342" s="215"/>
      <c r="C342" s="205"/>
      <c r="D342" s="205"/>
      <c r="E342" s="205"/>
      <c r="F342" s="205"/>
      <c r="G342" s="215"/>
      <c r="H342" s="215"/>
      <c r="I342" s="216"/>
      <c r="J342" s="205"/>
      <c r="K342" s="205"/>
      <c r="L342" s="205" t="s">
        <v>315</v>
      </c>
      <c r="M342" s="215"/>
      <c r="N342" s="218">
        <f>Tabela1389101112131415[[#This Row],[Valor recibo]]</f>
        <v>0</v>
      </c>
      <c r="O342" s="216"/>
      <c r="P342" s="205"/>
    </row>
    <row r="343" spans="1:16" ht="15.75">
      <c r="A343" s="205"/>
      <c r="B343" s="215"/>
      <c r="C343" s="205"/>
      <c r="D343" s="205"/>
      <c r="E343" s="205"/>
      <c r="F343" s="205"/>
      <c r="G343" s="215"/>
      <c r="H343" s="215"/>
      <c r="I343" s="216"/>
      <c r="J343" s="205"/>
      <c r="K343" s="205"/>
      <c r="L343" s="205" t="s">
        <v>315</v>
      </c>
      <c r="M343" s="215"/>
      <c r="N343" s="218">
        <f>Tabela1389101112131415[[#This Row],[Valor recibo]]</f>
        <v>0</v>
      </c>
      <c r="O343" s="216"/>
      <c r="P343" s="205"/>
    </row>
    <row r="344" spans="1:16" ht="15.75">
      <c r="A344" s="205"/>
      <c r="B344" s="215"/>
      <c r="C344" s="205"/>
      <c r="D344" s="205"/>
      <c r="E344" s="205"/>
      <c r="F344" s="205"/>
      <c r="G344" s="215"/>
      <c r="H344" s="215"/>
      <c r="I344" s="216"/>
      <c r="J344" s="205"/>
      <c r="K344" s="205"/>
      <c r="L344" s="205" t="s">
        <v>315</v>
      </c>
      <c r="M344" s="215"/>
      <c r="N344" s="218">
        <f>Tabela1389101112131415[[#This Row],[Valor recibo]]</f>
        <v>0</v>
      </c>
      <c r="O344" s="216"/>
      <c r="P344" s="205"/>
    </row>
    <row r="345" spans="1:16" ht="15.75">
      <c r="A345" s="205"/>
      <c r="B345" s="215"/>
      <c r="C345" s="205"/>
      <c r="D345" s="205"/>
      <c r="E345" s="205"/>
      <c r="F345" s="205"/>
      <c r="G345" s="215"/>
      <c r="H345" s="215"/>
      <c r="I345" s="216"/>
      <c r="J345" s="205"/>
      <c r="K345" s="205"/>
      <c r="L345" s="205" t="s">
        <v>315</v>
      </c>
      <c r="M345" s="215"/>
      <c r="N345" s="218">
        <f>Tabela1389101112131415[[#This Row],[Valor recibo]]</f>
        <v>0</v>
      </c>
      <c r="O345" s="216"/>
      <c r="P345" s="205"/>
    </row>
    <row r="346" spans="1:16" ht="15.75">
      <c r="A346" s="205"/>
      <c r="B346" s="215"/>
      <c r="C346" s="205"/>
      <c r="D346" s="205"/>
      <c r="E346" s="205"/>
      <c r="F346" s="205"/>
      <c r="G346" s="215"/>
      <c r="H346" s="215"/>
      <c r="I346" s="216"/>
      <c r="J346" s="205"/>
      <c r="K346" s="205"/>
      <c r="L346" s="205" t="s">
        <v>315</v>
      </c>
      <c r="M346" s="215"/>
      <c r="N346" s="218">
        <f>Tabela1389101112131415[[#This Row],[Valor recibo]]</f>
        <v>0</v>
      </c>
      <c r="O346" s="216"/>
      <c r="P346" s="205"/>
    </row>
    <row r="347" spans="1:16" ht="15.75">
      <c r="A347" s="205"/>
      <c r="B347" s="215"/>
      <c r="C347" s="205"/>
      <c r="D347" s="205"/>
      <c r="E347" s="205"/>
      <c r="F347" s="205"/>
      <c r="G347" s="215"/>
      <c r="H347" s="215"/>
      <c r="I347" s="216"/>
      <c r="J347" s="205"/>
      <c r="K347" s="205"/>
      <c r="L347" s="205" t="s">
        <v>315</v>
      </c>
      <c r="M347" s="215"/>
      <c r="N347" s="218">
        <f>Tabela1389101112131415[[#This Row],[Valor recibo]]</f>
        <v>0</v>
      </c>
      <c r="O347" s="216"/>
      <c r="P347" s="205"/>
    </row>
    <row r="348" spans="1:16" ht="15.75">
      <c r="A348" s="205"/>
      <c r="B348" s="215"/>
      <c r="C348" s="205"/>
      <c r="D348" s="205"/>
      <c r="E348" s="205"/>
      <c r="F348" s="205"/>
      <c r="G348" s="215"/>
      <c r="H348" s="215"/>
      <c r="I348" s="216"/>
      <c r="J348" s="205"/>
      <c r="K348" s="205"/>
      <c r="L348" s="205" t="s">
        <v>315</v>
      </c>
      <c r="M348" s="215"/>
      <c r="N348" s="218">
        <f>Tabela1389101112131415[[#This Row],[Valor recibo]]</f>
        <v>0</v>
      </c>
      <c r="O348" s="216"/>
      <c r="P348" s="205"/>
    </row>
    <row r="349" spans="1:16" ht="15.75">
      <c r="A349" s="205"/>
      <c r="B349" s="215"/>
      <c r="C349" s="205"/>
      <c r="D349" s="205"/>
      <c r="E349" s="205"/>
      <c r="F349" s="205"/>
      <c r="G349" s="215"/>
      <c r="H349" s="215"/>
      <c r="I349" s="216"/>
      <c r="J349" s="205"/>
      <c r="K349" s="205"/>
      <c r="L349" s="205" t="s">
        <v>315</v>
      </c>
      <c r="M349" s="215"/>
      <c r="N349" s="218">
        <f>Tabela1389101112131415[[#This Row],[Valor recibo]]</f>
        <v>0</v>
      </c>
      <c r="O349" s="216"/>
      <c r="P349" s="205"/>
    </row>
    <row r="350" spans="1:16" ht="15.75">
      <c r="A350" s="205"/>
      <c r="B350" s="215"/>
      <c r="C350" s="205"/>
      <c r="D350" s="205"/>
      <c r="E350" s="205"/>
      <c r="F350" s="205"/>
      <c r="G350" s="215"/>
      <c r="H350" s="215"/>
      <c r="I350" s="216"/>
      <c r="J350" s="205"/>
      <c r="K350" s="205"/>
      <c r="L350" s="205" t="s">
        <v>315</v>
      </c>
      <c r="M350" s="215"/>
      <c r="N350" s="218">
        <f>Tabela1389101112131415[[#This Row],[Valor recibo]]</f>
        <v>0</v>
      </c>
      <c r="O350" s="216"/>
      <c r="P350" s="205"/>
    </row>
    <row r="351" spans="1:16" ht="15.75">
      <c r="A351" s="205"/>
      <c r="B351" s="215"/>
      <c r="C351" s="205"/>
      <c r="D351" s="205"/>
      <c r="E351" s="205"/>
      <c r="F351" s="205"/>
      <c r="G351" s="215"/>
      <c r="H351" s="215"/>
      <c r="I351" s="216"/>
      <c r="J351" s="205"/>
      <c r="K351" s="205"/>
      <c r="L351" s="205" t="s">
        <v>315</v>
      </c>
      <c r="M351" s="215"/>
      <c r="N351" s="218">
        <f>Tabela1389101112131415[[#This Row],[Valor recibo]]</f>
        <v>0</v>
      </c>
      <c r="O351" s="216"/>
      <c r="P351" s="205"/>
    </row>
    <row r="352" spans="1:16" ht="15.75">
      <c r="A352" s="205"/>
      <c r="B352" s="215"/>
      <c r="C352" s="205"/>
      <c r="D352" s="205"/>
      <c r="E352" s="205"/>
      <c r="F352" s="205"/>
      <c r="G352" s="215"/>
      <c r="H352" s="215"/>
      <c r="I352" s="216"/>
      <c r="J352" s="205"/>
      <c r="K352" s="205"/>
      <c r="L352" s="205" t="s">
        <v>315</v>
      </c>
      <c r="M352" s="215"/>
      <c r="N352" s="218">
        <f>Tabela1389101112131415[[#This Row],[Valor recibo]]</f>
        <v>0</v>
      </c>
      <c r="O352" s="216"/>
      <c r="P352" s="205"/>
    </row>
    <row r="353" spans="1:16" ht="15.75">
      <c r="A353" s="205"/>
      <c r="B353" s="215"/>
      <c r="C353" s="205"/>
      <c r="D353" s="205"/>
      <c r="E353" s="205"/>
      <c r="F353" s="205"/>
      <c r="G353" s="215"/>
      <c r="H353" s="215"/>
      <c r="I353" s="216"/>
      <c r="J353" s="205"/>
      <c r="K353" s="205"/>
      <c r="L353" s="205" t="s">
        <v>315</v>
      </c>
      <c r="M353" s="215"/>
      <c r="N353" s="218">
        <f>Tabela1389101112131415[[#This Row],[Valor recibo]]</f>
        <v>0</v>
      </c>
      <c r="O353" s="216"/>
      <c r="P353" s="205"/>
    </row>
    <row r="354" spans="1:16" ht="15.75">
      <c r="A354" s="205"/>
      <c r="B354" s="215"/>
      <c r="C354" s="205"/>
      <c r="D354" s="205"/>
      <c r="E354" s="205"/>
      <c r="F354" s="205"/>
      <c r="G354" s="215"/>
      <c r="H354" s="215"/>
      <c r="I354" s="216"/>
      <c r="J354" s="205"/>
      <c r="K354" s="205"/>
      <c r="L354" s="205" t="s">
        <v>315</v>
      </c>
      <c r="M354" s="215"/>
      <c r="N354" s="218">
        <f>Tabela1389101112131415[[#This Row],[Valor recibo]]</f>
        <v>0</v>
      </c>
      <c r="O354" s="216"/>
      <c r="P354" s="205"/>
    </row>
    <row r="355" spans="1:16" ht="15.75">
      <c r="A355" s="205"/>
      <c r="B355" s="215"/>
      <c r="C355" s="205"/>
      <c r="D355" s="205"/>
      <c r="E355" s="205"/>
      <c r="F355" s="205"/>
      <c r="G355" s="215"/>
      <c r="H355" s="215"/>
      <c r="I355" s="216"/>
      <c r="J355" s="205"/>
      <c r="K355" s="205"/>
      <c r="L355" s="205" t="s">
        <v>315</v>
      </c>
      <c r="M355" s="215"/>
      <c r="N355" s="218">
        <f>Tabela1389101112131415[[#This Row],[Valor recibo]]</f>
        <v>0</v>
      </c>
      <c r="O355" s="216"/>
      <c r="P355" s="205"/>
    </row>
    <row r="356" spans="1:16" ht="15.75">
      <c r="A356" s="205"/>
      <c r="B356" s="215"/>
      <c r="C356" s="205"/>
      <c r="D356" s="205"/>
      <c r="E356" s="205"/>
      <c r="F356" s="205"/>
      <c r="G356" s="215"/>
      <c r="H356" s="215"/>
      <c r="I356" s="216"/>
      <c r="J356" s="205"/>
      <c r="K356" s="205"/>
      <c r="L356" s="205" t="s">
        <v>315</v>
      </c>
      <c r="M356" s="215"/>
      <c r="N356" s="218">
        <f>Tabela1389101112131415[[#This Row],[Valor recibo]]</f>
        <v>0</v>
      </c>
      <c r="O356" s="216"/>
      <c r="P356" s="205"/>
    </row>
    <row r="357" spans="1:16" ht="15.75">
      <c r="A357" s="205"/>
      <c r="B357" s="215"/>
      <c r="C357" s="205"/>
      <c r="D357" s="205"/>
      <c r="E357" s="205"/>
      <c r="F357" s="205"/>
      <c r="G357" s="215"/>
      <c r="H357" s="215"/>
      <c r="I357" s="216"/>
      <c r="J357" s="205"/>
      <c r="K357" s="205"/>
      <c r="L357" s="205" t="s">
        <v>315</v>
      </c>
      <c r="M357" s="215"/>
      <c r="N357" s="218">
        <f>Tabela1389101112131415[[#This Row],[Valor recibo]]</f>
        <v>0</v>
      </c>
      <c r="O357" s="216"/>
      <c r="P357" s="205"/>
    </row>
    <row r="358" spans="1:16" ht="15.75">
      <c r="A358" s="205"/>
      <c r="B358" s="215"/>
      <c r="C358" s="205"/>
      <c r="D358" s="205"/>
      <c r="E358" s="205"/>
      <c r="F358" s="205"/>
      <c r="G358" s="215"/>
      <c r="H358" s="215"/>
      <c r="I358" s="216"/>
      <c r="J358" s="205"/>
      <c r="K358" s="205"/>
      <c r="L358" s="205" t="s">
        <v>315</v>
      </c>
      <c r="M358" s="215"/>
      <c r="N358" s="218">
        <f>Tabela1389101112131415[[#This Row],[Valor recibo]]</f>
        <v>0</v>
      </c>
      <c r="O358" s="216"/>
      <c r="P358" s="205"/>
    </row>
    <row r="359" spans="1:16" ht="15.75">
      <c r="A359" s="205"/>
      <c r="B359" s="215"/>
      <c r="C359" s="205"/>
      <c r="D359" s="205"/>
      <c r="E359" s="205"/>
      <c r="F359" s="205"/>
      <c r="G359" s="215"/>
      <c r="H359" s="215"/>
      <c r="I359" s="216"/>
      <c r="J359" s="205"/>
      <c r="K359" s="205"/>
      <c r="L359" s="205" t="s">
        <v>315</v>
      </c>
      <c r="M359" s="215"/>
      <c r="N359" s="218">
        <f>Tabela1389101112131415[[#This Row],[Valor recibo]]</f>
        <v>0</v>
      </c>
      <c r="O359" s="216"/>
      <c r="P359" s="205"/>
    </row>
    <row r="360" spans="1:16" ht="15.75">
      <c r="A360" s="205"/>
      <c r="B360" s="215"/>
      <c r="C360" s="205"/>
      <c r="D360" s="205"/>
      <c r="E360" s="205"/>
      <c r="F360" s="205"/>
      <c r="G360" s="215"/>
      <c r="H360" s="215"/>
      <c r="I360" s="216"/>
      <c r="J360" s="205"/>
      <c r="K360" s="205"/>
      <c r="L360" s="205" t="s">
        <v>315</v>
      </c>
      <c r="M360" s="215"/>
      <c r="N360" s="218">
        <f>Tabela1389101112131415[[#This Row],[Valor recibo]]</f>
        <v>0</v>
      </c>
      <c r="O360" s="216"/>
      <c r="P360" s="205"/>
    </row>
    <row r="361" spans="1:16" ht="15.75">
      <c r="A361" s="205"/>
      <c r="B361" s="215"/>
      <c r="C361" s="205"/>
      <c r="D361" s="205"/>
      <c r="E361" s="205"/>
      <c r="F361" s="205"/>
      <c r="G361" s="215"/>
      <c r="H361" s="215"/>
      <c r="I361" s="216"/>
      <c r="J361" s="205"/>
      <c r="K361" s="205"/>
      <c r="L361" s="205" t="s">
        <v>315</v>
      </c>
      <c r="M361" s="215"/>
      <c r="N361" s="218">
        <f>Tabela1389101112131415[[#This Row],[Valor recibo]]</f>
        <v>0</v>
      </c>
      <c r="O361" s="216"/>
      <c r="P361" s="205"/>
    </row>
    <row r="362" spans="1:16" ht="15.75">
      <c r="A362" s="205"/>
      <c r="B362" s="215"/>
      <c r="C362" s="205"/>
      <c r="D362" s="205"/>
      <c r="E362" s="205"/>
      <c r="F362" s="205"/>
      <c r="G362" s="215"/>
      <c r="H362" s="215"/>
      <c r="I362" s="216"/>
      <c r="J362" s="205"/>
      <c r="K362" s="205"/>
      <c r="L362" s="205" t="s">
        <v>315</v>
      </c>
      <c r="M362" s="215"/>
      <c r="N362" s="218">
        <f>Tabela1389101112131415[[#This Row],[Valor recibo]]</f>
        <v>0</v>
      </c>
      <c r="O362" s="216"/>
      <c r="P362" s="205"/>
    </row>
    <row r="363" spans="1:16" ht="15.75">
      <c r="A363" s="205"/>
      <c r="B363" s="215"/>
      <c r="C363" s="205"/>
      <c r="D363" s="205"/>
      <c r="E363" s="205"/>
      <c r="F363" s="205"/>
      <c r="G363" s="215"/>
      <c r="H363" s="215"/>
      <c r="I363" s="216"/>
      <c r="J363" s="205"/>
      <c r="K363" s="205"/>
      <c r="L363" s="205" t="s">
        <v>315</v>
      </c>
      <c r="M363" s="215"/>
      <c r="N363" s="218">
        <f>Tabela1389101112131415[[#This Row],[Valor recibo]]</f>
        <v>0</v>
      </c>
      <c r="O363" s="216"/>
      <c r="P363" s="205"/>
    </row>
    <row r="364" spans="1:16" ht="15.75">
      <c r="A364" s="205"/>
      <c r="B364" s="215"/>
      <c r="C364" s="205"/>
      <c r="D364" s="205"/>
      <c r="E364" s="205"/>
      <c r="F364" s="205"/>
      <c r="G364" s="215"/>
      <c r="H364" s="215"/>
      <c r="I364" s="216"/>
      <c r="J364" s="205"/>
      <c r="K364" s="205"/>
      <c r="L364" s="205" t="s">
        <v>315</v>
      </c>
      <c r="M364" s="215"/>
      <c r="N364" s="218">
        <f>Tabela1389101112131415[[#This Row],[Valor recibo]]</f>
        <v>0</v>
      </c>
      <c r="O364" s="216"/>
      <c r="P364" s="205"/>
    </row>
    <row r="365" spans="1:16" ht="15.75">
      <c r="A365" s="205"/>
      <c r="B365" s="215"/>
      <c r="C365" s="205"/>
      <c r="D365" s="205"/>
      <c r="E365" s="205"/>
      <c r="F365" s="205"/>
      <c r="G365" s="215"/>
      <c r="H365" s="215"/>
      <c r="I365" s="216"/>
      <c r="J365" s="205"/>
      <c r="K365" s="205"/>
      <c r="L365" s="205" t="s">
        <v>315</v>
      </c>
      <c r="M365" s="215"/>
      <c r="N365" s="218">
        <f>Tabela1389101112131415[[#This Row],[Valor recibo]]</f>
        <v>0</v>
      </c>
      <c r="O365" s="216"/>
      <c r="P365" s="205"/>
    </row>
    <row r="366" spans="1:16" ht="15.75">
      <c r="A366" s="205"/>
      <c r="B366" s="215"/>
      <c r="C366" s="205"/>
      <c r="D366" s="205"/>
      <c r="E366" s="205"/>
      <c r="F366" s="205"/>
      <c r="G366" s="215"/>
      <c r="H366" s="215"/>
      <c r="I366" s="216"/>
      <c r="J366" s="205"/>
      <c r="K366" s="205"/>
      <c r="L366" s="205" t="s">
        <v>315</v>
      </c>
      <c r="M366" s="215"/>
      <c r="N366" s="218">
        <f>Tabela1389101112131415[[#This Row],[Valor recibo]]</f>
        <v>0</v>
      </c>
      <c r="O366" s="216"/>
      <c r="P366" s="205"/>
    </row>
    <row r="367" spans="1:16" ht="15.75">
      <c r="A367" s="205"/>
      <c r="B367" s="215"/>
      <c r="C367" s="205"/>
      <c r="D367" s="205"/>
      <c r="E367" s="205"/>
      <c r="F367" s="205"/>
      <c r="G367" s="215"/>
      <c r="H367" s="215"/>
      <c r="I367" s="216"/>
      <c r="J367" s="205"/>
      <c r="K367" s="205"/>
      <c r="L367" s="205" t="s">
        <v>315</v>
      </c>
      <c r="M367" s="215"/>
      <c r="N367" s="218">
        <f>Tabela1389101112131415[[#This Row],[Valor recibo]]</f>
        <v>0</v>
      </c>
      <c r="O367" s="216"/>
      <c r="P367" s="205"/>
    </row>
    <row r="368" spans="1:16" ht="15.75">
      <c r="A368" s="205"/>
      <c r="B368" s="215"/>
      <c r="C368" s="205"/>
      <c r="D368" s="205"/>
      <c r="E368" s="205"/>
      <c r="F368" s="205"/>
      <c r="G368" s="215"/>
      <c r="H368" s="215"/>
      <c r="I368" s="216"/>
      <c r="J368" s="205"/>
      <c r="K368" s="205"/>
      <c r="L368" s="205" t="s">
        <v>315</v>
      </c>
      <c r="M368" s="215"/>
      <c r="N368" s="218">
        <f>Tabela1389101112131415[[#This Row],[Valor recibo]]</f>
        <v>0</v>
      </c>
      <c r="O368" s="216"/>
      <c r="P368" s="205"/>
    </row>
    <row r="369" spans="1:16" ht="15.75">
      <c r="A369" s="205"/>
      <c r="B369" s="215"/>
      <c r="C369" s="205"/>
      <c r="D369" s="205"/>
      <c r="E369" s="205"/>
      <c r="F369" s="205"/>
      <c r="G369" s="215"/>
      <c r="H369" s="215"/>
      <c r="I369" s="216"/>
      <c r="J369" s="205"/>
      <c r="K369" s="205"/>
      <c r="L369" s="205" t="s">
        <v>315</v>
      </c>
      <c r="M369" s="215"/>
      <c r="N369" s="218">
        <f>Tabela1389101112131415[[#This Row],[Valor recibo]]</f>
        <v>0</v>
      </c>
      <c r="O369" s="216"/>
      <c r="P369" s="205"/>
    </row>
    <row r="370" spans="1:16" ht="15.75">
      <c r="A370" s="205"/>
      <c r="B370" s="215"/>
      <c r="C370" s="205"/>
      <c r="D370" s="205"/>
      <c r="E370" s="205"/>
      <c r="F370" s="205"/>
      <c r="G370" s="215"/>
      <c r="H370" s="215"/>
      <c r="I370" s="216"/>
      <c r="J370" s="205"/>
      <c r="K370" s="205"/>
      <c r="L370" s="205" t="s">
        <v>315</v>
      </c>
      <c r="M370" s="215"/>
      <c r="N370" s="218">
        <f>Tabela1389101112131415[[#This Row],[Valor recibo]]</f>
        <v>0</v>
      </c>
      <c r="O370" s="216"/>
      <c r="P370" s="205"/>
    </row>
    <row r="371" spans="1:16" ht="15.75">
      <c r="A371" s="205"/>
      <c r="B371" s="215"/>
      <c r="C371" s="205"/>
      <c r="D371" s="205"/>
      <c r="E371" s="205"/>
      <c r="F371" s="205"/>
      <c r="G371" s="215"/>
      <c r="H371" s="215"/>
      <c r="I371" s="216"/>
      <c r="J371" s="205"/>
      <c r="K371" s="205"/>
      <c r="L371" s="205" t="s">
        <v>315</v>
      </c>
      <c r="M371" s="215"/>
      <c r="N371" s="218">
        <f>Tabela1389101112131415[[#This Row],[Valor recibo]]</f>
        <v>0</v>
      </c>
      <c r="O371" s="216"/>
      <c r="P371" s="205"/>
    </row>
    <row r="372" spans="1:16" ht="15.75">
      <c r="A372" s="205"/>
      <c r="B372" s="215"/>
      <c r="C372" s="205"/>
      <c r="D372" s="205"/>
      <c r="E372" s="205"/>
      <c r="F372" s="205"/>
      <c r="G372" s="215"/>
      <c r="H372" s="215"/>
      <c r="I372" s="216"/>
      <c r="J372" s="205"/>
      <c r="K372" s="205"/>
      <c r="L372" s="205" t="s">
        <v>315</v>
      </c>
      <c r="M372" s="215"/>
      <c r="N372" s="218">
        <f>Tabela1389101112131415[[#This Row],[Valor recibo]]</f>
        <v>0</v>
      </c>
      <c r="O372" s="216"/>
      <c r="P372" s="205"/>
    </row>
    <row r="373" spans="1:16" ht="15.75">
      <c r="A373" s="205"/>
      <c r="B373" s="215"/>
      <c r="C373" s="205"/>
      <c r="D373" s="205"/>
      <c r="E373" s="205"/>
      <c r="F373" s="205"/>
      <c r="G373" s="215"/>
      <c r="H373" s="215"/>
      <c r="I373" s="216"/>
      <c r="J373" s="205"/>
      <c r="K373" s="205"/>
      <c r="L373" s="205" t="s">
        <v>315</v>
      </c>
      <c r="M373" s="215"/>
      <c r="N373" s="218">
        <f>Tabela1389101112131415[[#This Row],[Valor recibo]]</f>
        <v>0</v>
      </c>
      <c r="O373" s="216"/>
      <c r="P373" s="205"/>
    </row>
    <row r="374" spans="1:16" ht="15.75">
      <c r="A374" s="205"/>
      <c r="B374" s="215"/>
      <c r="C374" s="205"/>
      <c r="D374" s="205"/>
      <c r="E374" s="205"/>
      <c r="F374" s="205"/>
      <c r="G374" s="215"/>
      <c r="H374" s="215"/>
      <c r="I374" s="216"/>
      <c r="J374" s="205"/>
      <c r="K374" s="205"/>
      <c r="L374" s="205" t="s">
        <v>315</v>
      </c>
      <c r="M374" s="215"/>
      <c r="N374" s="218">
        <f>Tabela1389101112131415[[#This Row],[Valor recibo]]</f>
        <v>0</v>
      </c>
      <c r="O374" s="216"/>
      <c r="P374" s="205"/>
    </row>
    <row r="375" spans="1:16" ht="15.75">
      <c r="A375" s="205"/>
      <c r="B375" s="215"/>
      <c r="C375" s="205"/>
      <c r="D375" s="205"/>
      <c r="E375" s="205"/>
      <c r="F375" s="205"/>
      <c r="G375" s="215"/>
      <c r="H375" s="215"/>
      <c r="I375" s="216"/>
      <c r="J375" s="205"/>
      <c r="K375" s="205"/>
      <c r="L375" s="205" t="s">
        <v>315</v>
      </c>
      <c r="M375" s="215"/>
      <c r="N375" s="218">
        <f>Tabela1389101112131415[[#This Row],[Valor recibo]]</f>
        <v>0</v>
      </c>
      <c r="O375" s="216"/>
      <c r="P375" s="205"/>
    </row>
    <row r="376" spans="1:16" ht="15.75">
      <c r="A376" s="205"/>
      <c r="B376" s="215"/>
      <c r="C376" s="205"/>
      <c r="D376" s="205"/>
      <c r="E376" s="205"/>
      <c r="F376" s="205"/>
      <c r="G376" s="215"/>
      <c r="H376" s="215"/>
      <c r="I376" s="216"/>
      <c r="J376" s="205"/>
      <c r="K376" s="205"/>
      <c r="L376" s="205" t="s">
        <v>315</v>
      </c>
      <c r="M376" s="215"/>
      <c r="N376" s="218">
        <f>Tabela1389101112131415[[#This Row],[Valor recibo]]</f>
        <v>0</v>
      </c>
      <c r="O376" s="216"/>
      <c r="P376" s="205"/>
    </row>
    <row r="377" spans="1:16" ht="15.75">
      <c r="A377" s="205"/>
      <c r="B377" s="215"/>
      <c r="C377" s="205"/>
      <c r="D377" s="205"/>
      <c r="E377" s="205"/>
      <c r="F377" s="205"/>
      <c r="G377" s="215"/>
      <c r="H377" s="215"/>
      <c r="I377" s="216"/>
      <c r="J377" s="205"/>
      <c r="K377" s="205"/>
      <c r="L377" s="205" t="s">
        <v>315</v>
      </c>
      <c r="M377" s="215"/>
      <c r="N377" s="218">
        <f>Tabela1389101112131415[[#This Row],[Valor recibo]]</f>
        <v>0</v>
      </c>
      <c r="O377" s="216"/>
      <c r="P377" s="205"/>
    </row>
    <row r="378" spans="1:16" ht="15.75">
      <c r="A378" s="205"/>
      <c r="B378" s="215"/>
      <c r="C378" s="205"/>
      <c r="D378" s="205"/>
      <c r="E378" s="205"/>
      <c r="F378" s="205"/>
      <c r="G378" s="215"/>
      <c r="H378" s="215"/>
      <c r="I378" s="216"/>
      <c r="J378" s="205"/>
      <c r="K378" s="205"/>
      <c r="L378" s="205" t="s">
        <v>315</v>
      </c>
      <c r="M378" s="215"/>
      <c r="N378" s="218">
        <f>Tabela1389101112131415[[#This Row],[Valor recibo]]</f>
        <v>0</v>
      </c>
      <c r="O378" s="216"/>
      <c r="P378" s="205"/>
    </row>
    <row r="379" spans="1:16" ht="15.75">
      <c r="A379" s="205"/>
      <c r="B379" s="215"/>
      <c r="C379" s="205"/>
      <c r="D379" s="205"/>
      <c r="E379" s="205"/>
      <c r="F379" s="205"/>
      <c r="G379" s="215"/>
      <c r="H379" s="215"/>
      <c r="I379" s="216"/>
      <c r="J379" s="205"/>
      <c r="K379" s="205"/>
      <c r="L379" s="205" t="s">
        <v>315</v>
      </c>
      <c r="M379" s="215"/>
      <c r="N379" s="218">
        <f>Tabela1389101112131415[[#This Row],[Valor recibo]]</f>
        <v>0</v>
      </c>
      <c r="O379" s="216"/>
      <c r="P379" s="205"/>
    </row>
    <row r="380" spans="1:16" ht="15.75">
      <c r="A380" s="205"/>
      <c r="B380" s="215"/>
      <c r="C380" s="205"/>
      <c r="D380" s="205"/>
      <c r="E380" s="205"/>
      <c r="F380" s="205"/>
      <c r="G380" s="215"/>
      <c r="H380" s="215"/>
      <c r="I380" s="216"/>
      <c r="J380" s="205"/>
      <c r="K380" s="205"/>
      <c r="L380" s="205" t="s">
        <v>315</v>
      </c>
      <c r="M380" s="215"/>
      <c r="N380" s="218">
        <f>Tabela1389101112131415[[#This Row],[Valor recibo]]</f>
        <v>0</v>
      </c>
      <c r="O380" s="216"/>
      <c r="P380" s="205"/>
    </row>
    <row r="381" spans="1:16" ht="15.75">
      <c r="A381" s="205"/>
      <c r="B381" s="215"/>
      <c r="C381" s="205"/>
      <c r="D381" s="205"/>
      <c r="E381" s="205"/>
      <c r="F381" s="205"/>
      <c r="G381" s="215"/>
      <c r="H381" s="215"/>
      <c r="I381" s="216"/>
      <c r="J381" s="205"/>
      <c r="K381" s="205"/>
      <c r="L381" s="205" t="s">
        <v>315</v>
      </c>
      <c r="M381" s="215"/>
      <c r="N381" s="218">
        <f>Tabela1389101112131415[[#This Row],[Valor recibo]]</f>
        <v>0</v>
      </c>
      <c r="O381" s="216"/>
      <c r="P381" s="205"/>
    </row>
    <row r="382" spans="1:16" ht="15.75">
      <c r="A382" s="205"/>
      <c r="B382" s="215"/>
      <c r="C382" s="205"/>
      <c r="D382" s="205"/>
      <c r="E382" s="205"/>
      <c r="F382" s="205"/>
      <c r="G382" s="215"/>
      <c r="H382" s="215"/>
      <c r="I382" s="216"/>
      <c r="J382" s="205"/>
      <c r="K382" s="205"/>
      <c r="L382" s="205" t="s">
        <v>315</v>
      </c>
      <c r="M382" s="215"/>
      <c r="N382" s="218">
        <f>Tabela1389101112131415[[#This Row],[Valor recibo]]</f>
        <v>0</v>
      </c>
      <c r="O382" s="216"/>
      <c r="P382" s="205"/>
    </row>
    <row r="383" spans="1:16" ht="15.75">
      <c r="A383" s="205"/>
      <c r="B383" s="215"/>
      <c r="C383" s="205"/>
      <c r="D383" s="205"/>
      <c r="E383" s="205"/>
      <c r="F383" s="205"/>
      <c r="G383" s="215"/>
      <c r="H383" s="215"/>
      <c r="I383" s="216"/>
      <c r="J383" s="205"/>
      <c r="K383" s="205"/>
      <c r="L383" s="205" t="s">
        <v>315</v>
      </c>
      <c r="M383" s="215"/>
      <c r="N383" s="218">
        <f>Tabela1389101112131415[[#This Row],[Valor recibo]]</f>
        <v>0</v>
      </c>
      <c r="O383" s="216"/>
      <c r="P383" s="205"/>
    </row>
    <row r="384" spans="1:16" ht="15.75">
      <c r="A384" s="205"/>
      <c r="B384" s="215"/>
      <c r="C384" s="205"/>
      <c r="D384" s="205"/>
      <c r="E384" s="205"/>
      <c r="F384" s="205"/>
      <c r="G384" s="215"/>
      <c r="H384" s="215"/>
      <c r="I384" s="216"/>
      <c r="J384" s="205"/>
      <c r="K384" s="205"/>
      <c r="L384" s="205" t="s">
        <v>315</v>
      </c>
      <c r="M384" s="215"/>
      <c r="N384" s="218">
        <f>Tabela1389101112131415[[#This Row],[Valor recibo]]</f>
        <v>0</v>
      </c>
      <c r="O384" s="216"/>
      <c r="P384" s="205"/>
    </row>
    <row r="385" spans="1:16" ht="15.75">
      <c r="A385" s="205"/>
      <c r="B385" s="215"/>
      <c r="C385" s="205"/>
      <c r="D385" s="205"/>
      <c r="E385" s="205"/>
      <c r="F385" s="205"/>
      <c r="G385" s="215"/>
      <c r="H385" s="215"/>
      <c r="I385" s="216"/>
      <c r="J385" s="205"/>
      <c r="K385" s="205"/>
      <c r="L385" s="205" t="s">
        <v>315</v>
      </c>
      <c r="M385" s="215"/>
      <c r="N385" s="218">
        <f>Tabela1389101112131415[[#This Row],[Valor recibo]]</f>
        <v>0</v>
      </c>
      <c r="O385" s="216"/>
      <c r="P385" s="205"/>
    </row>
    <row r="386" spans="1:16" ht="15.75">
      <c r="A386" s="205"/>
      <c r="B386" s="215"/>
      <c r="C386" s="205"/>
      <c r="D386" s="205"/>
      <c r="E386" s="205"/>
      <c r="F386" s="205"/>
      <c r="G386" s="215"/>
      <c r="H386" s="215"/>
      <c r="I386" s="216"/>
      <c r="J386" s="205"/>
      <c r="K386" s="205"/>
      <c r="L386" s="205" t="s">
        <v>315</v>
      </c>
      <c r="M386" s="215"/>
      <c r="N386" s="218">
        <f>Tabela1389101112131415[[#This Row],[Valor recibo]]</f>
        <v>0</v>
      </c>
      <c r="O386" s="216"/>
      <c r="P386" s="205"/>
    </row>
    <row r="387" spans="1:16" ht="15.75">
      <c r="A387" s="205"/>
      <c r="B387" s="215"/>
      <c r="C387" s="205"/>
      <c r="D387" s="205"/>
      <c r="E387" s="205"/>
      <c r="F387" s="205"/>
      <c r="G387" s="215"/>
      <c r="H387" s="215"/>
      <c r="I387" s="216"/>
      <c r="J387" s="205"/>
      <c r="K387" s="205"/>
      <c r="L387" s="205" t="s">
        <v>315</v>
      </c>
      <c r="M387" s="215"/>
      <c r="N387" s="218">
        <f>Tabela1389101112131415[[#This Row],[Valor recibo]]</f>
        <v>0</v>
      </c>
      <c r="O387" s="216"/>
      <c r="P387" s="205"/>
    </row>
    <row r="388" spans="1:16" ht="15.75">
      <c r="A388" s="205"/>
      <c r="B388" s="215"/>
      <c r="C388" s="205"/>
      <c r="D388" s="205"/>
      <c r="E388" s="205"/>
      <c r="F388" s="205"/>
      <c r="G388" s="215"/>
      <c r="H388" s="215"/>
      <c r="I388" s="216"/>
      <c r="J388" s="205"/>
      <c r="K388" s="205"/>
      <c r="L388" s="205" t="s">
        <v>315</v>
      </c>
      <c r="M388" s="215"/>
      <c r="N388" s="218">
        <f>Tabela1389101112131415[[#This Row],[Valor recibo]]</f>
        <v>0</v>
      </c>
      <c r="O388" s="216"/>
      <c r="P388" s="205"/>
    </row>
    <row r="389" spans="1:16" ht="15.75">
      <c r="A389" s="205"/>
      <c r="B389" s="215"/>
      <c r="C389" s="205"/>
      <c r="D389" s="205"/>
      <c r="E389" s="205"/>
      <c r="F389" s="205"/>
      <c r="G389" s="215"/>
      <c r="H389" s="215"/>
      <c r="I389" s="216"/>
      <c r="J389" s="205"/>
      <c r="K389" s="205"/>
      <c r="L389" s="205" t="s">
        <v>315</v>
      </c>
      <c r="M389" s="215"/>
      <c r="N389" s="218">
        <f>Tabela1389101112131415[[#This Row],[Valor recibo]]</f>
        <v>0</v>
      </c>
      <c r="O389" s="216"/>
      <c r="P389" s="205"/>
    </row>
    <row r="390" spans="1:16" ht="15.75">
      <c r="A390" s="205"/>
      <c r="B390" s="215"/>
      <c r="C390" s="205"/>
      <c r="D390" s="205"/>
      <c r="E390" s="205"/>
      <c r="F390" s="205"/>
      <c r="G390" s="215"/>
      <c r="H390" s="215"/>
      <c r="I390" s="216"/>
      <c r="J390" s="205"/>
      <c r="K390" s="205"/>
      <c r="L390" s="205" t="s">
        <v>315</v>
      </c>
      <c r="M390" s="215"/>
      <c r="N390" s="218">
        <f>Tabela1389101112131415[[#This Row],[Valor recibo]]</f>
        <v>0</v>
      </c>
      <c r="O390" s="216"/>
      <c r="P390" s="205"/>
    </row>
    <row r="391" spans="1:16" ht="15.75">
      <c r="A391" s="205"/>
      <c r="B391" s="215"/>
      <c r="C391" s="205"/>
      <c r="D391" s="205"/>
      <c r="E391" s="205"/>
      <c r="F391" s="205"/>
      <c r="G391" s="215"/>
      <c r="H391" s="215"/>
      <c r="I391" s="216"/>
      <c r="J391" s="205"/>
      <c r="K391" s="205"/>
      <c r="L391" s="205" t="s">
        <v>315</v>
      </c>
      <c r="M391" s="215"/>
      <c r="N391" s="218">
        <f>Tabela1389101112131415[[#This Row],[Valor recibo]]</f>
        <v>0</v>
      </c>
      <c r="O391" s="216"/>
      <c r="P391" s="205"/>
    </row>
    <row r="392" spans="1:16" ht="15.75">
      <c r="A392" s="205"/>
      <c r="B392" s="215"/>
      <c r="C392" s="205"/>
      <c r="D392" s="205"/>
      <c r="E392" s="205"/>
      <c r="F392" s="205"/>
      <c r="G392" s="215"/>
      <c r="H392" s="215"/>
      <c r="I392" s="216"/>
      <c r="J392" s="205"/>
      <c r="K392" s="205"/>
      <c r="L392" s="205" t="s">
        <v>315</v>
      </c>
      <c r="M392" s="215"/>
      <c r="N392" s="218">
        <f>Tabela1389101112131415[[#This Row],[Valor recibo]]</f>
        <v>0</v>
      </c>
      <c r="O392" s="216"/>
      <c r="P392" s="205"/>
    </row>
    <row r="393" spans="1:16" ht="15.75">
      <c r="A393" s="205"/>
      <c r="B393" s="215"/>
      <c r="C393" s="205"/>
      <c r="D393" s="205"/>
      <c r="E393" s="205"/>
      <c r="F393" s="205"/>
      <c r="G393" s="215"/>
      <c r="H393" s="215"/>
      <c r="I393" s="216"/>
      <c r="J393" s="205"/>
      <c r="K393" s="205"/>
      <c r="L393" s="205" t="s">
        <v>315</v>
      </c>
      <c r="M393" s="215"/>
      <c r="N393" s="218">
        <f>Tabela1389101112131415[[#This Row],[Valor recibo]]</f>
        <v>0</v>
      </c>
      <c r="O393" s="216"/>
      <c r="P393" s="205"/>
    </row>
    <row r="394" spans="1:16" ht="15.75">
      <c r="A394" s="205"/>
      <c r="B394" s="215"/>
      <c r="C394" s="205"/>
      <c r="D394" s="205"/>
      <c r="E394" s="205"/>
      <c r="F394" s="205"/>
      <c r="G394" s="215"/>
      <c r="H394" s="215"/>
      <c r="I394" s="216"/>
      <c r="J394" s="205"/>
      <c r="K394" s="205"/>
      <c r="L394" s="205" t="s">
        <v>315</v>
      </c>
      <c r="M394" s="215"/>
      <c r="N394" s="218">
        <f>Tabela1389101112131415[[#This Row],[Valor recibo]]</f>
        <v>0</v>
      </c>
      <c r="O394" s="216"/>
      <c r="P394" s="205"/>
    </row>
    <row r="395" spans="1:16" ht="15.75">
      <c r="A395" s="205"/>
      <c r="B395" s="215"/>
      <c r="C395" s="205"/>
      <c r="D395" s="205"/>
      <c r="E395" s="205"/>
      <c r="F395" s="205"/>
      <c r="G395" s="215"/>
      <c r="H395" s="215"/>
      <c r="I395" s="216"/>
      <c r="J395" s="205"/>
      <c r="K395" s="205"/>
      <c r="L395" s="205" t="s">
        <v>315</v>
      </c>
      <c r="M395" s="215"/>
      <c r="N395" s="218">
        <f>Tabela1389101112131415[[#This Row],[Valor recibo]]</f>
        <v>0</v>
      </c>
      <c r="O395" s="216"/>
      <c r="P395" s="205"/>
    </row>
    <row r="396" spans="1:16" ht="15.75">
      <c r="A396" s="205"/>
      <c r="B396" s="215"/>
      <c r="C396" s="205"/>
      <c r="D396" s="205"/>
      <c r="E396" s="205"/>
      <c r="F396" s="205"/>
      <c r="G396" s="215"/>
      <c r="H396" s="215"/>
      <c r="I396" s="216"/>
      <c r="J396" s="205"/>
      <c r="K396" s="205"/>
      <c r="L396" s="205" t="s">
        <v>315</v>
      </c>
      <c r="M396" s="215"/>
      <c r="N396" s="218">
        <f>Tabela1389101112131415[[#This Row],[Valor recibo]]</f>
        <v>0</v>
      </c>
      <c r="O396" s="216"/>
      <c r="P396" s="205"/>
    </row>
    <row r="397" spans="1:16" ht="15.75">
      <c r="A397" s="205"/>
      <c r="B397" s="215"/>
      <c r="C397" s="205"/>
      <c r="D397" s="205"/>
      <c r="E397" s="205"/>
      <c r="F397" s="205"/>
      <c r="G397" s="215"/>
      <c r="H397" s="215"/>
      <c r="I397" s="216"/>
      <c r="J397" s="205"/>
      <c r="K397" s="205"/>
      <c r="L397" s="205" t="s">
        <v>315</v>
      </c>
      <c r="M397" s="215"/>
      <c r="N397" s="218">
        <f>Tabela1389101112131415[[#This Row],[Valor recibo]]</f>
        <v>0</v>
      </c>
      <c r="O397" s="216"/>
      <c r="P397" s="205"/>
    </row>
    <row r="398" spans="1:16" ht="15.75">
      <c r="A398" s="205"/>
      <c r="B398" s="215"/>
      <c r="C398" s="205"/>
      <c r="D398" s="205"/>
      <c r="E398" s="205"/>
      <c r="F398" s="205"/>
      <c r="G398" s="215"/>
      <c r="H398" s="215"/>
      <c r="I398" s="216"/>
      <c r="J398" s="205"/>
      <c r="K398" s="205"/>
      <c r="L398" s="205" t="s">
        <v>315</v>
      </c>
      <c r="M398" s="215"/>
      <c r="N398" s="218">
        <f>Tabela1389101112131415[[#This Row],[Valor recibo]]</f>
        <v>0</v>
      </c>
      <c r="O398" s="216"/>
      <c r="P398" s="205"/>
    </row>
    <row r="399" spans="1:16" ht="15.75">
      <c r="A399" s="205"/>
      <c r="B399" s="215"/>
      <c r="C399" s="205"/>
      <c r="D399" s="205"/>
      <c r="E399" s="205"/>
      <c r="F399" s="205"/>
      <c r="G399" s="215"/>
      <c r="H399" s="215"/>
      <c r="I399" s="216"/>
      <c r="J399" s="205"/>
      <c r="K399" s="205"/>
      <c r="L399" s="205" t="s">
        <v>315</v>
      </c>
      <c r="M399" s="215"/>
      <c r="N399" s="218">
        <f>Tabela1389101112131415[[#This Row],[Valor recibo]]</f>
        <v>0</v>
      </c>
      <c r="O399" s="216"/>
      <c r="P399" s="219"/>
    </row>
    <row r="400" spans="1:16" ht="15.75">
      <c r="A400" s="205"/>
      <c r="B400" s="215"/>
      <c r="C400" s="205"/>
      <c r="D400" s="205"/>
      <c r="E400" s="205"/>
      <c r="F400" s="205"/>
      <c r="G400" s="215"/>
      <c r="H400" s="215"/>
      <c r="I400" s="216"/>
      <c r="J400" s="205"/>
      <c r="K400" s="205"/>
      <c r="L400" s="205" t="s">
        <v>315</v>
      </c>
      <c r="M400" s="215"/>
      <c r="N400" s="218">
        <f>Tabela1389101112131415[[#This Row],[Valor recibo]]</f>
        <v>0</v>
      </c>
      <c r="O400" s="216"/>
      <c r="P400" s="205"/>
    </row>
    <row r="401" spans="1:16" ht="15.75">
      <c r="A401" s="205"/>
      <c r="B401" s="215"/>
      <c r="C401" s="205"/>
      <c r="D401" s="205"/>
      <c r="E401" s="205"/>
      <c r="F401" s="205"/>
      <c r="G401" s="215"/>
      <c r="H401" s="215"/>
      <c r="I401" s="216"/>
      <c r="J401" s="205"/>
      <c r="K401" s="205"/>
      <c r="L401" s="205" t="s">
        <v>315</v>
      </c>
      <c r="M401" s="215"/>
      <c r="N401" s="218">
        <f>Tabela1389101112131415[[#This Row],[Valor recibo]]</f>
        <v>0</v>
      </c>
      <c r="O401" s="216"/>
      <c r="P401" s="205"/>
    </row>
    <row r="402" spans="1:16" ht="15.75">
      <c r="A402" s="205"/>
      <c r="B402" s="215"/>
      <c r="C402" s="205"/>
      <c r="D402" s="205"/>
      <c r="E402" s="205"/>
      <c r="F402" s="205"/>
      <c r="G402" s="215"/>
      <c r="H402" s="215"/>
      <c r="I402" s="216"/>
      <c r="J402" s="205"/>
      <c r="K402" s="205"/>
      <c r="L402" s="205" t="s">
        <v>315</v>
      </c>
      <c r="M402" s="215"/>
      <c r="N402" s="218">
        <f>Tabela1389101112131415[[#This Row],[Valor recibo]]</f>
        <v>0</v>
      </c>
      <c r="O402" s="216"/>
      <c r="P402" s="205"/>
    </row>
    <row r="403" spans="1:16" ht="15.75">
      <c r="A403" s="205"/>
      <c r="B403" s="215"/>
      <c r="C403" s="205"/>
      <c r="D403" s="205"/>
      <c r="E403" s="205"/>
      <c r="F403" s="205"/>
      <c r="G403" s="215"/>
      <c r="H403" s="215"/>
      <c r="I403" s="216"/>
      <c r="J403" s="205"/>
      <c r="K403" s="205"/>
      <c r="L403" s="205" t="s">
        <v>315</v>
      </c>
      <c r="M403" s="215"/>
      <c r="N403" s="218">
        <f>Tabela1389101112131415[[#This Row],[Valor recibo]]</f>
        <v>0</v>
      </c>
      <c r="O403" s="216"/>
      <c r="P403" s="205"/>
    </row>
    <row r="404" spans="1:16" ht="15.75">
      <c r="A404" s="205"/>
      <c r="B404" s="215"/>
      <c r="C404" s="205"/>
      <c r="D404" s="205"/>
      <c r="E404" s="205"/>
      <c r="F404" s="205"/>
      <c r="G404" s="215"/>
      <c r="H404" s="215"/>
      <c r="I404" s="216"/>
      <c r="J404" s="205"/>
      <c r="K404" s="205"/>
      <c r="L404" s="205" t="s">
        <v>315</v>
      </c>
      <c r="M404" s="215"/>
      <c r="N404" s="218">
        <f>Tabela1389101112131415[[#This Row],[Valor recibo]]</f>
        <v>0</v>
      </c>
      <c r="O404" s="216"/>
      <c r="P404" s="205"/>
    </row>
    <row r="405" spans="1:16" ht="15.75">
      <c r="A405" s="205"/>
      <c r="B405" s="215"/>
      <c r="C405" s="205"/>
      <c r="D405" s="205"/>
      <c r="E405" s="205"/>
      <c r="F405" s="205"/>
      <c r="G405" s="215"/>
      <c r="H405" s="215"/>
      <c r="I405" s="216"/>
      <c r="J405" s="205"/>
      <c r="K405" s="205"/>
      <c r="L405" s="205" t="s">
        <v>315</v>
      </c>
      <c r="M405" s="215"/>
      <c r="N405" s="218">
        <f>Tabela1389101112131415[[#This Row],[Valor recibo]]</f>
        <v>0</v>
      </c>
      <c r="O405" s="216"/>
      <c r="P405" s="205"/>
    </row>
    <row r="406" spans="1:16" ht="15.75">
      <c r="A406" s="205"/>
      <c r="B406" s="215"/>
      <c r="C406" s="205"/>
      <c r="D406" s="205"/>
      <c r="E406" s="205"/>
      <c r="F406" s="205"/>
      <c r="G406" s="215"/>
      <c r="H406" s="215"/>
      <c r="I406" s="216"/>
      <c r="J406" s="205"/>
      <c r="K406" s="205"/>
      <c r="L406" s="205" t="s">
        <v>315</v>
      </c>
      <c r="M406" s="215"/>
      <c r="N406" s="218">
        <f>Tabela1389101112131415[[#This Row],[Valor recibo]]</f>
        <v>0</v>
      </c>
      <c r="O406" s="216"/>
      <c r="P406" s="205"/>
    </row>
    <row r="407" spans="1:16" ht="15.75">
      <c r="A407" s="205"/>
      <c r="B407" s="215"/>
      <c r="C407" s="205"/>
      <c r="D407" s="205"/>
      <c r="E407" s="205"/>
      <c r="F407" s="205"/>
      <c r="G407" s="215"/>
      <c r="H407" s="215"/>
      <c r="I407" s="216"/>
      <c r="J407" s="205"/>
      <c r="K407" s="205"/>
      <c r="L407" s="205" t="s">
        <v>315</v>
      </c>
      <c r="M407" s="215"/>
      <c r="N407" s="218">
        <f>Tabela1389101112131415[[#This Row],[Valor recibo]]</f>
        <v>0</v>
      </c>
      <c r="O407" s="216"/>
      <c r="P407" s="205"/>
    </row>
    <row r="408" spans="1:16" ht="15.75">
      <c r="A408" s="205"/>
      <c r="B408" s="215"/>
      <c r="C408" s="205"/>
      <c r="D408" s="205"/>
      <c r="E408" s="205"/>
      <c r="F408" s="205"/>
      <c r="G408" s="215"/>
      <c r="H408" s="215"/>
      <c r="I408" s="216"/>
      <c r="J408" s="205"/>
      <c r="K408" s="205"/>
      <c r="L408" s="205" t="s">
        <v>315</v>
      </c>
      <c r="M408" s="215"/>
      <c r="N408" s="218">
        <f>Tabela1389101112131415[[#This Row],[Valor recibo]]</f>
        <v>0</v>
      </c>
      <c r="O408" s="216"/>
      <c r="P408" s="205"/>
    </row>
    <row r="409" spans="1:16" ht="15.75">
      <c r="A409" s="205"/>
      <c r="B409" s="215"/>
      <c r="C409" s="205"/>
      <c r="D409" s="205"/>
      <c r="E409" s="205"/>
      <c r="F409" s="205"/>
      <c r="G409" s="215"/>
      <c r="H409" s="215"/>
      <c r="I409" s="216"/>
      <c r="J409" s="205"/>
      <c r="K409" s="205"/>
      <c r="L409" s="205" t="s">
        <v>315</v>
      </c>
      <c r="M409" s="215"/>
      <c r="N409" s="218">
        <f>Tabela1389101112131415[[#This Row],[Valor recibo]]</f>
        <v>0</v>
      </c>
      <c r="O409" s="216"/>
      <c r="P409" s="205"/>
    </row>
    <row r="410" spans="1:16" ht="15.75">
      <c r="A410" s="205"/>
      <c r="B410" s="215"/>
      <c r="C410" s="205"/>
      <c r="D410" s="205"/>
      <c r="E410" s="205"/>
      <c r="F410" s="205"/>
      <c r="G410" s="215"/>
      <c r="H410" s="215"/>
      <c r="I410" s="216"/>
      <c r="J410" s="205"/>
      <c r="K410" s="205"/>
      <c r="L410" s="205" t="s">
        <v>315</v>
      </c>
      <c r="M410" s="215"/>
      <c r="N410" s="218">
        <f>Tabela1389101112131415[[#This Row],[Valor recibo]]</f>
        <v>0</v>
      </c>
      <c r="O410" s="216"/>
      <c r="P410" s="205"/>
    </row>
    <row r="411" spans="1:16" ht="15.75">
      <c r="A411" s="205"/>
      <c r="B411" s="215"/>
      <c r="C411" s="205"/>
      <c r="D411" s="205"/>
      <c r="E411" s="205"/>
      <c r="F411" s="205"/>
      <c r="G411" s="215"/>
      <c r="H411" s="215"/>
      <c r="I411" s="216"/>
      <c r="J411" s="205"/>
      <c r="K411" s="205"/>
      <c r="L411" s="205" t="s">
        <v>315</v>
      </c>
      <c r="M411" s="215"/>
      <c r="N411" s="218">
        <f>Tabela1389101112131415[[#This Row],[Valor recibo]]</f>
        <v>0</v>
      </c>
      <c r="O411" s="216"/>
      <c r="P411" s="205"/>
    </row>
    <row r="412" spans="1:16" ht="15.75">
      <c r="A412" s="205"/>
      <c r="B412" s="215"/>
      <c r="C412" s="205"/>
      <c r="D412" s="205"/>
      <c r="E412" s="205"/>
      <c r="F412" s="205"/>
      <c r="G412" s="215"/>
      <c r="H412" s="215"/>
      <c r="I412" s="216"/>
      <c r="J412" s="205"/>
      <c r="K412" s="205"/>
      <c r="L412" s="205" t="s">
        <v>315</v>
      </c>
      <c r="M412" s="215"/>
      <c r="N412" s="218">
        <f>Tabela1389101112131415[[#This Row],[Valor recibo]]</f>
        <v>0</v>
      </c>
      <c r="O412" s="216"/>
      <c r="P412" s="205"/>
    </row>
    <row r="413" spans="1:16" ht="15.75">
      <c r="A413" s="205"/>
      <c r="B413" s="215"/>
      <c r="C413" s="205"/>
      <c r="D413" s="205"/>
      <c r="E413" s="205"/>
      <c r="F413" s="205"/>
      <c r="G413" s="215"/>
      <c r="H413" s="215"/>
      <c r="I413" s="216"/>
      <c r="J413" s="205"/>
      <c r="K413" s="205"/>
      <c r="L413" s="205" t="s">
        <v>315</v>
      </c>
      <c r="M413" s="215"/>
      <c r="N413" s="218">
        <f>Tabela1389101112131415[[#This Row],[Valor recibo]]</f>
        <v>0</v>
      </c>
      <c r="O413" s="216"/>
      <c r="P413" s="205"/>
    </row>
    <row r="414" spans="1:16" ht="15.75">
      <c r="A414" s="205"/>
      <c r="B414" s="215"/>
      <c r="C414" s="205"/>
      <c r="D414" s="205"/>
      <c r="E414" s="205"/>
      <c r="F414" s="205"/>
      <c r="G414" s="215"/>
      <c r="H414" s="215"/>
      <c r="I414" s="216"/>
      <c r="J414" s="205"/>
      <c r="K414" s="205"/>
      <c r="L414" s="205" t="s">
        <v>315</v>
      </c>
      <c r="M414" s="215"/>
      <c r="N414" s="218">
        <f>Tabela1389101112131415[[#This Row],[Valor recibo]]</f>
        <v>0</v>
      </c>
      <c r="O414" s="216"/>
      <c r="P414" s="205"/>
    </row>
    <row r="415" spans="1:16" ht="15.75">
      <c r="A415" s="205"/>
      <c r="B415" s="215"/>
      <c r="C415" s="205"/>
      <c r="D415" s="205"/>
      <c r="E415" s="205"/>
      <c r="F415" s="205"/>
      <c r="G415" s="215"/>
      <c r="H415" s="215"/>
      <c r="I415" s="216"/>
      <c r="J415" s="205"/>
      <c r="K415" s="205"/>
      <c r="L415" s="205" t="s">
        <v>315</v>
      </c>
      <c r="M415" s="215"/>
      <c r="N415" s="218">
        <f>Tabela1389101112131415[[#This Row],[Valor recibo]]</f>
        <v>0</v>
      </c>
      <c r="O415" s="216"/>
      <c r="P415" s="205"/>
    </row>
    <row r="416" spans="1:16" ht="15.75">
      <c r="A416" s="205"/>
      <c r="B416" s="215"/>
      <c r="C416" s="205"/>
      <c r="D416" s="205"/>
      <c r="E416" s="205"/>
      <c r="F416" s="205"/>
      <c r="G416" s="215"/>
      <c r="H416" s="215"/>
      <c r="I416" s="216"/>
      <c r="J416" s="205"/>
      <c r="K416" s="205"/>
      <c r="L416" s="205" t="s">
        <v>315</v>
      </c>
      <c r="M416" s="215"/>
      <c r="N416" s="218">
        <f>Tabela1389101112131415[[#This Row],[Valor recibo]]</f>
        <v>0</v>
      </c>
      <c r="O416" s="216"/>
      <c r="P416" s="205"/>
    </row>
    <row r="417" spans="1:16" ht="15.75">
      <c r="A417" s="205"/>
      <c r="B417" s="215"/>
      <c r="C417" s="205"/>
      <c r="D417" s="205"/>
      <c r="E417" s="205"/>
      <c r="F417" s="205"/>
      <c r="G417" s="215"/>
      <c r="H417" s="215"/>
      <c r="I417" s="216"/>
      <c r="J417" s="205"/>
      <c r="K417" s="205"/>
      <c r="L417" s="205" t="s">
        <v>315</v>
      </c>
      <c r="M417" s="215"/>
      <c r="N417" s="218">
        <f>Tabela1389101112131415[[#This Row],[Valor recibo]]</f>
        <v>0</v>
      </c>
      <c r="O417" s="216"/>
      <c r="P417" s="205"/>
    </row>
    <row r="418" spans="1:16" ht="15.75">
      <c r="A418" s="205"/>
      <c r="B418" s="215"/>
      <c r="C418" s="205"/>
      <c r="D418" s="205"/>
      <c r="E418" s="205"/>
      <c r="F418" s="205"/>
      <c r="G418" s="215"/>
      <c r="H418" s="215"/>
      <c r="I418" s="216"/>
      <c r="J418" s="205"/>
      <c r="K418" s="205"/>
      <c r="L418" s="205" t="s">
        <v>315</v>
      </c>
      <c r="M418" s="215"/>
      <c r="N418" s="218">
        <f>Tabela1389101112131415[[#This Row],[Valor recibo]]</f>
        <v>0</v>
      </c>
      <c r="O418" s="216"/>
      <c r="P418" s="205"/>
    </row>
    <row r="419" spans="1:16" ht="15.75">
      <c r="A419" s="205"/>
      <c r="B419" s="215"/>
      <c r="C419" s="205"/>
      <c r="D419" s="205"/>
      <c r="E419" s="205"/>
      <c r="F419" s="205"/>
      <c r="G419" s="215"/>
      <c r="H419" s="215"/>
      <c r="I419" s="216"/>
      <c r="J419" s="205"/>
      <c r="K419" s="205"/>
      <c r="L419" s="205" t="s">
        <v>315</v>
      </c>
      <c r="M419" s="215"/>
      <c r="N419" s="218">
        <f>Tabela1389101112131415[[#This Row],[Valor recibo]]</f>
        <v>0</v>
      </c>
      <c r="O419" s="216"/>
      <c r="P419" s="205"/>
    </row>
    <row r="420" spans="1:16" ht="15.75">
      <c r="A420" s="205"/>
      <c r="B420" s="215"/>
      <c r="C420" s="205"/>
      <c r="D420" s="205"/>
      <c r="E420" s="205"/>
      <c r="F420" s="205"/>
      <c r="G420" s="215"/>
      <c r="H420" s="215"/>
      <c r="I420" s="216"/>
      <c r="J420" s="205"/>
      <c r="K420" s="205"/>
      <c r="L420" s="205" t="s">
        <v>315</v>
      </c>
      <c r="M420" s="215"/>
      <c r="N420" s="218">
        <f>Tabela1389101112131415[[#This Row],[Valor recibo]]</f>
        <v>0</v>
      </c>
      <c r="O420" s="216"/>
      <c r="P420" s="205"/>
    </row>
    <row r="421" spans="1:16" ht="15.75">
      <c r="A421" s="205"/>
      <c r="B421" s="215"/>
      <c r="C421" s="205"/>
      <c r="D421" s="205"/>
      <c r="E421" s="205"/>
      <c r="F421" s="205"/>
      <c r="G421" s="215"/>
      <c r="H421" s="215"/>
      <c r="I421" s="216"/>
      <c r="J421" s="205"/>
      <c r="K421" s="205"/>
      <c r="L421" s="205" t="s">
        <v>315</v>
      </c>
      <c r="M421" s="215"/>
      <c r="N421" s="218">
        <f>Tabela1389101112131415[[#This Row],[Valor recibo]]</f>
        <v>0</v>
      </c>
      <c r="O421" s="216"/>
      <c r="P421" s="205"/>
    </row>
    <row r="422" spans="1:16" ht="15.75">
      <c r="A422" s="205"/>
      <c r="B422" s="215"/>
      <c r="C422" s="205"/>
      <c r="D422" s="205"/>
      <c r="E422" s="205"/>
      <c r="F422" s="205"/>
      <c r="G422" s="215"/>
      <c r="H422" s="215"/>
      <c r="I422" s="216"/>
      <c r="J422" s="205"/>
      <c r="K422" s="205"/>
      <c r="L422" s="205" t="s">
        <v>315</v>
      </c>
      <c r="M422" s="215"/>
      <c r="N422" s="218">
        <f>Tabela1389101112131415[[#This Row],[Valor recibo]]</f>
        <v>0</v>
      </c>
      <c r="O422" s="216"/>
      <c r="P422" s="205"/>
    </row>
    <row r="423" spans="1:16" ht="15.75">
      <c r="A423" s="205"/>
      <c r="B423" s="215"/>
      <c r="C423" s="205"/>
      <c r="D423" s="205"/>
      <c r="E423" s="205"/>
      <c r="F423" s="205"/>
      <c r="G423" s="215"/>
      <c r="H423" s="215"/>
      <c r="I423" s="216"/>
      <c r="J423" s="205"/>
      <c r="K423" s="205"/>
      <c r="L423" s="205" t="s">
        <v>315</v>
      </c>
      <c r="M423" s="215"/>
      <c r="N423" s="218">
        <f>Tabela1389101112131415[[#This Row],[Valor recibo]]</f>
        <v>0</v>
      </c>
      <c r="O423" s="216"/>
      <c r="P423" s="205"/>
    </row>
    <row r="424" spans="1:16" ht="15.75">
      <c r="A424" s="205"/>
      <c r="B424" s="215"/>
      <c r="C424" s="205"/>
      <c r="D424" s="205"/>
      <c r="E424" s="205"/>
      <c r="F424" s="205"/>
      <c r="G424" s="215"/>
      <c r="H424" s="215"/>
      <c r="I424" s="216"/>
      <c r="J424" s="205"/>
      <c r="K424" s="205"/>
      <c r="L424" s="205" t="s">
        <v>315</v>
      </c>
      <c r="M424" s="215"/>
      <c r="N424" s="218">
        <f>Tabela1389101112131415[[#This Row],[Valor recibo]]</f>
        <v>0</v>
      </c>
      <c r="O424" s="216"/>
      <c r="P424" s="205"/>
    </row>
    <row r="425" spans="1:16" ht="15.75">
      <c r="A425" s="205"/>
      <c r="B425" s="215"/>
      <c r="C425" s="205"/>
      <c r="D425" s="205"/>
      <c r="E425" s="205"/>
      <c r="F425" s="205"/>
      <c r="G425" s="215"/>
      <c r="H425" s="215"/>
      <c r="I425" s="216"/>
      <c r="J425" s="205"/>
      <c r="K425" s="205"/>
      <c r="L425" s="205" t="s">
        <v>315</v>
      </c>
      <c r="M425" s="215"/>
      <c r="N425" s="218">
        <f>Tabela1389101112131415[[#This Row],[Valor recibo]]</f>
        <v>0</v>
      </c>
      <c r="O425" s="216"/>
      <c r="P425" s="205"/>
    </row>
    <row r="426" spans="1:16" ht="15.75">
      <c r="A426" s="205"/>
      <c r="B426" s="215"/>
      <c r="C426" s="205"/>
      <c r="D426" s="205"/>
      <c r="E426" s="205"/>
      <c r="F426" s="205"/>
      <c r="G426" s="215"/>
      <c r="H426" s="215"/>
      <c r="I426" s="216"/>
      <c r="J426" s="205"/>
      <c r="K426" s="205"/>
      <c r="L426" s="205" t="s">
        <v>315</v>
      </c>
      <c r="M426" s="215"/>
      <c r="N426" s="218">
        <f>Tabela1389101112131415[[#This Row],[Valor recibo]]</f>
        <v>0</v>
      </c>
      <c r="O426" s="216"/>
      <c r="P426" s="205"/>
    </row>
    <row r="427" spans="1:16" ht="15.75">
      <c r="A427" s="205"/>
      <c r="B427" s="215"/>
      <c r="C427" s="205"/>
      <c r="D427" s="205"/>
      <c r="E427" s="205"/>
      <c r="F427" s="205"/>
      <c r="G427" s="215"/>
      <c r="H427" s="215"/>
      <c r="I427" s="216"/>
      <c r="J427" s="205"/>
      <c r="K427" s="205"/>
      <c r="L427" s="205" t="s">
        <v>315</v>
      </c>
      <c r="M427" s="215"/>
      <c r="N427" s="218">
        <f>Tabela1389101112131415[[#This Row],[Valor recibo]]</f>
        <v>0</v>
      </c>
      <c r="O427" s="216"/>
      <c r="P427" s="205"/>
    </row>
    <row r="428" spans="1:16" ht="15.75">
      <c r="A428" s="205"/>
      <c r="B428" s="215"/>
      <c r="C428" s="205"/>
      <c r="D428" s="205"/>
      <c r="E428" s="205"/>
      <c r="F428" s="205"/>
      <c r="G428" s="215"/>
      <c r="H428" s="215"/>
      <c r="I428" s="216"/>
      <c r="J428" s="205"/>
      <c r="K428" s="205"/>
      <c r="L428" s="205" t="s">
        <v>315</v>
      </c>
      <c r="M428" s="215"/>
      <c r="N428" s="218">
        <f>Tabela1389101112131415[[#This Row],[Valor recibo]]</f>
        <v>0</v>
      </c>
      <c r="O428" s="216"/>
      <c r="P428" s="205"/>
    </row>
    <row r="429" spans="1:16" ht="15.75">
      <c r="A429" s="205"/>
      <c r="B429" s="215"/>
      <c r="C429" s="205"/>
      <c r="D429" s="205"/>
      <c r="E429" s="205"/>
      <c r="F429" s="205"/>
      <c r="G429" s="215"/>
      <c r="H429" s="215"/>
      <c r="I429" s="216"/>
      <c r="J429" s="205"/>
      <c r="K429" s="205"/>
      <c r="L429" s="205" t="s">
        <v>315</v>
      </c>
      <c r="M429" s="215"/>
      <c r="N429" s="218">
        <f>Tabela1389101112131415[[#This Row],[Valor recibo]]</f>
        <v>0</v>
      </c>
      <c r="O429" s="216"/>
      <c r="P429" s="205"/>
    </row>
    <row r="430" spans="1:16" ht="15.75">
      <c r="A430" s="205"/>
      <c r="B430" s="215"/>
      <c r="C430" s="205"/>
      <c r="D430" s="205"/>
      <c r="E430" s="205"/>
      <c r="F430" s="205"/>
      <c r="G430" s="215"/>
      <c r="H430" s="215"/>
      <c r="I430" s="216"/>
      <c r="J430" s="205"/>
      <c r="K430" s="205"/>
      <c r="L430" s="205" t="s">
        <v>315</v>
      </c>
      <c r="M430" s="215"/>
      <c r="N430" s="218">
        <f>Tabela1389101112131415[[#This Row],[Valor recibo]]</f>
        <v>0</v>
      </c>
      <c r="O430" s="216"/>
      <c r="P430" s="205"/>
    </row>
    <row r="431" spans="1:16" ht="15.75">
      <c r="A431" s="205"/>
      <c r="B431" s="215"/>
      <c r="C431" s="205"/>
      <c r="D431" s="205"/>
      <c r="E431" s="205"/>
      <c r="F431" s="205"/>
      <c r="G431" s="215"/>
      <c r="H431" s="215"/>
      <c r="I431" s="216"/>
      <c r="J431" s="205"/>
      <c r="K431" s="205"/>
      <c r="L431" s="205" t="s">
        <v>315</v>
      </c>
      <c r="M431" s="215"/>
      <c r="N431" s="218">
        <f>Tabela1389101112131415[[#This Row],[Valor recibo]]</f>
        <v>0</v>
      </c>
      <c r="O431" s="216"/>
      <c r="P431" s="205"/>
    </row>
    <row r="432" spans="1:16" ht="15.75">
      <c r="A432" s="205"/>
      <c r="B432" s="215"/>
      <c r="C432" s="205"/>
      <c r="D432" s="205"/>
      <c r="E432" s="205"/>
      <c r="F432" s="205"/>
      <c r="G432" s="215"/>
      <c r="H432" s="215"/>
      <c r="I432" s="216"/>
      <c r="J432" s="205"/>
      <c r="K432" s="205"/>
      <c r="L432" s="205" t="s">
        <v>315</v>
      </c>
      <c r="M432" s="215"/>
      <c r="N432" s="218">
        <f>Tabela1389101112131415[[#This Row],[Valor recibo]]</f>
        <v>0</v>
      </c>
      <c r="O432" s="216"/>
      <c r="P432" s="205"/>
    </row>
    <row r="433" spans="1:16" ht="15.75">
      <c r="A433" s="205"/>
      <c r="B433" s="215"/>
      <c r="C433" s="205"/>
      <c r="D433" s="205"/>
      <c r="E433" s="205"/>
      <c r="F433" s="205"/>
      <c r="G433" s="215"/>
      <c r="H433" s="215"/>
      <c r="I433" s="216"/>
      <c r="J433" s="205"/>
      <c r="K433" s="205"/>
      <c r="L433" s="205" t="s">
        <v>315</v>
      </c>
      <c r="M433" s="215"/>
      <c r="N433" s="218">
        <f>Tabela1389101112131415[[#This Row],[Valor recibo]]</f>
        <v>0</v>
      </c>
      <c r="O433" s="216"/>
      <c r="P433" s="205"/>
    </row>
    <row r="434" spans="1:16" ht="15.75">
      <c r="A434" s="205"/>
      <c r="B434" s="215"/>
      <c r="C434" s="205"/>
      <c r="D434" s="205"/>
      <c r="E434" s="205"/>
      <c r="F434" s="205"/>
      <c r="G434" s="215"/>
      <c r="H434" s="215"/>
      <c r="I434" s="216"/>
      <c r="J434" s="205"/>
      <c r="K434" s="205"/>
      <c r="L434" s="205" t="s">
        <v>315</v>
      </c>
      <c r="M434" s="215"/>
      <c r="N434" s="218">
        <f>Tabela1389101112131415[[#This Row],[Valor recibo]]</f>
        <v>0</v>
      </c>
      <c r="O434" s="216"/>
      <c r="P434" s="205"/>
    </row>
    <row r="435" spans="1:16" ht="15.75">
      <c r="A435" s="205"/>
      <c r="B435" s="215"/>
      <c r="C435" s="205"/>
      <c r="D435" s="205"/>
      <c r="E435" s="205"/>
      <c r="F435" s="205"/>
      <c r="G435" s="215"/>
      <c r="H435" s="215"/>
      <c r="I435" s="216"/>
      <c r="J435" s="205"/>
      <c r="K435" s="205"/>
      <c r="L435" s="205" t="s">
        <v>315</v>
      </c>
      <c r="M435" s="215"/>
      <c r="N435" s="218">
        <f>Tabela1389101112131415[[#This Row],[Valor recibo]]</f>
        <v>0</v>
      </c>
      <c r="O435" s="216"/>
      <c r="P435" s="205"/>
    </row>
    <row r="436" spans="1:16" ht="15.75">
      <c r="A436" s="205"/>
      <c r="B436" s="215"/>
      <c r="C436" s="205"/>
      <c r="D436" s="205"/>
      <c r="E436" s="205"/>
      <c r="F436" s="205"/>
      <c r="G436" s="215"/>
      <c r="H436" s="215"/>
      <c r="I436" s="216"/>
      <c r="J436" s="205"/>
      <c r="K436" s="205"/>
      <c r="L436" s="205" t="s">
        <v>315</v>
      </c>
      <c r="M436" s="215"/>
      <c r="N436" s="218">
        <f>Tabela1389101112131415[[#This Row],[Valor recibo]]</f>
        <v>0</v>
      </c>
      <c r="O436" s="216"/>
      <c r="P436" s="219"/>
    </row>
    <row r="437" spans="1:16" ht="15.75">
      <c r="A437" s="205"/>
      <c r="B437" s="215"/>
      <c r="C437" s="205"/>
      <c r="D437" s="205"/>
      <c r="E437" s="205"/>
      <c r="F437" s="205"/>
      <c r="G437" s="215"/>
      <c r="H437" s="215"/>
      <c r="I437" s="216"/>
      <c r="J437" s="205"/>
      <c r="K437" s="205"/>
      <c r="L437" s="205" t="s">
        <v>315</v>
      </c>
      <c r="M437" s="215"/>
      <c r="N437" s="218">
        <f>Tabela1389101112131415[[#This Row],[Valor recibo]]</f>
        <v>0</v>
      </c>
      <c r="O437" s="216"/>
      <c r="P437" s="205"/>
    </row>
    <row r="438" spans="1:16" ht="15.75">
      <c r="A438" s="205"/>
      <c r="B438" s="215"/>
      <c r="C438" s="205"/>
      <c r="D438" s="205"/>
      <c r="E438" s="205"/>
      <c r="F438" s="205"/>
      <c r="G438" s="215"/>
      <c r="H438" s="215"/>
      <c r="I438" s="216"/>
      <c r="J438" s="205"/>
      <c r="K438" s="205"/>
      <c r="L438" s="205" t="s">
        <v>315</v>
      </c>
      <c r="M438" s="215"/>
      <c r="N438" s="218">
        <f>Tabela1389101112131415[[#This Row],[Valor recibo]]</f>
        <v>0</v>
      </c>
      <c r="O438" s="216"/>
      <c r="P438" s="205"/>
    </row>
    <row r="439" spans="1:16" ht="15.75">
      <c r="A439" s="205"/>
      <c r="B439" s="215"/>
      <c r="C439" s="205"/>
      <c r="D439" s="205"/>
      <c r="E439" s="205"/>
      <c r="F439" s="205"/>
      <c r="G439" s="215"/>
      <c r="H439" s="215"/>
      <c r="I439" s="216"/>
      <c r="J439" s="205"/>
      <c r="K439" s="205"/>
      <c r="L439" s="205" t="s">
        <v>315</v>
      </c>
      <c r="M439" s="215"/>
      <c r="N439" s="218">
        <f>Tabela1389101112131415[[#This Row],[Valor recibo]]</f>
        <v>0</v>
      </c>
      <c r="O439" s="216"/>
      <c r="P439" s="205"/>
    </row>
    <row r="440" spans="1:16" ht="15.75">
      <c r="A440" s="205"/>
      <c r="B440" s="215"/>
      <c r="C440" s="205"/>
      <c r="D440" s="205"/>
      <c r="E440" s="205"/>
      <c r="F440" s="205"/>
      <c r="G440" s="215"/>
      <c r="H440" s="215"/>
      <c r="I440" s="216"/>
      <c r="J440" s="205"/>
      <c r="K440" s="205"/>
      <c r="L440" s="205" t="s">
        <v>315</v>
      </c>
      <c r="M440" s="215"/>
      <c r="N440" s="218">
        <f>Tabela1389101112131415[[#This Row],[Valor recibo]]</f>
        <v>0</v>
      </c>
      <c r="O440" s="216"/>
      <c r="P440" s="205"/>
    </row>
    <row r="441" spans="1:16" ht="15.75">
      <c r="A441" s="205"/>
      <c r="B441" s="215"/>
      <c r="C441" s="205"/>
      <c r="D441" s="205"/>
      <c r="E441" s="205"/>
      <c r="F441" s="205"/>
      <c r="G441" s="215"/>
      <c r="H441" s="215"/>
      <c r="I441" s="216"/>
      <c r="J441" s="205"/>
      <c r="K441" s="205"/>
      <c r="L441" s="205" t="s">
        <v>315</v>
      </c>
      <c r="M441" s="215"/>
      <c r="N441" s="218">
        <f>Tabela1389101112131415[[#This Row],[Valor recibo]]</f>
        <v>0</v>
      </c>
      <c r="O441" s="216"/>
      <c r="P441" s="205"/>
    </row>
    <row r="442" spans="1:16" ht="15.75">
      <c r="A442" s="205"/>
      <c r="B442" s="215"/>
      <c r="C442" s="205"/>
      <c r="D442" s="205"/>
      <c r="E442" s="205"/>
      <c r="F442" s="205"/>
      <c r="G442" s="215"/>
      <c r="H442" s="215"/>
      <c r="I442" s="216"/>
      <c r="J442" s="205"/>
      <c r="K442" s="205"/>
      <c r="L442" s="205" t="s">
        <v>315</v>
      </c>
      <c r="M442" s="215"/>
      <c r="N442" s="218">
        <f>Tabela1389101112131415[[#This Row],[Valor recibo]]</f>
        <v>0</v>
      </c>
      <c r="O442" s="216"/>
      <c r="P442" s="205"/>
    </row>
    <row r="443" spans="1:16" ht="15.75">
      <c r="A443" s="205"/>
      <c r="B443" s="215"/>
      <c r="C443" s="205"/>
      <c r="D443" s="205"/>
      <c r="E443" s="205"/>
      <c r="F443" s="205"/>
      <c r="G443" s="215"/>
      <c r="H443" s="215"/>
      <c r="I443" s="216"/>
      <c r="J443" s="205"/>
      <c r="K443" s="205"/>
      <c r="L443" s="205" t="s">
        <v>315</v>
      </c>
      <c r="M443" s="215"/>
      <c r="N443" s="218">
        <f>Tabela1389101112131415[[#This Row],[Valor recibo]]</f>
        <v>0</v>
      </c>
      <c r="O443" s="216"/>
      <c r="P443" s="205"/>
    </row>
    <row r="444" spans="1:16" ht="15.75">
      <c r="A444" s="205"/>
      <c r="B444" s="215"/>
      <c r="C444" s="205"/>
      <c r="D444" s="205"/>
      <c r="E444" s="205"/>
      <c r="F444" s="205"/>
      <c r="G444" s="215"/>
      <c r="H444" s="215"/>
      <c r="I444" s="216"/>
      <c r="J444" s="205"/>
      <c r="K444" s="205"/>
      <c r="L444" s="205" t="s">
        <v>315</v>
      </c>
      <c r="M444" s="215"/>
      <c r="N444" s="218">
        <f>Tabela1389101112131415[[#This Row],[Valor recibo]]</f>
        <v>0</v>
      </c>
      <c r="O444" s="216"/>
      <c r="P444" s="205"/>
    </row>
    <row r="445" spans="1:16" ht="15.75">
      <c r="A445" s="205"/>
      <c r="B445" s="215"/>
      <c r="C445" s="205"/>
      <c r="D445" s="205"/>
      <c r="E445" s="205"/>
      <c r="F445" s="205"/>
      <c r="G445" s="215"/>
      <c r="H445" s="215"/>
      <c r="I445" s="216"/>
      <c r="J445" s="205"/>
      <c r="K445" s="205"/>
      <c r="L445" s="205" t="s">
        <v>315</v>
      </c>
      <c r="M445" s="215"/>
      <c r="N445" s="218">
        <f>Tabela1389101112131415[[#This Row],[Valor recibo]]</f>
        <v>0</v>
      </c>
      <c r="O445" s="216"/>
      <c r="P445" s="205"/>
    </row>
    <row r="446" spans="1:16" ht="15.75">
      <c r="A446" s="205"/>
      <c r="B446" s="215"/>
      <c r="C446" s="205"/>
      <c r="D446" s="205"/>
      <c r="E446" s="205"/>
      <c r="F446" s="205"/>
      <c r="G446" s="215"/>
      <c r="H446" s="215"/>
      <c r="I446" s="216"/>
      <c r="J446" s="205"/>
      <c r="K446" s="205"/>
      <c r="L446" s="205" t="s">
        <v>315</v>
      </c>
      <c r="M446" s="215"/>
      <c r="N446" s="218">
        <f>Tabela1389101112131415[[#This Row],[Valor recibo]]</f>
        <v>0</v>
      </c>
      <c r="O446" s="216"/>
      <c r="P446" s="205"/>
    </row>
    <row r="447" spans="1:16" ht="15.75">
      <c r="A447" s="205"/>
      <c r="B447" s="215"/>
      <c r="C447" s="205"/>
      <c r="D447" s="205"/>
      <c r="E447" s="205"/>
      <c r="F447" s="205"/>
      <c r="G447" s="215"/>
      <c r="H447" s="215"/>
      <c r="I447" s="216"/>
      <c r="J447" s="205"/>
      <c r="K447" s="205"/>
      <c r="L447" s="205" t="s">
        <v>315</v>
      </c>
      <c r="M447" s="215"/>
      <c r="N447" s="218">
        <f>Tabela1389101112131415[[#This Row],[Valor recibo]]</f>
        <v>0</v>
      </c>
      <c r="O447" s="216"/>
      <c r="P447" s="205"/>
    </row>
    <row r="448" spans="1:16" ht="15.75">
      <c r="A448" s="205"/>
      <c r="B448" s="215"/>
      <c r="C448" s="205"/>
      <c r="D448" s="205"/>
      <c r="E448" s="205"/>
      <c r="F448" s="205"/>
      <c r="G448" s="215"/>
      <c r="H448" s="215"/>
      <c r="I448" s="216"/>
      <c r="J448" s="205"/>
      <c r="K448" s="205"/>
      <c r="L448" s="205" t="s">
        <v>315</v>
      </c>
      <c r="M448" s="215"/>
      <c r="N448" s="218">
        <f>Tabela1389101112131415[[#This Row],[Valor recibo]]</f>
        <v>0</v>
      </c>
      <c r="O448" s="216"/>
      <c r="P448" s="205"/>
    </row>
    <row r="449" spans="1:16" ht="15.75">
      <c r="A449" s="205"/>
      <c r="B449" s="215"/>
      <c r="C449" s="205"/>
      <c r="D449" s="205"/>
      <c r="E449" s="205"/>
      <c r="F449" s="205"/>
      <c r="G449" s="215"/>
      <c r="H449" s="215"/>
      <c r="I449" s="216"/>
      <c r="J449" s="205"/>
      <c r="K449" s="205"/>
      <c r="L449" s="205" t="s">
        <v>315</v>
      </c>
      <c r="M449" s="215"/>
      <c r="N449" s="218">
        <f>Tabela1389101112131415[[#This Row],[Valor recibo]]</f>
        <v>0</v>
      </c>
      <c r="O449" s="216"/>
      <c r="P449" s="205"/>
    </row>
    <row r="450" spans="1:16" ht="15.75">
      <c r="A450" s="205"/>
      <c r="B450" s="215"/>
      <c r="C450" s="205"/>
      <c r="D450" s="205"/>
      <c r="E450" s="205"/>
      <c r="F450" s="205"/>
      <c r="G450" s="215"/>
      <c r="H450" s="215"/>
      <c r="I450" s="216"/>
      <c r="J450" s="205"/>
      <c r="K450" s="205"/>
      <c r="L450" s="205" t="s">
        <v>315</v>
      </c>
      <c r="M450" s="215"/>
      <c r="N450" s="218">
        <f>Tabela1389101112131415[[#This Row],[Valor recibo]]</f>
        <v>0</v>
      </c>
      <c r="O450" s="216"/>
      <c r="P450" s="205"/>
    </row>
    <row r="451" spans="1:16" ht="15.75">
      <c r="A451" s="205"/>
      <c r="B451" s="215"/>
      <c r="C451" s="205"/>
      <c r="D451" s="205"/>
      <c r="E451" s="205"/>
      <c r="F451" s="205"/>
      <c r="G451" s="215"/>
      <c r="H451" s="215"/>
      <c r="I451" s="216"/>
      <c r="J451" s="205"/>
      <c r="K451" s="205"/>
      <c r="L451" s="205" t="s">
        <v>315</v>
      </c>
      <c r="M451" s="215"/>
      <c r="N451" s="218">
        <f>Tabela1389101112131415[[#This Row],[Valor recibo]]</f>
        <v>0</v>
      </c>
      <c r="O451" s="216"/>
      <c r="P451" s="205"/>
    </row>
    <row r="452" spans="1:16" ht="15.75">
      <c r="A452" s="205"/>
      <c r="B452" s="215"/>
      <c r="C452" s="205"/>
      <c r="D452" s="205"/>
      <c r="E452" s="205"/>
      <c r="F452" s="205"/>
      <c r="G452" s="215"/>
      <c r="H452" s="215"/>
      <c r="I452" s="216"/>
      <c r="J452" s="205"/>
      <c r="K452" s="205"/>
      <c r="L452" s="205" t="s">
        <v>315</v>
      </c>
      <c r="M452" s="215"/>
      <c r="N452" s="218">
        <f>Tabela1389101112131415[[#This Row],[Valor recibo]]</f>
        <v>0</v>
      </c>
      <c r="O452" s="216"/>
      <c r="P452" s="205"/>
    </row>
    <row r="453" spans="1:16" ht="15.75">
      <c r="A453" s="205"/>
      <c r="B453" s="215"/>
      <c r="C453" s="205"/>
      <c r="D453" s="205"/>
      <c r="E453" s="205"/>
      <c r="F453" s="205"/>
      <c r="G453" s="215"/>
      <c r="H453" s="215"/>
      <c r="I453" s="216"/>
      <c r="J453" s="205"/>
      <c r="K453" s="205"/>
      <c r="L453" s="205" t="s">
        <v>315</v>
      </c>
      <c r="M453" s="215"/>
      <c r="N453" s="218">
        <f>Tabela1389101112131415[[#This Row],[Valor recibo]]</f>
        <v>0</v>
      </c>
      <c r="O453" s="216"/>
      <c r="P453" s="205"/>
    </row>
    <row r="454" spans="1:16" ht="15.75">
      <c r="A454" s="205"/>
      <c r="B454" s="215"/>
      <c r="C454" s="205"/>
      <c r="D454" s="205"/>
      <c r="E454" s="205"/>
      <c r="F454" s="205"/>
      <c r="G454" s="215"/>
      <c r="H454" s="215"/>
      <c r="I454" s="216"/>
      <c r="J454" s="205"/>
      <c r="K454" s="205"/>
      <c r="L454" s="205" t="s">
        <v>315</v>
      </c>
      <c r="M454" s="215"/>
      <c r="N454" s="218">
        <f>Tabela1389101112131415[[#This Row],[Valor recibo]]</f>
        <v>0</v>
      </c>
      <c r="O454" s="216"/>
      <c r="P454" s="205"/>
    </row>
    <row r="455" spans="1:16" ht="15.75">
      <c r="A455" s="205"/>
      <c r="B455" s="215"/>
      <c r="C455" s="205"/>
      <c r="D455" s="205"/>
      <c r="E455" s="205"/>
      <c r="F455" s="205"/>
      <c r="G455" s="215"/>
      <c r="H455" s="215"/>
      <c r="I455" s="216"/>
      <c r="J455" s="205"/>
      <c r="K455" s="205"/>
      <c r="L455" s="205" t="s">
        <v>315</v>
      </c>
      <c r="M455" s="215"/>
      <c r="N455" s="218">
        <f>Tabela1389101112131415[[#This Row],[Valor recibo]]</f>
        <v>0</v>
      </c>
      <c r="O455" s="216"/>
      <c r="P455" s="205"/>
    </row>
    <row r="456" spans="1:16" ht="15.75">
      <c r="A456" s="205"/>
      <c r="B456" s="215"/>
      <c r="C456" s="205"/>
      <c r="D456" s="205"/>
      <c r="E456" s="205"/>
      <c r="F456" s="205"/>
      <c r="G456" s="215"/>
      <c r="H456" s="215"/>
      <c r="I456" s="216"/>
      <c r="J456" s="205"/>
      <c r="K456" s="205"/>
      <c r="L456" s="205" t="s">
        <v>315</v>
      </c>
      <c r="M456" s="215"/>
      <c r="N456" s="218">
        <f>Tabela1389101112131415[[#This Row],[Valor recibo]]</f>
        <v>0</v>
      </c>
      <c r="O456" s="216"/>
      <c r="P456" s="205"/>
    </row>
    <row r="457" spans="1:16" ht="15.75">
      <c r="A457" s="205"/>
      <c r="B457" s="215"/>
      <c r="C457" s="205"/>
      <c r="D457" s="205"/>
      <c r="E457" s="205"/>
      <c r="F457" s="205"/>
      <c r="G457" s="215"/>
      <c r="H457" s="215"/>
      <c r="I457" s="216"/>
      <c r="J457" s="205"/>
      <c r="K457" s="205"/>
      <c r="L457" s="205" t="s">
        <v>315</v>
      </c>
      <c r="M457" s="215"/>
      <c r="N457" s="218">
        <f>Tabela1389101112131415[[#This Row],[Valor recibo]]</f>
        <v>0</v>
      </c>
      <c r="O457" s="216"/>
      <c r="P457" s="205"/>
    </row>
    <row r="458" spans="1:16" ht="15.75">
      <c r="A458" s="205"/>
      <c r="B458" s="215"/>
      <c r="C458" s="205"/>
      <c r="D458" s="205"/>
      <c r="E458" s="205"/>
      <c r="F458" s="205"/>
      <c r="G458" s="215"/>
      <c r="H458" s="215"/>
      <c r="I458" s="216"/>
      <c r="J458" s="205"/>
      <c r="K458" s="205"/>
      <c r="L458" s="205" t="s">
        <v>315</v>
      </c>
      <c r="M458" s="215"/>
      <c r="N458" s="218">
        <f>Tabela1389101112131415[[#This Row],[Valor recibo]]</f>
        <v>0</v>
      </c>
      <c r="O458" s="216"/>
      <c r="P458" s="205"/>
    </row>
    <row r="459" spans="1:16" ht="15.75">
      <c r="A459" s="205"/>
      <c r="B459" s="215"/>
      <c r="C459" s="205"/>
      <c r="D459" s="205"/>
      <c r="E459" s="205"/>
      <c r="F459" s="205"/>
      <c r="G459" s="215"/>
      <c r="H459" s="215"/>
      <c r="I459" s="216"/>
      <c r="J459" s="205"/>
      <c r="K459" s="205"/>
      <c r="L459" s="205" t="s">
        <v>315</v>
      </c>
      <c r="M459" s="215"/>
      <c r="N459" s="218">
        <f>Tabela1389101112131415[[#This Row],[Valor recibo]]</f>
        <v>0</v>
      </c>
      <c r="O459" s="216"/>
      <c r="P459" s="205"/>
    </row>
    <row r="460" spans="1:16" ht="15.75">
      <c r="A460" s="205"/>
      <c r="B460" s="215"/>
      <c r="C460" s="205"/>
      <c r="D460" s="205"/>
      <c r="E460" s="205"/>
      <c r="F460" s="205"/>
      <c r="G460" s="215"/>
      <c r="H460" s="215"/>
      <c r="I460" s="216"/>
      <c r="J460" s="205"/>
      <c r="K460" s="205"/>
      <c r="L460" s="205" t="s">
        <v>315</v>
      </c>
      <c r="M460" s="215"/>
      <c r="N460" s="218">
        <f>Tabela1389101112131415[[#This Row],[Valor recibo]]</f>
        <v>0</v>
      </c>
      <c r="O460" s="216"/>
      <c r="P460" s="205"/>
    </row>
    <row r="461" spans="1:16" ht="15.75">
      <c r="A461" s="205"/>
      <c r="B461" s="215"/>
      <c r="C461" s="205"/>
      <c r="D461" s="205"/>
      <c r="E461" s="205"/>
      <c r="F461" s="205"/>
      <c r="G461" s="215"/>
      <c r="H461" s="215"/>
      <c r="I461" s="216"/>
      <c r="J461" s="205"/>
      <c r="K461" s="205"/>
      <c r="L461" s="205" t="s">
        <v>315</v>
      </c>
      <c r="M461" s="215"/>
      <c r="N461" s="218">
        <f>Tabela1389101112131415[[#This Row],[Valor recibo]]</f>
        <v>0</v>
      </c>
      <c r="O461" s="216"/>
      <c r="P461" s="205"/>
    </row>
    <row r="462" spans="1:16" ht="15.75">
      <c r="A462" s="205"/>
      <c r="B462" s="215"/>
      <c r="C462" s="205"/>
      <c r="D462" s="205"/>
      <c r="E462" s="205"/>
      <c r="F462" s="205"/>
      <c r="G462" s="215"/>
      <c r="H462" s="215"/>
      <c r="I462" s="216"/>
      <c r="J462" s="205"/>
      <c r="K462" s="205"/>
      <c r="L462" s="205" t="s">
        <v>315</v>
      </c>
      <c r="M462" s="215"/>
      <c r="N462" s="218">
        <f>Tabela1389101112131415[[#This Row],[Valor recibo]]</f>
        <v>0</v>
      </c>
      <c r="O462" s="216"/>
      <c r="P462" s="205"/>
    </row>
    <row r="463" spans="1:16" ht="15.75">
      <c r="A463" s="205"/>
      <c r="B463" s="215"/>
      <c r="C463" s="205"/>
      <c r="D463" s="205"/>
      <c r="E463" s="205"/>
      <c r="F463" s="205"/>
      <c r="G463" s="215"/>
      <c r="H463" s="215"/>
      <c r="I463" s="216"/>
      <c r="J463" s="205"/>
      <c r="K463" s="205"/>
      <c r="L463" s="205" t="s">
        <v>315</v>
      </c>
      <c r="M463" s="215"/>
      <c r="N463" s="218">
        <f>Tabela1389101112131415[[#This Row],[Valor recibo]]</f>
        <v>0</v>
      </c>
      <c r="O463" s="216"/>
      <c r="P463" s="205"/>
    </row>
    <row r="464" spans="1:16" ht="15.75">
      <c r="A464" s="205"/>
      <c r="B464" s="215"/>
      <c r="C464" s="205"/>
      <c r="D464" s="205"/>
      <c r="E464" s="205"/>
      <c r="F464" s="205"/>
      <c r="G464" s="215"/>
      <c r="H464" s="215"/>
      <c r="I464" s="216"/>
      <c r="J464" s="205"/>
      <c r="K464" s="205"/>
      <c r="L464" s="205" t="s">
        <v>315</v>
      </c>
      <c r="M464" s="215"/>
      <c r="N464" s="218">
        <f>Tabela1389101112131415[[#This Row],[Valor recibo]]</f>
        <v>0</v>
      </c>
      <c r="O464" s="216"/>
      <c r="P464" s="205"/>
    </row>
    <row r="465" spans="1:16" ht="15.75">
      <c r="A465" s="205"/>
      <c r="B465" s="215"/>
      <c r="C465" s="205" t="e">
        <f>IF(#REF!="","",VLOOKUP(#REF!,'[1]Ativos Agregados'!#REF!,2,0))</f>
        <v>#REF!</v>
      </c>
      <c r="D465" s="205"/>
      <c r="E465" s="205"/>
      <c r="F465" s="205"/>
      <c r="G465" s="215"/>
      <c r="H465" s="215"/>
      <c r="I465" s="216"/>
      <c r="J465" s="205"/>
      <c r="K465" s="205"/>
      <c r="L465" s="205" t="s">
        <v>315</v>
      </c>
      <c r="M465" s="215"/>
      <c r="N465" s="218">
        <f>Tabela1389101112131415[[#This Row],[Valor recibo]]</f>
        <v>0</v>
      </c>
      <c r="O465" s="216"/>
      <c r="P465" s="205"/>
    </row>
    <row r="466" spans="1:16" ht="15.75">
      <c r="A466" s="205"/>
      <c r="B466" s="215"/>
      <c r="C466" s="205" t="e">
        <f>IF(#REF!="","",VLOOKUP(#REF!,'[1]Ativos Agregados'!#REF!,2,0))</f>
        <v>#REF!</v>
      </c>
      <c r="D466" s="205"/>
      <c r="E466" s="205"/>
      <c r="F466" s="205"/>
      <c r="G466" s="215"/>
      <c r="H466" s="215"/>
      <c r="I466" s="216"/>
      <c r="J466" s="205"/>
      <c r="K466" s="205"/>
      <c r="L466" s="205" t="s">
        <v>315</v>
      </c>
      <c r="M466" s="215"/>
      <c r="N466" s="218">
        <f>Tabela1389101112131415[[#This Row],[Valor recibo]]</f>
        <v>0</v>
      </c>
      <c r="O466" s="216"/>
      <c r="P466" s="205"/>
    </row>
    <row r="467" spans="1:16" ht="15.75">
      <c r="A467" s="205"/>
      <c r="B467" s="215"/>
      <c r="C467" s="205" t="e">
        <f>IF(#REF!="","",VLOOKUP(#REF!,'[1]Ativos Agregados'!#REF!,2,0))</f>
        <v>#REF!</v>
      </c>
      <c r="D467" s="205"/>
      <c r="E467" s="205"/>
      <c r="F467" s="205"/>
      <c r="G467" s="215"/>
      <c r="H467" s="215"/>
      <c r="I467" s="216"/>
      <c r="J467" s="205"/>
      <c r="K467" s="205"/>
      <c r="L467" s="205" t="s">
        <v>315</v>
      </c>
      <c r="M467" s="215"/>
      <c r="N467" s="218">
        <f>Tabela1389101112131415[[#This Row],[Valor recibo]]</f>
        <v>0</v>
      </c>
      <c r="O467" s="216"/>
      <c r="P467" s="205"/>
    </row>
    <row r="468" spans="1:16" ht="15.75">
      <c r="A468" s="205"/>
      <c r="B468" s="215"/>
      <c r="C468" s="205" t="e">
        <f>IF(#REF!="","",VLOOKUP(#REF!,'[1]Ativos Agregados'!#REF!,2,0))</f>
        <v>#REF!</v>
      </c>
      <c r="D468" s="205"/>
      <c r="E468" s="205"/>
      <c r="F468" s="205"/>
      <c r="G468" s="215"/>
      <c r="H468" s="215"/>
      <c r="I468" s="216"/>
      <c r="J468" s="205"/>
      <c r="K468" s="205"/>
      <c r="L468" s="205" t="s">
        <v>315</v>
      </c>
      <c r="M468" s="215"/>
      <c r="N468" s="218">
        <f>Tabela1389101112131415[[#This Row],[Valor recibo]]</f>
        <v>0</v>
      </c>
      <c r="O468" s="216"/>
      <c r="P468" s="205"/>
    </row>
    <row r="469" spans="1:16" ht="15.75">
      <c r="A469" s="205"/>
      <c r="B469" s="215"/>
      <c r="C469" s="205" t="e">
        <f>IF(#REF!="","",VLOOKUP(#REF!,'[1]Ativos Agregados'!#REF!,2,0))</f>
        <v>#REF!</v>
      </c>
      <c r="D469" s="205"/>
      <c r="E469" s="205"/>
      <c r="F469" s="205"/>
      <c r="G469" s="215"/>
      <c r="H469" s="215"/>
      <c r="I469" s="216"/>
      <c r="J469" s="205"/>
      <c r="K469" s="205"/>
      <c r="L469" s="205" t="s">
        <v>315</v>
      </c>
      <c r="M469" s="215"/>
      <c r="N469" s="218">
        <f>Tabela1389101112131415[[#This Row],[Valor recibo]]</f>
        <v>0</v>
      </c>
      <c r="O469" s="216"/>
      <c r="P469" s="205"/>
    </row>
    <row r="470" spans="1:16" ht="15.75">
      <c r="A470" s="205"/>
      <c r="B470" s="215"/>
      <c r="C470" s="205" t="e">
        <f>IF(#REF!="","",VLOOKUP(#REF!,'[1]Ativos Agregados'!#REF!,2,0))</f>
        <v>#REF!</v>
      </c>
      <c r="D470" s="205"/>
      <c r="E470" s="205"/>
      <c r="F470" s="205"/>
      <c r="G470" s="215"/>
      <c r="H470" s="215"/>
      <c r="I470" s="216"/>
      <c r="J470" s="205"/>
      <c r="K470" s="205"/>
      <c r="L470" s="205" t="s">
        <v>315</v>
      </c>
      <c r="M470" s="215"/>
      <c r="N470" s="218">
        <f>Tabela1389101112131415[[#This Row],[Valor recibo]]</f>
        <v>0</v>
      </c>
      <c r="O470" s="216"/>
      <c r="P470" s="205"/>
    </row>
    <row r="471" spans="1:16" ht="15.75">
      <c r="A471" s="205"/>
      <c r="B471" s="215"/>
      <c r="C471" s="205" t="e">
        <f>IF(#REF!="","",VLOOKUP(#REF!,'[1]Ativos Agregados'!#REF!,2,0))</f>
        <v>#REF!</v>
      </c>
      <c r="D471" s="205"/>
      <c r="E471" s="205"/>
      <c r="F471" s="205"/>
      <c r="G471" s="215"/>
      <c r="H471" s="215"/>
      <c r="I471" s="216"/>
      <c r="J471" s="205"/>
      <c r="K471" s="205"/>
      <c r="L471" s="205" t="s">
        <v>315</v>
      </c>
      <c r="M471" s="215"/>
      <c r="N471" s="218">
        <f>Tabela1389101112131415[[#This Row],[Valor recibo]]</f>
        <v>0</v>
      </c>
      <c r="O471" s="216"/>
      <c r="P471" s="205"/>
    </row>
    <row r="472" spans="1:16" ht="15.75">
      <c r="A472" s="205"/>
      <c r="B472" s="215"/>
      <c r="C472" s="205" t="e">
        <f>IF(#REF!="","",VLOOKUP(#REF!,'[1]Ativos Agregados'!#REF!,2,0))</f>
        <v>#REF!</v>
      </c>
      <c r="D472" s="205"/>
      <c r="E472" s="205"/>
      <c r="F472" s="205"/>
      <c r="G472" s="215"/>
      <c r="H472" s="215"/>
      <c r="I472" s="216"/>
      <c r="J472" s="205"/>
      <c r="K472" s="205"/>
      <c r="L472" s="205" t="s">
        <v>315</v>
      </c>
      <c r="M472" s="215"/>
      <c r="N472" s="218">
        <f>Tabela1389101112131415[[#This Row],[Valor recibo]]</f>
        <v>0</v>
      </c>
      <c r="O472" s="216"/>
      <c r="P472" s="205"/>
    </row>
    <row r="473" spans="1:16" ht="15.75">
      <c r="A473" s="205"/>
      <c r="B473" s="215"/>
      <c r="C473" s="205" t="e">
        <f>IF(#REF!="","",VLOOKUP(#REF!,'[1]Ativos Agregados'!#REF!,2,0))</f>
        <v>#REF!</v>
      </c>
      <c r="D473" s="205"/>
      <c r="E473" s="205"/>
      <c r="F473" s="205"/>
      <c r="G473" s="215"/>
      <c r="H473" s="215"/>
      <c r="I473" s="216"/>
      <c r="J473" s="205"/>
      <c r="K473" s="205"/>
      <c r="L473" s="205" t="s">
        <v>315</v>
      </c>
      <c r="M473" s="215"/>
      <c r="N473" s="218">
        <f>Tabela1389101112131415[[#This Row],[Valor recibo]]</f>
        <v>0</v>
      </c>
      <c r="O473" s="216"/>
      <c r="P473" s="205"/>
    </row>
    <row r="474" spans="1:16" ht="15.75">
      <c r="A474" s="205"/>
      <c r="B474" s="215"/>
      <c r="C474" s="205" t="e">
        <f>IF(#REF!="","",VLOOKUP(#REF!,'[1]Ativos Agregados'!#REF!,2,0))</f>
        <v>#REF!</v>
      </c>
      <c r="D474" s="205"/>
      <c r="E474" s="205"/>
      <c r="F474" s="205"/>
      <c r="G474" s="215"/>
      <c r="H474" s="215"/>
      <c r="I474" s="216"/>
      <c r="J474" s="205"/>
      <c r="K474" s="205"/>
      <c r="L474" s="205" t="s">
        <v>315</v>
      </c>
      <c r="M474" s="215"/>
      <c r="N474" s="218">
        <f>Tabela1389101112131415[[#This Row],[Valor recibo]]</f>
        <v>0</v>
      </c>
      <c r="O474" s="216"/>
      <c r="P474" s="205"/>
    </row>
    <row r="475" spans="1:16" ht="15.75">
      <c r="A475" s="205"/>
      <c r="B475" s="215"/>
      <c r="C475" s="205" t="e">
        <f>IF(#REF!="","",VLOOKUP(#REF!,'[1]Ativos Agregados'!#REF!,2,0))</f>
        <v>#REF!</v>
      </c>
      <c r="D475" s="205"/>
      <c r="E475" s="205"/>
      <c r="F475" s="205"/>
      <c r="G475" s="215"/>
      <c r="H475" s="215"/>
      <c r="I475" s="216"/>
      <c r="J475" s="205"/>
      <c r="K475" s="205"/>
      <c r="L475" s="205" t="s">
        <v>315</v>
      </c>
      <c r="M475" s="215"/>
      <c r="N475" s="218">
        <f>Tabela1389101112131415[[#This Row],[Valor recibo]]</f>
        <v>0</v>
      </c>
      <c r="O475" s="216"/>
      <c r="P475" s="205"/>
    </row>
    <row r="476" spans="1:16" ht="15.75">
      <c r="A476" s="205"/>
      <c r="B476" s="215"/>
      <c r="C476" s="205" t="e">
        <f>IF(#REF!="","",VLOOKUP(#REF!,'[1]Ativos Agregados'!#REF!,2,0))</f>
        <v>#REF!</v>
      </c>
      <c r="D476" s="205"/>
      <c r="E476" s="205"/>
      <c r="F476" s="205"/>
      <c r="G476" s="215"/>
      <c r="H476" s="215"/>
      <c r="I476" s="216"/>
      <c r="J476" s="205"/>
      <c r="K476" s="205"/>
      <c r="L476" s="205" t="s">
        <v>315</v>
      </c>
      <c r="M476" s="215"/>
      <c r="N476" s="218">
        <f>Tabela1389101112131415[[#This Row],[Valor recibo]]</f>
        <v>0</v>
      </c>
      <c r="O476" s="216"/>
      <c r="P476" s="205"/>
    </row>
    <row r="477" spans="1:16" ht="15.75">
      <c r="A477" s="205"/>
      <c r="B477" s="215"/>
      <c r="C477" s="205" t="e">
        <f>IF(#REF!="","",VLOOKUP(#REF!,'[1]Ativos Agregados'!#REF!,2,0))</f>
        <v>#REF!</v>
      </c>
      <c r="D477" s="205"/>
      <c r="E477" s="205"/>
      <c r="F477" s="205"/>
      <c r="G477" s="215"/>
      <c r="H477" s="215"/>
      <c r="I477" s="216"/>
      <c r="J477" s="205"/>
      <c r="K477" s="205"/>
      <c r="L477" s="205"/>
      <c r="M477" s="215"/>
      <c r="N477" s="218">
        <f>Tabela1389101112131415[[#This Row],[Valor recibo]]</f>
        <v>0</v>
      </c>
      <c r="O477" s="216"/>
      <c r="P477" s="205"/>
    </row>
    <row r="478" spans="1:16" ht="15.75">
      <c r="A478" s="205"/>
      <c r="B478" s="215"/>
      <c r="C478" s="205" t="e">
        <f>IF(#REF!="","",VLOOKUP(#REF!,'[1]Ativos Agregados'!#REF!,2,0))</f>
        <v>#REF!</v>
      </c>
      <c r="D478" s="205"/>
      <c r="E478" s="205"/>
      <c r="F478" s="205"/>
      <c r="G478" s="215"/>
      <c r="H478" s="215"/>
      <c r="I478" s="216"/>
      <c r="J478" s="205"/>
      <c r="K478" s="205"/>
      <c r="L478" s="205"/>
      <c r="M478" s="215"/>
      <c r="N478" s="218">
        <f>Tabela1389101112131415[[#This Row],[Valor recibo]]</f>
        <v>0</v>
      </c>
      <c r="O478" s="216"/>
      <c r="P478" s="205"/>
    </row>
    <row r="479" spans="1:16" ht="15.75">
      <c r="A479" s="205"/>
      <c r="B479" s="215"/>
      <c r="C479" s="205" t="e">
        <f>IF(#REF!="","",VLOOKUP(#REF!,'[1]Ativos Agregados'!#REF!,2,0))</f>
        <v>#REF!</v>
      </c>
      <c r="D479" s="205"/>
      <c r="E479" s="205"/>
      <c r="F479" s="205"/>
      <c r="G479" s="215"/>
      <c r="H479" s="215"/>
      <c r="I479" s="216"/>
      <c r="J479" s="205"/>
      <c r="K479" s="205"/>
      <c r="L479" s="205"/>
      <c r="M479" s="215"/>
      <c r="N479" s="218">
        <f>Tabela1389101112131415[[#This Row],[Valor recibo]]</f>
        <v>0</v>
      </c>
      <c r="O479" s="216"/>
      <c r="P479" s="205"/>
    </row>
    <row r="480" spans="1:16" ht="15.75">
      <c r="A480" s="205"/>
      <c r="B480" s="215"/>
      <c r="C480" s="205" t="e">
        <f>IF(#REF!="","",VLOOKUP(#REF!,'[1]Ativos Agregados'!#REF!,2,0))</f>
        <v>#REF!</v>
      </c>
      <c r="D480" s="205"/>
      <c r="E480" s="205"/>
      <c r="F480" s="205"/>
      <c r="G480" s="215"/>
      <c r="H480" s="215"/>
      <c r="I480" s="216"/>
      <c r="J480" s="205"/>
      <c r="K480" s="205"/>
      <c r="L480" s="205"/>
      <c r="M480" s="215"/>
      <c r="N480" s="218">
        <f>Tabela1389101112131415[[#This Row],[Valor recibo]]</f>
        <v>0</v>
      </c>
      <c r="O480" s="216"/>
      <c r="P480" s="205"/>
    </row>
    <row r="481" spans="1:16" ht="15.75">
      <c r="A481" s="205"/>
      <c r="B481" s="215"/>
      <c r="C481" s="205" t="e">
        <f>IF(#REF!="","",VLOOKUP(#REF!,'[1]Ativos Agregados'!#REF!,2,0))</f>
        <v>#REF!</v>
      </c>
      <c r="D481" s="205"/>
      <c r="E481" s="205"/>
      <c r="F481" s="205"/>
      <c r="G481" s="215"/>
      <c r="H481" s="215"/>
      <c r="I481" s="216"/>
      <c r="J481" s="205"/>
      <c r="K481" s="205"/>
      <c r="L481" s="205"/>
      <c r="M481" s="215"/>
      <c r="N481" s="218">
        <f>Tabela1389101112131415[[#This Row],[Valor recibo]]</f>
        <v>0</v>
      </c>
      <c r="O481" s="216"/>
      <c r="P481" s="205"/>
    </row>
    <row r="482" spans="1:16" ht="15.75">
      <c r="A482" s="205"/>
      <c r="B482" s="215"/>
      <c r="C482" s="205" t="e">
        <f>IF(#REF!="","",VLOOKUP(#REF!,'[1]Ativos Agregados'!#REF!,2,0))</f>
        <v>#REF!</v>
      </c>
      <c r="D482" s="205"/>
      <c r="E482" s="205"/>
      <c r="F482" s="205"/>
      <c r="G482" s="215"/>
      <c r="H482" s="215"/>
      <c r="I482" s="216"/>
      <c r="J482" s="205"/>
      <c r="K482" s="205"/>
      <c r="L482" s="205"/>
      <c r="M482" s="215"/>
      <c r="N482" s="218">
        <f>Tabela1389101112131415[[#This Row],[Valor recibo]]</f>
        <v>0</v>
      </c>
      <c r="O482" s="216"/>
      <c r="P482" s="205"/>
    </row>
    <row r="490" spans="1:16">
      <c r="C490" t="s">
        <v>329</v>
      </c>
    </row>
  </sheetData>
  <conditionalFormatting sqref="A1:A1048576">
    <cfRule type="duplicateValues" dxfId="335" priority="13"/>
  </conditionalFormatting>
  <conditionalFormatting sqref="A3:A482">
    <cfRule type="duplicateValues" dxfId="334" priority="12"/>
  </conditionalFormatting>
  <conditionalFormatting sqref="L3:L482">
    <cfRule type="cellIs" dxfId="333" priority="8" operator="equal">
      <formula>"LANÇADO"</formula>
    </cfRule>
    <cfRule type="cellIs" dxfId="332" priority="9" operator="equal">
      <formula>"PENDENTE"</formula>
    </cfRule>
  </conditionalFormatting>
  <conditionalFormatting sqref="N3:N482">
    <cfRule type="cellIs" dxfId="331" priority="4" operator="lessThan">
      <formula>0</formula>
    </cfRule>
  </conditionalFormatting>
  <conditionalFormatting sqref="O1:O464 N465:O482 O483:O1048576">
    <cfRule type="cellIs" dxfId="330" priority="10" operator="lessThan">
      <formula>0</formula>
    </cfRule>
  </conditionalFormatting>
  <conditionalFormatting sqref="O3:O464">
    <cfRule type="cellIs" dxfId="329" priority="11" operator="lessThan">
      <formula>0</formula>
    </cfRule>
  </conditionalFormatting>
  <dataValidations count="3">
    <dataValidation type="list" allowBlank="1" showInputMessage="1" showErrorMessage="1" sqref="L3:L482" xr:uid="{E06B03FD-18C7-4DCD-AE97-96EF984DC61F}">
      <formula1>"LANÇADO,PENDENTE"</formula1>
    </dataValidation>
    <dataValidation type="list" allowBlank="1" showInputMessage="1" showErrorMessage="1" sqref="K3:K482" xr:uid="{FCB2B45E-BF09-4BDF-A723-6724D1589B4D}">
      <formula1>"PENDENTE,ANEXADO,ISENTO"</formula1>
    </dataValidation>
    <dataValidation type="list" allowBlank="1" showInputMessage="1" showErrorMessage="1" sqref="J3:J482" xr:uid="{55F06BBA-9537-4E6A-9ECA-F3FA82C5AC2B}">
      <formula1>"PENDENTE,OK,ISENTO"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8C2B-50DF-4657-B2EB-30BE75C4A2EF}">
  <dimension ref="A1:BH565"/>
  <sheetViews>
    <sheetView showGridLines="0" tabSelected="1" zoomScaleNormal="100" workbookViewId="0">
      <pane ySplit="2" topLeftCell="A5" activePane="bottomLeft" state="frozen"/>
      <selection pane="bottomLeft" activeCell="D12" sqref="D12"/>
    </sheetView>
  </sheetViews>
  <sheetFormatPr defaultColWidth="9.140625" defaultRowHeight="15" customHeight="1"/>
  <cols>
    <col min="1" max="1" width="19.42578125" customWidth="1"/>
    <col min="2" max="2" width="26.42578125" customWidth="1"/>
    <col min="3" max="5" width="28.5703125" customWidth="1"/>
    <col min="6" max="6" width="6.7109375" customWidth="1"/>
    <col min="7" max="7" width="21.7109375" bestFit="1" customWidth="1"/>
    <col min="8" max="8" width="98.85546875" bestFit="1" customWidth="1"/>
    <col min="9" max="9" width="15.5703125" style="10" bestFit="1" customWidth="1"/>
    <col min="10" max="10" width="13.7109375" style="10" bestFit="1" customWidth="1"/>
    <col min="11" max="11" width="13.7109375" style="12" bestFit="1" customWidth="1"/>
    <col min="12" max="12" width="54.28515625" customWidth="1"/>
    <col min="13" max="13" width="13.7109375" bestFit="1" customWidth="1"/>
    <col min="14" max="14" width="14.5703125" bestFit="1" customWidth="1"/>
    <col min="15" max="15" width="18.7109375" style="10" bestFit="1" customWidth="1"/>
    <col min="16" max="16" width="18.42578125" style="15" bestFit="1" customWidth="1"/>
    <col min="17" max="17" width="6" bestFit="1" customWidth="1"/>
    <col min="18" max="18" width="18.85546875" bestFit="1" customWidth="1"/>
    <col min="19" max="19" width="20.28515625" bestFit="1" customWidth="1"/>
    <col min="20" max="20" width="8.7109375" bestFit="1" customWidth="1"/>
    <col min="21" max="21" width="11.42578125" bestFit="1" customWidth="1"/>
    <col min="22" max="22" width="2.28515625" bestFit="1" customWidth="1"/>
    <col min="23" max="23" width="16.85546875" bestFit="1" customWidth="1"/>
    <col min="24" max="24" width="19.7109375" style="11" customWidth="1"/>
    <col min="25" max="25" width="29.85546875" style="233" customWidth="1"/>
    <col min="26" max="26" width="35.140625" customWidth="1"/>
  </cols>
  <sheetData>
    <row r="1" spans="1:26">
      <c r="A1" s="318" t="s">
        <v>593</v>
      </c>
      <c r="D1" s="318" t="s">
        <v>593</v>
      </c>
      <c r="E1" s="318" t="s">
        <v>593</v>
      </c>
      <c r="I1"/>
      <c r="K1" s="12">
        <f>SUBTOTAL(9,Tabela1316[Valor_recibo])</f>
        <v>35163.729999999996</v>
      </c>
      <c r="M1" s="12">
        <f>SUBTOTAL(9,Tabela1316[Valor_recibo])</f>
        <v>35163.729999999996</v>
      </c>
      <c r="P1" s="15">
        <f>SUBTOTAL(9,Tabela1316[Match_Planilha])</f>
        <v>33659.729999999996</v>
      </c>
      <c r="Q1" s="15">
        <f>SUBTOTAL(9,Q3:Q559)</f>
        <v>0</v>
      </c>
      <c r="R1" s="275"/>
      <c r="S1" s="224"/>
      <c r="T1" s="250">
        <f>SUBTOTAL(9,T3:T194)</f>
        <v>0</v>
      </c>
      <c r="U1" s="224" t="s">
        <v>372</v>
      </c>
      <c r="V1" s="224"/>
      <c r="X1" s="316" t="s">
        <v>593</v>
      </c>
      <c r="Y1" s="230"/>
    </row>
    <row r="2" spans="1:26" ht="20.25" customHeight="1">
      <c r="A2" s="319" t="s">
        <v>0</v>
      </c>
      <c r="B2" s="19" t="s">
        <v>1</v>
      </c>
      <c r="C2" s="19" t="s">
        <v>316</v>
      </c>
      <c r="D2" s="320" t="s">
        <v>561</v>
      </c>
      <c r="E2" s="320" t="s">
        <v>592</v>
      </c>
      <c r="F2" s="19" t="s">
        <v>3</v>
      </c>
      <c r="G2" s="19" t="s">
        <v>4</v>
      </c>
      <c r="H2" s="19" t="s">
        <v>5</v>
      </c>
      <c r="I2" s="20" t="s">
        <v>6</v>
      </c>
      <c r="J2" s="20" t="s">
        <v>7</v>
      </c>
      <c r="K2" s="280" t="s">
        <v>373</v>
      </c>
      <c r="L2" s="19" t="s">
        <v>9</v>
      </c>
      <c r="M2" s="278" t="s">
        <v>374</v>
      </c>
      <c r="N2" s="22" t="s">
        <v>11</v>
      </c>
      <c r="O2" s="223" t="s">
        <v>317</v>
      </c>
      <c r="P2" s="23" t="s">
        <v>13</v>
      </c>
      <c r="Q2" s="24" t="s">
        <v>14</v>
      </c>
      <c r="R2" s="274" t="s">
        <v>375</v>
      </c>
      <c r="S2" s="248" t="s">
        <v>376</v>
      </c>
      <c r="T2" s="248" t="s">
        <v>377</v>
      </c>
      <c r="U2" s="249" t="s">
        <v>378</v>
      </c>
      <c r="V2" s="249" t="s">
        <v>379</v>
      </c>
      <c r="W2" s="298" t="s">
        <v>380</v>
      </c>
      <c r="X2" s="317" t="s">
        <v>381</v>
      </c>
      <c r="Y2" s="299" t="s">
        <v>317</v>
      </c>
      <c r="Z2" s="299" t="s">
        <v>15</v>
      </c>
    </row>
    <row r="3" spans="1:26" ht="15.75">
      <c r="A3" s="6">
        <v>22215673</v>
      </c>
      <c r="B3" s="7">
        <v>46024</v>
      </c>
      <c r="C3" s="6" t="s">
        <v>384</v>
      </c>
      <c r="D3" s="6" t="str">
        <f>VLOOKUP(Tabela1316[[#This Row],[Motorista]],Planilha1!A:C,3,0)</f>
        <v>CARRETA</v>
      </c>
      <c r="E3" s="6">
        <f>IF(Tabela1316[[#This Row],[VEICULO]]="CARRETA",5,IF(Tabela1316[[#This Row],[VEICULO]]="TRUCK BAU",3,0))</f>
        <v>5</v>
      </c>
      <c r="F3" s="6"/>
      <c r="G3" s="6" t="s">
        <v>383</v>
      </c>
      <c r="H3" s="1">
        <v>150151</v>
      </c>
      <c r="I3" s="9">
        <v>46034</v>
      </c>
      <c r="J3" s="9">
        <v>46034</v>
      </c>
      <c r="K3" s="11">
        <v>532</v>
      </c>
      <c r="L3" s="1" t="s">
        <v>17</v>
      </c>
      <c r="M3" s="205" t="s">
        <v>315</v>
      </c>
      <c r="N3" s="1" t="s">
        <v>18</v>
      </c>
      <c r="O3" s="9">
        <v>46036</v>
      </c>
      <c r="P3" s="14">
        <f>Tabela1316[[#This Row],[Valor_recibo]]</f>
        <v>532</v>
      </c>
      <c r="Q3" s="16"/>
      <c r="R3" s="1" t="e">
        <f>VLOOKUP(#REF!,[2]Aprovados!A:A,1,0)</f>
        <v>#REF!</v>
      </c>
      <c r="S3" s="236"/>
      <c r="T3" s="235"/>
      <c r="U3" s="235" t="s">
        <v>315</v>
      </c>
      <c r="V3" s="294"/>
      <c r="W3" s="301" t="s">
        <v>18</v>
      </c>
      <c r="X3" s="302">
        <v>289.5</v>
      </c>
      <c r="Y3" s="303">
        <v>46024</v>
      </c>
      <c r="Z3" s="304"/>
    </row>
    <row r="4" spans="1:26" ht="15.75">
      <c r="A4" s="6">
        <v>22215879</v>
      </c>
      <c r="B4" s="7">
        <v>46024</v>
      </c>
      <c r="C4" s="6" t="s">
        <v>385</v>
      </c>
      <c r="D4" s="6" t="str">
        <f>VLOOKUP(Tabela1316[[#This Row],[Motorista]],Planilha1!A:C,3,0)</f>
        <v>CARRETA</v>
      </c>
      <c r="E4" s="6">
        <f>IF(Tabela1316[[#This Row],[VEICULO]]="CARRETA",5,IF(Tabela1316[[#This Row],[VEICULO]]="TRUCK BAU",3,0))</f>
        <v>5</v>
      </c>
      <c r="F4" s="6"/>
      <c r="G4" s="6" t="s">
        <v>383</v>
      </c>
      <c r="H4" s="1">
        <v>150333</v>
      </c>
      <c r="I4" s="9">
        <v>46025</v>
      </c>
      <c r="J4" s="9">
        <v>46025</v>
      </c>
      <c r="K4" s="11">
        <v>532</v>
      </c>
      <c r="L4" s="1" t="s">
        <v>17</v>
      </c>
      <c r="M4" s="205" t="s">
        <v>315</v>
      </c>
      <c r="N4" s="1" t="s">
        <v>18</v>
      </c>
      <c r="O4" s="9">
        <v>46029</v>
      </c>
      <c r="P4" s="14">
        <f>Tabela1316[[#This Row],[Valor_recibo]]</f>
        <v>532</v>
      </c>
      <c r="Q4" s="16"/>
      <c r="R4" s="1" t="e">
        <f>VLOOKUP(#REF!,[2]Aprovados!A:A,1,0)</f>
        <v>#REF!</v>
      </c>
      <c r="S4" s="236"/>
      <c r="T4" s="235"/>
      <c r="U4" s="235" t="s">
        <v>315</v>
      </c>
      <c r="V4" s="294"/>
      <c r="W4" s="301" t="s">
        <v>18</v>
      </c>
      <c r="X4" s="302">
        <v>289.5</v>
      </c>
      <c r="Y4" s="303">
        <v>46024</v>
      </c>
      <c r="Z4" s="304"/>
    </row>
    <row r="5" spans="1:26" ht="15.75">
      <c r="A5" s="6">
        <v>22219964</v>
      </c>
      <c r="B5" s="7">
        <v>46024</v>
      </c>
      <c r="C5" s="6" t="s">
        <v>326</v>
      </c>
      <c r="D5" s="6" t="str">
        <f>VLOOKUP(Tabela1316[[#This Row],[Motorista]],Planilha1!A:C,3,0)</f>
        <v>CARRETA</v>
      </c>
      <c r="E5" s="6">
        <f>IF(Tabela1316[[#This Row],[VEICULO]]="CARRETA",5,IF(Tabela1316[[#This Row],[VEICULO]]="TRUCK BAU",3,0))</f>
        <v>5</v>
      </c>
      <c r="F5" s="6"/>
      <c r="G5" s="6" t="s">
        <v>386</v>
      </c>
      <c r="H5" s="1" t="s">
        <v>387</v>
      </c>
      <c r="I5" s="9">
        <v>46025</v>
      </c>
      <c r="J5" s="9">
        <v>46025</v>
      </c>
      <c r="K5" s="11">
        <v>2000</v>
      </c>
      <c r="L5" s="1" t="s">
        <v>17</v>
      </c>
      <c r="M5" s="205" t="s">
        <v>315</v>
      </c>
      <c r="N5" s="1" t="s">
        <v>18</v>
      </c>
      <c r="O5" s="9">
        <v>46029</v>
      </c>
      <c r="P5" s="14">
        <f>Tabela1316[[#This Row],[Valor_recibo]]</f>
        <v>2000</v>
      </c>
      <c r="Q5" s="16"/>
      <c r="R5" s="1" t="e">
        <f>VLOOKUP(#REF!,[2]Aprovados!A:A,1,0)</f>
        <v>#REF!</v>
      </c>
      <c r="S5" s="236"/>
      <c r="T5" s="235"/>
      <c r="U5" s="235" t="s">
        <v>315</v>
      </c>
      <c r="V5" s="294"/>
      <c r="W5" s="301" t="s">
        <v>18</v>
      </c>
      <c r="X5" s="302">
        <v>331.5</v>
      </c>
      <c r="Y5" s="303">
        <v>46024</v>
      </c>
      <c r="Z5" s="304"/>
    </row>
    <row r="6" spans="1:26" ht="15.75">
      <c r="A6" s="6">
        <v>22215635</v>
      </c>
      <c r="B6" s="7">
        <v>46024</v>
      </c>
      <c r="C6" s="6" t="s">
        <v>388</v>
      </c>
      <c r="D6" s="6" t="str">
        <f>VLOOKUP(Tabela1316[[#This Row],[Motorista]],Planilha1!A:C,3,0)</f>
        <v>CARRETA</v>
      </c>
      <c r="E6" s="6">
        <f>IF(Tabela1316[[#This Row],[VEICULO]]="CARRETA",5,IF(Tabela1316[[#This Row],[VEICULO]]="TRUCK BAU",3,0))</f>
        <v>5</v>
      </c>
      <c r="F6" s="6"/>
      <c r="G6" s="6" t="s">
        <v>383</v>
      </c>
      <c r="H6" s="1">
        <v>52171</v>
      </c>
      <c r="I6" s="9">
        <v>46025</v>
      </c>
      <c r="J6" s="9">
        <v>46025</v>
      </c>
      <c r="K6" s="11">
        <v>532</v>
      </c>
      <c r="L6" s="1" t="s">
        <v>17</v>
      </c>
      <c r="M6" s="205" t="s">
        <v>315</v>
      </c>
      <c r="N6" s="1" t="s">
        <v>18</v>
      </c>
      <c r="O6" s="9">
        <v>46029</v>
      </c>
      <c r="P6" s="14">
        <f>Tabela1316[[#This Row],[Valor_recibo]]</f>
        <v>532</v>
      </c>
      <c r="Q6" s="16"/>
      <c r="R6" s="1" t="e">
        <f>VLOOKUP(#REF!,[2]Aprovados!A:A,1,0)</f>
        <v>#REF!</v>
      </c>
      <c r="S6" s="236"/>
      <c r="T6" s="235"/>
      <c r="U6" s="235" t="s">
        <v>315</v>
      </c>
      <c r="V6" s="294"/>
      <c r="W6" s="301" t="s">
        <v>18</v>
      </c>
      <c r="X6" s="302">
        <v>289.5</v>
      </c>
      <c r="Y6" s="303">
        <v>46024</v>
      </c>
      <c r="Z6" s="304"/>
    </row>
    <row r="7" spans="1:26" ht="15.75">
      <c r="A7" s="6">
        <v>22248452</v>
      </c>
      <c r="B7" s="7">
        <v>46024</v>
      </c>
      <c r="C7" s="6" t="s">
        <v>389</v>
      </c>
      <c r="D7" s="6" t="str">
        <f>VLOOKUP(Tabela1316[[#This Row],[Motorista]],Planilha1!A:C,3,0)</f>
        <v>TRUCK BAU</v>
      </c>
      <c r="E7" s="6">
        <f>IF(Tabela1316[[#This Row],[VEICULO]]="CARRETA",5,IF(Tabela1316[[#This Row],[VEICULO]]="TRUCK BAU",3,0))</f>
        <v>3</v>
      </c>
      <c r="F7" s="6"/>
      <c r="G7" s="6" t="s">
        <v>390</v>
      </c>
      <c r="H7" s="1" t="s">
        <v>391</v>
      </c>
      <c r="I7" s="9">
        <v>46028</v>
      </c>
      <c r="J7" s="9">
        <v>46028</v>
      </c>
      <c r="K7" s="11">
        <v>199.07</v>
      </c>
      <c r="L7" s="1" t="s">
        <v>17</v>
      </c>
      <c r="M7" s="205" t="s">
        <v>315</v>
      </c>
      <c r="N7" s="1" t="s">
        <v>18</v>
      </c>
      <c r="O7" s="9">
        <v>46034</v>
      </c>
      <c r="P7" s="14">
        <f>Tabela1316[[#This Row],[Valor_recibo]]</f>
        <v>199.07</v>
      </c>
      <c r="Q7" s="16"/>
      <c r="R7" s="1" t="e">
        <f>VLOOKUP(#REF!,[2]Aprovados!A:A,1,0)</f>
        <v>#REF!</v>
      </c>
      <c r="S7" s="236"/>
      <c r="T7" s="235"/>
      <c r="U7" s="235" t="s">
        <v>315</v>
      </c>
      <c r="V7" s="294"/>
      <c r="W7" s="301" t="s">
        <v>18</v>
      </c>
      <c r="X7" s="302">
        <v>47.4</v>
      </c>
      <c r="Y7" s="303">
        <v>46024</v>
      </c>
      <c r="Z7" s="304"/>
    </row>
    <row r="8" spans="1:26" ht="15.75">
      <c r="A8" s="6">
        <v>22226880</v>
      </c>
      <c r="B8" s="7">
        <v>46024</v>
      </c>
      <c r="C8" s="6" t="s">
        <v>392</v>
      </c>
      <c r="D8" s="6" t="str">
        <f>VLOOKUP(Tabela1316[[#This Row],[Motorista]],Planilha1!A:C,3,0)</f>
        <v>CARRETA</v>
      </c>
      <c r="E8" s="6">
        <f>IF(Tabela1316[[#This Row],[VEICULO]]="CARRETA",5,IF(Tabela1316[[#This Row],[VEICULO]]="TRUCK BAU",3,0))</f>
        <v>5</v>
      </c>
      <c r="F8" s="6"/>
      <c r="G8" s="6" t="s">
        <v>393</v>
      </c>
      <c r="H8" s="1"/>
      <c r="I8" s="9"/>
      <c r="J8" s="9"/>
      <c r="K8" s="11"/>
      <c r="L8" s="1"/>
      <c r="M8" s="205" t="s">
        <v>315</v>
      </c>
      <c r="N8" s="1" t="s">
        <v>315</v>
      </c>
      <c r="O8" s="9"/>
      <c r="P8" s="14">
        <f>Tabela1316[[#This Row],[Valor_recibo]]</f>
        <v>0</v>
      </c>
      <c r="Q8" s="16"/>
      <c r="R8" s="1" t="e">
        <f>VLOOKUP(#REF!,[2]Aprovados!A:A,1,0)</f>
        <v>#REF!</v>
      </c>
      <c r="S8" s="236"/>
      <c r="T8" s="235"/>
      <c r="U8" s="235" t="s">
        <v>315</v>
      </c>
      <c r="V8" s="294"/>
      <c r="W8" s="301" t="s">
        <v>18</v>
      </c>
      <c r="X8" s="302">
        <v>70.739999999999995</v>
      </c>
      <c r="Y8" s="303">
        <v>46024</v>
      </c>
      <c r="Z8" s="304"/>
    </row>
    <row r="9" spans="1:26" ht="15.75">
      <c r="A9" s="6">
        <v>22205018</v>
      </c>
      <c r="B9" s="7">
        <v>46025</v>
      </c>
      <c r="C9" s="6" t="s">
        <v>394</v>
      </c>
      <c r="D9" s="6" t="str">
        <f>VLOOKUP(Tabela1316[[#This Row],[Motorista]],Planilha1!A:C,3,0)</f>
        <v>CARRETA</v>
      </c>
      <c r="E9" s="6">
        <f>IF(Tabela1316[[#This Row],[VEICULO]]="CARRETA",5,IF(Tabela1316[[#This Row],[VEICULO]]="TRUCK BAU",3,0))</f>
        <v>5</v>
      </c>
      <c r="F9" s="6"/>
      <c r="G9" s="6" t="s">
        <v>383</v>
      </c>
      <c r="H9" s="1" t="s">
        <v>395</v>
      </c>
      <c r="I9" s="9">
        <v>46026</v>
      </c>
      <c r="J9" s="9">
        <v>46026</v>
      </c>
      <c r="K9" s="11">
        <v>0</v>
      </c>
      <c r="L9" s="1" t="s">
        <v>17</v>
      </c>
      <c r="M9" s="205"/>
      <c r="N9" s="1"/>
      <c r="O9" s="9">
        <v>46029</v>
      </c>
      <c r="P9" s="14">
        <f>Tabela1316[[#This Row],[Valor_recibo]]</f>
        <v>0</v>
      </c>
      <c r="Q9" s="16"/>
      <c r="R9" s="1" t="e">
        <f>VLOOKUP(#REF!,[2]Aprovados!A:A,1,0)</f>
        <v>#REF!</v>
      </c>
      <c r="S9" s="236"/>
      <c r="T9" s="235"/>
      <c r="U9" s="236" t="s">
        <v>315</v>
      </c>
      <c r="V9" s="294"/>
      <c r="W9" s="301" t="s">
        <v>18</v>
      </c>
      <c r="X9" s="302">
        <v>289.5</v>
      </c>
      <c r="Y9" s="303">
        <v>46024</v>
      </c>
      <c r="Z9" s="304"/>
    </row>
    <row r="10" spans="1:26" ht="15.75">
      <c r="A10" s="6">
        <v>22248916</v>
      </c>
      <c r="B10" s="7">
        <v>46026</v>
      </c>
      <c r="C10" s="6" t="s">
        <v>396</v>
      </c>
      <c r="D10" s="6" t="str">
        <f>VLOOKUP(Tabela1316[[#This Row],[Motorista]],Planilha1!A:C,3,0)</f>
        <v>CARRETA</v>
      </c>
      <c r="E10" s="6">
        <f>IF(Tabela1316[[#This Row],[VEICULO]]="CARRETA",5,IF(Tabela1316[[#This Row],[VEICULO]]="TRUCK BAU",3,0))</f>
        <v>5</v>
      </c>
      <c r="F10" s="6"/>
      <c r="G10" s="6" t="s">
        <v>397</v>
      </c>
      <c r="H10" s="1" t="s">
        <v>398</v>
      </c>
      <c r="I10" s="9">
        <v>46026</v>
      </c>
      <c r="J10" s="9">
        <v>46026</v>
      </c>
      <c r="K10" s="11">
        <v>420</v>
      </c>
      <c r="L10" s="1" t="s">
        <v>17</v>
      </c>
      <c r="M10" s="205" t="s">
        <v>315</v>
      </c>
      <c r="N10" s="1" t="s">
        <v>18</v>
      </c>
      <c r="O10" s="9">
        <v>46036</v>
      </c>
      <c r="P10" s="14">
        <f>Tabela1316[[#This Row],[Valor_recibo]]</f>
        <v>420</v>
      </c>
      <c r="Q10" s="16"/>
      <c r="R10" s="1" t="e">
        <f>VLOOKUP(#REF!,[2]Aprovados!A:A,1,0)</f>
        <v>#REF!</v>
      </c>
      <c r="S10" s="236"/>
      <c r="T10" s="235"/>
      <c r="U10" s="236" t="s">
        <v>315</v>
      </c>
      <c r="V10" s="294"/>
      <c r="W10" s="301" t="s">
        <v>18</v>
      </c>
      <c r="X10" s="302">
        <v>445.5</v>
      </c>
      <c r="Y10" s="303">
        <v>46027</v>
      </c>
      <c r="Z10" s="304"/>
    </row>
    <row r="11" spans="1:26" ht="15.75">
      <c r="A11" s="6">
        <v>22247568</v>
      </c>
      <c r="B11" s="7">
        <v>46026</v>
      </c>
      <c r="C11" s="6" t="s">
        <v>399</v>
      </c>
      <c r="D11" s="6" t="str">
        <f>VLOOKUP(Tabela1316[[#This Row],[Motorista]],Planilha1!A:C,3,0)</f>
        <v>TRUCK BAU</v>
      </c>
      <c r="E11" s="6">
        <f>IF(Tabela1316[[#This Row],[VEICULO]]="CARRETA",5,IF(Tabela1316[[#This Row],[VEICULO]]="TRUCK BAU",3,0))</f>
        <v>3</v>
      </c>
      <c r="F11" s="6"/>
      <c r="G11" s="6" t="s">
        <v>390</v>
      </c>
      <c r="H11" s="1" t="s">
        <v>400</v>
      </c>
      <c r="I11" s="9">
        <v>46027</v>
      </c>
      <c r="J11" s="9">
        <v>46027</v>
      </c>
      <c r="K11" s="11">
        <v>227.23</v>
      </c>
      <c r="L11" s="1" t="s">
        <v>17</v>
      </c>
      <c r="M11" s="205" t="s">
        <v>315</v>
      </c>
      <c r="N11" s="1" t="s">
        <v>18</v>
      </c>
      <c r="O11" s="9">
        <v>46029</v>
      </c>
      <c r="P11" s="14">
        <f>Tabela1316[[#This Row],[Valor_recibo]]</f>
        <v>227.23</v>
      </c>
      <c r="Q11" s="16"/>
      <c r="R11" s="1" t="e">
        <f>VLOOKUP(#REF!,[2]Aprovados!A:A,1,0)</f>
        <v>#REF!</v>
      </c>
      <c r="S11" s="236"/>
      <c r="T11" s="235"/>
      <c r="U11" s="236" t="s">
        <v>315</v>
      </c>
      <c r="V11" s="294"/>
      <c r="W11" s="301" t="s">
        <v>18</v>
      </c>
      <c r="X11" s="302">
        <v>47.4</v>
      </c>
      <c r="Y11" s="303">
        <v>46027</v>
      </c>
      <c r="Z11" s="304"/>
    </row>
    <row r="12" spans="1:26" ht="15.75">
      <c r="A12" s="6">
        <v>22259442</v>
      </c>
      <c r="B12" s="7">
        <v>46026</v>
      </c>
      <c r="C12" s="6" t="s">
        <v>401</v>
      </c>
      <c r="D12" s="6" t="str">
        <f>VLOOKUP(Tabela1316[[#This Row],[Motorista]],Planilha1!A:C,3,0)</f>
        <v>CARRETA</v>
      </c>
      <c r="E12" s="6">
        <f>IF(Tabela1316[[#This Row],[VEICULO]]="CARRETA",5,IF(Tabela1316[[#This Row],[VEICULO]]="TRUCK BAU",3,0))</f>
        <v>5</v>
      </c>
      <c r="F12" s="6"/>
      <c r="G12" s="6" t="s">
        <v>402</v>
      </c>
      <c r="H12" s="1">
        <v>151047</v>
      </c>
      <c r="I12" s="9">
        <v>46027</v>
      </c>
      <c r="J12" s="9">
        <v>46027</v>
      </c>
      <c r="K12" s="11">
        <v>0</v>
      </c>
      <c r="L12" s="1" t="s">
        <v>17</v>
      </c>
      <c r="M12" s="205" t="s">
        <v>315</v>
      </c>
      <c r="N12" s="1"/>
      <c r="O12" s="9">
        <v>46029</v>
      </c>
      <c r="P12" s="14">
        <f>Tabela1316[[#This Row],[Valor_recibo]]</f>
        <v>0</v>
      </c>
      <c r="Q12" s="16"/>
      <c r="R12" s="1" t="e">
        <f>VLOOKUP(#REF!,[2]Aprovados!A:A,1,0)</f>
        <v>#REF!</v>
      </c>
      <c r="S12" s="236"/>
      <c r="T12" s="235"/>
      <c r="U12" s="236" t="s">
        <v>315</v>
      </c>
      <c r="V12" s="294"/>
      <c r="W12" s="301" t="s">
        <v>18</v>
      </c>
      <c r="X12" s="302">
        <v>132.5</v>
      </c>
      <c r="Y12" s="303">
        <v>46027</v>
      </c>
      <c r="Z12" s="304"/>
    </row>
    <row r="13" spans="1:26" ht="15.75">
      <c r="A13" s="6">
        <v>22215240</v>
      </c>
      <c r="B13" s="7">
        <v>46027</v>
      </c>
      <c r="C13" s="6" t="s">
        <v>404</v>
      </c>
      <c r="D13" s="6" t="str">
        <f>VLOOKUP(Tabela1316[[#This Row],[Motorista]],Planilha1!A:C,3,0)</f>
        <v>TRUCK BAU</v>
      </c>
      <c r="E13" s="6">
        <f>IF(Tabela1316[[#This Row],[VEICULO]]="CARRETA",5,IF(Tabela1316[[#This Row],[VEICULO]]="TRUCK BAU",3,0))</f>
        <v>3</v>
      </c>
      <c r="F13" s="6"/>
      <c r="G13" s="6" t="s">
        <v>390</v>
      </c>
      <c r="H13" s="1" t="s">
        <v>405</v>
      </c>
      <c r="I13" s="9">
        <v>46028</v>
      </c>
      <c r="J13" s="9">
        <v>46028</v>
      </c>
      <c r="K13" s="11">
        <v>204</v>
      </c>
      <c r="L13" s="1" t="s">
        <v>17</v>
      </c>
      <c r="M13" s="205" t="s">
        <v>315</v>
      </c>
      <c r="N13" s="1" t="s">
        <v>18</v>
      </c>
      <c r="O13" s="9">
        <v>46030</v>
      </c>
      <c r="P13" s="14">
        <f>Tabela1316[[#This Row],[Valor_recibo]]</f>
        <v>204</v>
      </c>
      <c r="Q13" s="16"/>
      <c r="R13" s="1" t="e">
        <f>VLOOKUP(#REF!,[2]Aprovados!A:A,1,0)</f>
        <v>#REF!</v>
      </c>
      <c r="S13" s="236"/>
      <c r="T13" s="235"/>
      <c r="U13" s="236" t="s">
        <v>315</v>
      </c>
      <c r="V13" s="294"/>
      <c r="W13" s="301" t="s">
        <v>18</v>
      </c>
      <c r="X13" s="302">
        <v>47.4</v>
      </c>
      <c r="Y13" s="303">
        <v>46028</v>
      </c>
      <c r="Z13" s="304"/>
    </row>
    <row r="14" spans="1:26" ht="15.75">
      <c r="A14" s="6">
        <v>22248445</v>
      </c>
      <c r="B14" s="7">
        <v>46027</v>
      </c>
      <c r="C14" s="6" t="s">
        <v>399</v>
      </c>
      <c r="D14" s="6" t="str">
        <f>VLOOKUP(Tabela1316[[#This Row],[Motorista]],Planilha1!A:C,3,0)</f>
        <v>TRUCK BAU</v>
      </c>
      <c r="E14" s="6">
        <f>IF(Tabela1316[[#This Row],[VEICULO]]="CARRETA",5,IF(Tabela1316[[#This Row],[VEICULO]]="TRUCK BAU",3,0))</f>
        <v>3</v>
      </c>
      <c r="F14" s="6"/>
      <c r="G14" s="6" t="s">
        <v>406</v>
      </c>
      <c r="H14" s="1" t="s">
        <v>407</v>
      </c>
      <c r="I14" s="9">
        <v>46028</v>
      </c>
      <c r="J14" s="9">
        <v>46028</v>
      </c>
      <c r="K14" s="11">
        <v>238</v>
      </c>
      <c r="L14" s="1" t="s">
        <v>17</v>
      </c>
      <c r="M14" s="205" t="s">
        <v>315</v>
      </c>
      <c r="N14" s="1" t="s">
        <v>18</v>
      </c>
      <c r="O14" s="9">
        <v>46036</v>
      </c>
      <c r="P14" s="14">
        <f>Tabela1316[[#This Row],[Valor_recibo]]</f>
        <v>238</v>
      </c>
      <c r="Q14" s="16"/>
      <c r="R14" s="1" t="e">
        <f>VLOOKUP(#REF!,[2]Aprovados!A:A,1,0)</f>
        <v>#REF!</v>
      </c>
      <c r="S14" s="236"/>
      <c r="T14" s="235"/>
      <c r="U14" s="236" t="s">
        <v>315</v>
      </c>
      <c r="V14" s="294"/>
      <c r="W14" s="301" t="s">
        <v>18</v>
      </c>
      <c r="X14" s="302">
        <v>25.8</v>
      </c>
      <c r="Y14" s="303">
        <v>46028</v>
      </c>
      <c r="Z14" s="304"/>
    </row>
    <row r="15" spans="1:26" ht="15.75">
      <c r="A15" s="6">
        <v>22257905</v>
      </c>
      <c r="B15" s="7">
        <v>46027</v>
      </c>
      <c r="C15" s="6" t="s">
        <v>408</v>
      </c>
      <c r="D15" s="6" t="str">
        <f>VLOOKUP(Tabela1316[[#This Row],[Motorista]],Planilha1!A:C,3,0)</f>
        <v>CARRETA</v>
      </c>
      <c r="E15" s="6">
        <f>IF(Tabela1316[[#This Row],[VEICULO]]="CARRETA",5,IF(Tabela1316[[#This Row],[VEICULO]]="TRUCK BAU",3,0))</f>
        <v>5</v>
      </c>
      <c r="F15" s="6"/>
      <c r="G15" s="6" t="s">
        <v>383</v>
      </c>
      <c r="H15" s="1">
        <v>150308</v>
      </c>
      <c r="I15" s="9">
        <v>46028</v>
      </c>
      <c r="J15" s="9">
        <v>46028</v>
      </c>
      <c r="K15" s="11">
        <v>750</v>
      </c>
      <c r="L15" s="1" t="s">
        <v>17</v>
      </c>
      <c r="M15" s="205" t="s">
        <v>315</v>
      </c>
      <c r="N15" s="1" t="s">
        <v>18</v>
      </c>
      <c r="O15" s="9">
        <v>46037</v>
      </c>
      <c r="P15" s="14">
        <f>Tabela1316[[#This Row],[Valor_recibo]]</f>
        <v>750</v>
      </c>
      <c r="Q15" s="16"/>
      <c r="R15" s="1" t="e">
        <f>VLOOKUP(#REF!,[2]Aprovados!A:A,1,0)</f>
        <v>#REF!</v>
      </c>
      <c r="S15" s="236"/>
      <c r="T15" s="235"/>
      <c r="U15" s="236" t="s">
        <v>315</v>
      </c>
      <c r="V15" s="294"/>
      <c r="W15" s="301" t="s">
        <v>18</v>
      </c>
      <c r="X15" s="302">
        <v>289.5</v>
      </c>
      <c r="Y15" s="303">
        <v>46028</v>
      </c>
      <c r="Z15" s="304"/>
    </row>
    <row r="16" spans="1:26" ht="15.75">
      <c r="A16" s="6">
        <v>22248657</v>
      </c>
      <c r="B16" s="7">
        <v>46027</v>
      </c>
      <c r="C16" s="6" t="s">
        <v>384</v>
      </c>
      <c r="D16" s="6" t="str">
        <f>VLOOKUP(Tabela1316[[#This Row],[Motorista]],Planilha1!A:C,3,0)</f>
        <v>CARRETA</v>
      </c>
      <c r="E16" s="6">
        <f>IF(Tabela1316[[#This Row],[VEICULO]]="CARRETA",5,IF(Tabela1316[[#This Row],[VEICULO]]="TRUCK BAU",3,0))</f>
        <v>5</v>
      </c>
      <c r="F16" s="6"/>
      <c r="G16" s="6" t="s">
        <v>383</v>
      </c>
      <c r="H16" s="1">
        <v>1498122</v>
      </c>
      <c r="I16" s="9">
        <v>46028</v>
      </c>
      <c r="J16" s="9">
        <v>46028</v>
      </c>
      <c r="K16" s="11">
        <v>0</v>
      </c>
      <c r="L16" s="1"/>
      <c r="M16" s="205" t="s">
        <v>315</v>
      </c>
      <c r="N16" s="1"/>
      <c r="O16" s="9">
        <v>46029</v>
      </c>
      <c r="P16" s="14">
        <f>Tabela1316[[#This Row],[Valor_recibo]]</f>
        <v>0</v>
      </c>
      <c r="Q16" s="16"/>
      <c r="R16" s="1" t="e">
        <f>VLOOKUP(#REF!,[2]Aprovados!A:A,1,0)</f>
        <v>#REF!</v>
      </c>
      <c r="S16" s="236"/>
      <c r="T16" s="235"/>
      <c r="U16" s="236" t="s">
        <v>315</v>
      </c>
      <c r="V16" s="294"/>
      <c r="W16" s="301" t="s">
        <v>18</v>
      </c>
      <c r="X16" s="302">
        <v>289.5</v>
      </c>
      <c r="Y16" s="303">
        <v>46028</v>
      </c>
      <c r="Z16" s="304"/>
    </row>
    <row r="17" spans="1:26" ht="15.75">
      <c r="A17" s="6">
        <v>22248655</v>
      </c>
      <c r="B17" s="7">
        <v>46027</v>
      </c>
      <c r="C17" s="6" t="s">
        <v>394</v>
      </c>
      <c r="D17" s="6" t="str">
        <f>VLOOKUP(Tabela1316[[#This Row],[Motorista]],Planilha1!A:C,3,0)</f>
        <v>CARRETA</v>
      </c>
      <c r="E17" s="6">
        <f>IF(Tabela1316[[#This Row],[VEICULO]]="CARRETA",5,IF(Tabela1316[[#This Row],[VEICULO]]="TRUCK BAU",3,0))</f>
        <v>5</v>
      </c>
      <c r="F17" s="6"/>
      <c r="G17" s="6" t="s">
        <v>383</v>
      </c>
      <c r="H17" s="1">
        <v>149809</v>
      </c>
      <c r="I17" s="9">
        <v>46028</v>
      </c>
      <c r="J17" s="9">
        <v>46028</v>
      </c>
      <c r="K17" s="11">
        <v>0</v>
      </c>
      <c r="L17" s="1" t="s">
        <v>17</v>
      </c>
      <c r="M17" s="205" t="s">
        <v>315</v>
      </c>
      <c r="N17" s="1"/>
      <c r="O17" s="9">
        <v>46034</v>
      </c>
      <c r="P17" s="14">
        <f>Tabela1316[[#This Row],[Valor_recibo]]</f>
        <v>0</v>
      </c>
      <c r="Q17" s="16"/>
      <c r="R17" s="1" t="e">
        <f>VLOOKUP(#REF!,[2]Aprovados!A:A,1,0)</f>
        <v>#REF!</v>
      </c>
      <c r="S17" s="236"/>
      <c r="T17" s="235"/>
      <c r="U17" s="236" t="s">
        <v>315</v>
      </c>
      <c r="V17" s="294"/>
      <c r="W17" s="301" t="s">
        <v>18</v>
      </c>
      <c r="X17" s="302">
        <v>289.5</v>
      </c>
      <c r="Y17" s="303">
        <v>46028</v>
      </c>
      <c r="Z17" s="304"/>
    </row>
    <row r="18" spans="1:26" ht="15.75">
      <c r="A18" s="6">
        <v>22249304</v>
      </c>
      <c r="B18" s="7">
        <v>46027</v>
      </c>
      <c r="C18" s="6" t="s">
        <v>326</v>
      </c>
      <c r="D18" s="6" t="str">
        <f>VLOOKUP(Tabela1316[[#This Row],[Motorista]],Planilha1!A:C,3,0)</f>
        <v>CARRETA</v>
      </c>
      <c r="E18" s="6">
        <f>IF(Tabela1316[[#This Row],[VEICULO]]="CARRETA",5,IF(Tabela1316[[#This Row],[VEICULO]]="TRUCK BAU",3,0))</f>
        <v>5</v>
      </c>
      <c r="F18" s="6"/>
      <c r="G18" s="6" t="s">
        <v>409</v>
      </c>
      <c r="H18" s="1" t="s">
        <v>410</v>
      </c>
      <c r="I18" s="9">
        <v>46028</v>
      </c>
      <c r="J18" s="9">
        <v>46028</v>
      </c>
      <c r="K18" s="11">
        <v>476</v>
      </c>
      <c r="L18" s="1" t="s">
        <v>17</v>
      </c>
      <c r="M18" s="205" t="s">
        <v>315</v>
      </c>
      <c r="N18" s="1" t="s">
        <v>18</v>
      </c>
      <c r="O18" s="9">
        <v>46030</v>
      </c>
      <c r="P18" s="14">
        <f>Tabela1316[[#This Row],[Valor_recibo]]</f>
        <v>476</v>
      </c>
      <c r="Q18" s="16"/>
      <c r="R18" s="1" t="e">
        <f>VLOOKUP(#REF!,[2]Aprovados!A:A,1,0)</f>
        <v>#REF!</v>
      </c>
      <c r="S18" s="236"/>
      <c r="T18" s="235"/>
      <c r="U18" s="236" t="s">
        <v>315</v>
      </c>
      <c r="V18" s="294"/>
      <c r="W18" s="301" t="s">
        <v>18</v>
      </c>
      <c r="X18" s="302">
        <v>392.5</v>
      </c>
      <c r="Y18" s="303">
        <v>46028</v>
      </c>
      <c r="Z18" s="304"/>
    </row>
    <row r="19" spans="1:26" ht="15.75">
      <c r="A19" s="6">
        <v>22312814</v>
      </c>
      <c r="B19" s="7">
        <v>46027</v>
      </c>
      <c r="C19" s="6" t="s">
        <v>385</v>
      </c>
      <c r="D19" s="6" t="str">
        <f>VLOOKUP(Tabela1316[[#This Row],[Motorista]],Planilha1!A:C,3,0)</f>
        <v>CARRETA</v>
      </c>
      <c r="E19" s="6">
        <f>IF(Tabela1316[[#This Row],[VEICULO]]="CARRETA",5,IF(Tabela1316[[#This Row],[VEICULO]]="TRUCK BAU",3,0))</f>
        <v>5</v>
      </c>
      <c r="F19" s="6"/>
      <c r="G19" s="6" t="s">
        <v>411</v>
      </c>
      <c r="H19" s="1">
        <v>151489</v>
      </c>
      <c r="I19" s="9">
        <v>46028</v>
      </c>
      <c r="J19" s="9">
        <v>46028</v>
      </c>
      <c r="K19" s="11">
        <v>340</v>
      </c>
      <c r="L19" s="1" t="s">
        <v>17</v>
      </c>
      <c r="M19" s="205" t="s">
        <v>315</v>
      </c>
      <c r="N19" s="1" t="s">
        <v>18</v>
      </c>
      <c r="O19" s="9">
        <v>46029</v>
      </c>
      <c r="P19" s="14">
        <f>Tabela1316[[#This Row],[Valor_recibo]]</f>
        <v>340</v>
      </c>
      <c r="Q19" s="16"/>
      <c r="R19" s="1" t="e">
        <f>VLOOKUP(#REF!,[2]Aprovados!A:A,1,0)</f>
        <v>#REF!</v>
      </c>
      <c r="S19" s="236"/>
      <c r="T19" s="235"/>
      <c r="U19" s="236" t="s">
        <v>315</v>
      </c>
      <c r="V19" s="294"/>
      <c r="W19" s="301" t="s">
        <v>18</v>
      </c>
      <c r="X19" s="302">
        <v>79</v>
      </c>
      <c r="Y19" s="303">
        <v>46028</v>
      </c>
      <c r="Z19" s="304"/>
    </row>
    <row r="20" spans="1:26" ht="15.75">
      <c r="A20" s="6">
        <v>22248431</v>
      </c>
      <c r="B20" s="7">
        <v>46028</v>
      </c>
      <c r="C20" s="6" t="s">
        <v>412</v>
      </c>
      <c r="D20" s="6" t="s">
        <v>570</v>
      </c>
      <c r="E20" s="6">
        <f>IF(Tabela1316[[#This Row],[VEICULO]]="CARRETA",5,IF(Tabela1316[[#This Row],[VEICULO]]="TRUCK BAU",3,0))</f>
        <v>3</v>
      </c>
      <c r="F20" s="6"/>
      <c r="G20" s="6" t="s">
        <v>413</v>
      </c>
      <c r="H20" s="1" t="s">
        <v>414</v>
      </c>
      <c r="I20" s="9">
        <v>46029</v>
      </c>
      <c r="J20" s="9">
        <v>46029</v>
      </c>
      <c r="K20" s="11">
        <v>328</v>
      </c>
      <c r="L20" s="1" t="s">
        <v>17</v>
      </c>
      <c r="M20" s="205" t="s">
        <v>315</v>
      </c>
      <c r="N20" s="1" t="s">
        <v>18</v>
      </c>
      <c r="O20" s="9">
        <v>46034</v>
      </c>
      <c r="P20" s="14">
        <f>Tabela1316[[#This Row],[Valor_recibo]]</f>
        <v>328</v>
      </c>
      <c r="Q20" s="16"/>
      <c r="R20" s="1" t="e">
        <f>VLOOKUP(#REF!,[2]Aprovados!A:A,1,0)</f>
        <v>#REF!</v>
      </c>
      <c r="S20" s="236"/>
      <c r="T20" s="235"/>
      <c r="U20" s="236" t="s">
        <v>315</v>
      </c>
      <c r="V20" s="294"/>
      <c r="W20" s="301" t="s">
        <v>18</v>
      </c>
      <c r="X20" s="302">
        <v>89.7</v>
      </c>
      <c r="Y20" s="303">
        <v>46029</v>
      </c>
      <c r="Z20" s="304"/>
    </row>
    <row r="21" spans="1:26" ht="15.75">
      <c r="A21" s="6">
        <v>22248439</v>
      </c>
      <c r="B21" s="7">
        <v>46028</v>
      </c>
      <c r="C21" s="6" t="s">
        <v>385</v>
      </c>
      <c r="D21" s="6" t="str">
        <f>VLOOKUP(Tabela1316[[#This Row],[Motorista]],Planilha1!A:C,3,0)</f>
        <v>CARRETA</v>
      </c>
      <c r="E21" s="6">
        <f>IF(Tabela1316[[#This Row],[VEICULO]]="CARRETA",5,IF(Tabela1316[[#This Row],[VEICULO]]="TRUCK BAU",3,0))</f>
        <v>5</v>
      </c>
      <c r="F21" s="6"/>
      <c r="G21" s="6" t="s">
        <v>415</v>
      </c>
      <c r="H21" s="1">
        <v>151682</v>
      </c>
      <c r="I21" s="9">
        <v>46029</v>
      </c>
      <c r="J21" s="9">
        <v>46029</v>
      </c>
      <c r="K21" s="11">
        <v>476</v>
      </c>
      <c r="L21" s="1" t="s">
        <v>17</v>
      </c>
      <c r="M21" s="205" t="s">
        <v>315</v>
      </c>
      <c r="N21" s="1" t="s">
        <v>18</v>
      </c>
      <c r="O21" s="9">
        <v>46030</v>
      </c>
      <c r="P21" s="14">
        <f>Tabela1316[[#This Row],[Valor_recibo]]</f>
        <v>476</v>
      </c>
      <c r="Q21" s="16"/>
      <c r="R21" s="1" t="e">
        <f>VLOOKUP(#REF!,[2]Aprovados!A:A,1,0)</f>
        <v>#REF!</v>
      </c>
      <c r="S21" s="236"/>
      <c r="T21" s="235"/>
      <c r="U21" s="236" t="s">
        <v>315</v>
      </c>
      <c r="V21" s="294"/>
      <c r="W21" s="301" t="s">
        <v>18</v>
      </c>
      <c r="X21" s="302">
        <v>149.5</v>
      </c>
      <c r="Y21" s="303">
        <v>46029</v>
      </c>
      <c r="Z21" s="304"/>
    </row>
    <row r="22" spans="1:26" ht="15.75">
      <c r="A22" s="6">
        <v>22248658</v>
      </c>
      <c r="B22" s="7">
        <v>46028</v>
      </c>
      <c r="C22" s="6" t="s">
        <v>388</v>
      </c>
      <c r="D22" s="6" t="str">
        <f>VLOOKUP(Tabela1316[[#This Row],[Motorista]],Planilha1!A:C,3,0)</f>
        <v>CARRETA</v>
      </c>
      <c r="E22" s="6">
        <f>IF(Tabela1316[[#This Row],[VEICULO]]="CARRETA",5,IF(Tabela1316[[#This Row],[VEICULO]]="TRUCK BAU",3,0))</f>
        <v>5</v>
      </c>
      <c r="F22" s="6"/>
      <c r="G22" s="6" t="s">
        <v>383</v>
      </c>
      <c r="H22" s="1">
        <v>149813</v>
      </c>
      <c r="I22" s="9">
        <v>46029</v>
      </c>
      <c r="J22" s="9">
        <v>46029</v>
      </c>
      <c r="K22" s="11">
        <v>0</v>
      </c>
      <c r="L22" s="1" t="s">
        <v>17</v>
      </c>
      <c r="M22" s="205" t="s">
        <v>315</v>
      </c>
      <c r="N22" s="1"/>
      <c r="O22" s="9">
        <v>46034</v>
      </c>
      <c r="P22" s="14">
        <f>Tabela1316[[#This Row],[Valor_recibo]]</f>
        <v>0</v>
      </c>
      <c r="Q22" s="16"/>
      <c r="R22" s="1" t="e">
        <f>VLOOKUP(#REF!,[2]Aprovados!A:A,1,0)</f>
        <v>#REF!</v>
      </c>
      <c r="S22" s="236"/>
      <c r="T22" s="235"/>
      <c r="U22" s="236" t="s">
        <v>315</v>
      </c>
      <c r="V22" s="294"/>
      <c r="W22" s="301" t="s">
        <v>18</v>
      </c>
      <c r="X22" s="302">
        <v>289.5</v>
      </c>
      <c r="Y22" s="303">
        <v>46029</v>
      </c>
      <c r="Z22" s="304"/>
    </row>
    <row r="23" spans="1:26" ht="15.75">
      <c r="A23" s="6">
        <v>22328980</v>
      </c>
      <c r="B23" s="7">
        <v>46028</v>
      </c>
      <c r="C23" s="6" t="s">
        <v>416</v>
      </c>
      <c r="D23" s="6" t="s">
        <v>570</v>
      </c>
      <c r="E23" s="6">
        <f>IF(Tabela1316[[#This Row],[VEICULO]]="CARRETA",5,IF(Tabela1316[[#This Row],[VEICULO]]="TRUCK BAU",3,0))</f>
        <v>3</v>
      </c>
      <c r="F23" s="6"/>
      <c r="G23" s="6" t="s">
        <v>402</v>
      </c>
      <c r="H23" s="1" t="s">
        <v>417</v>
      </c>
      <c r="I23" s="9">
        <v>46029</v>
      </c>
      <c r="J23" s="9">
        <v>46029</v>
      </c>
      <c r="K23" s="11">
        <v>0</v>
      </c>
      <c r="L23" s="1" t="s">
        <v>17</v>
      </c>
      <c r="M23" s="205" t="s">
        <v>315</v>
      </c>
      <c r="N23" s="1" t="s">
        <v>18</v>
      </c>
      <c r="O23" s="9">
        <v>46034</v>
      </c>
      <c r="P23" s="14">
        <f>Tabela1316[[#This Row],[Valor_recibo]]</f>
        <v>0</v>
      </c>
      <c r="Q23" s="16"/>
      <c r="R23" s="1" t="e">
        <f>VLOOKUP(#REF!,[2]Aprovados!A:A,1,0)</f>
        <v>#REF!</v>
      </c>
      <c r="S23" s="236"/>
      <c r="T23" s="235"/>
      <c r="U23" s="236" t="s">
        <v>315</v>
      </c>
      <c r="V23" s="294"/>
      <c r="W23" s="301" t="s">
        <v>18</v>
      </c>
      <c r="X23" s="302">
        <v>79.5</v>
      </c>
      <c r="Y23" s="303">
        <v>46029</v>
      </c>
      <c r="Z23" s="304"/>
    </row>
    <row r="24" spans="1:26" ht="15.75">
      <c r="A24" s="6">
        <v>22313564</v>
      </c>
      <c r="B24" s="7">
        <v>46028</v>
      </c>
      <c r="C24" s="6" t="s">
        <v>384</v>
      </c>
      <c r="D24" s="6" t="str">
        <f>VLOOKUP(Tabela1316[[#This Row],[Motorista]],Planilha1!A:C,3,0)</f>
        <v>CARRETA</v>
      </c>
      <c r="E24" s="6">
        <f>IF(Tabela1316[[#This Row],[VEICULO]]="CARRETA",5,IF(Tabela1316[[#This Row],[VEICULO]]="TRUCK BAU",3,0))</f>
        <v>5</v>
      </c>
      <c r="F24" s="6"/>
      <c r="G24" s="6" t="s">
        <v>383</v>
      </c>
      <c r="H24" s="1">
        <v>151333</v>
      </c>
      <c r="I24" s="9">
        <v>46029</v>
      </c>
      <c r="J24" s="9">
        <v>46029</v>
      </c>
      <c r="K24" s="11">
        <v>0</v>
      </c>
      <c r="L24" s="1" t="s">
        <v>17</v>
      </c>
      <c r="M24" s="205" t="s">
        <v>315</v>
      </c>
      <c r="N24" s="1"/>
      <c r="O24" s="9">
        <v>46036</v>
      </c>
      <c r="P24" s="14">
        <f>Tabela1316[[#This Row],[Valor_recibo]]</f>
        <v>0</v>
      </c>
      <c r="Q24" s="16"/>
      <c r="R24" s="1" t="e">
        <f>VLOOKUP(#REF!,[2]Aprovados!A:A,1,0)</f>
        <v>#REF!</v>
      </c>
      <c r="S24" s="236"/>
      <c r="T24" s="235"/>
      <c r="U24" s="236" t="s">
        <v>315</v>
      </c>
      <c r="V24" s="294"/>
      <c r="W24" s="301" t="s">
        <v>18</v>
      </c>
      <c r="X24" s="302">
        <v>289.5</v>
      </c>
      <c r="Y24" s="303">
        <v>46029</v>
      </c>
      <c r="Z24" s="304"/>
    </row>
    <row r="25" spans="1:26" ht="15.75">
      <c r="A25" s="6">
        <v>22313561</v>
      </c>
      <c r="B25" s="7">
        <v>46029</v>
      </c>
      <c r="C25" s="6" t="s">
        <v>408</v>
      </c>
      <c r="D25" s="6" t="str">
        <f>VLOOKUP(Tabela1316[[#This Row],[Motorista]],Planilha1!A:C,3,0)</f>
        <v>CARRETA</v>
      </c>
      <c r="E25" s="6">
        <f>IF(Tabela1316[[#This Row],[VEICULO]]="CARRETA",5,IF(Tabela1316[[#This Row],[VEICULO]]="TRUCK BAU",3,0))</f>
        <v>5</v>
      </c>
      <c r="F25" s="6"/>
      <c r="G25" s="6" t="s">
        <v>383</v>
      </c>
      <c r="H25" s="1">
        <v>151331</v>
      </c>
      <c r="I25" s="9">
        <v>46030</v>
      </c>
      <c r="J25" s="9">
        <v>46030</v>
      </c>
      <c r="K25" s="11">
        <v>0</v>
      </c>
      <c r="L25" s="1" t="s">
        <v>17</v>
      </c>
      <c r="M25" s="205" t="s">
        <v>315</v>
      </c>
      <c r="N25" s="1"/>
      <c r="O25" s="9">
        <v>46036</v>
      </c>
      <c r="P25" s="14">
        <f>Tabela1316[[#This Row],[Valor_recibo]]</f>
        <v>0</v>
      </c>
      <c r="Q25" s="16"/>
      <c r="R25" s="1" t="e">
        <f>VLOOKUP(#REF!,[2]Aprovados!A:A,1,0)</f>
        <v>#REF!</v>
      </c>
      <c r="S25" s="236"/>
      <c r="T25" s="235"/>
      <c r="U25" s="236" t="s">
        <v>315</v>
      </c>
      <c r="V25" s="294"/>
      <c r="W25" s="301" t="s">
        <v>18</v>
      </c>
      <c r="X25" s="302">
        <v>289.5</v>
      </c>
      <c r="Y25" s="303">
        <v>46030</v>
      </c>
      <c r="Z25" s="304"/>
    </row>
    <row r="26" spans="1:26" ht="15.75">
      <c r="A26" s="6">
        <v>22313562</v>
      </c>
      <c r="B26" s="7">
        <v>46029</v>
      </c>
      <c r="C26" s="6" t="s">
        <v>326</v>
      </c>
      <c r="D26" s="6" t="str">
        <f>VLOOKUP(Tabela1316[[#This Row],[Motorista]],Planilha1!A:C,3,0)</f>
        <v>CARRETA</v>
      </c>
      <c r="E26" s="6">
        <f>IF(Tabela1316[[#This Row],[VEICULO]]="CARRETA",5,IF(Tabela1316[[#This Row],[VEICULO]]="TRUCK BAU",3,0))</f>
        <v>5</v>
      </c>
      <c r="F26" s="6"/>
      <c r="G26" s="6" t="s">
        <v>383</v>
      </c>
      <c r="H26" s="1">
        <v>151332</v>
      </c>
      <c r="I26" s="9">
        <v>46030</v>
      </c>
      <c r="J26" s="9">
        <v>46030</v>
      </c>
      <c r="K26" s="11">
        <v>0</v>
      </c>
      <c r="L26" s="1" t="s">
        <v>17</v>
      </c>
      <c r="M26" s="205" t="s">
        <v>315</v>
      </c>
      <c r="N26" s="1" t="s">
        <v>18</v>
      </c>
      <c r="O26" s="9">
        <v>46034</v>
      </c>
      <c r="P26" s="14">
        <f>Tabela1316[[#This Row],[Valor_recibo]]</f>
        <v>0</v>
      </c>
      <c r="Q26" s="16"/>
      <c r="R26" s="1" t="e">
        <f>VLOOKUP(#REF!,[2]Aprovados!A:A,1,0)</f>
        <v>#REF!</v>
      </c>
      <c r="S26" s="236"/>
      <c r="T26" s="235"/>
      <c r="U26" s="236" t="s">
        <v>315</v>
      </c>
      <c r="V26" s="294"/>
      <c r="W26" s="301" t="s">
        <v>18</v>
      </c>
      <c r="X26" s="302">
        <v>289.5</v>
      </c>
      <c r="Y26" s="303">
        <v>46030</v>
      </c>
      <c r="Z26" s="304"/>
    </row>
    <row r="27" spans="1:26" ht="15.75">
      <c r="A27" s="6">
        <v>22152496</v>
      </c>
      <c r="B27" s="7">
        <v>46029</v>
      </c>
      <c r="C27" s="6" t="s">
        <v>385</v>
      </c>
      <c r="D27" s="6" t="str">
        <f>VLOOKUP(Tabela1316[[#This Row],[Motorista]],Planilha1!A:C,3,0)</f>
        <v>CARRETA</v>
      </c>
      <c r="E27" s="6">
        <f>IF(Tabela1316[[#This Row],[VEICULO]]="CARRETA",5,IF(Tabela1316[[#This Row],[VEICULO]]="TRUCK BAU",3,0))</f>
        <v>5</v>
      </c>
      <c r="F27" s="6"/>
      <c r="G27" s="6" t="s">
        <v>418</v>
      </c>
      <c r="H27" s="1" t="s">
        <v>419</v>
      </c>
      <c r="I27" s="9">
        <v>46030</v>
      </c>
      <c r="J27" s="9">
        <v>46030</v>
      </c>
      <c r="K27" s="11">
        <v>238</v>
      </c>
      <c r="L27" s="1" t="s">
        <v>17</v>
      </c>
      <c r="M27" s="205" t="s">
        <v>315</v>
      </c>
      <c r="N27" s="1" t="s">
        <v>18</v>
      </c>
      <c r="O27" s="9">
        <v>46034</v>
      </c>
      <c r="P27" s="14">
        <f>Tabela1316[[#This Row],[Valor_recibo]]</f>
        <v>238</v>
      </c>
      <c r="Q27" s="16"/>
      <c r="R27" s="1" t="e">
        <f>VLOOKUP(#REF!,[2]Aprovados!A:A,1,0)</f>
        <v>#REF!</v>
      </c>
      <c r="S27" s="236"/>
      <c r="T27" s="235"/>
      <c r="U27" s="236" t="s">
        <v>315</v>
      </c>
      <c r="V27" s="294"/>
      <c r="W27" s="301" t="s">
        <v>18</v>
      </c>
      <c r="X27" s="302">
        <v>132</v>
      </c>
      <c r="Y27" s="303">
        <v>46030</v>
      </c>
      <c r="Z27" s="304"/>
    </row>
    <row r="28" spans="1:26" ht="15.75">
      <c r="A28" s="6">
        <v>22152497</v>
      </c>
      <c r="B28" s="7">
        <v>46029</v>
      </c>
      <c r="C28" s="6" t="s">
        <v>388</v>
      </c>
      <c r="D28" s="6" t="str">
        <f>VLOOKUP(Tabela1316[[#This Row],[Motorista]],Planilha1!A:C,3,0)</f>
        <v>CARRETA</v>
      </c>
      <c r="E28" s="6">
        <f>IF(Tabela1316[[#This Row],[VEICULO]]="CARRETA",5,IF(Tabela1316[[#This Row],[VEICULO]]="TRUCK BAU",3,0))</f>
        <v>5</v>
      </c>
      <c r="F28" s="6"/>
      <c r="G28" s="6" t="s">
        <v>418</v>
      </c>
      <c r="H28" s="1" t="s">
        <v>420</v>
      </c>
      <c r="I28" s="9">
        <v>46030</v>
      </c>
      <c r="J28" s="9">
        <v>46030</v>
      </c>
      <c r="K28" s="11">
        <v>255</v>
      </c>
      <c r="L28" s="1" t="s">
        <v>17</v>
      </c>
      <c r="M28" s="205" t="s">
        <v>315</v>
      </c>
      <c r="N28" s="1" t="s">
        <v>18</v>
      </c>
      <c r="O28" s="9">
        <v>46037</v>
      </c>
      <c r="P28" s="14">
        <f>Tabela1316[[#This Row],[Valor_recibo]]</f>
        <v>255</v>
      </c>
      <c r="Q28" s="16"/>
      <c r="R28" s="1" t="e">
        <f>VLOOKUP(#REF!,[2]Aprovados!A:A,1,0)</f>
        <v>#REF!</v>
      </c>
      <c r="S28" s="236"/>
      <c r="T28" s="235"/>
      <c r="U28" s="236" t="s">
        <v>315</v>
      </c>
      <c r="V28" s="294"/>
      <c r="W28" s="301" t="s">
        <v>18</v>
      </c>
      <c r="X28" s="302">
        <v>132</v>
      </c>
      <c r="Y28" s="303">
        <v>46030</v>
      </c>
      <c r="Z28" s="304"/>
    </row>
    <row r="29" spans="1:26" ht="15.75">
      <c r="A29" s="6">
        <v>22337774</v>
      </c>
      <c r="B29" s="7">
        <v>46030</v>
      </c>
      <c r="C29" s="6" t="s">
        <v>422</v>
      </c>
      <c r="D29" s="6" t="s">
        <v>570</v>
      </c>
      <c r="E29" s="6">
        <f>IF(Tabela1316[[#This Row],[VEICULO]]="CARRETA",5,IF(Tabela1316[[#This Row],[VEICULO]]="TRUCK BAU",3,0))</f>
        <v>3</v>
      </c>
      <c r="F29" s="6"/>
      <c r="G29" s="6" t="s">
        <v>423</v>
      </c>
      <c r="H29" s="1" t="s">
        <v>424</v>
      </c>
      <c r="I29" s="9">
        <v>46031</v>
      </c>
      <c r="J29" s="9">
        <v>46031</v>
      </c>
      <c r="K29" s="11">
        <v>180</v>
      </c>
      <c r="L29" s="1" t="s">
        <v>17</v>
      </c>
      <c r="M29" s="205" t="s">
        <v>315</v>
      </c>
      <c r="N29" s="1" t="s">
        <v>18</v>
      </c>
      <c r="O29" s="9">
        <v>46042</v>
      </c>
      <c r="P29" s="14">
        <f>Tabela1316[[#This Row],[Valor_recibo]]</f>
        <v>180</v>
      </c>
      <c r="Q29" s="16"/>
      <c r="R29" s="1" t="e">
        <f>VLOOKUP(#REF!,[2]Aprovados!A:A,1,0)</f>
        <v>#REF!</v>
      </c>
      <c r="S29" s="236"/>
      <c r="T29" s="235"/>
      <c r="U29" s="236" t="s">
        <v>315</v>
      </c>
      <c r="V29" s="294"/>
      <c r="W29" s="301" t="s">
        <v>18</v>
      </c>
      <c r="X29" s="302">
        <v>112.5</v>
      </c>
      <c r="Y29" s="303">
        <v>46031</v>
      </c>
      <c r="Z29" s="304"/>
    </row>
    <row r="30" spans="1:26" ht="15.75">
      <c r="A30" s="6">
        <v>22248659</v>
      </c>
      <c r="B30" s="7">
        <v>46031</v>
      </c>
      <c r="C30" s="6" t="s">
        <v>394</v>
      </c>
      <c r="D30" s="6" t="str">
        <f>VLOOKUP(Tabela1316[[#This Row],[Motorista]],Planilha1!A:C,3,0)</f>
        <v>CARRETA</v>
      </c>
      <c r="E30" s="6">
        <f>IF(Tabela1316[[#This Row],[VEICULO]]="CARRETA",5,IF(Tabela1316[[#This Row],[VEICULO]]="TRUCK BAU",3,0))</f>
        <v>5</v>
      </c>
      <c r="F30" s="6"/>
      <c r="G30" s="6" t="s">
        <v>383</v>
      </c>
      <c r="H30" s="1" t="s">
        <v>425</v>
      </c>
      <c r="I30" s="9">
        <v>46032</v>
      </c>
      <c r="J30" s="9">
        <v>46032</v>
      </c>
      <c r="K30" s="11">
        <v>0</v>
      </c>
      <c r="L30" s="1" t="s">
        <v>17</v>
      </c>
      <c r="M30" s="205" t="s">
        <v>315</v>
      </c>
      <c r="N30" s="1"/>
      <c r="O30" s="9">
        <v>46036</v>
      </c>
      <c r="P30" s="14">
        <f>Tabela1316[[#This Row],[Valor_recibo]]</f>
        <v>0</v>
      </c>
      <c r="Q30" s="16"/>
      <c r="R30" s="1" t="e">
        <f>VLOOKUP(#REF!,[2]Aprovados!A:A,1,0)</f>
        <v>#REF!</v>
      </c>
      <c r="S30" s="236"/>
      <c r="T30" s="235"/>
      <c r="U30" s="236" t="s">
        <v>315</v>
      </c>
      <c r="V30" s="294"/>
      <c r="W30" s="301" t="s">
        <v>18</v>
      </c>
      <c r="X30" s="302">
        <v>289.5</v>
      </c>
      <c r="Y30" s="303">
        <v>46031</v>
      </c>
      <c r="Z30" s="304"/>
    </row>
    <row r="31" spans="1:26" ht="15.75">
      <c r="A31" s="6">
        <v>22248656</v>
      </c>
      <c r="B31" s="7">
        <v>46031</v>
      </c>
      <c r="C31" s="6" t="s">
        <v>426</v>
      </c>
      <c r="D31" s="6" t="s">
        <v>562</v>
      </c>
      <c r="E31" s="6">
        <f>IF(Tabela1316[[#This Row],[VEICULO]]="CARRETA",5,IF(Tabela1316[[#This Row],[VEICULO]]="TRUCK BAU",3,0))</f>
        <v>5</v>
      </c>
      <c r="F31" s="6"/>
      <c r="G31" s="6" t="s">
        <v>383</v>
      </c>
      <c r="H31" s="1" t="s">
        <v>427</v>
      </c>
      <c r="I31" s="9">
        <v>46032</v>
      </c>
      <c r="J31" s="9">
        <v>46032</v>
      </c>
      <c r="K31" s="11">
        <v>0</v>
      </c>
      <c r="L31" s="1" t="s">
        <v>17</v>
      </c>
      <c r="M31" s="205" t="s">
        <v>315</v>
      </c>
      <c r="N31" s="1"/>
      <c r="O31" s="9">
        <v>46036</v>
      </c>
      <c r="P31" s="14">
        <f>Tabela1316[[#This Row],[Valor_recibo]]</f>
        <v>0</v>
      </c>
      <c r="Q31" s="16"/>
      <c r="R31" s="1" t="e">
        <f>VLOOKUP(#REF!,[2]Aprovados!A:A,1,0)</f>
        <v>#REF!</v>
      </c>
      <c r="S31" s="236"/>
      <c r="T31" s="235"/>
      <c r="U31" s="236" t="s">
        <v>315</v>
      </c>
      <c r="V31" s="294"/>
      <c r="W31" s="301" t="s">
        <v>18</v>
      </c>
      <c r="X31" s="302">
        <v>289.5</v>
      </c>
      <c r="Y31" s="303">
        <v>46031</v>
      </c>
      <c r="Z31" s="304"/>
    </row>
    <row r="32" spans="1:26" ht="15.75">
      <c r="A32" s="6">
        <v>22338012</v>
      </c>
      <c r="B32" s="7">
        <v>46031</v>
      </c>
      <c r="C32" s="6" t="s">
        <v>384</v>
      </c>
      <c r="D32" s="6" t="str">
        <f>VLOOKUP(Tabela1316[[#This Row],[Motorista]],Planilha1!A:C,3,0)</f>
        <v>CARRETA</v>
      </c>
      <c r="E32" s="6">
        <f>IF(Tabela1316[[#This Row],[VEICULO]]="CARRETA",5,IF(Tabela1316[[#This Row],[VEICULO]]="TRUCK BAU",3,0))</f>
        <v>5</v>
      </c>
      <c r="F32" s="6"/>
      <c r="G32" s="6" t="s">
        <v>428</v>
      </c>
      <c r="H32" s="1" t="s">
        <v>429</v>
      </c>
      <c r="I32" s="9">
        <v>46032</v>
      </c>
      <c r="J32" s="9">
        <v>46032</v>
      </c>
      <c r="K32" s="11">
        <v>560</v>
      </c>
      <c r="L32" s="1" t="s">
        <v>17</v>
      </c>
      <c r="M32" s="205" t="s">
        <v>315</v>
      </c>
      <c r="N32" s="1" t="s">
        <v>18</v>
      </c>
      <c r="O32" s="9">
        <v>46036</v>
      </c>
      <c r="P32" s="14">
        <f>Tabela1316[[#This Row],[Valor_recibo]]</f>
        <v>560</v>
      </c>
      <c r="Q32" s="16"/>
      <c r="R32" s="1" t="e">
        <f>VLOOKUP(#REF!,[2]Aprovados!A:A,1,0)</f>
        <v>#REF!</v>
      </c>
      <c r="S32" s="236"/>
      <c r="T32" s="235"/>
      <c r="U32" s="236" t="s">
        <v>315</v>
      </c>
      <c r="V32" s="294"/>
      <c r="W32" s="301" t="s">
        <v>18</v>
      </c>
      <c r="X32" s="302">
        <v>327.5</v>
      </c>
      <c r="Y32" s="303">
        <v>46034</v>
      </c>
      <c r="Z32" s="304"/>
    </row>
    <row r="33" spans="1:26" ht="15.75">
      <c r="A33" s="6">
        <v>22338577</v>
      </c>
      <c r="B33" s="7">
        <v>46031</v>
      </c>
      <c r="C33" s="6" t="s">
        <v>412</v>
      </c>
      <c r="D33" s="6" t="s">
        <v>570</v>
      </c>
      <c r="E33" s="6">
        <f>IF(Tabela1316[[#This Row],[VEICULO]]="CARRETA",5,IF(Tabela1316[[#This Row],[VEICULO]]="TRUCK BAU",3,0))</f>
        <v>3</v>
      </c>
      <c r="F33" s="6"/>
      <c r="G33" s="6" t="s">
        <v>386</v>
      </c>
      <c r="H33" s="1" t="s">
        <v>430</v>
      </c>
      <c r="I33" s="9">
        <v>46034</v>
      </c>
      <c r="J33" s="9">
        <v>46034</v>
      </c>
      <c r="K33" s="11">
        <v>300</v>
      </c>
      <c r="L33" s="1" t="s">
        <v>17</v>
      </c>
      <c r="M33" s="205" t="s">
        <v>315</v>
      </c>
      <c r="N33" s="1" t="s">
        <v>18</v>
      </c>
      <c r="O33" s="9">
        <v>46036</v>
      </c>
      <c r="P33" s="14">
        <f>Tabela1316[[#This Row],[Valor_recibo]]</f>
        <v>300</v>
      </c>
      <c r="Q33" s="16"/>
      <c r="R33" s="1" t="e">
        <f>VLOOKUP(#REF!,[2]Aprovados!A:A,1,0)</f>
        <v>#REF!</v>
      </c>
      <c r="S33" s="236"/>
      <c r="T33" s="235"/>
      <c r="U33" s="236" t="s">
        <v>315</v>
      </c>
      <c r="V33" s="294"/>
      <c r="W33" s="301" t="s">
        <v>18</v>
      </c>
      <c r="X33" s="302">
        <v>198.9</v>
      </c>
      <c r="Y33" s="303">
        <v>46034</v>
      </c>
      <c r="Z33" s="304"/>
    </row>
    <row r="34" spans="1:26" ht="15.75">
      <c r="A34" s="6">
        <v>22343340</v>
      </c>
      <c r="B34" s="7">
        <v>46031</v>
      </c>
      <c r="C34" s="6" t="s">
        <v>389</v>
      </c>
      <c r="D34" s="6" t="str">
        <f>VLOOKUP(Tabela1316[[#This Row],[Motorista]],Planilha1!A:C,3,0)</f>
        <v>TRUCK BAU</v>
      </c>
      <c r="E34" s="6">
        <f>IF(Tabela1316[[#This Row],[VEICULO]]="CARRETA",5,IF(Tabela1316[[#This Row],[VEICULO]]="TRUCK BAU",3,0))</f>
        <v>3</v>
      </c>
      <c r="F34" s="6"/>
      <c r="G34" s="6" t="s">
        <v>431</v>
      </c>
      <c r="H34" s="1" t="s">
        <v>432</v>
      </c>
      <c r="I34" s="9">
        <v>46034</v>
      </c>
      <c r="J34" s="9">
        <v>46034</v>
      </c>
      <c r="K34" s="11">
        <v>260</v>
      </c>
      <c r="L34" s="1" t="s">
        <v>17</v>
      </c>
      <c r="M34" s="205" t="s">
        <v>315</v>
      </c>
      <c r="N34" s="1" t="s">
        <v>18</v>
      </c>
      <c r="O34" s="9">
        <v>46036</v>
      </c>
      <c r="P34" s="14">
        <f>Tabela1316[[#This Row],[Valor_recibo]]</f>
        <v>260</v>
      </c>
      <c r="Q34" s="16"/>
      <c r="R34" s="1" t="e">
        <f>VLOOKUP(#REF!,[2]Aprovados!A:A,1,0)</f>
        <v>#REF!</v>
      </c>
      <c r="S34" s="236"/>
      <c r="T34" s="235"/>
      <c r="U34" s="236" t="s">
        <v>315</v>
      </c>
      <c r="V34" s="294"/>
      <c r="W34" s="301" t="s">
        <v>18</v>
      </c>
      <c r="X34" s="302">
        <v>130.5</v>
      </c>
      <c r="Y34" s="303">
        <v>46034</v>
      </c>
      <c r="Z34" s="304"/>
    </row>
    <row r="35" spans="1:26" ht="15.75">
      <c r="A35" s="6">
        <v>22337798</v>
      </c>
      <c r="B35" s="7">
        <v>46031</v>
      </c>
      <c r="C35" s="6" t="s">
        <v>399</v>
      </c>
      <c r="D35" s="6" t="str">
        <f>VLOOKUP(Tabela1316[[#This Row],[Motorista]],Planilha1!A:C,3,0)</f>
        <v>TRUCK BAU</v>
      </c>
      <c r="E35" s="6">
        <f>IF(Tabela1316[[#This Row],[VEICULO]]="CARRETA",5,IF(Tabela1316[[#This Row],[VEICULO]]="TRUCK BAU",3,0))</f>
        <v>3</v>
      </c>
      <c r="F35" s="6"/>
      <c r="G35" s="6" t="s">
        <v>433</v>
      </c>
      <c r="H35" s="1">
        <v>153202</v>
      </c>
      <c r="I35" s="9">
        <v>46034</v>
      </c>
      <c r="J35" s="9">
        <v>46034</v>
      </c>
      <c r="K35" s="11">
        <v>238</v>
      </c>
      <c r="L35" s="1" t="s">
        <v>17</v>
      </c>
      <c r="M35" s="205" t="s">
        <v>315</v>
      </c>
      <c r="N35" s="1" t="s">
        <v>18</v>
      </c>
      <c r="O35" s="9">
        <v>46036</v>
      </c>
      <c r="P35" s="14">
        <f>Tabela1316[[#This Row],[Valor_recibo]]</f>
        <v>238</v>
      </c>
      <c r="Q35" s="16"/>
      <c r="R35" s="1" t="e">
        <f>VLOOKUP(#REF!,[2]Aprovados!A:A,1,0)</f>
        <v>#REF!</v>
      </c>
      <c r="S35" s="236"/>
      <c r="T35" s="235"/>
      <c r="U35" s="236" t="s">
        <v>315</v>
      </c>
      <c r="V35" s="294"/>
      <c r="W35" s="301" t="s">
        <v>18</v>
      </c>
      <c r="X35" s="302">
        <v>44.1</v>
      </c>
      <c r="Y35" s="303">
        <v>46034</v>
      </c>
      <c r="Z35" s="304"/>
    </row>
    <row r="36" spans="1:26" ht="15.75">
      <c r="A36" s="6">
        <v>22318653</v>
      </c>
      <c r="B36" s="7">
        <v>46031</v>
      </c>
      <c r="C36" s="6" t="s">
        <v>388</v>
      </c>
      <c r="D36" s="6" t="str">
        <f>VLOOKUP(Tabela1316[[#This Row],[Motorista]],Planilha1!A:C,3,0)</f>
        <v>CARRETA</v>
      </c>
      <c r="E36" s="6">
        <f>IF(Tabela1316[[#This Row],[VEICULO]]="CARRETA",5,IF(Tabela1316[[#This Row],[VEICULO]]="TRUCK BAU",3,0))</f>
        <v>5</v>
      </c>
      <c r="F36" s="6"/>
      <c r="G36" s="6" t="s">
        <v>383</v>
      </c>
      <c r="H36" s="1">
        <v>153035</v>
      </c>
      <c r="I36" s="9">
        <v>46035</v>
      </c>
      <c r="J36" s="9">
        <v>46035</v>
      </c>
      <c r="K36" s="11">
        <v>532</v>
      </c>
      <c r="L36" s="1" t="s">
        <v>17</v>
      </c>
      <c r="M36" s="205" t="s">
        <v>315</v>
      </c>
      <c r="N36" s="1" t="s">
        <v>18</v>
      </c>
      <c r="O36" s="9">
        <v>46037</v>
      </c>
      <c r="P36" s="14">
        <f>Tabela1316[[#This Row],[Valor_recibo]]</f>
        <v>532</v>
      </c>
      <c r="Q36" s="16"/>
      <c r="R36" s="1" t="e">
        <f>VLOOKUP(#REF!,[2]Aprovados!A:A,1,0)</f>
        <v>#REF!</v>
      </c>
      <c r="S36" s="236"/>
      <c r="T36" s="235"/>
      <c r="U36" s="236" t="s">
        <v>315</v>
      </c>
      <c r="V36" s="294"/>
      <c r="W36" s="301" t="s">
        <v>18</v>
      </c>
      <c r="X36" s="302">
        <v>289.5</v>
      </c>
      <c r="Y36" s="303">
        <v>46034</v>
      </c>
      <c r="Z36" s="304"/>
    </row>
    <row r="37" spans="1:26" ht="15.75">
      <c r="A37" s="6">
        <v>22341918</v>
      </c>
      <c r="B37" s="7">
        <v>46031</v>
      </c>
      <c r="C37" s="6" t="s">
        <v>396</v>
      </c>
      <c r="D37" s="6" t="str">
        <f>VLOOKUP(Tabela1316[[#This Row],[Motorista]],Planilha1!A:C,3,0)</f>
        <v>CARRETA</v>
      </c>
      <c r="E37" s="6">
        <f>IF(Tabela1316[[#This Row],[VEICULO]]="CARRETA",5,IF(Tabela1316[[#This Row],[VEICULO]]="TRUCK BAU",3,0))</f>
        <v>5</v>
      </c>
      <c r="F37" s="6"/>
      <c r="G37" s="6" t="s">
        <v>434</v>
      </c>
      <c r="H37" s="1" t="s">
        <v>435</v>
      </c>
      <c r="I37" s="9">
        <v>46034</v>
      </c>
      <c r="J37" s="9">
        <v>46034</v>
      </c>
      <c r="K37" s="11">
        <v>416.5</v>
      </c>
      <c r="L37" s="1" t="s">
        <v>17</v>
      </c>
      <c r="M37" s="205" t="s">
        <v>315</v>
      </c>
      <c r="N37" s="1" t="s">
        <v>18</v>
      </c>
      <c r="O37" s="9">
        <v>46037</v>
      </c>
      <c r="P37" s="14">
        <f>Tabela1316[[#This Row],[Valor_recibo]]</f>
        <v>416.5</v>
      </c>
      <c r="Q37" s="16"/>
      <c r="R37" s="1" t="e">
        <f>VLOOKUP(#REF!,[2]Aprovados!A:A,1,0)</f>
        <v>#REF!</v>
      </c>
      <c r="S37" s="236"/>
      <c r="T37" s="235"/>
      <c r="U37" s="236" t="s">
        <v>315</v>
      </c>
      <c r="V37" s="294"/>
      <c r="W37" s="301" t="s">
        <v>18</v>
      </c>
      <c r="X37" s="302">
        <v>100</v>
      </c>
      <c r="Y37" s="303">
        <v>46034</v>
      </c>
      <c r="Z37" s="304"/>
    </row>
    <row r="38" spans="1:26" ht="15.75">
      <c r="A38" s="6">
        <v>22348712</v>
      </c>
      <c r="B38" s="7">
        <v>46031</v>
      </c>
      <c r="C38" s="6" t="s">
        <v>385</v>
      </c>
      <c r="D38" s="6" t="str">
        <f>VLOOKUP(Tabela1316[[#This Row],[Motorista]],Planilha1!A:C,3,0)</f>
        <v>CARRETA</v>
      </c>
      <c r="E38" s="6">
        <f>IF(Tabela1316[[#This Row],[VEICULO]]="CARRETA",5,IF(Tabela1316[[#This Row],[VEICULO]]="TRUCK BAU",3,0))</f>
        <v>5</v>
      </c>
      <c r="F38" s="6"/>
      <c r="G38" s="6" t="s">
        <v>386</v>
      </c>
      <c r="H38" s="1">
        <v>153023</v>
      </c>
      <c r="I38" s="9">
        <v>46034</v>
      </c>
      <c r="J38" s="9">
        <v>46034</v>
      </c>
      <c r="K38" s="11">
        <v>2000</v>
      </c>
      <c r="L38" s="1" t="s">
        <v>17</v>
      </c>
      <c r="M38" s="205" t="s">
        <v>315</v>
      </c>
      <c r="N38" s="1" t="s">
        <v>18</v>
      </c>
      <c r="O38" s="9">
        <v>46036</v>
      </c>
      <c r="P38" s="14">
        <f>Tabela1316[[#This Row],[Valor_recibo]]</f>
        <v>2000</v>
      </c>
      <c r="Q38" s="16"/>
      <c r="R38" s="1" t="e">
        <f>VLOOKUP(#REF!,[2]Aprovados!A:A,1,0)</f>
        <v>#REF!</v>
      </c>
      <c r="S38" s="236"/>
      <c r="T38" s="235"/>
      <c r="U38" s="236" t="s">
        <v>315</v>
      </c>
      <c r="V38" s="294"/>
      <c r="W38" s="301" t="s">
        <v>18</v>
      </c>
      <c r="X38" s="302">
        <v>331.5</v>
      </c>
      <c r="Y38" s="303">
        <v>46034</v>
      </c>
      <c r="Z38" s="304"/>
    </row>
    <row r="39" spans="1:26" ht="15.75">
      <c r="A39" s="6">
        <v>22337804</v>
      </c>
      <c r="B39" s="7">
        <v>46031</v>
      </c>
      <c r="C39" s="6" t="s">
        <v>404</v>
      </c>
      <c r="D39" s="6" t="str">
        <f>VLOOKUP(Tabela1316[[#This Row],[Motorista]],Planilha1!A:C,3,0)</f>
        <v>TRUCK BAU</v>
      </c>
      <c r="E39" s="6">
        <f>IF(Tabela1316[[#This Row],[VEICULO]]="CARRETA",5,IF(Tabela1316[[#This Row],[VEICULO]]="TRUCK BAU",3,0))</f>
        <v>3</v>
      </c>
      <c r="F39" s="6"/>
      <c r="G39" s="6" t="s">
        <v>436</v>
      </c>
      <c r="H39" s="1">
        <v>152995</v>
      </c>
      <c r="I39" s="9">
        <v>46034</v>
      </c>
      <c r="J39" s="9">
        <v>46034</v>
      </c>
      <c r="K39" s="11">
        <v>238</v>
      </c>
      <c r="L39" s="1" t="s">
        <v>17</v>
      </c>
      <c r="M39" s="205" t="s">
        <v>315</v>
      </c>
      <c r="N39" s="1" t="s">
        <v>18</v>
      </c>
      <c r="O39" s="9">
        <v>46036</v>
      </c>
      <c r="P39" s="14">
        <f>Tabela1316[[#This Row],[Valor_recibo]]</f>
        <v>238</v>
      </c>
      <c r="Q39" s="16"/>
      <c r="R39" s="1" t="e">
        <f>VLOOKUP(#REF!,[2]Aprovados!A:A,1,0)</f>
        <v>#REF!</v>
      </c>
      <c r="S39" s="236"/>
      <c r="T39" s="235"/>
      <c r="U39" s="236" t="s">
        <v>315</v>
      </c>
      <c r="V39" s="294"/>
      <c r="W39" s="301" t="s">
        <v>18</v>
      </c>
      <c r="X39" s="302">
        <v>216</v>
      </c>
      <c r="Y39" s="303">
        <v>46034</v>
      </c>
      <c r="Z39" s="304"/>
    </row>
    <row r="40" spans="1:26" ht="15.75">
      <c r="A40" s="6">
        <v>22350944</v>
      </c>
      <c r="B40" s="7">
        <v>46031</v>
      </c>
      <c r="C40" s="6" t="s">
        <v>437</v>
      </c>
      <c r="D40" s="6" t="s">
        <v>570</v>
      </c>
      <c r="E40" s="6">
        <f>IF(Tabela1316[[#This Row],[VEICULO]]="CARRETA",5,IF(Tabela1316[[#This Row],[VEICULO]]="TRUCK BAU",3,0))</f>
        <v>3</v>
      </c>
      <c r="F40" s="6"/>
      <c r="G40" s="6" t="s">
        <v>438</v>
      </c>
      <c r="H40" s="1"/>
      <c r="I40" s="9"/>
      <c r="J40" s="9"/>
      <c r="K40" s="11"/>
      <c r="L40" s="1"/>
      <c r="M40" s="205" t="s">
        <v>315</v>
      </c>
      <c r="N40" s="1" t="s">
        <v>315</v>
      </c>
      <c r="O40" s="9"/>
      <c r="P40" s="14">
        <f>Tabela1316[[#This Row],[Valor_recibo]]</f>
        <v>0</v>
      </c>
      <c r="Q40" s="16"/>
      <c r="R40" s="1" t="e">
        <f>VLOOKUP(#REF!,[2]Aprovados!A:A,1,0)</f>
        <v>#REF!</v>
      </c>
      <c r="S40" s="236"/>
      <c r="T40" s="235"/>
      <c r="U40" s="236" t="s">
        <v>315</v>
      </c>
      <c r="V40" s="294"/>
      <c r="W40" s="301"/>
      <c r="X40" s="302">
        <v>0</v>
      </c>
      <c r="Y40" s="303"/>
      <c r="Z40" s="304"/>
    </row>
    <row r="41" spans="1:26" ht="15.75">
      <c r="A41" s="6">
        <v>22344622</v>
      </c>
      <c r="B41" s="7">
        <v>46031</v>
      </c>
      <c r="C41" s="6" t="s">
        <v>439</v>
      </c>
      <c r="D41" s="6" t="s">
        <v>570</v>
      </c>
      <c r="E41" s="6">
        <f>IF(Tabela1316[[#This Row],[VEICULO]]="CARRETA",5,IF(Tabela1316[[#This Row],[VEICULO]]="TRUCK BAU",3,0))</f>
        <v>3</v>
      </c>
      <c r="F41" s="6"/>
      <c r="G41" s="6" t="s">
        <v>440</v>
      </c>
      <c r="H41" s="1"/>
      <c r="I41" s="9"/>
      <c r="J41" s="9"/>
      <c r="K41" s="11"/>
      <c r="L41" s="1"/>
      <c r="M41" s="205" t="s">
        <v>315</v>
      </c>
      <c r="N41" s="1" t="s">
        <v>315</v>
      </c>
      <c r="O41" s="9"/>
      <c r="P41" s="14">
        <f>Tabela1316[[#This Row],[Valor_recibo]]</f>
        <v>0</v>
      </c>
      <c r="Q41" s="16"/>
      <c r="R41" s="1" t="e">
        <f>VLOOKUP(#REF!,[2]Aprovados!A:A,1,0)</f>
        <v>#REF!</v>
      </c>
      <c r="S41" s="236"/>
      <c r="T41" s="235"/>
      <c r="U41" s="236" t="s">
        <v>315</v>
      </c>
      <c r="V41" s="294"/>
      <c r="W41" s="301"/>
      <c r="X41" s="302">
        <v>0</v>
      </c>
      <c r="Y41" s="303"/>
      <c r="Z41" s="304"/>
    </row>
    <row r="42" spans="1:26">
      <c r="A42" s="67">
        <v>22161610</v>
      </c>
      <c r="B42" s="7">
        <v>46013</v>
      </c>
      <c r="C42" s="6" t="s">
        <v>439</v>
      </c>
      <c r="D42" s="6" t="s">
        <v>570</v>
      </c>
      <c r="E42" s="6">
        <f>IF(Tabela1316[[#This Row],[VEICULO]]="CARRETA",5,IF(Tabela1316[[#This Row],[VEICULO]]="TRUCK BAU",3,0))</f>
        <v>3</v>
      </c>
      <c r="F42" s="6"/>
      <c r="G42" s="6" t="s">
        <v>411</v>
      </c>
      <c r="H42" s="1" t="s">
        <v>441</v>
      </c>
      <c r="I42" s="9">
        <v>46014</v>
      </c>
      <c r="J42" s="9">
        <v>46014</v>
      </c>
      <c r="K42" s="11">
        <v>1504</v>
      </c>
      <c r="L42" s="1" t="s">
        <v>17</v>
      </c>
      <c r="M42" s="1"/>
      <c r="N42" s="1" t="s">
        <v>18</v>
      </c>
      <c r="O42" s="9">
        <v>46034</v>
      </c>
      <c r="P42" s="14"/>
      <c r="Q42" s="16"/>
      <c r="R42" s="6" t="e">
        <f>VLOOKUP(#REF!,[2]Aprovados!A:A,1,0)</f>
        <v>#REF!</v>
      </c>
      <c r="S42" s="16"/>
      <c r="T42" s="16"/>
      <c r="U42" s="236" t="s">
        <v>315</v>
      </c>
      <c r="V42" s="9"/>
      <c r="W42" s="71" t="s">
        <v>18</v>
      </c>
      <c r="X42" s="302">
        <v>47.4</v>
      </c>
      <c r="Y42" s="232">
        <v>46014</v>
      </c>
    </row>
    <row r="43" spans="1:26" ht="15.75">
      <c r="A43" s="6">
        <v>22318665</v>
      </c>
      <c r="B43" s="7">
        <v>46034</v>
      </c>
      <c r="C43" s="6" t="s">
        <v>326</v>
      </c>
      <c r="D43" s="6" t="str">
        <f>VLOOKUP(Tabela1316[[#This Row],[Motorista]],Planilha1!A:C,3,0)</f>
        <v>CARRETA</v>
      </c>
      <c r="E43" s="6">
        <f>IF(Tabela1316[[#This Row],[VEICULO]]="CARRETA",5,IF(Tabela1316[[#This Row],[VEICULO]]="TRUCK BAU",3,0))</f>
        <v>5</v>
      </c>
      <c r="F43" s="6"/>
      <c r="G43" s="6" t="s">
        <v>383</v>
      </c>
      <c r="H43" s="1">
        <v>152710</v>
      </c>
      <c r="I43" s="9">
        <v>46036</v>
      </c>
      <c r="J43" s="9">
        <v>46036</v>
      </c>
      <c r="K43" s="11">
        <v>532</v>
      </c>
      <c r="L43" s="1" t="s">
        <v>17</v>
      </c>
      <c r="M43" s="205" t="s">
        <v>315</v>
      </c>
      <c r="N43" s="1" t="s">
        <v>18</v>
      </c>
      <c r="O43" s="9">
        <v>46037</v>
      </c>
      <c r="P43" s="14">
        <f>Tabela1316[[#This Row],[Valor_recibo]]</f>
        <v>532</v>
      </c>
      <c r="Q43" s="16"/>
      <c r="R43" s="1" t="e">
        <f>VLOOKUP(#REF!,[2]Aprovados!A:A,1,0)</f>
        <v>#REF!</v>
      </c>
      <c r="S43" s="236"/>
      <c r="T43" s="235"/>
      <c r="U43" s="236" t="s">
        <v>315</v>
      </c>
      <c r="V43" s="294"/>
      <c r="W43" s="301" t="s">
        <v>18</v>
      </c>
      <c r="X43" s="302">
        <v>289.5</v>
      </c>
      <c r="Y43" s="303">
        <v>46035</v>
      </c>
      <c r="Z43" s="304"/>
    </row>
    <row r="44" spans="1:26" ht="15.75">
      <c r="A44" s="6">
        <v>22343352</v>
      </c>
      <c r="B44" s="7">
        <v>46034</v>
      </c>
      <c r="C44" s="6" t="s">
        <v>442</v>
      </c>
      <c r="D44" s="6" t="s">
        <v>570</v>
      </c>
      <c r="E44" s="6">
        <f>IF(Tabela1316[[#This Row],[VEICULO]]="CARRETA",5,IF(Tabela1316[[#This Row],[VEICULO]]="TRUCK BAU",3,0))</f>
        <v>3</v>
      </c>
      <c r="F44" s="6"/>
      <c r="G44" s="6" t="s">
        <v>415</v>
      </c>
      <c r="H44" s="1" t="s">
        <v>443</v>
      </c>
      <c r="I44" s="9">
        <v>46035</v>
      </c>
      <c r="J44" s="9">
        <v>46035</v>
      </c>
      <c r="K44" s="11">
        <v>255</v>
      </c>
      <c r="L44" s="1" t="s">
        <v>17</v>
      </c>
      <c r="M44" s="205" t="s">
        <v>315</v>
      </c>
      <c r="N44" s="1" t="s">
        <v>18</v>
      </c>
      <c r="O44" s="9">
        <v>46043</v>
      </c>
      <c r="P44" s="14">
        <f>Tabela1316[[#This Row],[Valor_recibo]]</f>
        <v>255</v>
      </c>
      <c r="Q44" s="16"/>
      <c r="R44" s="1" t="e">
        <f>VLOOKUP(#REF!,[2]Aprovados!A:A,1,0)</f>
        <v>#REF!</v>
      </c>
      <c r="S44" s="236"/>
      <c r="T44" s="235"/>
      <c r="U44" s="236" t="s">
        <v>315</v>
      </c>
      <c r="V44" s="294"/>
      <c r="W44" s="301" t="s">
        <v>18</v>
      </c>
      <c r="X44" s="302">
        <v>89.7</v>
      </c>
      <c r="Y44" s="303">
        <v>46035</v>
      </c>
      <c r="Z44" s="304"/>
    </row>
    <row r="45" spans="1:26" ht="15.75">
      <c r="A45" s="6">
        <v>22344025</v>
      </c>
      <c r="B45" s="7">
        <v>46034</v>
      </c>
      <c r="C45" s="6" t="s">
        <v>399</v>
      </c>
      <c r="D45" s="6" t="str">
        <f>VLOOKUP(Tabela1316[[#This Row],[Motorista]],Planilha1!A:C,3,0)</f>
        <v>TRUCK BAU</v>
      </c>
      <c r="E45" s="6">
        <f>IF(Tabela1316[[#This Row],[VEICULO]]="CARRETA",5,IF(Tabela1316[[#This Row],[VEICULO]]="TRUCK BAU",3,0))</f>
        <v>3</v>
      </c>
      <c r="F45" s="6"/>
      <c r="G45" s="6" t="s">
        <v>390</v>
      </c>
      <c r="H45" s="1" t="s">
        <v>444</v>
      </c>
      <c r="I45" s="9">
        <v>46035</v>
      </c>
      <c r="J45" s="9">
        <v>46035</v>
      </c>
      <c r="K45" s="11">
        <v>187</v>
      </c>
      <c r="L45" s="1" t="s">
        <v>17</v>
      </c>
      <c r="M45" s="205" t="s">
        <v>315</v>
      </c>
      <c r="N45" s="1" t="s">
        <v>18</v>
      </c>
      <c r="O45" s="9">
        <v>46043</v>
      </c>
      <c r="P45" s="14">
        <f>Tabela1316[[#This Row],[Valor_recibo]]</f>
        <v>187</v>
      </c>
      <c r="Q45" s="16"/>
      <c r="R45" s="1" t="e">
        <f>VLOOKUP(#REF!,[2]Aprovados!A:A,1,0)</f>
        <v>#REF!</v>
      </c>
      <c r="S45" s="236"/>
      <c r="T45" s="235"/>
      <c r="U45" s="236" t="s">
        <v>315</v>
      </c>
      <c r="V45" s="294"/>
      <c r="W45" s="301" t="s">
        <v>18</v>
      </c>
      <c r="X45" s="302">
        <v>47.4</v>
      </c>
      <c r="Y45" s="303">
        <v>46035</v>
      </c>
      <c r="Z45" s="304"/>
    </row>
    <row r="46" spans="1:26" ht="15.75">
      <c r="A46" s="6">
        <v>22198401</v>
      </c>
      <c r="B46" s="7">
        <v>46034</v>
      </c>
      <c r="C46" s="6" t="s">
        <v>392</v>
      </c>
      <c r="D46" s="6" t="str">
        <f>VLOOKUP(Tabela1316[[#This Row],[Motorista]],Planilha1!A:C,3,0)</f>
        <v>CARRETA</v>
      </c>
      <c r="E46" s="6">
        <f>IF(Tabela1316[[#This Row],[VEICULO]]="CARRETA",5,IF(Tabela1316[[#This Row],[VEICULO]]="TRUCK BAU",3,0))</f>
        <v>5</v>
      </c>
      <c r="F46" s="6"/>
      <c r="G46" s="6" t="s">
        <v>383</v>
      </c>
      <c r="H46" s="1"/>
      <c r="I46" s="9"/>
      <c r="J46" s="9"/>
      <c r="K46" s="11"/>
      <c r="L46" s="1"/>
      <c r="M46" s="205" t="s">
        <v>315</v>
      </c>
      <c r="N46" s="1"/>
      <c r="O46" s="9"/>
      <c r="P46" s="14">
        <f>Tabela1316[[#This Row],[Valor_recibo]]</f>
        <v>0</v>
      </c>
      <c r="Q46" s="16"/>
      <c r="R46" s="1" t="e">
        <f>VLOOKUP(#REF!,[2]Aprovados!A:A,1,0)</f>
        <v>#REF!</v>
      </c>
      <c r="S46" s="236"/>
      <c r="T46" s="235"/>
      <c r="U46" s="236" t="s">
        <v>315</v>
      </c>
      <c r="V46" s="294"/>
      <c r="W46" s="301" t="s">
        <v>18</v>
      </c>
      <c r="X46" s="302">
        <v>289.5</v>
      </c>
      <c r="Y46" s="303">
        <v>46035</v>
      </c>
      <c r="Z46" s="304"/>
    </row>
    <row r="47" spans="1:26" ht="15.75">
      <c r="A47" s="6">
        <v>22205012</v>
      </c>
      <c r="B47" s="7">
        <v>46034</v>
      </c>
      <c r="C47" s="6" t="s">
        <v>408</v>
      </c>
      <c r="D47" s="6" t="str">
        <f>VLOOKUP(Tabela1316[[#This Row],[Motorista]],Planilha1!A:C,3,0)</f>
        <v>CARRETA</v>
      </c>
      <c r="E47" s="6">
        <f>IF(Tabela1316[[#This Row],[VEICULO]]="CARRETA",5,IF(Tabela1316[[#This Row],[VEICULO]]="TRUCK BAU",3,0))</f>
        <v>5</v>
      </c>
      <c r="F47" s="6"/>
      <c r="G47" s="6" t="s">
        <v>383</v>
      </c>
      <c r="H47" s="1" t="s">
        <v>445</v>
      </c>
      <c r="I47" s="9">
        <v>46035</v>
      </c>
      <c r="J47" s="9">
        <v>46035</v>
      </c>
      <c r="K47" s="11">
        <v>0</v>
      </c>
      <c r="L47" s="1" t="s">
        <v>17</v>
      </c>
      <c r="M47" s="205" t="s">
        <v>315</v>
      </c>
      <c r="N47" s="1"/>
      <c r="O47" s="9">
        <v>46036</v>
      </c>
      <c r="P47" s="14">
        <f>Tabela1316[[#This Row],[Valor_recibo]]</f>
        <v>0</v>
      </c>
      <c r="Q47" s="16"/>
      <c r="R47" s="1" t="e">
        <f>VLOOKUP(#REF!,[2]Aprovados!A:A,1,0)</f>
        <v>#REF!</v>
      </c>
      <c r="S47" s="236"/>
      <c r="T47" s="235"/>
      <c r="U47" s="236" t="s">
        <v>315</v>
      </c>
      <c r="V47" s="294"/>
      <c r="W47" s="301" t="s">
        <v>18</v>
      </c>
      <c r="X47" s="302">
        <v>289.5</v>
      </c>
      <c r="Y47" s="303">
        <v>46035</v>
      </c>
      <c r="Z47" s="304"/>
    </row>
    <row r="48" spans="1:26" ht="15.75">
      <c r="A48" s="6">
        <v>22343425</v>
      </c>
      <c r="B48" s="7">
        <v>46034</v>
      </c>
      <c r="C48" s="6" t="s">
        <v>394</v>
      </c>
      <c r="D48" s="6" t="str">
        <f>VLOOKUP(Tabela1316[[#This Row],[Motorista]],Planilha1!A:C,3,0)</f>
        <v>CARRETA</v>
      </c>
      <c r="E48" s="6">
        <f>IF(Tabela1316[[#This Row],[VEICULO]]="CARRETA",5,IF(Tabela1316[[#This Row],[VEICULO]]="TRUCK BAU",3,0))</f>
        <v>5</v>
      </c>
      <c r="F48" s="6"/>
      <c r="G48" s="6" t="s">
        <v>411</v>
      </c>
      <c r="H48" s="1">
        <v>153419</v>
      </c>
      <c r="I48" s="9">
        <v>46036</v>
      </c>
      <c r="J48" s="9">
        <v>46036</v>
      </c>
      <c r="K48" s="11">
        <v>0</v>
      </c>
      <c r="L48" s="1" t="s">
        <v>17</v>
      </c>
      <c r="M48" s="205" t="s">
        <v>315</v>
      </c>
      <c r="N48" s="1" t="s">
        <v>18</v>
      </c>
      <c r="O48" s="9">
        <v>46037</v>
      </c>
      <c r="P48" s="14">
        <f>Tabela1316[[#This Row],[Valor_recibo]]</f>
        <v>0</v>
      </c>
      <c r="Q48" s="16"/>
      <c r="R48" s="1" t="e">
        <f>VLOOKUP(#REF!,[2]Aprovados!A:A,1,0)</f>
        <v>#REF!</v>
      </c>
      <c r="S48" s="236"/>
      <c r="T48" s="235"/>
      <c r="U48" s="236" t="s">
        <v>315</v>
      </c>
      <c r="V48" s="294"/>
      <c r="W48" s="301" t="s">
        <v>18</v>
      </c>
      <c r="X48" s="302">
        <v>79</v>
      </c>
      <c r="Y48" s="303">
        <v>46035</v>
      </c>
      <c r="Z48" s="304"/>
    </row>
    <row r="49" spans="1:26" ht="15.75">
      <c r="A49" s="6">
        <v>22343603</v>
      </c>
      <c r="B49" s="7">
        <v>46035</v>
      </c>
      <c r="C49" s="6" t="s">
        <v>446</v>
      </c>
      <c r="D49" s="6" t="str">
        <f>VLOOKUP(Tabela1316[[#This Row],[Motorista]],Planilha1!A:C,3,0)</f>
        <v>CARRETA</v>
      </c>
      <c r="E49" s="6">
        <f>IF(Tabela1316[[#This Row],[VEICULO]]="CARRETA",5,IF(Tabela1316[[#This Row],[VEICULO]]="TRUCK BAU",3,0))</f>
        <v>5</v>
      </c>
      <c r="F49" s="6"/>
      <c r="G49" s="6" t="s">
        <v>383</v>
      </c>
      <c r="H49" s="1">
        <v>152384</v>
      </c>
      <c r="I49" s="9">
        <v>46037</v>
      </c>
      <c r="J49" s="9">
        <v>46037</v>
      </c>
      <c r="K49" s="11">
        <v>0</v>
      </c>
      <c r="L49" s="1" t="s">
        <v>17</v>
      </c>
      <c r="M49" s="205" t="s">
        <v>315</v>
      </c>
      <c r="N49" s="1" t="s">
        <v>315</v>
      </c>
      <c r="O49" s="9"/>
      <c r="P49" s="14">
        <f>Tabela1316[[#This Row],[Valor_recibo]]</f>
        <v>0</v>
      </c>
      <c r="Q49" s="16"/>
      <c r="R49" s="1" t="e">
        <f>VLOOKUP(#REF!,[2]Aprovados!A:A,1,0)</f>
        <v>#REF!</v>
      </c>
      <c r="S49" s="236"/>
      <c r="T49" s="235"/>
      <c r="U49" s="236" t="s">
        <v>315</v>
      </c>
      <c r="V49" s="294"/>
      <c r="W49" s="301" t="s">
        <v>18</v>
      </c>
      <c r="X49" s="302">
        <v>289.5</v>
      </c>
      <c r="Y49" s="303">
        <v>46036</v>
      </c>
      <c r="Z49" s="304"/>
    </row>
    <row r="50" spans="1:26" ht="15.75">
      <c r="A50" s="6">
        <v>22205021</v>
      </c>
      <c r="B50" s="7">
        <v>46035</v>
      </c>
      <c r="C50" s="6" t="s">
        <v>384</v>
      </c>
      <c r="D50" s="6" t="str">
        <f>VLOOKUP(Tabela1316[[#This Row],[Motorista]],Planilha1!A:C,3,0)</f>
        <v>CARRETA</v>
      </c>
      <c r="E50" s="6">
        <f>IF(Tabela1316[[#This Row],[VEICULO]]="CARRETA",5,IF(Tabela1316[[#This Row],[VEICULO]]="TRUCK BAU",3,0))</f>
        <v>5</v>
      </c>
      <c r="F50" s="6"/>
      <c r="G50" s="6" t="s">
        <v>383</v>
      </c>
      <c r="H50" s="1">
        <v>148772</v>
      </c>
      <c r="I50" s="9">
        <v>46036</v>
      </c>
      <c r="J50" s="9">
        <v>46036</v>
      </c>
      <c r="K50" s="11">
        <v>0</v>
      </c>
      <c r="L50" s="1" t="s">
        <v>17</v>
      </c>
      <c r="M50" s="205" t="s">
        <v>315</v>
      </c>
      <c r="N50" s="1" t="s">
        <v>315</v>
      </c>
      <c r="O50" s="9"/>
      <c r="P50" s="14">
        <f>Tabela1316[[#This Row],[Valor_recibo]]</f>
        <v>0</v>
      </c>
      <c r="Q50" s="16"/>
      <c r="R50" s="1" t="e">
        <f>VLOOKUP(#REF!,[2]Aprovados!A:A,1,0)</f>
        <v>#REF!</v>
      </c>
      <c r="S50" s="236"/>
      <c r="T50" s="235"/>
      <c r="U50" s="236" t="s">
        <v>315</v>
      </c>
      <c r="V50" s="294"/>
      <c r="W50" s="301" t="s">
        <v>18</v>
      </c>
      <c r="X50" s="302">
        <v>289.5</v>
      </c>
      <c r="Y50" s="303">
        <v>46036</v>
      </c>
      <c r="Z50" s="304"/>
    </row>
    <row r="51" spans="1:26" ht="15.75">
      <c r="A51" s="6">
        <v>22375919</v>
      </c>
      <c r="B51" s="7">
        <v>46035</v>
      </c>
      <c r="C51" s="6" t="s">
        <v>396</v>
      </c>
      <c r="D51" s="6" t="str">
        <f>VLOOKUP(Tabela1316[[#This Row],[Motorista]],Planilha1!A:C,3,0)</f>
        <v>CARRETA</v>
      </c>
      <c r="E51" s="6">
        <f>IF(Tabela1316[[#This Row],[VEICULO]]="CARRETA",5,IF(Tabela1316[[#This Row],[VEICULO]]="TRUCK BAU",3,0))</f>
        <v>5</v>
      </c>
      <c r="F51" s="6"/>
      <c r="G51" s="6" t="s">
        <v>390</v>
      </c>
      <c r="H51" s="1" t="s">
        <v>447</v>
      </c>
      <c r="I51" s="9">
        <v>46036</v>
      </c>
      <c r="J51" s="9">
        <v>46036</v>
      </c>
      <c r="K51" s="11">
        <v>0</v>
      </c>
      <c r="L51" s="1" t="s">
        <v>17</v>
      </c>
      <c r="M51" s="205" t="s">
        <v>315</v>
      </c>
      <c r="N51" s="1" t="s">
        <v>18</v>
      </c>
      <c r="O51" s="9">
        <v>46037</v>
      </c>
      <c r="P51" s="14">
        <f>Tabela1316[[#This Row],[Valor_recibo]]</f>
        <v>0</v>
      </c>
      <c r="Q51" s="16"/>
      <c r="R51" s="1" t="e">
        <f>VLOOKUP(#REF!,[2]Aprovados!A:A,1,0)</f>
        <v>#REF!</v>
      </c>
      <c r="S51" s="236"/>
      <c r="T51" s="235"/>
      <c r="U51" s="236" t="s">
        <v>315</v>
      </c>
      <c r="V51" s="294"/>
      <c r="W51" s="301" t="s">
        <v>18</v>
      </c>
      <c r="X51" s="302">
        <v>79</v>
      </c>
      <c r="Y51" s="303">
        <v>46036</v>
      </c>
      <c r="Z51" s="304"/>
    </row>
    <row r="52" spans="1:26" ht="15.75">
      <c r="A52" s="6">
        <v>22341711</v>
      </c>
      <c r="B52" s="7">
        <v>46035</v>
      </c>
      <c r="C52" s="6" t="s">
        <v>388</v>
      </c>
      <c r="D52" s="6" t="str">
        <f>VLOOKUP(Tabela1316[[#This Row],[Motorista]],Planilha1!A:C,3,0)</f>
        <v>CARRETA</v>
      </c>
      <c r="E52" s="6">
        <f>IF(Tabela1316[[#This Row],[VEICULO]]="CARRETA",5,IF(Tabela1316[[#This Row],[VEICULO]]="TRUCK BAU",3,0))</f>
        <v>5</v>
      </c>
      <c r="F52" s="6"/>
      <c r="G52" s="6" t="s">
        <v>406</v>
      </c>
      <c r="H52" s="1">
        <v>53357</v>
      </c>
      <c r="I52" s="9">
        <v>46041</v>
      </c>
      <c r="J52" s="9">
        <v>46041</v>
      </c>
      <c r="K52" s="11">
        <v>290</v>
      </c>
      <c r="L52" s="1" t="s">
        <v>17</v>
      </c>
      <c r="M52" s="205" t="s">
        <v>315</v>
      </c>
      <c r="N52" s="1" t="s">
        <v>18</v>
      </c>
      <c r="O52" s="9">
        <v>46042</v>
      </c>
      <c r="P52" s="14">
        <f>Tabela1316[[#This Row],[Valor_recibo]]</f>
        <v>290</v>
      </c>
      <c r="Q52" s="16"/>
      <c r="R52" s="1" t="e">
        <f>VLOOKUP(#REF!,[2]Aprovados!A:A,1,0)</f>
        <v>#REF!</v>
      </c>
      <c r="S52" s="236"/>
      <c r="T52" s="235"/>
      <c r="U52" s="236" t="s">
        <v>315</v>
      </c>
      <c r="V52" s="294"/>
      <c r="W52" s="301" t="s">
        <v>18</v>
      </c>
      <c r="X52" s="302">
        <v>43</v>
      </c>
      <c r="Y52" s="303">
        <v>46036</v>
      </c>
      <c r="Z52" s="304"/>
    </row>
    <row r="53" spans="1:26" ht="15.75">
      <c r="A53" s="6">
        <v>22318441</v>
      </c>
      <c r="B53" s="7">
        <v>46035</v>
      </c>
      <c r="C53" s="6" t="s">
        <v>426</v>
      </c>
      <c r="D53" s="6" t="s">
        <v>562</v>
      </c>
      <c r="E53" s="6">
        <f>IF(Tabela1316[[#This Row],[VEICULO]]="CARRETA",5,IF(Tabela1316[[#This Row],[VEICULO]]="TRUCK BAU",3,0))</f>
        <v>5</v>
      </c>
      <c r="F53" s="6"/>
      <c r="G53" s="6" t="s">
        <v>383</v>
      </c>
      <c r="H53" s="1">
        <v>153837</v>
      </c>
      <c r="I53" s="9">
        <v>46037</v>
      </c>
      <c r="J53" s="9">
        <v>46037</v>
      </c>
      <c r="K53" s="11">
        <v>532</v>
      </c>
      <c r="L53" s="1" t="s">
        <v>17</v>
      </c>
      <c r="M53" s="205" t="s">
        <v>315</v>
      </c>
      <c r="N53" s="1" t="s">
        <v>18</v>
      </c>
      <c r="O53" s="9">
        <v>46043</v>
      </c>
      <c r="P53" s="14">
        <f>Tabela1316[[#This Row],[Valor_recibo]]</f>
        <v>532</v>
      </c>
      <c r="Q53" s="16"/>
      <c r="R53" s="1" t="e">
        <f>VLOOKUP(#REF!,[2]Aprovados!A:A,1,0)</f>
        <v>#REF!</v>
      </c>
      <c r="S53" s="242"/>
      <c r="T53" s="235"/>
      <c r="U53" s="236" t="s">
        <v>315</v>
      </c>
      <c r="V53" s="294"/>
      <c r="W53" s="301" t="s">
        <v>18</v>
      </c>
      <c r="X53" s="302">
        <v>289.5</v>
      </c>
      <c r="Y53" s="303">
        <v>46036</v>
      </c>
      <c r="Z53" s="304"/>
    </row>
    <row r="54" spans="1:26" ht="15.75">
      <c r="A54" s="6">
        <v>22318450</v>
      </c>
      <c r="B54" s="7">
        <v>46035</v>
      </c>
      <c r="C54" s="6" t="s">
        <v>385</v>
      </c>
      <c r="D54" s="6" t="str">
        <f>VLOOKUP(Tabela1316[[#This Row],[Motorista]],Planilha1!A:C,3,0)</f>
        <v>CARRETA</v>
      </c>
      <c r="E54" s="6">
        <f>IF(Tabela1316[[#This Row],[VEICULO]]="CARRETA",5,IF(Tabela1316[[#This Row],[VEICULO]]="TRUCK BAU",3,0))</f>
        <v>5</v>
      </c>
      <c r="F54" s="6"/>
      <c r="G54" s="6" t="s">
        <v>383</v>
      </c>
      <c r="H54" s="1">
        <v>153829</v>
      </c>
      <c r="I54" s="9">
        <v>46036</v>
      </c>
      <c r="J54" s="9">
        <v>46036</v>
      </c>
      <c r="K54" s="11">
        <v>532</v>
      </c>
      <c r="L54" s="1" t="s">
        <v>17</v>
      </c>
      <c r="M54" s="205" t="s">
        <v>315</v>
      </c>
      <c r="N54" s="1" t="s">
        <v>18</v>
      </c>
      <c r="O54" s="9">
        <v>46050</v>
      </c>
      <c r="P54" s="14">
        <f>Tabela1316[[#This Row],[Valor_recibo]]</f>
        <v>532</v>
      </c>
      <c r="Q54" s="16"/>
      <c r="R54" s="1" t="e">
        <f>VLOOKUP(#REF!,[2]Aprovados!A:A,1,0)</f>
        <v>#REF!</v>
      </c>
      <c r="S54" s="236"/>
      <c r="T54" s="235"/>
      <c r="U54" s="236" t="s">
        <v>315</v>
      </c>
      <c r="V54" s="294"/>
      <c r="W54" s="301" t="s">
        <v>18</v>
      </c>
      <c r="X54" s="302">
        <v>289.5</v>
      </c>
      <c r="Y54" s="303">
        <v>46036</v>
      </c>
      <c r="Z54" s="304"/>
    </row>
    <row r="55" spans="1:26" ht="15.75">
      <c r="A55" s="6">
        <v>22343393</v>
      </c>
      <c r="B55" s="7">
        <v>46035</v>
      </c>
      <c r="C55" s="6" t="s">
        <v>439</v>
      </c>
      <c r="D55" s="6" t="s">
        <v>570</v>
      </c>
      <c r="E55" s="6">
        <f>IF(Tabela1316[[#This Row],[VEICULO]]="CARRETA",5,IF(Tabela1316[[#This Row],[VEICULO]]="TRUCK BAU",3,0))</f>
        <v>3</v>
      </c>
      <c r="F55" s="6"/>
      <c r="G55" s="6" t="s">
        <v>390</v>
      </c>
      <c r="H55" s="1" t="s">
        <v>448</v>
      </c>
      <c r="I55" s="9">
        <v>46036</v>
      </c>
      <c r="J55" s="9">
        <v>46036</v>
      </c>
      <c r="K55" s="11">
        <v>266</v>
      </c>
      <c r="L55" s="1" t="s">
        <v>17</v>
      </c>
      <c r="M55" s="205" t="s">
        <v>315</v>
      </c>
      <c r="N55" s="1" t="s">
        <v>18</v>
      </c>
      <c r="O55" s="9">
        <v>46037</v>
      </c>
      <c r="P55" s="14">
        <f>Tabela1316[[#This Row],[Valor_recibo]]</f>
        <v>266</v>
      </c>
      <c r="Q55" s="16"/>
      <c r="R55" s="1" t="e">
        <f>VLOOKUP(#REF!,[2]Aprovados!A:A,1,0)</f>
        <v>#REF!</v>
      </c>
      <c r="S55" s="236"/>
      <c r="T55" s="235"/>
      <c r="U55" s="236" t="s">
        <v>315</v>
      </c>
      <c r="V55" s="294"/>
      <c r="W55" s="301" t="s">
        <v>18</v>
      </c>
      <c r="X55" s="302">
        <v>47.4</v>
      </c>
      <c r="Y55" s="303">
        <v>46036</v>
      </c>
      <c r="Z55" s="304"/>
    </row>
    <row r="56" spans="1:26" ht="15.75">
      <c r="A56" s="6">
        <v>22348946</v>
      </c>
      <c r="B56" s="7">
        <v>46035</v>
      </c>
      <c r="C56" s="6" t="s">
        <v>389</v>
      </c>
      <c r="D56" s="6" t="str">
        <f>VLOOKUP(Tabela1316[[#This Row],[Motorista]],Planilha1!A:C,3,0)</f>
        <v>TRUCK BAU</v>
      </c>
      <c r="E56" s="6">
        <f>IF(Tabela1316[[#This Row],[VEICULO]]="CARRETA",5,IF(Tabela1316[[#This Row],[VEICULO]]="TRUCK BAU",3,0))</f>
        <v>3</v>
      </c>
      <c r="F56" s="6"/>
      <c r="G56" s="6" t="s">
        <v>386</v>
      </c>
      <c r="H56" s="1">
        <v>153755</v>
      </c>
      <c r="I56" s="9">
        <v>46042</v>
      </c>
      <c r="J56" s="9">
        <v>46042</v>
      </c>
      <c r="K56" s="11">
        <v>1150</v>
      </c>
      <c r="L56" s="1" t="s">
        <v>17</v>
      </c>
      <c r="M56" s="205" t="s">
        <v>315</v>
      </c>
      <c r="N56" s="1" t="s">
        <v>18</v>
      </c>
      <c r="O56" s="9">
        <v>46042</v>
      </c>
      <c r="P56" s="14">
        <f>Tabela1316[[#This Row],[Valor_recibo]]</f>
        <v>1150</v>
      </c>
      <c r="Q56" s="16"/>
      <c r="R56" s="1" t="e">
        <f>VLOOKUP(#REF!,[2]Aprovados!A:A,1,0)</f>
        <v>#REF!</v>
      </c>
      <c r="S56" s="236"/>
      <c r="T56" s="235"/>
      <c r="U56" s="236" t="s">
        <v>315</v>
      </c>
      <c r="V56" s="294"/>
      <c r="W56" s="301" t="s">
        <v>18</v>
      </c>
      <c r="X56" s="302">
        <v>198.9</v>
      </c>
      <c r="Y56" s="303">
        <v>46036</v>
      </c>
      <c r="Z56" s="304"/>
    </row>
    <row r="57" spans="1:26" ht="15.75">
      <c r="A57" s="6">
        <v>22378882</v>
      </c>
      <c r="B57" s="7">
        <v>46035</v>
      </c>
      <c r="C57" s="6" t="s">
        <v>399</v>
      </c>
      <c r="D57" s="6" t="str">
        <f>VLOOKUP(Tabela1316[[#This Row],[Motorista]],Planilha1!A:C,3,0)</f>
        <v>TRUCK BAU</v>
      </c>
      <c r="E57" s="6">
        <f>IF(Tabela1316[[#This Row],[VEICULO]]="CARRETA",5,IF(Tabela1316[[#This Row],[VEICULO]]="TRUCK BAU",3,0))</f>
        <v>3</v>
      </c>
      <c r="F57" s="6"/>
      <c r="G57" s="6" t="s">
        <v>390</v>
      </c>
      <c r="H57" s="1">
        <v>153739</v>
      </c>
      <c r="I57" s="9">
        <v>46036</v>
      </c>
      <c r="J57" s="9">
        <v>46036</v>
      </c>
      <c r="K57" s="11">
        <v>238</v>
      </c>
      <c r="L57" s="1" t="s">
        <v>17</v>
      </c>
      <c r="M57" s="205" t="s">
        <v>315</v>
      </c>
      <c r="N57" s="1" t="s">
        <v>18</v>
      </c>
      <c r="O57" s="9">
        <v>46042</v>
      </c>
      <c r="P57" s="14">
        <f>Tabela1316[[#This Row],[Valor_recibo]]</f>
        <v>238</v>
      </c>
      <c r="Q57" s="16"/>
      <c r="R57" s="1" t="e">
        <f>VLOOKUP(#REF!,[2]Aprovados!A:A,1,0)</f>
        <v>#REF!</v>
      </c>
      <c r="S57" s="243"/>
      <c r="T57" s="235"/>
      <c r="U57" s="236" t="s">
        <v>315</v>
      </c>
      <c r="V57" s="294"/>
      <c r="W57" s="301" t="s">
        <v>18</v>
      </c>
      <c r="X57" s="302">
        <v>47.4</v>
      </c>
      <c r="Y57" s="303">
        <v>46036</v>
      </c>
      <c r="Z57" s="304"/>
    </row>
    <row r="58" spans="1:26" ht="15.75">
      <c r="A58" s="6">
        <v>22378883</v>
      </c>
      <c r="B58" s="7">
        <v>46035</v>
      </c>
      <c r="C58" s="6" t="s">
        <v>449</v>
      </c>
      <c r="D58" s="6" t="s">
        <v>570</v>
      </c>
      <c r="E58" s="6">
        <f>IF(Tabela1316[[#This Row],[VEICULO]]="CARRETA",5,IF(Tabela1316[[#This Row],[VEICULO]]="TRUCK BAU",3,0))</f>
        <v>3</v>
      </c>
      <c r="F58" s="6"/>
      <c r="G58" s="6" t="s">
        <v>450</v>
      </c>
      <c r="H58" s="1">
        <v>153647</v>
      </c>
      <c r="I58" s="9">
        <v>46036</v>
      </c>
      <c r="J58" s="9">
        <v>46036</v>
      </c>
      <c r="K58" s="11">
        <v>238</v>
      </c>
      <c r="L58" s="1" t="s">
        <v>17</v>
      </c>
      <c r="M58" s="205" t="s">
        <v>315</v>
      </c>
      <c r="N58" s="1" t="s">
        <v>18</v>
      </c>
      <c r="O58" s="9">
        <v>46043</v>
      </c>
      <c r="P58" s="14">
        <f>Tabela1316[[#This Row],[Valor_recibo]]</f>
        <v>238</v>
      </c>
      <c r="Q58" s="16"/>
      <c r="R58" s="1" t="e">
        <f>VLOOKUP(#REF!,[2]Aprovados!A:A,1,0)</f>
        <v>#REF!</v>
      </c>
      <c r="S58" s="236"/>
      <c r="T58" s="235"/>
      <c r="U58" s="236" t="s">
        <v>315</v>
      </c>
      <c r="V58" s="294"/>
      <c r="W58" s="301" t="s">
        <v>18</v>
      </c>
      <c r="X58" s="302">
        <v>186.6</v>
      </c>
      <c r="Y58" s="303">
        <v>46036</v>
      </c>
      <c r="Z58" s="304"/>
    </row>
    <row r="59" spans="1:26" ht="15.75">
      <c r="A59" s="6">
        <v>22375840</v>
      </c>
      <c r="B59" s="7">
        <v>46036</v>
      </c>
      <c r="C59" s="6" t="s">
        <v>439</v>
      </c>
      <c r="D59" s="6" t="s">
        <v>570</v>
      </c>
      <c r="E59" s="6">
        <f>IF(Tabela1316[[#This Row],[VEICULO]]="CARRETA",5,IF(Tabela1316[[#This Row],[VEICULO]]="TRUCK BAU",3,0))</f>
        <v>3</v>
      </c>
      <c r="F59" s="6"/>
      <c r="G59" s="6" t="s">
        <v>451</v>
      </c>
      <c r="H59" s="1" t="s">
        <v>452</v>
      </c>
      <c r="I59" s="9">
        <v>46037</v>
      </c>
      <c r="J59" s="9">
        <v>46037</v>
      </c>
      <c r="K59" s="11">
        <v>888</v>
      </c>
      <c r="L59" s="1" t="s">
        <v>17</v>
      </c>
      <c r="M59" s="205" t="s">
        <v>315</v>
      </c>
      <c r="N59" s="1" t="s">
        <v>18</v>
      </c>
      <c r="O59" s="9">
        <v>46042</v>
      </c>
      <c r="P59" s="14">
        <f>Tabela1316[[#This Row],[Valor_recibo]]</f>
        <v>888</v>
      </c>
      <c r="Q59" s="16"/>
      <c r="R59" s="1" t="e">
        <f>VLOOKUP(#REF!,[2]Aprovados!A:A,1,0)</f>
        <v>#REF!</v>
      </c>
      <c r="S59" s="236"/>
      <c r="T59" s="235"/>
      <c r="U59" s="236" t="s">
        <v>315</v>
      </c>
      <c r="V59" s="294"/>
      <c r="W59" s="301" t="s">
        <v>18</v>
      </c>
      <c r="X59" s="302">
        <v>65.400000000000006</v>
      </c>
      <c r="Y59" s="303">
        <v>46037</v>
      </c>
      <c r="Z59" s="304"/>
    </row>
    <row r="60" spans="1:26" ht="15.75">
      <c r="A60" s="6">
        <v>22375328</v>
      </c>
      <c r="B60" s="7">
        <v>46036</v>
      </c>
      <c r="C60" s="6" t="s">
        <v>416</v>
      </c>
      <c r="D60" s="6" t="s">
        <v>570</v>
      </c>
      <c r="E60" s="6">
        <f>IF(Tabela1316[[#This Row],[VEICULO]]="CARRETA",5,IF(Tabela1316[[#This Row],[VEICULO]]="TRUCK BAU",3,0))</f>
        <v>3</v>
      </c>
      <c r="F60" s="6"/>
      <c r="G60" s="6" t="s">
        <v>453</v>
      </c>
      <c r="H60" s="1" t="s">
        <v>454</v>
      </c>
      <c r="I60" s="9">
        <v>46037</v>
      </c>
      <c r="J60" s="9">
        <v>46037</v>
      </c>
      <c r="K60" s="11">
        <v>266</v>
      </c>
      <c r="L60" s="1" t="s">
        <v>17</v>
      </c>
      <c r="M60" s="205" t="s">
        <v>315</v>
      </c>
      <c r="N60" s="1" t="s">
        <v>18</v>
      </c>
      <c r="O60" s="9"/>
      <c r="P60" s="14">
        <f>Tabela1316[[#This Row],[Valor_recibo]]</f>
        <v>266</v>
      </c>
      <c r="Q60" s="16"/>
      <c r="R60" s="1" t="e">
        <f>VLOOKUP(#REF!,[2]Aprovados!A:A,1,0)</f>
        <v>#REF!</v>
      </c>
      <c r="S60" s="236"/>
      <c r="T60" s="235"/>
      <c r="U60" s="236" t="s">
        <v>315</v>
      </c>
      <c r="V60" s="294"/>
      <c r="W60" s="301" t="s">
        <v>18</v>
      </c>
      <c r="X60" s="302">
        <v>38.1</v>
      </c>
      <c r="Y60" s="303">
        <v>46037</v>
      </c>
      <c r="Z60" s="304"/>
    </row>
    <row r="61" spans="1:26" ht="15.75">
      <c r="A61" s="6">
        <v>22376060</v>
      </c>
      <c r="B61" s="7">
        <v>46036</v>
      </c>
      <c r="C61" s="6" t="s">
        <v>399</v>
      </c>
      <c r="D61" s="6" t="str">
        <f>VLOOKUP(Tabela1316[[#This Row],[Motorista]],Planilha1!A:C,3,0)</f>
        <v>TRUCK BAU</v>
      </c>
      <c r="E61" s="6">
        <f>IF(Tabela1316[[#This Row],[VEICULO]]="CARRETA",5,IF(Tabela1316[[#This Row],[VEICULO]]="TRUCK BAU",3,0))</f>
        <v>3</v>
      </c>
      <c r="F61" s="6"/>
      <c r="G61" s="6" t="s">
        <v>455</v>
      </c>
      <c r="H61" s="1" t="s">
        <v>456</v>
      </c>
      <c r="I61" s="9">
        <v>46037</v>
      </c>
      <c r="J61" s="9">
        <v>46037</v>
      </c>
      <c r="K61" s="11">
        <v>324</v>
      </c>
      <c r="L61" s="1" t="s">
        <v>17</v>
      </c>
      <c r="M61" s="205" t="s">
        <v>315</v>
      </c>
      <c r="N61" s="1" t="s">
        <v>18</v>
      </c>
      <c r="O61" s="9">
        <v>46042</v>
      </c>
      <c r="P61" s="14">
        <f>Tabela1316[[#This Row],[Valor_recibo]]</f>
        <v>324</v>
      </c>
      <c r="Q61" s="16"/>
      <c r="R61" s="1" t="e">
        <f>VLOOKUP(#REF!,[2]Aprovados!A:A,1,0)</f>
        <v>#REF!</v>
      </c>
      <c r="S61" s="236"/>
      <c r="T61" s="235"/>
      <c r="U61" s="236" t="s">
        <v>315</v>
      </c>
      <c r="V61" s="294"/>
      <c r="W61" s="301" t="s">
        <v>18</v>
      </c>
      <c r="X61" s="302">
        <v>189</v>
      </c>
      <c r="Y61" s="303">
        <v>46037</v>
      </c>
      <c r="Z61" s="304"/>
    </row>
    <row r="62" spans="1:26" ht="15.75">
      <c r="A62" s="6">
        <v>22375627</v>
      </c>
      <c r="B62" s="7">
        <v>46036</v>
      </c>
      <c r="C62" s="6" t="s">
        <v>404</v>
      </c>
      <c r="D62" s="6" t="str">
        <f>VLOOKUP(Tabela1316[[#This Row],[Motorista]],Planilha1!A:C,3,0)</f>
        <v>TRUCK BAU</v>
      </c>
      <c r="E62" s="6">
        <f>IF(Tabela1316[[#This Row],[VEICULO]]="CARRETA",5,IF(Tabela1316[[#This Row],[VEICULO]]="TRUCK BAU",3,0))</f>
        <v>3</v>
      </c>
      <c r="F62" s="6"/>
      <c r="G62" s="6" t="s">
        <v>433</v>
      </c>
      <c r="H62" s="1" t="s">
        <v>457</v>
      </c>
      <c r="I62" s="9">
        <v>46037</v>
      </c>
      <c r="J62" s="9">
        <v>46037</v>
      </c>
      <c r="K62" s="11">
        <v>266</v>
      </c>
      <c r="L62" s="1" t="s">
        <v>17</v>
      </c>
      <c r="M62" s="205" t="s">
        <v>315</v>
      </c>
      <c r="N62" s="1" t="s">
        <v>18</v>
      </c>
      <c r="O62" s="9">
        <v>46043</v>
      </c>
      <c r="P62" s="14">
        <f>Tabela1316[[#This Row],[Valor_recibo]]</f>
        <v>266</v>
      </c>
      <c r="Q62" s="16"/>
      <c r="R62" s="1" t="e">
        <f>VLOOKUP(#REF!,[2]Aprovados!A:A,1,0)</f>
        <v>#REF!</v>
      </c>
      <c r="S62" s="236"/>
      <c r="T62" s="235"/>
      <c r="U62" s="236" t="s">
        <v>315</v>
      </c>
      <c r="V62" s="294"/>
      <c r="W62" s="301" t="s">
        <v>18</v>
      </c>
      <c r="X62" s="302">
        <v>44.1</v>
      </c>
      <c r="Y62" s="303">
        <v>46037</v>
      </c>
      <c r="Z62" s="304"/>
    </row>
    <row r="63" spans="1:26" ht="15.75">
      <c r="A63" s="6">
        <v>22376452</v>
      </c>
      <c r="B63" s="7">
        <v>46036</v>
      </c>
      <c r="C63" s="6" t="s">
        <v>401</v>
      </c>
      <c r="D63" s="6" t="str">
        <f>VLOOKUP(Tabela1316[[#This Row],[Motorista]],Planilha1!A:C,3,0)</f>
        <v>CARRETA</v>
      </c>
      <c r="E63" s="6">
        <f>IF(Tabela1316[[#This Row],[VEICULO]]="CARRETA",5,IF(Tabela1316[[#This Row],[VEICULO]]="TRUCK BAU",3,0))</f>
        <v>5</v>
      </c>
      <c r="F63" s="6"/>
      <c r="G63" s="6" t="s">
        <v>458</v>
      </c>
      <c r="H63" s="1" t="s">
        <v>459</v>
      </c>
      <c r="I63" s="9">
        <v>46037</v>
      </c>
      <c r="J63" s="9">
        <v>46037</v>
      </c>
      <c r="K63" s="11">
        <v>560</v>
      </c>
      <c r="L63" s="1" t="s">
        <v>17</v>
      </c>
      <c r="M63" s="205" t="s">
        <v>315</v>
      </c>
      <c r="N63" s="1" t="s">
        <v>18</v>
      </c>
      <c r="O63" s="9">
        <v>46042</v>
      </c>
      <c r="P63" s="14">
        <f>Tabela1316[[#This Row],[Valor_recibo]]</f>
        <v>560</v>
      </c>
      <c r="Q63" s="16"/>
      <c r="R63" s="1" t="e">
        <f>VLOOKUP(#REF!,[2]Aprovados!A:A,1,0)</f>
        <v>#REF!</v>
      </c>
      <c r="S63" s="236"/>
      <c r="T63" s="235"/>
      <c r="U63" s="236" t="s">
        <v>315</v>
      </c>
      <c r="V63" s="294"/>
      <c r="W63" s="301" t="s">
        <v>18</v>
      </c>
      <c r="X63" s="302">
        <v>532.5</v>
      </c>
      <c r="Y63" s="303">
        <v>46037</v>
      </c>
      <c r="Z63" s="304"/>
    </row>
    <row r="64" spans="1:26" ht="15.75">
      <c r="A64" s="6">
        <v>22375922</v>
      </c>
      <c r="B64" s="7">
        <v>46036</v>
      </c>
      <c r="C64" s="6" t="s">
        <v>394</v>
      </c>
      <c r="D64" s="6" t="str">
        <f>VLOOKUP(Tabela1316[[#This Row],[Motorista]],Planilha1!A:C,3,0)</f>
        <v>CARRETA</v>
      </c>
      <c r="E64" s="6">
        <f>IF(Tabela1316[[#This Row],[VEICULO]]="CARRETA",5,IF(Tabela1316[[#This Row],[VEICULO]]="TRUCK BAU",3,0))</f>
        <v>5</v>
      </c>
      <c r="F64" s="6"/>
      <c r="G64" s="6" t="s">
        <v>383</v>
      </c>
      <c r="H64" s="1">
        <v>153301</v>
      </c>
      <c r="I64" s="9">
        <v>46037</v>
      </c>
      <c r="J64" s="9">
        <v>46037</v>
      </c>
      <c r="K64" s="11">
        <v>0</v>
      </c>
      <c r="L64" s="1" t="s">
        <v>17</v>
      </c>
      <c r="M64" s="205" t="s">
        <v>315</v>
      </c>
      <c r="N64" s="1"/>
      <c r="O64" s="9">
        <v>46049</v>
      </c>
      <c r="P64" s="14">
        <f>Tabela1316[[#This Row],[Valor_recibo]]</f>
        <v>0</v>
      </c>
      <c r="Q64" s="16"/>
      <c r="R64" s="1" t="e">
        <f>VLOOKUP(#REF!,[2]Aprovados!A:A,1,0)</f>
        <v>#REF!</v>
      </c>
      <c r="S64" s="236"/>
      <c r="T64" s="235"/>
      <c r="U64" s="236" t="s">
        <v>315</v>
      </c>
      <c r="V64" s="294"/>
      <c r="W64" s="301" t="s">
        <v>18</v>
      </c>
      <c r="X64" s="302">
        <v>289.5</v>
      </c>
      <c r="Y64" s="303">
        <v>46037</v>
      </c>
      <c r="Z64" s="304"/>
    </row>
    <row r="65" spans="1:26" ht="15.75">
      <c r="A65" s="6">
        <v>22376054</v>
      </c>
      <c r="B65" s="7">
        <v>46036</v>
      </c>
      <c r="C65" s="6" t="s">
        <v>388</v>
      </c>
      <c r="D65" s="6" t="str">
        <f>VLOOKUP(Tabela1316[[#This Row],[Motorista]],Planilha1!A:C,3,0)</f>
        <v>CARRETA</v>
      </c>
      <c r="E65" s="6">
        <f>IF(Tabela1316[[#This Row],[VEICULO]]="CARRETA",5,IF(Tabela1316[[#This Row],[VEICULO]]="TRUCK BAU",3,0))</f>
        <v>5</v>
      </c>
      <c r="F65" s="6"/>
      <c r="G65" s="6" t="s">
        <v>383</v>
      </c>
      <c r="H65" s="1">
        <v>153300</v>
      </c>
      <c r="I65" s="9">
        <v>46037</v>
      </c>
      <c r="J65" s="9">
        <v>46037</v>
      </c>
      <c r="K65" s="11">
        <v>0</v>
      </c>
      <c r="L65" s="1" t="s">
        <v>17</v>
      </c>
      <c r="M65" s="205" t="s">
        <v>315</v>
      </c>
      <c r="N65" s="1"/>
      <c r="O65" s="9">
        <v>46048</v>
      </c>
      <c r="P65" s="14">
        <f>Tabela1316[[#This Row],[Valor_recibo]]</f>
        <v>0</v>
      </c>
      <c r="Q65" s="16"/>
      <c r="R65" s="1" t="e">
        <f>VLOOKUP(#REF!,[2]Aprovados!A:A,1,0)</f>
        <v>#REF!</v>
      </c>
      <c r="S65" s="236"/>
      <c r="T65" s="235"/>
      <c r="U65" s="236" t="s">
        <v>315</v>
      </c>
      <c r="V65" s="294"/>
      <c r="W65" s="301" t="s">
        <v>18</v>
      </c>
      <c r="X65" s="302">
        <v>289.5</v>
      </c>
      <c r="Y65" s="303">
        <v>46037</v>
      </c>
      <c r="Z65" s="304"/>
    </row>
    <row r="66" spans="1:26" ht="15.75">
      <c r="A66" s="6">
        <v>22376053</v>
      </c>
      <c r="B66" s="7">
        <v>46036</v>
      </c>
      <c r="C66" s="6" t="s">
        <v>408</v>
      </c>
      <c r="D66" s="6" t="str">
        <f>VLOOKUP(Tabela1316[[#This Row],[Motorista]],Planilha1!A:C,3,0)</f>
        <v>CARRETA</v>
      </c>
      <c r="E66" s="6">
        <f>IF(Tabela1316[[#This Row],[VEICULO]]="CARRETA",5,IF(Tabela1316[[#This Row],[VEICULO]]="TRUCK BAU",3,0))</f>
        <v>5</v>
      </c>
      <c r="F66" s="6"/>
      <c r="G66" s="6" t="s">
        <v>383</v>
      </c>
      <c r="H66" s="1">
        <v>153299</v>
      </c>
      <c r="I66" s="9">
        <v>46037</v>
      </c>
      <c r="J66" s="9">
        <v>46037</v>
      </c>
      <c r="K66" s="11">
        <v>0</v>
      </c>
      <c r="L66" s="1" t="s">
        <v>17</v>
      </c>
      <c r="M66" s="205" t="s">
        <v>315</v>
      </c>
      <c r="N66" s="1"/>
      <c r="O66" s="9">
        <v>46042</v>
      </c>
      <c r="P66" s="14">
        <f>Tabela1316[[#This Row],[Valor_recibo]]</f>
        <v>0</v>
      </c>
      <c r="Q66" s="16"/>
      <c r="R66" s="1" t="e">
        <f>VLOOKUP(#REF!,[2]Aprovados!A:A,1,0)</f>
        <v>#REF!</v>
      </c>
      <c r="S66" s="236"/>
      <c r="T66" s="235"/>
      <c r="U66" s="236" t="s">
        <v>315</v>
      </c>
      <c r="V66" s="294"/>
      <c r="W66" s="301" t="s">
        <v>18</v>
      </c>
      <c r="X66" s="302">
        <v>289.5</v>
      </c>
      <c r="Y66" s="303">
        <v>46037</v>
      </c>
      <c r="Z66" s="304"/>
    </row>
    <row r="67" spans="1:26" ht="15.75">
      <c r="A67" s="6">
        <v>22343604</v>
      </c>
      <c r="B67" s="7">
        <v>46036</v>
      </c>
      <c r="C67" s="6" t="s">
        <v>326</v>
      </c>
      <c r="D67" s="6" t="str">
        <f>VLOOKUP(Tabela1316[[#This Row],[Motorista]],Planilha1!A:C,3,0)</f>
        <v>CARRETA</v>
      </c>
      <c r="E67" s="6">
        <f>IF(Tabela1316[[#This Row],[VEICULO]]="CARRETA",5,IF(Tabela1316[[#This Row],[VEICULO]]="TRUCK BAU",3,0))</f>
        <v>5</v>
      </c>
      <c r="F67" s="6"/>
      <c r="G67" s="6" t="s">
        <v>383</v>
      </c>
      <c r="H67" s="1" t="s">
        <v>460</v>
      </c>
      <c r="I67" s="9">
        <v>46037</v>
      </c>
      <c r="J67" s="9">
        <v>46037</v>
      </c>
      <c r="K67" s="11">
        <v>0</v>
      </c>
      <c r="L67" s="1" t="s">
        <v>17</v>
      </c>
      <c r="M67" s="205" t="s">
        <v>315</v>
      </c>
      <c r="N67" s="1"/>
      <c r="O67" s="9">
        <v>46042</v>
      </c>
      <c r="P67" s="14">
        <f>Tabela1316[[#This Row],[Valor_recibo]]</f>
        <v>0</v>
      </c>
      <c r="Q67" s="16"/>
      <c r="R67" s="1" t="e">
        <f>VLOOKUP(#REF!,[2]Aprovados!A:A,1,0)</f>
        <v>#REF!</v>
      </c>
      <c r="S67" s="236"/>
      <c r="T67" s="235"/>
      <c r="U67" s="236" t="s">
        <v>315</v>
      </c>
      <c r="V67" s="294"/>
      <c r="W67" s="301" t="s">
        <v>18</v>
      </c>
      <c r="X67" s="302">
        <v>289.5</v>
      </c>
      <c r="Y67" s="303">
        <v>46037</v>
      </c>
      <c r="Z67" s="304"/>
    </row>
    <row r="68" spans="1:26" ht="15.75">
      <c r="A68" s="6">
        <v>22376649</v>
      </c>
      <c r="B68" s="7">
        <v>46036</v>
      </c>
      <c r="C68" s="6" t="s">
        <v>384</v>
      </c>
      <c r="D68" s="6" t="str">
        <f>VLOOKUP(Tabela1316[[#This Row],[Motorista]],Planilha1!A:C,3,0)</f>
        <v>CARRETA</v>
      </c>
      <c r="E68" s="6">
        <f>IF(Tabela1316[[#This Row],[VEICULO]]="CARRETA",5,IF(Tabela1316[[#This Row],[VEICULO]]="TRUCK BAU",3,0))</f>
        <v>5</v>
      </c>
      <c r="F68" s="6"/>
      <c r="G68" s="6" t="s">
        <v>436</v>
      </c>
      <c r="H68" s="1" t="s">
        <v>461</v>
      </c>
      <c r="I68" s="9">
        <v>46037</v>
      </c>
      <c r="J68" s="9">
        <v>46037</v>
      </c>
      <c r="K68" s="11">
        <v>480</v>
      </c>
      <c r="L68" s="1" t="s">
        <v>17</v>
      </c>
      <c r="M68" s="205" t="s">
        <v>315</v>
      </c>
      <c r="N68" s="1" t="s">
        <v>18</v>
      </c>
      <c r="O68" s="9">
        <v>46042</v>
      </c>
      <c r="P68" s="14">
        <f>Tabela1316[[#This Row],[Valor_recibo]]</f>
        <v>480</v>
      </c>
      <c r="Q68" s="16"/>
      <c r="R68" s="1" t="e">
        <f>VLOOKUP(#REF!,[2]Aprovados!A:A,1,0)</f>
        <v>#REF!</v>
      </c>
      <c r="S68" s="236"/>
      <c r="T68" s="235"/>
      <c r="U68" s="236" t="s">
        <v>315</v>
      </c>
      <c r="V68" s="294"/>
      <c r="W68" s="301" t="s">
        <v>18</v>
      </c>
      <c r="X68" s="302">
        <v>360</v>
      </c>
      <c r="Y68" s="303">
        <v>46037</v>
      </c>
      <c r="Z68" s="304"/>
    </row>
    <row r="69" spans="1:26" ht="15.75">
      <c r="A69" s="6">
        <v>22376694</v>
      </c>
      <c r="B69" s="7">
        <v>46037</v>
      </c>
      <c r="C69" s="6" t="s">
        <v>394</v>
      </c>
      <c r="D69" s="6" t="str">
        <f>VLOOKUP(Tabela1316[[#This Row],[Motorista]],Planilha1!A:C,3,0)</f>
        <v>CARRETA</v>
      </c>
      <c r="E69" s="6">
        <f>IF(Tabela1316[[#This Row],[VEICULO]]="CARRETA",5,IF(Tabela1316[[#This Row],[VEICULO]]="TRUCK BAU",3,0))</f>
        <v>5</v>
      </c>
      <c r="F69" s="6"/>
      <c r="G69" s="6" t="s">
        <v>462</v>
      </c>
      <c r="H69" s="1" t="s">
        <v>463</v>
      </c>
      <c r="I69" s="9">
        <v>46038</v>
      </c>
      <c r="J69" s="9">
        <v>46038</v>
      </c>
      <c r="K69" s="11">
        <v>437</v>
      </c>
      <c r="L69" s="1" t="s">
        <v>17</v>
      </c>
      <c r="M69" s="205" t="s">
        <v>315</v>
      </c>
      <c r="N69" s="1" t="s">
        <v>18</v>
      </c>
      <c r="O69" s="9">
        <v>46043</v>
      </c>
      <c r="P69" s="14">
        <f>Tabela1316[[#This Row],[Valor_recibo]]</f>
        <v>437</v>
      </c>
      <c r="Q69" s="16"/>
      <c r="R69" s="1" t="e">
        <f>VLOOKUP(#REF!,[2]Aprovados!A:A,1,0)</f>
        <v>#REF!</v>
      </c>
      <c r="S69" s="236"/>
      <c r="T69" s="235"/>
      <c r="U69" s="236" t="s">
        <v>315</v>
      </c>
      <c r="V69" s="294"/>
      <c r="W69" s="301" t="s">
        <v>18</v>
      </c>
      <c r="X69" s="302">
        <v>392.5</v>
      </c>
      <c r="Y69" s="303">
        <v>46038</v>
      </c>
      <c r="Z69" s="304"/>
    </row>
    <row r="70" spans="1:26" ht="15.75">
      <c r="A70" s="6">
        <v>20384242</v>
      </c>
      <c r="B70" s="7">
        <v>46037</v>
      </c>
      <c r="C70" s="6" t="s">
        <v>385</v>
      </c>
      <c r="D70" s="6" t="str">
        <f>VLOOKUP(Tabela1316[[#This Row],[Motorista]],Planilha1!A:C,3,0)</f>
        <v>CARRETA</v>
      </c>
      <c r="E70" s="6">
        <f>IF(Tabela1316[[#This Row],[VEICULO]]="CARRETA",5,IF(Tabela1316[[#This Row],[VEICULO]]="TRUCK BAU",3,0))</f>
        <v>5</v>
      </c>
      <c r="F70" s="6"/>
      <c r="G70" s="6" t="s">
        <v>383</v>
      </c>
      <c r="H70" s="1">
        <v>53538</v>
      </c>
      <c r="I70" s="9">
        <v>46046</v>
      </c>
      <c r="J70" s="9">
        <v>46046</v>
      </c>
      <c r="K70" s="11">
        <v>532</v>
      </c>
      <c r="L70" s="1" t="s">
        <v>17</v>
      </c>
      <c r="M70" s="205" t="s">
        <v>315</v>
      </c>
      <c r="N70" s="1" t="s">
        <v>18</v>
      </c>
      <c r="O70" s="9">
        <v>46048</v>
      </c>
      <c r="P70" s="14">
        <f>Tabela1316[[#This Row],[Valor_recibo]]</f>
        <v>532</v>
      </c>
      <c r="Q70" s="16"/>
      <c r="R70" s="1" t="e">
        <f>VLOOKUP(#REF!,[2]Aprovados!A:A,1,0)</f>
        <v>#REF!</v>
      </c>
      <c r="S70" s="236"/>
      <c r="T70" s="235"/>
      <c r="U70" s="236" t="s">
        <v>315</v>
      </c>
      <c r="V70" s="294"/>
      <c r="W70" s="301" t="s">
        <v>18</v>
      </c>
      <c r="X70" s="302">
        <v>289.5</v>
      </c>
      <c r="Y70" s="303">
        <v>46038</v>
      </c>
      <c r="Z70" s="304"/>
    </row>
    <row r="71" spans="1:26" ht="15.75">
      <c r="A71" s="6">
        <v>22338384</v>
      </c>
      <c r="B71" s="7">
        <v>46037</v>
      </c>
      <c r="C71" s="6" t="s">
        <v>426</v>
      </c>
      <c r="D71" s="6" t="s">
        <v>562</v>
      </c>
      <c r="E71" s="6">
        <f>IF(Tabela1316[[#This Row],[VEICULO]]="CARRETA",5,IF(Tabela1316[[#This Row],[VEICULO]]="TRUCK BAU",3,0))</f>
        <v>5</v>
      </c>
      <c r="F71" s="6"/>
      <c r="G71" s="6" t="s">
        <v>383</v>
      </c>
      <c r="H71" s="1">
        <v>53563</v>
      </c>
      <c r="I71" s="9">
        <v>46038</v>
      </c>
      <c r="J71" s="9">
        <v>46038</v>
      </c>
      <c r="K71" s="11">
        <v>532</v>
      </c>
      <c r="L71" s="1" t="s">
        <v>17</v>
      </c>
      <c r="M71" s="205" t="s">
        <v>315</v>
      </c>
      <c r="N71" s="1" t="s">
        <v>18</v>
      </c>
      <c r="O71" s="9">
        <v>46042</v>
      </c>
      <c r="P71" s="14">
        <f>Tabela1316[[#This Row],[Valor_recibo]]</f>
        <v>532</v>
      </c>
      <c r="Q71" s="16"/>
      <c r="R71" s="1" t="e">
        <f>VLOOKUP(#REF!,[2]Aprovados!A:A,1,0)</f>
        <v>#REF!</v>
      </c>
      <c r="S71" s="236"/>
      <c r="T71" s="235"/>
      <c r="U71" s="236" t="s">
        <v>315</v>
      </c>
      <c r="V71" s="294"/>
      <c r="W71" s="301" t="s">
        <v>18</v>
      </c>
      <c r="X71" s="302">
        <v>289.5</v>
      </c>
      <c r="Y71" s="303">
        <v>46038</v>
      </c>
      <c r="Z71" s="304"/>
    </row>
    <row r="72" spans="1:26" ht="15.75">
      <c r="A72" s="6">
        <v>22375965</v>
      </c>
      <c r="B72" s="7">
        <v>46037</v>
      </c>
      <c r="C72" s="6" t="s">
        <v>388</v>
      </c>
      <c r="D72" s="6" t="str">
        <f>VLOOKUP(Tabela1316[[#This Row],[Motorista]],Planilha1!A:C,3,0)</f>
        <v>CARRETA</v>
      </c>
      <c r="E72" s="6">
        <f>IF(Tabela1316[[#This Row],[VEICULO]]="CARRETA",5,IF(Tabela1316[[#This Row],[VEICULO]]="TRUCK BAU",3,0))</f>
        <v>5</v>
      </c>
      <c r="F72" s="6"/>
      <c r="G72" s="6" t="s">
        <v>450</v>
      </c>
      <c r="H72" s="1" t="s">
        <v>464</v>
      </c>
      <c r="I72" s="9">
        <v>46038</v>
      </c>
      <c r="J72" s="9">
        <v>46038</v>
      </c>
      <c r="K72" s="11">
        <v>532</v>
      </c>
      <c r="L72" s="1" t="s">
        <v>17</v>
      </c>
      <c r="M72" s="205" t="s">
        <v>315</v>
      </c>
      <c r="N72" s="1" t="s">
        <v>18</v>
      </c>
      <c r="O72" s="9">
        <v>46043</v>
      </c>
      <c r="P72" s="14">
        <f>Tabela1316[[#This Row],[Valor_recibo]]</f>
        <v>532</v>
      </c>
      <c r="Q72" s="16"/>
      <c r="R72" s="1" t="e">
        <f>VLOOKUP(#REF!,[2]Aprovados!A:A,1,0)</f>
        <v>#REF!</v>
      </c>
      <c r="S72" s="232"/>
      <c r="T72" s="235"/>
      <c r="U72" s="236" t="s">
        <v>315</v>
      </c>
      <c r="V72" s="294"/>
      <c r="W72" s="301" t="s">
        <v>18</v>
      </c>
      <c r="X72" s="302">
        <v>311</v>
      </c>
      <c r="Y72" s="303">
        <v>46038</v>
      </c>
      <c r="Z72" s="304"/>
    </row>
    <row r="73" spans="1:26" ht="15.75">
      <c r="A73" s="6">
        <v>22385819</v>
      </c>
      <c r="B73" s="7">
        <v>46037</v>
      </c>
      <c r="C73" s="6" t="s">
        <v>399</v>
      </c>
      <c r="D73" s="6" t="str">
        <f>VLOOKUP(Tabela1316[[#This Row],[Motorista]],Planilha1!A:C,3,0)</f>
        <v>TRUCK BAU</v>
      </c>
      <c r="E73" s="6">
        <f>IF(Tabela1316[[#This Row],[VEICULO]]="CARRETA",5,IF(Tabela1316[[#This Row],[VEICULO]]="TRUCK BAU",3,0))</f>
        <v>3</v>
      </c>
      <c r="F73" s="6"/>
      <c r="G73" s="6" t="s">
        <v>418</v>
      </c>
      <c r="H73" s="1" t="s">
        <v>465</v>
      </c>
      <c r="I73" s="9">
        <v>46038</v>
      </c>
      <c r="J73" s="9">
        <v>46038</v>
      </c>
      <c r="K73" s="11">
        <v>350</v>
      </c>
      <c r="L73" s="1" t="s">
        <v>17</v>
      </c>
      <c r="M73" s="205" t="s">
        <v>315</v>
      </c>
      <c r="N73" s="1" t="s">
        <v>18</v>
      </c>
      <c r="O73" s="9">
        <v>46043</v>
      </c>
      <c r="P73" s="14">
        <f>Tabela1316[[#This Row],[Valor_recibo]]</f>
        <v>350</v>
      </c>
      <c r="Q73" s="16"/>
      <c r="R73" s="1" t="e">
        <f>VLOOKUP(#REF!,[2]Aprovados!A:A,1,0)</f>
        <v>#REF!</v>
      </c>
      <c r="S73" s="236"/>
      <c r="T73" s="235"/>
      <c r="U73" s="236" t="s">
        <v>315</v>
      </c>
      <c r="V73" s="294"/>
      <c r="W73" s="301" t="s">
        <v>18</v>
      </c>
      <c r="X73" s="302">
        <v>132</v>
      </c>
      <c r="Y73" s="303">
        <v>46038</v>
      </c>
      <c r="Z73" s="304"/>
    </row>
    <row r="74" spans="1:26" ht="15.75">
      <c r="A74" s="6">
        <v>22385825</v>
      </c>
      <c r="B74" s="7">
        <v>46037</v>
      </c>
      <c r="C74" s="6" t="s">
        <v>439</v>
      </c>
      <c r="D74" s="6" t="s">
        <v>570</v>
      </c>
      <c r="E74" s="6">
        <f>IF(Tabela1316[[#This Row],[VEICULO]]="CARRETA",5,IF(Tabela1316[[#This Row],[VEICULO]]="TRUCK BAU",3,0))</f>
        <v>3</v>
      </c>
      <c r="F74" s="6"/>
      <c r="G74" s="6" t="s">
        <v>466</v>
      </c>
      <c r="H74" s="1" t="s">
        <v>467</v>
      </c>
      <c r="I74" s="9">
        <v>46038</v>
      </c>
      <c r="J74" s="9">
        <v>46038</v>
      </c>
      <c r="K74" s="11">
        <v>221</v>
      </c>
      <c r="L74" s="1" t="s">
        <v>17</v>
      </c>
      <c r="M74" s="205" t="s">
        <v>315</v>
      </c>
      <c r="N74" s="1" t="s">
        <v>18</v>
      </c>
      <c r="O74" s="9">
        <v>46042</v>
      </c>
      <c r="P74" s="14">
        <f>Tabela1316[[#This Row],[Valor_recibo]]</f>
        <v>221</v>
      </c>
      <c r="Q74" s="16"/>
      <c r="R74" s="1" t="e">
        <f>VLOOKUP(#REF!,[2]Aprovados!A:A,1,0)</f>
        <v>#REF!</v>
      </c>
      <c r="S74" s="236"/>
      <c r="T74" s="235"/>
      <c r="U74" s="236" t="s">
        <v>315</v>
      </c>
      <c r="V74" s="294"/>
      <c r="W74" s="301" t="s">
        <v>18</v>
      </c>
      <c r="X74" s="302">
        <v>42.43</v>
      </c>
      <c r="Y74" s="303">
        <v>46038</v>
      </c>
      <c r="Z74" s="304"/>
    </row>
    <row r="75" spans="1:26" ht="15.75">
      <c r="A75" s="6">
        <v>22389836</v>
      </c>
      <c r="B75" s="7">
        <v>46037</v>
      </c>
      <c r="C75" s="6" t="s">
        <v>449</v>
      </c>
      <c r="D75" s="6" t="s">
        <v>570</v>
      </c>
      <c r="E75" s="6">
        <f>IF(Tabela1316[[#This Row],[VEICULO]]="CARRETA",5,IF(Tabela1316[[#This Row],[VEICULO]]="TRUCK BAU",3,0))</f>
        <v>3</v>
      </c>
      <c r="F75" s="6"/>
      <c r="G75" s="6" t="s">
        <v>418</v>
      </c>
      <c r="H75" s="1">
        <v>154458</v>
      </c>
      <c r="I75" s="9">
        <v>46038</v>
      </c>
      <c r="J75" s="9">
        <v>46038</v>
      </c>
      <c r="K75" s="11">
        <v>250</v>
      </c>
      <c r="L75" s="1" t="s">
        <v>17</v>
      </c>
      <c r="M75" s="205" t="s">
        <v>315</v>
      </c>
      <c r="N75" s="1" t="s">
        <v>18</v>
      </c>
      <c r="O75" s="9">
        <v>46042</v>
      </c>
      <c r="P75" s="14">
        <f>Tabela1316[[#This Row],[Valor_recibo]]</f>
        <v>250</v>
      </c>
      <c r="Q75" s="16"/>
      <c r="R75" s="1" t="e">
        <f>VLOOKUP(#REF!,[2]Aprovados!A:A,1,0)</f>
        <v>#REF!</v>
      </c>
      <c r="S75" s="236"/>
      <c r="T75" s="235"/>
      <c r="U75" s="236" t="s">
        <v>315</v>
      </c>
      <c r="V75" s="294"/>
      <c r="W75" s="301" t="s">
        <v>18</v>
      </c>
      <c r="X75" s="302">
        <v>79.2</v>
      </c>
      <c r="Y75" s="303">
        <v>46038</v>
      </c>
      <c r="Z75" s="304"/>
    </row>
    <row r="76" spans="1:26" ht="15.75">
      <c r="A76" s="6">
        <v>22389860</v>
      </c>
      <c r="B76" s="7">
        <v>46037</v>
      </c>
      <c r="C76" s="6" t="s">
        <v>442</v>
      </c>
      <c r="D76" s="6" t="s">
        <v>570</v>
      </c>
      <c r="E76" s="6">
        <f>IF(Tabela1316[[#This Row],[VEICULO]]="CARRETA",5,IF(Tabela1316[[#This Row],[VEICULO]]="TRUCK BAU",3,0))</f>
        <v>3</v>
      </c>
      <c r="F76" s="6"/>
      <c r="G76" s="6" t="s">
        <v>390</v>
      </c>
      <c r="H76" s="1" t="s">
        <v>468</v>
      </c>
      <c r="I76" s="9">
        <v>46038</v>
      </c>
      <c r="J76" s="9">
        <v>46038</v>
      </c>
      <c r="K76" s="11">
        <v>400</v>
      </c>
      <c r="L76" s="1" t="s">
        <v>17</v>
      </c>
      <c r="M76" s="205" t="s">
        <v>315</v>
      </c>
      <c r="N76" s="1" t="s">
        <v>18</v>
      </c>
      <c r="O76" s="9">
        <v>46042</v>
      </c>
      <c r="P76" s="14">
        <f>Tabela1316[[#This Row],[Valor_recibo]]</f>
        <v>400</v>
      </c>
      <c r="Q76" s="16"/>
      <c r="R76" s="1" t="e">
        <f>VLOOKUP(#REF!,[2]Aprovados!A:A,1,0)</f>
        <v>#REF!</v>
      </c>
      <c r="S76" s="261"/>
      <c r="T76" s="235"/>
      <c r="U76" s="236" t="s">
        <v>315</v>
      </c>
      <c r="V76" s="294"/>
      <c r="W76" s="301" t="s">
        <v>18</v>
      </c>
      <c r="X76" s="302">
        <v>47.4</v>
      </c>
      <c r="Y76" s="303">
        <v>46042</v>
      </c>
      <c r="Z76" s="304"/>
    </row>
    <row r="77" spans="1:26" ht="15.75">
      <c r="A77" s="6">
        <v>22391532</v>
      </c>
      <c r="B77" s="7">
        <v>46038</v>
      </c>
      <c r="C77" s="6" t="s">
        <v>416</v>
      </c>
      <c r="D77" s="6" t="s">
        <v>570</v>
      </c>
      <c r="E77" s="6">
        <f>IF(Tabela1316[[#This Row],[VEICULO]]="CARRETA",5,IF(Tabela1316[[#This Row],[VEICULO]]="TRUCK BAU",3,0))</f>
        <v>3</v>
      </c>
      <c r="F77" s="6"/>
      <c r="G77" s="6" t="s">
        <v>390</v>
      </c>
      <c r="H77" s="1" t="s">
        <v>469</v>
      </c>
      <c r="I77" s="9">
        <v>46041</v>
      </c>
      <c r="J77" s="9">
        <v>46041</v>
      </c>
      <c r="K77" s="11">
        <v>228</v>
      </c>
      <c r="L77" s="1" t="s">
        <v>17</v>
      </c>
      <c r="M77" s="205" t="s">
        <v>315</v>
      </c>
      <c r="N77" s="1" t="s">
        <v>18</v>
      </c>
      <c r="O77" s="9">
        <v>46043</v>
      </c>
      <c r="P77" s="14">
        <f>Tabela1316[[#This Row],[Valor_recibo]]</f>
        <v>228</v>
      </c>
      <c r="Q77" s="16"/>
      <c r="R77" s="1" t="e">
        <f>VLOOKUP(#REF!,[2]Aprovados!A:A,1,0)</f>
        <v>#REF!</v>
      </c>
      <c r="S77" s="236"/>
      <c r="T77" s="257"/>
      <c r="U77" s="236" t="s">
        <v>315</v>
      </c>
      <c r="V77" s="294"/>
      <c r="W77" s="301" t="s">
        <v>18</v>
      </c>
      <c r="X77" s="302">
        <v>47.4</v>
      </c>
      <c r="Y77" s="303">
        <v>46041</v>
      </c>
      <c r="Z77" s="304"/>
    </row>
    <row r="78" spans="1:26" ht="15.75">
      <c r="A78" s="6">
        <v>22395713</v>
      </c>
      <c r="B78" s="7">
        <v>46038</v>
      </c>
      <c r="C78" s="6" t="s">
        <v>404</v>
      </c>
      <c r="D78" s="6" t="str">
        <f>VLOOKUP(Tabela1316[[#This Row],[Motorista]],Planilha1!A:C,3,0)</f>
        <v>TRUCK BAU</v>
      </c>
      <c r="E78" s="6">
        <f>IF(Tabela1316[[#This Row],[VEICULO]]="CARRETA",5,IF(Tabela1316[[#This Row],[VEICULO]]="TRUCK BAU",3,0))</f>
        <v>3</v>
      </c>
      <c r="F78" s="6"/>
      <c r="G78" s="6" t="s">
        <v>466</v>
      </c>
      <c r="H78" s="1">
        <v>154876</v>
      </c>
      <c r="I78" s="9">
        <v>46041</v>
      </c>
      <c r="J78" s="9">
        <v>46041</v>
      </c>
      <c r="K78" s="11">
        <v>238</v>
      </c>
      <c r="L78" s="1" t="s">
        <v>17</v>
      </c>
      <c r="M78" s="205" t="s">
        <v>315</v>
      </c>
      <c r="N78" s="1" t="s">
        <v>18</v>
      </c>
      <c r="O78" s="9">
        <v>46050</v>
      </c>
      <c r="P78" s="14">
        <f>Tabela1316[[#This Row],[Valor_recibo]]</f>
        <v>238</v>
      </c>
      <c r="Q78" s="16"/>
      <c r="R78" s="1" t="e">
        <f>VLOOKUP(#REF!,[2]Aprovados!A:A,1,0)</f>
        <v>#REF!</v>
      </c>
      <c r="S78" s="236"/>
      <c r="T78" s="247"/>
      <c r="U78" s="236" t="s">
        <v>315</v>
      </c>
      <c r="V78" s="294"/>
      <c r="W78" s="301" t="s">
        <v>18</v>
      </c>
      <c r="X78" s="302">
        <v>38.1</v>
      </c>
      <c r="Y78" s="303">
        <v>46041</v>
      </c>
      <c r="Z78" s="304"/>
    </row>
    <row r="79" spans="1:26" ht="15.75">
      <c r="A79" s="6">
        <v>22396286</v>
      </c>
      <c r="B79" s="7">
        <v>46038</v>
      </c>
      <c r="C79" s="6" t="s">
        <v>442</v>
      </c>
      <c r="D79" s="6" t="s">
        <v>570</v>
      </c>
      <c r="E79" s="6">
        <f>IF(Tabela1316[[#This Row],[VEICULO]]="CARRETA",5,IF(Tabela1316[[#This Row],[VEICULO]]="TRUCK BAU",3,0))</f>
        <v>3</v>
      </c>
      <c r="F79" s="6"/>
      <c r="G79" s="6" t="s">
        <v>453</v>
      </c>
      <c r="H79" s="1" t="s">
        <v>470</v>
      </c>
      <c r="I79" s="9">
        <v>46041</v>
      </c>
      <c r="J79" s="9">
        <v>46041</v>
      </c>
      <c r="K79" s="11">
        <v>266</v>
      </c>
      <c r="L79" s="1" t="s">
        <v>17</v>
      </c>
      <c r="M79" s="205" t="s">
        <v>315</v>
      </c>
      <c r="N79" s="1" t="s">
        <v>18</v>
      </c>
      <c r="O79" s="9">
        <v>46048</v>
      </c>
      <c r="P79" s="14">
        <f>Tabela1316[[#This Row],[Valor_recibo]]</f>
        <v>266</v>
      </c>
      <c r="Q79" s="16"/>
      <c r="R79" s="1" t="e">
        <f>VLOOKUP(#REF!,[2]Aprovados!A:A,1,0)</f>
        <v>#REF!</v>
      </c>
      <c r="S79" s="236"/>
      <c r="T79" s="235"/>
      <c r="U79" s="236" t="s">
        <v>315</v>
      </c>
      <c r="V79" s="294"/>
      <c r="W79" s="301" t="s">
        <v>18</v>
      </c>
      <c r="X79" s="302">
        <v>38.1</v>
      </c>
      <c r="Y79" s="303">
        <v>46041</v>
      </c>
      <c r="Z79" s="304"/>
    </row>
    <row r="80" spans="1:26" ht="15.75">
      <c r="A80" s="6">
        <v>22398142</v>
      </c>
      <c r="B80" s="7">
        <v>46038</v>
      </c>
      <c r="C80" s="6" t="s">
        <v>399</v>
      </c>
      <c r="D80" s="6" t="str">
        <f>VLOOKUP(Tabela1316[[#This Row],[Motorista]],Planilha1!A:C,3,0)</f>
        <v>TRUCK BAU</v>
      </c>
      <c r="E80" s="6">
        <f>IF(Tabela1316[[#This Row],[VEICULO]]="CARRETA",5,IF(Tabela1316[[#This Row],[VEICULO]]="TRUCK BAU",3,0))</f>
        <v>3</v>
      </c>
      <c r="F80" s="6"/>
      <c r="G80" s="6" t="s">
        <v>402</v>
      </c>
      <c r="H80" s="1" t="s">
        <v>471</v>
      </c>
      <c r="I80" s="9">
        <v>46041</v>
      </c>
      <c r="J80" s="9">
        <v>46041</v>
      </c>
      <c r="K80" s="11">
        <v>266</v>
      </c>
      <c r="L80" s="1" t="s">
        <v>17</v>
      </c>
      <c r="M80" s="205" t="s">
        <v>315</v>
      </c>
      <c r="N80" s="1" t="s">
        <v>18</v>
      </c>
      <c r="O80" s="9">
        <v>46043</v>
      </c>
      <c r="P80" s="14">
        <f>Tabela1316[[#This Row],[Valor_recibo]]</f>
        <v>266</v>
      </c>
      <c r="Q80" s="16"/>
      <c r="R80" s="1" t="e">
        <f>VLOOKUP(#REF!,[2]Aprovados!A:A,1,0)</f>
        <v>#REF!</v>
      </c>
      <c r="S80" s="236"/>
      <c r="T80" s="235"/>
      <c r="U80" s="236" t="s">
        <v>315</v>
      </c>
      <c r="V80" s="294"/>
      <c r="W80" s="301" t="s">
        <v>18</v>
      </c>
      <c r="X80" s="302">
        <v>79.5</v>
      </c>
      <c r="Y80" s="303">
        <v>46041</v>
      </c>
      <c r="Z80" s="304"/>
    </row>
    <row r="81" spans="1:26" ht="15.75">
      <c r="A81" s="6">
        <v>22377833</v>
      </c>
      <c r="B81" s="7">
        <v>46038</v>
      </c>
      <c r="C81" s="6" t="s">
        <v>426</v>
      </c>
      <c r="D81" s="6" t="s">
        <v>562</v>
      </c>
      <c r="E81" s="6">
        <f>IF(Tabela1316[[#This Row],[VEICULO]]="CARRETA",5,IF(Tabela1316[[#This Row],[VEICULO]]="TRUCK BAU",3,0))</f>
        <v>5</v>
      </c>
      <c r="F81" s="6"/>
      <c r="G81" s="6" t="s">
        <v>472</v>
      </c>
      <c r="H81" s="1"/>
      <c r="I81" s="9"/>
      <c r="J81" s="9"/>
      <c r="K81" s="11"/>
      <c r="L81" s="1"/>
      <c r="M81" s="205" t="s">
        <v>315</v>
      </c>
      <c r="N81" s="1" t="s">
        <v>315</v>
      </c>
      <c r="O81" s="9"/>
      <c r="P81" s="14">
        <f>Tabela1316[[#This Row],[Valor_recibo]]</f>
        <v>0</v>
      </c>
      <c r="Q81" s="16"/>
      <c r="R81" s="1" t="e">
        <f>VLOOKUP(#REF!,[2]Aprovados!A:A,1,0)</f>
        <v>#REF!</v>
      </c>
      <c r="S81" s="236"/>
      <c r="T81" s="235"/>
      <c r="U81" s="236" t="s">
        <v>315</v>
      </c>
      <c r="V81" s="294"/>
      <c r="W81" s="301" t="s">
        <v>18</v>
      </c>
      <c r="X81" s="302">
        <v>100</v>
      </c>
      <c r="Y81" s="303">
        <v>46041</v>
      </c>
      <c r="Z81" s="304"/>
    </row>
    <row r="82" spans="1:26" ht="15.75">
      <c r="A82" s="6">
        <v>22402958</v>
      </c>
      <c r="B82" s="7">
        <v>46038</v>
      </c>
      <c r="C82" s="6" t="s">
        <v>388</v>
      </c>
      <c r="D82" s="6" t="str">
        <f>VLOOKUP(Tabela1316[[#This Row],[Motorista]],Planilha1!A:C,3,0)</f>
        <v>CARRETA</v>
      </c>
      <c r="E82" s="6">
        <f>IF(Tabela1316[[#This Row],[VEICULO]]="CARRETA",5,IF(Tabela1316[[#This Row],[VEICULO]]="TRUCK BAU",3,0))</f>
        <v>5</v>
      </c>
      <c r="F82" s="6"/>
      <c r="G82" s="6" t="s">
        <v>473</v>
      </c>
      <c r="H82" s="1">
        <v>155220</v>
      </c>
      <c r="I82" s="9">
        <v>46041</v>
      </c>
      <c r="J82" s="9">
        <v>46041</v>
      </c>
      <c r="K82" s="11">
        <v>650</v>
      </c>
      <c r="L82" s="1" t="s">
        <v>17</v>
      </c>
      <c r="M82" s="205" t="s">
        <v>315</v>
      </c>
      <c r="N82" s="1" t="s">
        <v>18</v>
      </c>
      <c r="O82" s="9">
        <v>46048</v>
      </c>
      <c r="P82" s="14">
        <f>Tabela1316[[#This Row],[Valor_recibo]]</f>
        <v>650</v>
      </c>
      <c r="Q82" s="16"/>
      <c r="R82" s="1" t="e">
        <f>VLOOKUP(#REF!,[2]Aprovados!A:A,1,0)</f>
        <v>#REF!</v>
      </c>
      <c r="S82" s="236"/>
      <c r="T82" s="235"/>
      <c r="U82" s="236" t="s">
        <v>315</v>
      </c>
      <c r="V82" s="294"/>
      <c r="W82" s="301" t="s">
        <v>18</v>
      </c>
      <c r="X82" s="302">
        <v>847.6</v>
      </c>
      <c r="Y82" s="303">
        <v>46041</v>
      </c>
      <c r="Z82" s="304"/>
    </row>
    <row r="83" spans="1:26" ht="15.75">
      <c r="A83" s="6">
        <v>22337755</v>
      </c>
      <c r="B83" s="7">
        <v>46038</v>
      </c>
      <c r="C83" s="6" t="s">
        <v>439</v>
      </c>
      <c r="D83" s="6" t="s">
        <v>570</v>
      </c>
      <c r="E83" s="6">
        <f>IF(Tabela1316[[#This Row],[VEICULO]]="CARRETA",5,IF(Tabela1316[[#This Row],[VEICULO]]="TRUCK BAU",3,0))</f>
        <v>3</v>
      </c>
      <c r="F83" s="6"/>
      <c r="G83" s="6" t="s">
        <v>474</v>
      </c>
      <c r="H83" s="1" t="s">
        <v>475</v>
      </c>
      <c r="I83" s="9">
        <v>46041</v>
      </c>
      <c r="J83" s="9">
        <v>46041</v>
      </c>
      <c r="K83" s="11">
        <v>247</v>
      </c>
      <c r="L83" s="1" t="s">
        <v>17</v>
      </c>
      <c r="M83" s="205" t="s">
        <v>315</v>
      </c>
      <c r="N83" s="1" t="s">
        <v>18</v>
      </c>
      <c r="O83" s="9">
        <v>46043</v>
      </c>
      <c r="P83" s="14">
        <f>Tabela1316[[#This Row],[Valor_recibo]]</f>
        <v>247</v>
      </c>
      <c r="Q83" s="16"/>
      <c r="R83" s="1" t="e">
        <f>VLOOKUP(#REF!,[2]Aprovados!A:A,1,0)</f>
        <v>#REF!</v>
      </c>
      <c r="S83" s="236"/>
      <c r="T83" s="235"/>
      <c r="U83" s="236" t="s">
        <v>315</v>
      </c>
      <c r="V83" s="294"/>
      <c r="W83" s="301" t="s">
        <v>18</v>
      </c>
      <c r="X83" s="302">
        <v>267.3</v>
      </c>
      <c r="Y83" s="303">
        <v>46041</v>
      </c>
      <c r="Z83" s="304"/>
    </row>
    <row r="84" spans="1:26" ht="15.75">
      <c r="A84" s="6">
        <v>22344827</v>
      </c>
      <c r="B84" s="7">
        <v>46038</v>
      </c>
      <c r="C84" s="6" t="s">
        <v>449</v>
      </c>
      <c r="D84" s="6" t="s">
        <v>570</v>
      </c>
      <c r="E84" s="6">
        <f>IF(Tabela1316[[#This Row],[VEICULO]]="CARRETA",5,IF(Tabela1316[[#This Row],[VEICULO]]="TRUCK BAU",3,0))</f>
        <v>3</v>
      </c>
      <c r="F84" s="6"/>
      <c r="G84" s="6" t="s">
        <v>477</v>
      </c>
      <c r="H84" s="307" t="s">
        <v>478</v>
      </c>
      <c r="I84" s="9">
        <v>46041</v>
      </c>
      <c r="J84" s="9">
        <v>46041</v>
      </c>
      <c r="K84" s="11">
        <v>375</v>
      </c>
      <c r="L84" s="1" t="s">
        <v>17</v>
      </c>
      <c r="M84" s="205" t="s">
        <v>315</v>
      </c>
      <c r="N84" s="1" t="s">
        <v>18</v>
      </c>
      <c r="O84" s="9">
        <v>46043</v>
      </c>
      <c r="P84" s="14">
        <f>Tabela1316[[#This Row],[Valor_recibo]]</f>
        <v>375</v>
      </c>
      <c r="Q84" s="16"/>
      <c r="R84" s="1" t="e">
        <f>VLOOKUP(#REF!,[2]Aprovados!A:A,1,0)</f>
        <v>#REF!</v>
      </c>
      <c r="S84" s="236"/>
      <c r="T84" s="235"/>
      <c r="U84" s="236" t="s">
        <v>315</v>
      </c>
      <c r="V84" s="294"/>
      <c r="W84" s="301" t="s">
        <v>18</v>
      </c>
      <c r="X84" s="302">
        <v>139.80000000000001</v>
      </c>
      <c r="Y84" s="303">
        <v>46041</v>
      </c>
      <c r="Z84" s="304"/>
    </row>
    <row r="85" spans="1:26" ht="15.75">
      <c r="A85" s="6">
        <v>22376284</v>
      </c>
      <c r="B85" s="7">
        <v>46038</v>
      </c>
      <c r="C85" s="6" t="s">
        <v>326</v>
      </c>
      <c r="D85" s="6" t="str">
        <f>VLOOKUP(Tabela1316[[#This Row],[Motorista]],Planilha1!A:C,3,0)</f>
        <v>CARRETA</v>
      </c>
      <c r="E85" s="6">
        <f>IF(Tabela1316[[#This Row],[VEICULO]]="CARRETA",5,IF(Tabela1316[[#This Row],[VEICULO]]="TRUCK BAU",3,0))</f>
        <v>5</v>
      </c>
      <c r="F85" s="6"/>
      <c r="G85" s="6" t="s">
        <v>383</v>
      </c>
      <c r="H85" s="1"/>
      <c r="I85" s="9"/>
      <c r="J85" s="9"/>
      <c r="K85" s="11"/>
      <c r="L85" s="1"/>
      <c r="M85" s="205" t="s">
        <v>315</v>
      </c>
      <c r="N85" s="1" t="s">
        <v>315</v>
      </c>
      <c r="O85" s="9"/>
      <c r="P85" s="14">
        <f>Tabela1316[[#This Row],[Valor_recibo]]</f>
        <v>0</v>
      </c>
      <c r="Q85" s="16"/>
      <c r="R85" s="1" t="e">
        <f>VLOOKUP(#REF!,[2]Aprovados!A:A,1,0)</f>
        <v>#REF!</v>
      </c>
      <c r="S85" s="236"/>
      <c r="T85" s="235"/>
      <c r="U85" s="236" t="s">
        <v>315</v>
      </c>
      <c r="V85" s="294"/>
      <c r="W85" s="301" t="s">
        <v>18</v>
      </c>
      <c r="X85" s="302">
        <v>289.5</v>
      </c>
      <c r="Y85" s="303">
        <v>46041</v>
      </c>
      <c r="Z85" s="304"/>
    </row>
    <row r="86" spans="1:26" ht="15.75">
      <c r="A86" s="6">
        <v>22330068</v>
      </c>
      <c r="B86" s="7">
        <v>46038</v>
      </c>
      <c r="C86" s="6" t="s">
        <v>479</v>
      </c>
      <c r="D86" s="6" t="s">
        <v>562</v>
      </c>
      <c r="E86" s="6">
        <f>IF(Tabela1316[[#This Row],[VEICULO]]="CARRETA",5,IF(Tabela1316[[#This Row],[VEICULO]]="TRUCK BAU",3,0))</f>
        <v>5</v>
      </c>
      <c r="F86" s="6"/>
      <c r="G86" s="6" t="s">
        <v>383</v>
      </c>
      <c r="H86" s="1" t="s">
        <v>480</v>
      </c>
      <c r="I86" s="9">
        <v>46040</v>
      </c>
      <c r="J86" s="9">
        <v>46040</v>
      </c>
      <c r="K86" s="11">
        <v>0</v>
      </c>
      <c r="L86" s="1" t="s">
        <v>17</v>
      </c>
      <c r="M86" s="205" t="s">
        <v>315</v>
      </c>
      <c r="N86" s="1"/>
      <c r="O86" s="9">
        <v>46048</v>
      </c>
      <c r="P86" s="14">
        <f>Tabela1316[[#This Row],[Valor_recibo]]</f>
        <v>0</v>
      </c>
      <c r="Q86" s="16"/>
      <c r="R86" s="1" t="e">
        <f>VLOOKUP(#REF!,[2]Aprovados!A:A,1,0)</f>
        <v>#REF!</v>
      </c>
      <c r="S86" s="236"/>
      <c r="T86" s="235"/>
      <c r="U86" s="236" t="s">
        <v>315</v>
      </c>
      <c r="V86" s="294"/>
      <c r="W86" s="301" t="s">
        <v>18</v>
      </c>
      <c r="X86" s="302">
        <v>289.5</v>
      </c>
      <c r="Y86" s="303">
        <v>46041</v>
      </c>
      <c r="Z86" s="304"/>
    </row>
    <row r="87" spans="1:26" ht="15.75">
      <c r="A87" s="6">
        <v>22391029</v>
      </c>
      <c r="B87" s="7">
        <v>46041</v>
      </c>
      <c r="C87" s="6" t="s">
        <v>384</v>
      </c>
      <c r="D87" s="6" t="str">
        <f>VLOOKUP(Tabela1316[[#This Row],[Motorista]],Planilha1!A:C,3,0)</f>
        <v>CARRETA</v>
      </c>
      <c r="E87" s="6">
        <f>IF(Tabela1316[[#This Row],[VEICULO]]="CARRETA",5,IF(Tabela1316[[#This Row],[VEICULO]]="TRUCK BAU",3,0))</f>
        <v>5</v>
      </c>
      <c r="F87" s="6"/>
      <c r="G87" s="6" t="s">
        <v>383</v>
      </c>
      <c r="H87" s="1">
        <v>154229</v>
      </c>
      <c r="I87" s="9">
        <v>46042</v>
      </c>
      <c r="J87" s="9">
        <v>46042</v>
      </c>
      <c r="K87" s="11">
        <v>0</v>
      </c>
      <c r="L87" s="1" t="s">
        <v>17</v>
      </c>
      <c r="M87" s="205" t="s">
        <v>315</v>
      </c>
      <c r="N87" s="1"/>
      <c r="O87" s="9">
        <v>46048</v>
      </c>
      <c r="P87" s="14">
        <f>Tabela1316[[#This Row],[Valor_recibo]]</f>
        <v>0</v>
      </c>
      <c r="Q87" s="16"/>
      <c r="R87" s="1" t="e">
        <f>VLOOKUP(#REF!,[2]Aprovados!A:A,1,0)</f>
        <v>#REF!</v>
      </c>
      <c r="S87" s="236"/>
      <c r="T87" s="235"/>
      <c r="U87" s="236" t="s">
        <v>315</v>
      </c>
      <c r="V87" s="294"/>
      <c r="W87" s="301" t="s">
        <v>18</v>
      </c>
      <c r="X87" s="302">
        <v>289.5</v>
      </c>
      <c r="Y87" s="303">
        <v>46042</v>
      </c>
      <c r="Z87" s="304"/>
    </row>
    <row r="88" spans="1:26" ht="15.75">
      <c r="A88" s="6">
        <v>22398083</v>
      </c>
      <c r="B88" s="7">
        <v>46041</v>
      </c>
      <c r="C88" s="6" t="s">
        <v>422</v>
      </c>
      <c r="D88" s="6" t="s">
        <v>570</v>
      </c>
      <c r="E88" s="6">
        <f>IF(Tabela1316[[#This Row],[VEICULO]]="CARRETA",5,IF(Tabela1316[[#This Row],[VEICULO]]="TRUCK BAU",3,0))</f>
        <v>3</v>
      </c>
      <c r="F88" s="6"/>
      <c r="G88" s="6" t="s">
        <v>481</v>
      </c>
      <c r="H88" s="1"/>
      <c r="I88" s="9"/>
      <c r="J88" s="9"/>
      <c r="K88" s="11"/>
      <c r="L88" s="1"/>
      <c r="M88" s="205" t="s">
        <v>315</v>
      </c>
      <c r="N88" s="1" t="s">
        <v>315</v>
      </c>
      <c r="O88" s="9"/>
      <c r="P88" s="14">
        <f>Tabela1316[[#This Row],[Valor_recibo]]</f>
        <v>0</v>
      </c>
      <c r="Q88" s="16"/>
      <c r="R88" s="1" t="e">
        <f>VLOOKUP(#REF!,[2]Aprovados!A:A,1,0)</f>
        <v>#REF!</v>
      </c>
      <c r="S88" s="236"/>
      <c r="T88" s="235"/>
      <c r="U88" s="236" t="s">
        <v>315</v>
      </c>
      <c r="V88" s="294"/>
      <c r="W88" s="301" t="s">
        <v>18</v>
      </c>
      <c r="X88" s="302">
        <v>109.2</v>
      </c>
      <c r="Y88" s="303">
        <v>46042</v>
      </c>
      <c r="Z88" s="304"/>
    </row>
    <row r="89" spans="1:26" ht="15.75">
      <c r="A89" s="6">
        <v>22402165</v>
      </c>
      <c r="B89" s="7">
        <v>46041</v>
      </c>
      <c r="C89" s="6" t="s">
        <v>399</v>
      </c>
      <c r="D89" s="6" t="str">
        <f>VLOOKUP(Tabela1316[[#This Row],[Motorista]],Planilha1!A:C,3,0)</f>
        <v>TRUCK BAU</v>
      </c>
      <c r="E89" s="6">
        <f>IF(Tabela1316[[#This Row],[VEICULO]]="CARRETA",5,IF(Tabela1316[[#This Row],[VEICULO]]="TRUCK BAU",3,0))</f>
        <v>3</v>
      </c>
      <c r="F89" s="6"/>
      <c r="G89" s="6" t="s">
        <v>458</v>
      </c>
      <c r="H89" s="1" t="s">
        <v>482</v>
      </c>
      <c r="I89" s="9">
        <v>46042</v>
      </c>
      <c r="J89" s="9">
        <v>46042</v>
      </c>
      <c r="K89" s="11">
        <v>266</v>
      </c>
      <c r="L89" s="1" t="s">
        <v>17</v>
      </c>
      <c r="M89" s="205" t="s">
        <v>315</v>
      </c>
      <c r="N89" s="1" t="s">
        <v>18</v>
      </c>
      <c r="O89" s="9">
        <v>46048</v>
      </c>
      <c r="P89" s="14">
        <f>Tabela1316[[#This Row],[Valor_recibo]]</f>
        <v>266</v>
      </c>
      <c r="Q89" s="16"/>
      <c r="R89" s="1" t="e">
        <f>VLOOKUP(#REF!,[2]Aprovados!A:A,1,0)</f>
        <v>#REF!</v>
      </c>
      <c r="S89" s="236"/>
      <c r="T89" s="235"/>
      <c r="U89" s="236" t="s">
        <v>315</v>
      </c>
      <c r="V89" s="294"/>
      <c r="W89" s="301" t="s">
        <v>18</v>
      </c>
      <c r="X89" s="302">
        <v>319.5</v>
      </c>
      <c r="Y89" s="303">
        <v>46042</v>
      </c>
      <c r="Z89" s="304"/>
    </row>
    <row r="90" spans="1:26" ht="15.75">
      <c r="A90" s="6">
        <v>22404560</v>
      </c>
      <c r="B90" s="7">
        <v>46041</v>
      </c>
      <c r="C90" s="6" t="s">
        <v>439</v>
      </c>
      <c r="D90" s="6" t="s">
        <v>570</v>
      </c>
      <c r="E90" s="6">
        <f>IF(Tabela1316[[#This Row],[VEICULO]]="CARRETA",5,IF(Tabela1316[[#This Row],[VEICULO]]="TRUCK BAU",3,0))</f>
        <v>3</v>
      </c>
      <c r="F90" s="6"/>
      <c r="G90" s="6" t="s">
        <v>453</v>
      </c>
      <c r="H90" s="1" t="s">
        <v>483</v>
      </c>
      <c r="I90" s="9">
        <v>46042</v>
      </c>
      <c r="J90" s="9">
        <v>46042</v>
      </c>
      <c r="K90" s="11">
        <v>238</v>
      </c>
      <c r="L90" s="1" t="s">
        <v>17</v>
      </c>
      <c r="M90" s="205" t="s">
        <v>315</v>
      </c>
      <c r="N90" s="1" t="s">
        <v>18</v>
      </c>
      <c r="O90" s="9">
        <v>46043</v>
      </c>
      <c r="P90" s="14">
        <f>Tabela1316[[#This Row],[Valor_recibo]]</f>
        <v>238</v>
      </c>
      <c r="Q90" s="16"/>
      <c r="R90" s="1" t="e">
        <f>VLOOKUP(#REF!,[2]Aprovados!A:A,1,0)</f>
        <v>#REF!</v>
      </c>
      <c r="S90" s="236"/>
      <c r="T90" s="235"/>
      <c r="U90" s="236" t="s">
        <v>315</v>
      </c>
      <c r="V90" s="294"/>
      <c r="W90" s="301" t="s">
        <v>18</v>
      </c>
      <c r="X90" s="302">
        <v>38.1</v>
      </c>
      <c r="Y90" s="303">
        <v>46042</v>
      </c>
      <c r="Z90" s="304"/>
    </row>
    <row r="91" spans="1:26" ht="15.75">
      <c r="A91" s="6">
        <v>22404638</v>
      </c>
      <c r="B91" s="7">
        <v>46041</v>
      </c>
      <c r="C91" s="6" t="s">
        <v>449</v>
      </c>
      <c r="D91" s="6" t="s">
        <v>570</v>
      </c>
      <c r="E91" s="6">
        <f>IF(Tabela1316[[#This Row],[VEICULO]]="CARRETA",5,IF(Tabela1316[[#This Row],[VEICULO]]="TRUCK BAU",3,0))</f>
        <v>3</v>
      </c>
      <c r="F91" s="6"/>
      <c r="G91" s="6" t="s">
        <v>406</v>
      </c>
      <c r="H91" s="1" t="s">
        <v>484</v>
      </c>
      <c r="I91" s="9">
        <v>46042</v>
      </c>
      <c r="J91" s="9">
        <v>46042</v>
      </c>
      <c r="K91" s="11">
        <v>209.19</v>
      </c>
      <c r="L91" s="1" t="s">
        <v>17</v>
      </c>
      <c r="M91" s="205" t="s">
        <v>315</v>
      </c>
      <c r="N91" s="1" t="s">
        <v>18</v>
      </c>
      <c r="O91" s="9">
        <v>46043</v>
      </c>
      <c r="P91" s="14">
        <f>Tabela1316[[#This Row],[Valor_recibo]]</f>
        <v>209.19</v>
      </c>
      <c r="Q91" s="16"/>
      <c r="R91" s="1" t="e">
        <f>VLOOKUP(#REF!,[2]Aprovados!A:A,1,0)</f>
        <v>#REF!</v>
      </c>
      <c r="S91" s="236"/>
      <c r="T91" s="235"/>
      <c r="U91" s="236" t="s">
        <v>315</v>
      </c>
      <c r="V91" s="294"/>
      <c r="W91" s="301" t="s">
        <v>18</v>
      </c>
      <c r="X91" s="302">
        <v>25.8</v>
      </c>
      <c r="Y91" s="303">
        <v>46042</v>
      </c>
      <c r="Z91" s="304"/>
    </row>
    <row r="92" spans="1:26" ht="15.75">
      <c r="A92" s="6">
        <v>22432760</v>
      </c>
      <c r="B92" s="7">
        <v>46042</v>
      </c>
      <c r="C92" s="6" t="s">
        <v>416</v>
      </c>
      <c r="D92" s="6" t="s">
        <v>570</v>
      </c>
      <c r="E92" s="6">
        <f>IF(Tabela1316[[#This Row],[VEICULO]]="CARRETA",5,IF(Tabela1316[[#This Row],[VEICULO]]="TRUCK BAU",3,0))</f>
        <v>3</v>
      </c>
      <c r="F92" s="6"/>
      <c r="G92" s="6" t="s">
        <v>390</v>
      </c>
      <c r="H92" s="1" t="s">
        <v>486</v>
      </c>
      <c r="I92" s="9">
        <v>46043</v>
      </c>
      <c r="J92" s="9">
        <v>46043</v>
      </c>
      <c r="K92" s="11">
        <v>266</v>
      </c>
      <c r="L92" s="1" t="s">
        <v>17</v>
      </c>
      <c r="M92" s="205" t="s">
        <v>315</v>
      </c>
      <c r="N92" s="1" t="s">
        <v>18</v>
      </c>
      <c r="O92" s="9">
        <v>46048</v>
      </c>
      <c r="P92" s="14">
        <f>Tabela1316[[#This Row],[Valor_recibo]]</f>
        <v>266</v>
      </c>
      <c r="Q92" s="16"/>
      <c r="R92" s="1" t="e">
        <f>VLOOKUP(#REF!,[2]Aprovados!A:A,1,0)</f>
        <v>#REF!</v>
      </c>
      <c r="S92" s="236"/>
      <c r="T92" s="235"/>
      <c r="U92" s="236" t="s">
        <v>315</v>
      </c>
      <c r="V92" s="294"/>
      <c r="W92" s="301" t="s">
        <v>18</v>
      </c>
      <c r="X92" s="302">
        <v>47.4</v>
      </c>
      <c r="Y92" s="303">
        <v>46043</v>
      </c>
      <c r="Z92" s="304"/>
    </row>
    <row r="93" spans="1:26" ht="15.75">
      <c r="A93" s="6">
        <v>22434163</v>
      </c>
      <c r="B93" s="7">
        <v>46042</v>
      </c>
      <c r="C93" s="6" t="s">
        <v>449</v>
      </c>
      <c r="D93" s="6" t="s">
        <v>570</v>
      </c>
      <c r="E93" s="6">
        <f>IF(Tabela1316[[#This Row],[VEICULO]]="CARRETA",5,IF(Tabela1316[[#This Row],[VEICULO]]="TRUCK BAU",3,0))</f>
        <v>3</v>
      </c>
      <c r="F93" s="6"/>
      <c r="G93" s="6" t="s">
        <v>418</v>
      </c>
      <c r="H93" s="1"/>
      <c r="I93" s="9"/>
      <c r="J93" s="9"/>
      <c r="K93" s="11"/>
      <c r="L93" s="1"/>
      <c r="M93" s="205" t="s">
        <v>315</v>
      </c>
      <c r="N93" s="1" t="s">
        <v>315</v>
      </c>
      <c r="O93" s="9"/>
      <c r="P93" s="14">
        <f>Tabela1316[[#This Row],[Valor_recibo]]</f>
        <v>0</v>
      </c>
      <c r="Q93" s="16"/>
      <c r="R93" s="1" t="e">
        <f>VLOOKUP(#REF!,[2]Aprovados!A:A,1,0)</f>
        <v>#REF!</v>
      </c>
      <c r="S93" s="236"/>
      <c r="T93" s="235"/>
      <c r="U93" s="236" t="s">
        <v>315</v>
      </c>
      <c r="V93" s="294"/>
      <c r="W93" s="301" t="s">
        <v>18</v>
      </c>
      <c r="X93" s="302">
        <v>79.2</v>
      </c>
      <c r="Y93" s="303">
        <v>46043</v>
      </c>
      <c r="Z93" s="304"/>
    </row>
    <row r="94" spans="1:26" ht="15.75">
      <c r="A94" s="6">
        <v>22336544</v>
      </c>
      <c r="B94" s="7">
        <v>46042</v>
      </c>
      <c r="C94" s="6" t="s">
        <v>394</v>
      </c>
      <c r="D94" s="6" t="str">
        <f>VLOOKUP(Tabela1316[[#This Row],[Motorista]],Planilha1!A:C,3,0)</f>
        <v>CARRETA</v>
      </c>
      <c r="E94" s="6">
        <f>IF(Tabela1316[[#This Row],[VEICULO]]="CARRETA",5,IF(Tabela1316[[#This Row],[VEICULO]]="TRUCK BAU",3,0))</f>
        <v>5</v>
      </c>
      <c r="F94" s="6"/>
      <c r="G94" s="6" t="s">
        <v>418</v>
      </c>
      <c r="H94" s="1" t="s">
        <v>487</v>
      </c>
      <c r="I94" s="9">
        <v>46043</v>
      </c>
      <c r="J94" s="9">
        <v>46043</v>
      </c>
      <c r="K94" s="11">
        <v>187</v>
      </c>
      <c r="L94" s="1" t="s">
        <v>17</v>
      </c>
      <c r="M94" s="205" t="s">
        <v>315</v>
      </c>
      <c r="N94" s="1" t="s">
        <v>18</v>
      </c>
      <c r="O94" s="9">
        <v>46048</v>
      </c>
      <c r="P94" s="14">
        <f>Tabela1316[[#This Row],[Valor_recibo]]</f>
        <v>187</v>
      </c>
      <c r="Q94" s="16"/>
      <c r="R94" s="1" t="e">
        <f>VLOOKUP(#REF!,[2]Aprovados!A:A,1,0)</f>
        <v>#REF!</v>
      </c>
      <c r="S94" s="236"/>
      <c r="T94" s="235"/>
      <c r="U94" s="236" t="s">
        <v>315</v>
      </c>
      <c r="V94" s="294"/>
      <c r="W94" s="301" t="s">
        <v>18</v>
      </c>
      <c r="X94" s="302">
        <v>132</v>
      </c>
      <c r="Y94" s="303">
        <v>46043</v>
      </c>
      <c r="Z94" s="304"/>
    </row>
    <row r="95" spans="1:26" ht="15.75">
      <c r="A95" s="6">
        <v>22391508</v>
      </c>
      <c r="B95" s="7">
        <v>46043</v>
      </c>
      <c r="C95" s="6" t="s">
        <v>326</v>
      </c>
      <c r="D95" s="6" t="str">
        <f>VLOOKUP(Tabela1316[[#This Row],[Motorista]],Planilha1!A:C,3,0)</f>
        <v>CARRETA</v>
      </c>
      <c r="E95" s="6">
        <f>IF(Tabela1316[[#This Row],[VEICULO]]="CARRETA",5,IF(Tabela1316[[#This Row],[VEICULO]]="TRUCK BAU",3,0))</f>
        <v>5</v>
      </c>
      <c r="F95" s="6"/>
      <c r="G95" s="6" t="s">
        <v>415</v>
      </c>
      <c r="H95" s="1" t="s">
        <v>488</v>
      </c>
      <c r="I95" s="9">
        <v>46044</v>
      </c>
      <c r="J95" s="9">
        <v>46044</v>
      </c>
      <c r="K95" s="11">
        <v>476</v>
      </c>
      <c r="L95" s="1" t="s">
        <v>17</v>
      </c>
      <c r="M95" s="205" t="s">
        <v>315</v>
      </c>
      <c r="N95" s="1" t="s">
        <v>18</v>
      </c>
      <c r="O95" s="9">
        <v>46052</v>
      </c>
      <c r="P95" s="14">
        <f>Tabela1316[[#This Row],[Valor_recibo]]</f>
        <v>476</v>
      </c>
      <c r="Q95" s="16"/>
      <c r="R95" s="1" t="e">
        <f>VLOOKUP(#REF!,[2]Aprovados!A:A,1,0)</f>
        <v>#REF!</v>
      </c>
      <c r="S95" s="236"/>
      <c r="T95" s="235"/>
      <c r="U95" s="236" t="s">
        <v>315</v>
      </c>
      <c r="V95" s="294"/>
      <c r="W95" s="301" t="s">
        <v>18</v>
      </c>
      <c r="X95" s="302">
        <v>149.5</v>
      </c>
      <c r="Y95" s="303">
        <v>46044</v>
      </c>
      <c r="Z95" s="304"/>
    </row>
    <row r="96" spans="1:26" ht="15.75">
      <c r="A96" s="6">
        <v>22451645</v>
      </c>
      <c r="B96" s="7">
        <v>46043</v>
      </c>
      <c r="C96" s="6" t="s">
        <v>385</v>
      </c>
      <c r="D96" s="6" t="str">
        <f>VLOOKUP(Tabela1316[[#This Row],[Motorista]],Planilha1!A:C,3,0)</f>
        <v>CARRETA</v>
      </c>
      <c r="E96" s="6">
        <f>IF(Tabela1316[[#This Row],[VEICULO]]="CARRETA",5,IF(Tabela1316[[#This Row],[VEICULO]]="TRUCK BAU",3,0))</f>
        <v>5</v>
      </c>
      <c r="F96" s="6"/>
      <c r="G96" s="6" t="s">
        <v>489</v>
      </c>
      <c r="H96" s="1">
        <v>54074</v>
      </c>
      <c r="I96" s="9">
        <v>46044</v>
      </c>
      <c r="J96" s="9">
        <v>46044</v>
      </c>
      <c r="K96" s="11">
        <v>0</v>
      </c>
      <c r="L96" s="1" t="s">
        <v>17</v>
      </c>
      <c r="M96" s="205" t="s">
        <v>315</v>
      </c>
      <c r="N96" s="1"/>
      <c r="O96" s="9">
        <v>46048</v>
      </c>
      <c r="P96" s="14">
        <f>Tabela1316[[#This Row],[Valor_recibo]]</f>
        <v>0</v>
      </c>
      <c r="Q96" s="16"/>
      <c r="R96" s="1" t="e">
        <f>VLOOKUP(#REF!,[2]Aprovados!A:A,1,0)</f>
        <v>#REF!</v>
      </c>
      <c r="S96" s="236"/>
      <c r="T96" s="235"/>
      <c r="U96" s="236" t="s">
        <v>315</v>
      </c>
      <c r="V96" s="294"/>
      <c r="W96" s="301" t="s">
        <v>18</v>
      </c>
      <c r="X96" s="302">
        <v>19.5</v>
      </c>
      <c r="Y96" s="303">
        <v>46044</v>
      </c>
      <c r="Z96" s="304"/>
    </row>
    <row r="97" spans="1:26" ht="15.75">
      <c r="A97" s="6">
        <v>22433734</v>
      </c>
      <c r="B97" s="7">
        <v>46043</v>
      </c>
      <c r="C97" s="6" t="s">
        <v>426</v>
      </c>
      <c r="D97" s="6" t="s">
        <v>562</v>
      </c>
      <c r="E97" s="6">
        <f>IF(Tabela1316[[#This Row],[VEICULO]]="CARRETA",5,IF(Tabela1316[[#This Row],[VEICULO]]="TRUCK BAU",3,0))</f>
        <v>5</v>
      </c>
      <c r="F97" s="6"/>
      <c r="G97" s="6" t="s">
        <v>489</v>
      </c>
      <c r="H97" s="1"/>
      <c r="I97" s="9"/>
      <c r="J97" s="9"/>
      <c r="K97" s="11"/>
      <c r="L97" s="1"/>
      <c r="M97" s="205" t="s">
        <v>315</v>
      </c>
      <c r="N97" s="1" t="s">
        <v>315</v>
      </c>
      <c r="O97" s="9"/>
      <c r="P97" s="14">
        <f>Tabela1316[[#This Row],[Valor_recibo]]</f>
        <v>0</v>
      </c>
      <c r="Q97" s="16"/>
      <c r="R97" s="1" t="e">
        <f>VLOOKUP(#REF!,[2]Aprovados!A:A,1,0)</f>
        <v>#REF!</v>
      </c>
      <c r="S97" s="236"/>
      <c r="T97" s="235"/>
      <c r="U97" s="236" t="s">
        <v>315</v>
      </c>
      <c r="V97" s="294"/>
      <c r="W97" s="301" t="s">
        <v>18</v>
      </c>
      <c r="X97" s="302">
        <v>19.5</v>
      </c>
      <c r="Y97" s="303">
        <v>46044</v>
      </c>
      <c r="Z97" s="304"/>
    </row>
    <row r="98" spans="1:26" ht="15.75">
      <c r="A98" s="6">
        <v>22433732</v>
      </c>
      <c r="B98" s="7">
        <v>46043</v>
      </c>
      <c r="C98" s="6" t="s">
        <v>384</v>
      </c>
      <c r="D98" s="6" t="str">
        <f>VLOOKUP(Tabela1316[[#This Row],[Motorista]],Planilha1!A:C,3,0)</f>
        <v>CARRETA</v>
      </c>
      <c r="E98" s="6">
        <f>IF(Tabela1316[[#This Row],[VEICULO]]="CARRETA",5,IF(Tabela1316[[#This Row],[VEICULO]]="TRUCK BAU",3,0))</f>
        <v>5</v>
      </c>
      <c r="F98" s="6"/>
      <c r="G98" s="6" t="s">
        <v>489</v>
      </c>
      <c r="H98" s="1">
        <v>54059</v>
      </c>
      <c r="I98" s="9">
        <v>46044</v>
      </c>
      <c r="J98" s="9">
        <v>46044</v>
      </c>
      <c r="K98" s="11">
        <v>0</v>
      </c>
      <c r="L98" s="1" t="s">
        <v>17</v>
      </c>
      <c r="M98" s="205" t="s">
        <v>315</v>
      </c>
      <c r="N98" s="1"/>
      <c r="O98" s="9">
        <v>46048</v>
      </c>
      <c r="P98" s="14">
        <f>Tabela1316[[#This Row],[Valor_recibo]]</f>
        <v>0</v>
      </c>
      <c r="Q98" s="16"/>
      <c r="R98" s="1" t="e">
        <f>VLOOKUP(#REF!,[2]Aprovados!A:A,1,0)</f>
        <v>#REF!</v>
      </c>
      <c r="S98" s="236"/>
      <c r="T98" s="235"/>
      <c r="U98" s="236" t="s">
        <v>315</v>
      </c>
      <c r="V98" s="294"/>
      <c r="W98" s="301" t="s">
        <v>18</v>
      </c>
      <c r="X98" s="302">
        <v>19.5</v>
      </c>
      <c r="Y98" s="303">
        <v>46044</v>
      </c>
      <c r="Z98" s="304"/>
    </row>
    <row r="99" spans="1:26" ht="15.75">
      <c r="A99" s="6">
        <v>22433733</v>
      </c>
      <c r="B99" s="7">
        <v>46043</v>
      </c>
      <c r="C99" s="6" t="s">
        <v>490</v>
      </c>
      <c r="D99" s="6" t="str">
        <f>VLOOKUP(Tabela1316[[#This Row],[Motorista]],Planilha1!A:C,3,0)</f>
        <v>CARRETA</v>
      </c>
      <c r="E99" s="6">
        <f>IF(Tabela1316[[#This Row],[VEICULO]]="CARRETA",5,IF(Tabela1316[[#This Row],[VEICULO]]="TRUCK BAU",3,0))</f>
        <v>5</v>
      </c>
      <c r="F99" s="6"/>
      <c r="G99" s="6" t="s">
        <v>489</v>
      </c>
      <c r="H99" s="1">
        <v>54055</v>
      </c>
      <c r="I99" s="9">
        <v>46043</v>
      </c>
      <c r="J99" s="9">
        <v>46043</v>
      </c>
      <c r="K99" s="11">
        <v>0</v>
      </c>
      <c r="L99" s="1" t="s">
        <v>17</v>
      </c>
      <c r="M99" s="205" t="s">
        <v>315</v>
      </c>
      <c r="N99" s="1"/>
      <c r="O99" s="9">
        <v>46048</v>
      </c>
      <c r="P99" s="14">
        <f>Tabela1316[[#This Row],[Valor_recibo]]</f>
        <v>0</v>
      </c>
      <c r="Q99" s="16"/>
      <c r="R99" s="1" t="e">
        <f>VLOOKUP(#REF!,[2]Aprovados!A:A,1,0)</f>
        <v>#REF!</v>
      </c>
      <c r="S99" s="236"/>
      <c r="T99" s="235"/>
      <c r="U99" s="236" t="s">
        <v>315</v>
      </c>
      <c r="V99" s="294"/>
      <c r="W99" s="301" t="s">
        <v>18</v>
      </c>
      <c r="X99" s="302">
        <v>19.5</v>
      </c>
      <c r="Y99" s="303">
        <v>46044</v>
      </c>
      <c r="Z99" s="304"/>
    </row>
    <row r="100" spans="1:26" ht="15.75">
      <c r="A100" s="6">
        <v>22439704</v>
      </c>
      <c r="B100" s="7">
        <v>46043</v>
      </c>
      <c r="C100" s="6" t="s">
        <v>389</v>
      </c>
      <c r="D100" s="6" t="str">
        <f>VLOOKUP(Tabela1316[[#This Row],[Motorista]],Planilha1!A:C,3,0)</f>
        <v>TRUCK BAU</v>
      </c>
      <c r="E100" s="6">
        <f>IF(Tabela1316[[#This Row],[VEICULO]]="CARRETA",5,IF(Tabela1316[[#This Row],[VEICULO]]="TRUCK BAU",3,0))</f>
        <v>3</v>
      </c>
      <c r="F100" s="6"/>
      <c r="G100" s="6" t="s">
        <v>390</v>
      </c>
      <c r="H100" s="1" t="s">
        <v>491</v>
      </c>
      <c r="I100" s="9">
        <v>46044</v>
      </c>
      <c r="J100" s="9">
        <v>46044</v>
      </c>
      <c r="K100" s="11">
        <v>238</v>
      </c>
      <c r="L100" s="1" t="s">
        <v>17</v>
      </c>
      <c r="M100" s="205" t="s">
        <v>315</v>
      </c>
      <c r="N100" s="1" t="s">
        <v>18</v>
      </c>
      <c r="O100" s="9">
        <v>46049</v>
      </c>
      <c r="P100" s="14">
        <f>Tabela1316[[#This Row],[Valor_recibo]]</f>
        <v>238</v>
      </c>
      <c r="Q100" s="16"/>
      <c r="R100" s="1" t="e">
        <f>VLOOKUP(#REF!,[2]Aprovados!A:A,1,0)</f>
        <v>#REF!</v>
      </c>
      <c r="S100" s="236"/>
      <c r="T100" s="235"/>
      <c r="U100" s="236" t="s">
        <v>315</v>
      </c>
      <c r="V100" s="294"/>
      <c r="W100" s="301" t="s">
        <v>18</v>
      </c>
      <c r="X100" s="302">
        <v>47.4</v>
      </c>
      <c r="Y100" s="303">
        <v>46044</v>
      </c>
      <c r="Z100" s="304"/>
    </row>
    <row r="101" spans="1:26" ht="15.75">
      <c r="A101" s="6">
        <v>22439717</v>
      </c>
      <c r="B101" s="7">
        <v>46043</v>
      </c>
      <c r="C101" s="6" t="s">
        <v>439</v>
      </c>
      <c r="D101" s="6" t="s">
        <v>570</v>
      </c>
      <c r="E101" s="6">
        <f>IF(Tabela1316[[#This Row],[VEICULO]]="CARRETA",5,IF(Tabela1316[[#This Row],[VEICULO]]="TRUCK BAU",3,0))</f>
        <v>3</v>
      </c>
      <c r="F101" s="6"/>
      <c r="G101" s="6" t="s">
        <v>492</v>
      </c>
      <c r="H101" s="1" t="s">
        <v>493</v>
      </c>
      <c r="I101" s="9">
        <v>46044</v>
      </c>
      <c r="J101" s="9">
        <v>46044</v>
      </c>
      <c r="K101" s="11">
        <v>238</v>
      </c>
      <c r="L101" s="1" t="s">
        <v>17</v>
      </c>
      <c r="M101" s="205" t="s">
        <v>315</v>
      </c>
      <c r="N101" s="1" t="s">
        <v>18</v>
      </c>
      <c r="O101" s="9">
        <v>46050</v>
      </c>
      <c r="P101" s="14">
        <f>Tabela1316[[#This Row],[Valor_recibo]]</f>
        <v>238</v>
      </c>
      <c r="Q101" s="16"/>
      <c r="R101" s="1" t="e">
        <f>VLOOKUP(#REF!,[2]Aprovados!A:A,1,0)</f>
        <v>#REF!</v>
      </c>
      <c r="S101" s="236"/>
      <c r="T101" s="235"/>
      <c r="U101" s="236" t="s">
        <v>315</v>
      </c>
      <c r="V101" s="294"/>
      <c r="W101" s="301" t="s">
        <v>18</v>
      </c>
      <c r="X101" s="302">
        <v>70.5</v>
      </c>
      <c r="Y101" s="303">
        <v>46044</v>
      </c>
      <c r="Z101" s="304"/>
    </row>
    <row r="102" spans="1:26" ht="15.75">
      <c r="A102" s="6">
        <v>22440895</v>
      </c>
      <c r="B102" s="7">
        <v>46043</v>
      </c>
      <c r="C102" s="6" t="s">
        <v>399</v>
      </c>
      <c r="D102" s="6" t="str">
        <f>VLOOKUP(Tabela1316[[#This Row],[Motorista]],Planilha1!A:C,3,0)</f>
        <v>TRUCK BAU</v>
      </c>
      <c r="E102" s="6">
        <f>IF(Tabela1316[[#This Row],[VEICULO]]="CARRETA",5,IF(Tabela1316[[#This Row],[VEICULO]]="TRUCK BAU",3,0))</f>
        <v>3</v>
      </c>
      <c r="F102" s="6"/>
      <c r="G102" s="6" t="s">
        <v>494</v>
      </c>
      <c r="H102" s="1" t="s">
        <v>495</v>
      </c>
      <c r="I102" s="9">
        <v>46044</v>
      </c>
      <c r="J102" s="9">
        <v>46044</v>
      </c>
      <c r="K102" s="11">
        <v>266</v>
      </c>
      <c r="L102" s="1" t="s">
        <v>17</v>
      </c>
      <c r="M102" s="205" t="s">
        <v>315</v>
      </c>
      <c r="N102" s="1" t="s">
        <v>18</v>
      </c>
      <c r="O102" s="9">
        <v>46048</v>
      </c>
      <c r="P102" s="14">
        <f>Tabela1316[[#This Row],[Valor_recibo]]</f>
        <v>266</v>
      </c>
      <c r="Q102" s="16"/>
      <c r="R102" s="1" t="e">
        <f>VLOOKUP(#REF!,[2]Aprovados!A:A,1,0)</f>
        <v>#REF!</v>
      </c>
      <c r="S102" s="236"/>
      <c r="T102" s="235"/>
      <c r="U102" s="236" t="s">
        <v>315</v>
      </c>
      <c r="V102" s="294"/>
      <c r="W102" s="301" t="s">
        <v>18</v>
      </c>
      <c r="X102" s="302">
        <v>79.5</v>
      </c>
      <c r="Y102" s="303">
        <v>46044</v>
      </c>
      <c r="Z102" s="304"/>
    </row>
    <row r="103" spans="1:26" ht="15.75">
      <c r="A103" s="6">
        <v>22440900</v>
      </c>
      <c r="B103" s="7">
        <v>46043</v>
      </c>
      <c r="C103" s="6" t="s">
        <v>442</v>
      </c>
      <c r="D103" s="6" t="s">
        <v>570</v>
      </c>
      <c r="E103" s="6">
        <f>IF(Tabela1316[[#This Row],[VEICULO]]="CARRETA",5,IF(Tabela1316[[#This Row],[VEICULO]]="TRUCK BAU",3,0))</f>
        <v>3</v>
      </c>
      <c r="F103" s="6"/>
      <c r="G103" s="6" t="s">
        <v>455</v>
      </c>
      <c r="H103" s="1" t="s">
        <v>496</v>
      </c>
      <c r="I103" s="9">
        <v>46045</v>
      </c>
      <c r="J103" s="9">
        <v>46045</v>
      </c>
      <c r="K103" s="11">
        <v>204</v>
      </c>
      <c r="L103" s="1" t="s">
        <v>17</v>
      </c>
      <c r="M103" s="205" t="s">
        <v>315</v>
      </c>
      <c r="N103" s="1" t="s">
        <v>18</v>
      </c>
      <c r="O103" s="9">
        <v>46049</v>
      </c>
      <c r="P103" s="14">
        <f>Tabela1316[[#This Row],[Valor_recibo]]</f>
        <v>204</v>
      </c>
      <c r="Q103" s="16"/>
      <c r="R103" s="1" t="e">
        <f>VLOOKUP(#REF!,[2]Aprovados!A:A,1,0)</f>
        <v>#REF!</v>
      </c>
      <c r="S103" s="243"/>
      <c r="T103" s="235"/>
      <c r="U103" s="236" t="s">
        <v>315</v>
      </c>
      <c r="V103" s="294"/>
      <c r="W103" s="301" t="s">
        <v>18</v>
      </c>
      <c r="X103" s="302">
        <v>189</v>
      </c>
      <c r="Y103" s="303">
        <v>46044</v>
      </c>
      <c r="Z103" s="304"/>
    </row>
    <row r="104" spans="1:26" ht="15.75">
      <c r="A104" s="6">
        <v>22440483</v>
      </c>
      <c r="B104" s="7">
        <v>46043</v>
      </c>
      <c r="C104" s="6" t="s">
        <v>449</v>
      </c>
      <c r="D104" s="6" t="s">
        <v>570</v>
      </c>
      <c r="E104" s="6">
        <f>IF(Tabela1316[[#This Row],[VEICULO]]="CARRETA",5,IF(Tabela1316[[#This Row],[VEICULO]]="TRUCK BAU",3,0))</f>
        <v>3</v>
      </c>
      <c r="F104" s="6"/>
      <c r="G104" s="6" t="s">
        <v>390</v>
      </c>
      <c r="H104" s="9"/>
      <c r="I104" s="9"/>
      <c r="J104" s="9"/>
      <c r="K104" s="11"/>
      <c r="L104" s="1"/>
      <c r="M104" s="205" t="s">
        <v>315</v>
      </c>
      <c r="N104" s="1" t="s">
        <v>315</v>
      </c>
      <c r="O104" s="9"/>
      <c r="P104" s="14">
        <f>Tabela1316[[#This Row],[Valor_recibo]]</f>
        <v>0</v>
      </c>
      <c r="Q104" s="16"/>
      <c r="R104" s="1" t="e">
        <f>VLOOKUP(#REF!,[2]Aprovados!A:A,1,0)</f>
        <v>#REF!</v>
      </c>
      <c r="S104" s="236"/>
      <c r="T104" s="235"/>
      <c r="U104" s="236" t="s">
        <v>315</v>
      </c>
      <c r="V104" s="294"/>
      <c r="W104" s="301" t="s">
        <v>18</v>
      </c>
      <c r="X104" s="302">
        <v>47.4</v>
      </c>
      <c r="Y104" s="303">
        <v>46044</v>
      </c>
      <c r="Z104" s="304"/>
    </row>
    <row r="105" spans="1:26" ht="15.75">
      <c r="A105" s="6">
        <v>22433868</v>
      </c>
      <c r="B105" s="7">
        <v>46044</v>
      </c>
      <c r="C105" s="6" t="s">
        <v>497</v>
      </c>
      <c r="D105" s="6" t="str">
        <f>VLOOKUP(Tabela1316[[#This Row],[Motorista]],Planilha1!A:C,3,0)</f>
        <v>CARRETA</v>
      </c>
      <c r="E105" s="6">
        <f>IF(Tabela1316[[#This Row],[VEICULO]]="CARRETA",5,IF(Tabela1316[[#This Row],[VEICULO]]="TRUCK BAU",3,0))</f>
        <v>5</v>
      </c>
      <c r="F105" s="6"/>
      <c r="G105" s="6" t="s">
        <v>383</v>
      </c>
      <c r="H105" s="1">
        <v>156345</v>
      </c>
      <c r="I105" s="9">
        <v>46045</v>
      </c>
      <c r="J105" s="9">
        <v>46045</v>
      </c>
      <c r="K105" s="11">
        <v>532</v>
      </c>
      <c r="L105" s="1" t="s">
        <v>17</v>
      </c>
      <c r="M105" s="205" t="s">
        <v>315</v>
      </c>
      <c r="N105" s="1" t="s">
        <v>18</v>
      </c>
      <c r="O105" s="9">
        <v>46049</v>
      </c>
      <c r="P105" s="14">
        <f>Tabela1316[[#This Row],[Valor_recibo]]</f>
        <v>532</v>
      </c>
      <c r="Q105" s="16"/>
      <c r="R105" s="1" t="e">
        <f>VLOOKUP(#REF!,[2]Aprovados!A:A,1,0)</f>
        <v>#REF!</v>
      </c>
      <c r="S105" s="236"/>
      <c r="T105" s="235"/>
      <c r="U105" s="236" t="s">
        <v>315</v>
      </c>
      <c r="V105" s="294"/>
      <c r="W105" s="301" t="s">
        <v>18</v>
      </c>
      <c r="X105" s="302">
        <v>289.5</v>
      </c>
      <c r="Y105" s="303">
        <v>46045</v>
      </c>
      <c r="Z105" s="304"/>
    </row>
    <row r="106" spans="1:26" ht="15.75">
      <c r="A106" s="6">
        <v>22433869</v>
      </c>
      <c r="B106" s="7">
        <v>46044</v>
      </c>
      <c r="C106" s="6" t="s">
        <v>490</v>
      </c>
      <c r="D106" s="6" t="str">
        <f>VLOOKUP(Tabela1316[[#This Row],[Motorista]],Planilha1!A:C,3,0)</f>
        <v>CARRETA</v>
      </c>
      <c r="E106" s="6">
        <f>IF(Tabela1316[[#This Row],[VEICULO]]="CARRETA",5,IF(Tabela1316[[#This Row],[VEICULO]]="TRUCK BAU",3,0))</f>
        <v>5</v>
      </c>
      <c r="F106" s="6"/>
      <c r="G106" s="6" t="s">
        <v>383</v>
      </c>
      <c r="H106" s="1">
        <v>156212</v>
      </c>
      <c r="I106" s="9">
        <v>46045</v>
      </c>
      <c r="J106" s="9">
        <v>46045</v>
      </c>
      <c r="K106" s="11">
        <v>532</v>
      </c>
      <c r="L106" s="1" t="s">
        <v>17</v>
      </c>
      <c r="M106" s="205" t="s">
        <v>315</v>
      </c>
      <c r="N106" s="1" t="s">
        <v>18</v>
      </c>
      <c r="O106" s="9">
        <v>46048</v>
      </c>
      <c r="P106" s="14">
        <f>Tabela1316[[#This Row],[Valor_recibo]]</f>
        <v>532</v>
      </c>
      <c r="Q106" s="16"/>
      <c r="R106" s="1" t="e">
        <f>VLOOKUP(#REF!,[2]Aprovados!A:A,1,0)</f>
        <v>#REF!</v>
      </c>
      <c r="S106" s="236"/>
      <c r="T106" s="235"/>
      <c r="U106" s="236" t="s">
        <v>315</v>
      </c>
      <c r="V106" s="294"/>
      <c r="W106" s="301" t="s">
        <v>18</v>
      </c>
      <c r="X106" s="302">
        <v>289.5</v>
      </c>
      <c r="Y106" s="303">
        <v>46045</v>
      </c>
      <c r="Z106" s="304"/>
    </row>
    <row r="107" spans="1:26" ht="15.75">
      <c r="A107" s="6">
        <v>22433867</v>
      </c>
      <c r="B107" s="7">
        <v>46044</v>
      </c>
      <c r="C107" s="6" t="s">
        <v>384</v>
      </c>
      <c r="D107" s="6" t="str">
        <f>VLOOKUP(Tabela1316[[#This Row],[Motorista]],Planilha1!A:C,3,0)</f>
        <v>CARRETA</v>
      </c>
      <c r="E107" s="6">
        <f>IF(Tabela1316[[#This Row],[VEICULO]]="CARRETA",5,IF(Tabela1316[[#This Row],[VEICULO]]="TRUCK BAU",3,0))</f>
        <v>5</v>
      </c>
      <c r="F107" s="6"/>
      <c r="G107" s="6" t="s">
        <v>383</v>
      </c>
      <c r="H107" s="1">
        <v>156464</v>
      </c>
      <c r="I107" s="9">
        <v>46045</v>
      </c>
      <c r="J107" s="9">
        <v>46045</v>
      </c>
      <c r="K107" s="11">
        <v>361</v>
      </c>
      <c r="L107" s="1" t="s">
        <v>17</v>
      </c>
      <c r="M107" s="205" t="s">
        <v>315</v>
      </c>
      <c r="N107" s="1" t="s">
        <v>18</v>
      </c>
      <c r="O107" s="9">
        <v>46048</v>
      </c>
      <c r="P107" s="14">
        <f>Tabela1316[[#This Row],[Valor_recibo]]</f>
        <v>361</v>
      </c>
      <c r="Q107" s="16"/>
      <c r="R107" s="1" t="e">
        <f>VLOOKUP(#REF!,[2]Aprovados!A:A,1,0)</f>
        <v>#REF!</v>
      </c>
      <c r="S107" s="236"/>
      <c r="T107" s="235"/>
      <c r="U107" s="236" t="s">
        <v>315</v>
      </c>
      <c r="V107" s="294"/>
      <c r="W107" s="301" t="s">
        <v>18</v>
      </c>
      <c r="X107" s="302">
        <v>289.5</v>
      </c>
      <c r="Y107" s="303">
        <v>46045</v>
      </c>
      <c r="Z107" s="304"/>
    </row>
    <row r="108" spans="1:26" ht="15.75">
      <c r="A108" s="6">
        <v>22384124</v>
      </c>
      <c r="B108" s="7">
        <v>46044</v>
      </c>
      <c r="C108" s="6" t="s">
        <v>394</v>
      </c>
      <c r="D108" s="6" t="str">
        <f>VLOOKUP(Tabela1316[[#This Row],[Motorista]],Planilha1!A:C,3,0)</f>
        <v>CARRETA</v>
      </c>
      <c r="E108" s="6">
        <f>IF(Tabela1316[[#This Row],[VEICULO]]="CARRETA",5,IF(Tabela1316[[#This Row],[VEICULO]]="TRUCK BAU",3,0))</f>
        <v>5</v>
      </c>
      <c r="F108" s="6"/>
      <c r="G108" s="6" t="s">
        <v>383</v>
      </c>
      <c r="H108" s="1" t="s">
        <v>498</v>
      </c>
      <c r="I108" s="9">
        <v>46045</v>
      </c>
      <c r="J108" s="9">
        <v>46045</v>
      </c>
      <c r="K108" s="11">
        <v>0</v>
      </c>
      <c r="L108" s="1" t="s">
        <v>17</v>
      </c>
      <c r="M108" s="205" t="s">
        <v>315</v>
      </c>
      <c r="N108" s="1"/>
      <c r="O108" s="9">
        <v>46049</v>
      </c>
      <c r="P108" s="14">
        <f>Tabela1316[[#This Row],[Valor_recibo]]</f>
        <v>0</v>
      </c>
      <c r="Q108" s="16"/>
      <c r="R108" s="1" t="e">
        <f>VLOOKUP(#REF!,[2]Aprovados!A:A,1,0)</f>
        <v>#REF!</v>
      </c>
      <c r="S108" s="236"/>
      <c r="T108" s="235"/>
      <c r="U108" s="236" t="s">
        <v>315</v>
      </c>
      <c r="V108" s="294"/>
      <c r="W108" s="301" t="s">
        <v>18</v>
      </c>
      <c r="X108" s="302">
        <v>289.5</v>
      </c>
      <c r="Y108" s="303">
        <v>46045</v>
      </c>
      <c r="Z108" s="304"/>
    </row>
    <row r="109" spans="1:26" ht="15.75">
      <c r="A109" s="6">
        <v>22454528</v>
      </c>
      <c r="B109" s="7">
        <v>46044</v>
      </c>
      <c r="C109" s="6" t="s">
        <v>401</v>
      </c>
      <c r="D109" s="6" t="str">
        <f>VLOOKUP(Tabela1316[[#This Row],[Motorista]],Planilha1!A:C,3,0)</f>
        <v>CARRETA</v>
      </c>
      <c r="E109" s="6">
        <f>IF(Tabela1316[[#This Row],[VEICULO]]="CARRETA",5,IF(Tabela1316[[#This Row],[VEICULO]]="TRUCK BAU",3,0))</f>
        <v>5</v>
      </c>
      <c r="F109" s="6"/>
      <c r="G109" s="6" t="s">
        <v>473</v>
      </c>
      <c r="H109" s="1"/>
      <c r="I109" s="9"/>
      <c r="J109" s="9"/>
      <c r="K109" s="11"/>
      <c r="L109" s="1"/>
      <c r="M109" s="205" t="s">
        <v>315</v>
      </c>
      <c r="N109" s="1" t="s">
        <v>315</v>
      </c>
      <c r="O109" s="9"/>
      <c r="P109" s="14">
        <f>Tabela1316[[#This Row],[Valor_recibo]]</f>
        <v>0</v>
      </c>
      <c r="Q109" s="16"/>
      <c r="R109" s="1" t="e">
        <f>VLOOKUP(#REF!,[2]Aprovados!A:A,1,0)</f>
        <v>#REF!</v>
      </c>
      <c r="S109" s="236"/>
      <c r="T109" s="235"/>
      <c r="U109" s="236" t="s">
        <v>315</v>
      </c>
      <c r="V109" s="294"/>
      <c r="W109" s="301" t="s">
        <v>18</v>
      </c>
      <c r="X109" s="302">
        <v>847.6</v>
      </c>
      <c r="Y109" s="303">
        <v>46045</v>
      </c>
      <c r="Z109" s="304"/>
    </row>
    <row r="110" spans="1:26" ht="15.75">
      <c r="A110" s="6">
        <v>22440569</v>
      </c>
      <c r="B110" s="7">
        <v>46044</v>
      </c>
      <c r="C110" s="6" t="s">
        <v>399</v>
      </c>
      <c r="D110" s="6" t="str">
        <f>VLOOKUP(Tabela1316[[#This Row],[Motorista]],Planilha1!A:C,3,0)</f>
        <v>TRUCK BAU</v>
      </c>
      <c r="E110" s="6">
        <f>IF(Tabela1316[[#This Row],[VEICULO]]="CARRETA",5,IF(Tabela1316[[#This Row],[VEICULO]]="TRUCK BAU",3,0))</f>
        <v>3</v>
      </c>
      <c r="F110" s="6"/>
      <c r="G110" s="6" t="s">
        <v>390</v>
      </c>
      <c r="H110" s="1" t="s">
        <v>499</v>
      </c>
      <c r="I110" s="9">
        <v>46045</v>
      </c>
      <c r="J110" s="9">
        <v>46045</v>
      </c>
      <c r="K110" s="11">
        <v>266</v>
      </c>
      <c r="L110" s="1" t="s">
        <v>17</v>
      </c>
      <c r="M110" s="205" t="s">
        <v>315</v>
      </c>
      <c r="N110" s="1" t="s">
        <v>18</v>
      </c>
      <c r="O110" s="9">
        <v>46048</v>
      </c>
      <c r="P110" s="14">
        <f>Tabela1316[[#This Row],[Valor_recibo]]</f>
        <v>266</v>
      </c>
      <c r="Q110" s="16"/>
      <c r="R110" s="1" t="e">
        <f>VLOOKUP(#REF!,[2]Aprovados!A:A,1,0)</f>
        <v>#REF!</v>
      </c>
      <c r="S110" s="232"/>
      <c r="T110" s="235"/>
      <c r="U110" s="236" t="s">
        <v>315</v>
      </c>
      <c r="V110" s="294"/>
      <c r="W110" s="301" t="s">
        <v>18</v>
      </c>
      <c r="X110" s="302">
        <v>47.4</v>
      </c>
      <c r="Y110" s="303">
        <v>46045</v>
      </c>
      <c r="Z110" s="304"/>
    </row>
    <row r="111" spans="1:26" ht="15.75">
      <c r="A111" s="6">
        <v>22396273</v>
      </c>
      <c r="B111" s="7">
        <v>46045</v>
      </c>
      <c r="C111" s="6" t="s">
        <v>490</v>
      </c>
      <c r="D111" s="6" t="str">
        <f>VLOOKUP(Tabela1316[[#This Row],[Motorista]],Planilha1!A:C,3,0)</f>
        <v>CARRETA</v>
      </c>
      <c r="E111" s="6">
        <f>IF(Tabela1316[[#This Row],[VEICULO]]="CARRETA",5,IF(Tabela1316[[#This Row],[VEICULO]]="TRUCK BAU",3,0))</f>
        <v>5</v>
      </c>
      <c r="F111" s="6"/>
      <c r="G111" s="6" t="s">
        <v>383</v>
      </c>
      <c r="H111" s="1"/>
      <c r="I111" s="9"/>
      <c r="J111" s="9"/>
      <c r="K111" s="11"/>
      <c r="L111" s="1"/>
      <c r="M111" s="205" t="s">
        <v>315</v>
      </c>
      <c r="N111" s="1" t="s">
        <v>315</v>
      </c>
      <c r="O111" s="9"/>
      <c r="P111" s="14">
        <f>Tabela1316[[#This Row],[Valor_recibo]]</f>
        <v>0</v>
      </c>
      <c r="Q111" s="16"/>
      <c r="R111" s="1" t="e">
        <f>VLOOKUP(#REF!,[2]Aprovados!A:A,1,0)</f>
        <v>#REF!</v>
      </c>
      <c r="S111" s="236"/>
      <c r="T111" s="235"/>
      <c r="U111" s="236" t="s">
        <v>315</v>
      </c>
      <c r="V111" s="294"/>
      <c r="W111" s="301" t="s">
        <v>18</v>
      </c>
      <c r="X111" s="302">
        <v>289.5</v>
      </c>
      <c r="Y111" s="303">
        <v>46048</v>
      </c>
      <c r="Z111" s="304"/>
    </row>
    <row r="112" spans="1:26" ht="15.75">
      <c r="A112" s="6">
        <v>22451643</v>
      </c>
      <c r="B112" s="7">
        <v>46045</v>
      </c>
      <c r="C112" s="6" t="s">
        <v>490</v>
      </c>
      <c r="D112" s="6" t="str">
        <f>VLOOKUP(Tabela1316[[#This Row],[Motorista]],Planilha1!A:C,3,0)</f>
        <v>CARRETA</v>
      </c>
      <c r="E112" s="6">
        <f>IF(Tabela1316[[#This Row],[VEICULO]]="CARRETA",5,IF(Tabela1316[[#This Row],[VEICULO]]="TRUCK BAU",3,0))</f>
        <v>5</v>
      </c>
      <c r="F112" s="6"/>
      <c r="G112" s="6" t="s">
        <v>489</v>
      </c>
      <c r="H112" s="1">
        <v>54267</v>
      </c>
      <c r="I112" s="9">
        <v>46048</v>
      </c>
      <c r="J112" s="9">
        <v>46048</v>
      </c>
      <c r="K112" s="11">
        <v>0</v>
      </c>
      <c r="L112" s="1" t="s">
        <v>17</v>
      </c>
      <c r="M112" s="205" t="s">
        <v>315</v>
      </c>
      <c r="N112" s="1"/>
      <c r="O112" s="9">
        <v>46050</v>
      </c>
      <c r="P112" s="14">
        <f>Tabela1316[[#This Row],[Valor_recibo]]</f>
        <v>0</v>
      </c>
      <c r="Q112" s="16"/>
      <c r="R112" s="1" t="e">
        <f>VLOOKUP(#REF!,[2]Aprovados!A:A,1,0)</f>
        <v>#REF!</v>
      </c>
      <c r="S112" s="236"/>
      <c r="T112" s="235"/>
      <c r="U112" s="236" t="s">
        <v>315</v>
      </c>
      <c r="V112" s="294"/>
      <c r="W112" s="301" t="s">
        <v>18</v>
      </c>
      <c r="X112" s="302">
        <v>19.5</v>
      </c>
      <c r="Y112" s="303">
        <v>46048</v>
      </c>
      <c r="Z112" s="304"/>
    </row>
    <row r="113" spans="1:26" ht="15.75">
      <c r="A113" s="6">
        <v>22451625</v>
      </c>
      <c r="B113" s="7">
        <v>46045</v>
      </c>
      <c r="C113" s="6" t="s">
        <v>385</v>
      </c>
      <c r="D113" s="6" t="str">
        <f>VLOOKUP(Tabela1316[[#This Row],[Motorista]],Planilha1!A:C,3,0)</f>
        <v>CARRETA</v>
      </c>
      <c r="E113" s="6">
        <f>IF(Tabela1316[[#This Row],[VEICULO]]="CARRETA",5,IF(Tabela1316[[#This Row],[VEICULO]]="TRUCK BAU",3,0))</f>
        <v>5</v>
      </c>
      <c r="F113" s="6"/>
      <c r="G113" s="6" t="s">
        <v>383</v>
      </c>
      <c r="H113" s="1"/>
      <c r="I113" s="9"/>
      <c r="J113" s="9"/>
      <c r="K113" s="11"/>
      <c r="L113" s="1"/>
      <c r="M113" s="205" t="s">
        <v>315</v>
      </c>
      <c r="N113" s="1" t="s">
        <v>315</v>
      </c>
      <c r="O113" s="9"/>
      <c r="P113" s="14">
        <f>Tabela1316[[#This Row],[Valor_recibo]]</f>
        <v>0</v>
      </c>
      <c r="Q113" s="16"/>
      <c r="R113" s="1" t="e">
        <f>VLOOKUP(#REF!,[2]Aprovados!A:A,1,0)</f>
        <v>#REF!</v>
      </c>
      <c r="S113" s="236"/>
      <c r="T113" s="235"/>
      <c r="U113" s="236" t="s">
        <v>315</v>
      </c>
      <c r="V113" s="294"/>
      <c r="W113" s="301" t="s">
        <v>18</v>
      </c>
      <c r="X113" s="302">
        <v>289.5</v>
      </c>
      <c r="Y113" s="303">
        <v>46048</v>
      </c>
      <c r="Z113" s="304"/>
    </row>
    <row r="114" spans="1:26" ht="15.75">
      <c r="A114" s="6">
        <v>22451641</v>
      </c>
      <c r="B114" s="7">
        <v>46045</v>
      </c>
      <c r="C114" s="6" t="s">
        <v>497</v>
      </c>
      <c r="D114" s="6" t="str">
        <f>VLOOKUP(Tabela1316[[#This Row],[Motorista]],Planilha1!A:C,3,0)</f>
        <v>CARRETA</v>
      </c>
      <c r="E114" s="6">
        <f>IF(Tabela1316[[#This Row],[VEICULO]]="CARRETA",5,IF(Tabela1316[[#This Row],[VEICULO]]="TRUCK BAU",3,0))</f>
        <v>5</v>
      </c>
      <c r="F114" s="6"/>
      <c r="G114" s="6" t="s">
        <v>489</v>
      </c>
      <c r="H114" s="1">
        <v>54275</v>
      </c>
      <c r="I114" s="9">
        <v>46045</v>
      </c>
      <c r="J114" s="9">
        <v>46045</v>
      </c>
      <c r="K114" s="11">
        <v>0</v>
      </c>
      <c r="L114" s="1" t="s">
        <v>17</v>
      </c>
      <c r="M114" s="205" t="s">
        <v>315</v>
      </c>
      <c r="N114" s="1"/>
      <c r="O114" s="9">
        <v>46050</v>
      </c>
      <c r="P114" s="14">
        <f>Tabela1316[[#This Row],[Valor_recibo]]</f>
        <v>0</v>
      </c>
      <c r="Q114" s="16"/>
      <c r="R114" s="1" t="e">
        <f>VLOOKUP(#REF!,[2]Aprovados!A:A,1,0)</f>
        <v>#REF!</v>
      </c>
      <c r="S114" s="236"/>
      <c r="T114" s="235"/>
      <c r="U114" s="236" t="s">
        <v>315</v>
      </c>
      <c r="V114" s="294"/>
      <c r="W114" s="301" t="s">
        <v>18</v>
      </c>
      <c r="X114" s="302">
        <v>19.5</v>
      </c>
      <c r="Y114" s="303">
        <v>46048</v>
      </c>
      <c r="Z114" s="304"/>
    </row>
    <row r="115" spans="1:26" ht="15.75">
      <c r="A115" s="6">
        <v>22433343</v>
      </c>
      <c r="B115" s="7">
        <v>46045</v>
      </c>
      <c r="C115" s="6" t="s">
        <v>404</v>
      </c>
      <c r="D115" s="6" t="str">
        <f>VLOOKUP(Tabela1316[[#This Row],[Motorista]],Planilha1!A:C,3,0)</f>
        <v>TRUCK BAU</v>
      </c>
      <c r="E115" s="6">
        <f>IF(Tabela1316[[#This Row],[VEICULO]]="CARRETA",5,IF(Tabela1316[[#This Row],[VEICULO]]="TRUCK BAU",3,0))</f>
        <v>3</v>
      </c>
      <c r="F115" s="6"/>
      <c r="G115" s="6" t="s">
        <v>500</v>
      </c>
      <c r="H115" s="1" t="s">
        <v>501</v>
      </c>
      <c r="I115" s="9">
        <v>46046</v>
      </c>
      <c r="J115" s="9">
        <v>46046</v>
      </c>
      <c r="K115" s="11">
        <v>266</v>
      </c>
      <c r="L115" s="1" t="s">
        <v>17</v>
      </c>
      <c r="M115" s="205" t="s">
        <v>315</v>
      </c>
      <c r="N115" s="1" t="s">
        <v>18</v>
      </c>
      <c r="O115" s="9">
        <v>46056</v>
      </c>
      <c r="P115" s="14">
        <f>Tabela1316[[#This Row],[Valor_recibo]]</f>
        <v>266</v>
      </c>
      <c r="Q115" s="16"/>
      <c r="R115" s="1" t="e">
        <f>VLOOKUP(#REF!,[2]Aprovados!A:A,1,0)</f>
        <v>#REF!</v>
      </c>
      <c r="S115" s="236"/>
      <c r="T115" s="235"/>
      <c r="U115" s="236" t="s">
        <v>315</v>
      </c>
      <c r="V115" s="294"/>
      <c r="W115" s="301" t="s">
        <v>18</v>
      </c>
      <c r="X115" s="302">
        <v>161.1</v>
      </c>
      <c r="Y115" s="303">
        <v>46048</v>
      </c>
      <c r="Z115" s="304"/>
    </row>
    <row r="116" spans="1:26" ht="15.75">
      <c r="A116" s="6">
        <v>22391078</v>
      </c>
      <c r="B116" s="7">
        <v>46046</v>
      </c>
      <c r="C116" s="6" t="s">
        <v>384</v>
      </c>
      <c r="D116" s="6" t="str">
        <f>VLOOKUP(Tabela1316[[#This Row],[Motorista]],Planilha1!A:C,3,0)</f>
        <v>CARRETA</v>
      </c>
      <c r="E116" s="6">
        <f>IF(Tabela1316[[#This Row],[VEICULO]]="CARRETA",5,IF(Tabela1316[[#This Row],[VEICULO]]="TRUCK BAU",3,0))</f>
        <v>5</v>
      </c>
      <c r="F116" s="6"/>
      <c r="G116" s="6" t="s">
        <v>383</v>
      </c>
      <c r="H116" s="1" t="s">
        <v>502</v>
      </c>
      <c r="I116" s="9">
        <v>46047</v>
      </c>
      <c r="J116" s="9">
        <v>46047</v>
      </c>
      <c r="K116" s="11">
        <v>0</v>
      </c>
      <c r="L116" s="1" t="s">
        <v>17</v>
      </c>
      <c r="M116" s="205" t="s">
        <v>315</v>
      </c>
      <c r="N116" s="1"/>
      <c r="O116" s="9">
        <v>46049</v>
      </c>
      <c r="P116" s="14">
        <f>Tabela1316[[#This Row],[Valor_recibo]]</f>
        <v>0</v>
      </c>
      <c r="Q116" s="16"/>
      <c r="R116" s="1" t="e">
        <f>VLOOKUP(#REF!,[2]Aprovados!A:A,1,0)</f>
        <v>#REF!</v>
      </c>
      <c r="S116" s="236"/>
      <c r="T116" s="235"/>
      <c r="U116" s="236" t="s">
        <v>315</v>
      </c>
      <c r="V116" s="294"/>
      <c r="W116" s="301" t="s">
        <v>18</v>
      </c>
      <c r="X116" s="302">
        <v>289.5</v>
      </c>
      <c r="Y116" s="303">
        <v>46048</v>
      </c>
      <c r="Z116" s="304"/>
    </row>
    <row r="117" spans="1:26" ht="15.75">
      <c r="A117" s="6">
        <v>22451627</v>
      </c>
      <c r="B117" s="7">
        <v>46047</v>
      </c>
      <c r="C117" s="6" t="s">
        <v>426</v>
      </c>
      <c r="D117" s="6" t="s">
        <v>562</v>
      </c>
      <c r="E117" s="6">
        <f>IF(Tabela1316[[#This Row],[VEICULO]]="CARRETA",5,IF(Tabela1316[[#This Row],[VEICULO]]="TRUCK BAU",3,0))</f>
        <v>5</v>
      </c>
      <c r="F117" s="6"/>
      <c r="G117" s="6" t="s">
        <v>383</v>
      </c>
      <c r="H117" s="1"/>
      <c r="I117" s="9"/>
      <c r="J117" s="9"/>
      <c r="K117" s="11"/>
      <c r="L117" s="1"/>
      <c r="M117" s="205" t="s">
        <v>315</v>
      </c>
      <c r="N117" s="1" t="s">
        <v>315</v>
      </c>
      <c r="O117" s="9"/>
      <c r="P117" s="14">
        <f>Tabela1316[[#This Row],[Valor_recibo]]</f>
        <v>0</v>
      </c>
      <c r="Q117" s="16"/>
      <c r="R117" s="1" t="e">
        <f>VLOOKUP(#REF!,[2]Aprovados!A:A,1,0)</f>
        <v>#REF!</v>
      </c>
      <c r="S117" s="236"/>
      <c r="T117" s="235"/>
      <c r="U117" s="236" t="s">
        <v>315</v>
      </c>
      <c r="V117" s="294"/>
      <c r="W117" s="301" t="s">
        <v>18</v>
      </c>
      <c r="X117" s="302">
        <v>289.5</v>
      </c>
      <c r="Y117" s="303">
        <v>46048</v>
      </c>
      <c r="Z117" s="304"/>
    </row>
    <row r="118" spans="1:26" ht="15.75">
      <c r="A118" s="6">
        <v>22454762</v>
      </c>
      <c r="B118" s="7">
        <v>46047</v>
      </c>
      <c r="C118" s="6" t="s">
        <v>497</v>
      </c>
      <c r="D118" s="6" t="str">
        <f>VLOOKUP(Tabela1316[[#This Row],[Motorista]],Planilha1!A:C,3,0)</f>
        <v>CARRETA</v>
      </c>
      <c r="E118" s="6">
        <f>IF(Tabela1316[[#This Row],[VEICULO]]="CARRETA",5,IF(Tabela1316[[#This Row],[VEICULO]]="TRUCK BAU",3,0))</f>
        <v>5</v>
      </c>
      <c r="F118" s="6"/>
      <c r="G118" s="6" t="s">
        <v>383</v>
      </c>
      <c r="H118" s="1"/>
      <c r="I118" s="9"/>
      <c r="J118" s="9"/>
      <c r="K118" s="11"/>
      <c r="L118" s="1"/>
      <c r="M118" s="205" t="s">
        <v>315</v>
      </c>
      <c r="N118" s="1" t="s">
        <v>315</v>
      </c>
      <c r="O118" s="9"/>
      <c r="P118" s="14">
        <f>Tabela1316[[#This Row],[Valor_recibo]]</f>
        <v>0</v>
      </c>
      <c r="Q118" s="16"/>
      <c r="R118" s="1" t="e">
        <f>VLOOKUP(#REF!,[2]Aprovados!A:A,1,0)</f>
        <v>#REF!</v>
      </c>
      <c r="S118" s="236"/>
      <c r="T118" s="235"/>
      <c r="U118" s="236" t="s">
        <v>315</v>
      </c>
      <c r="V118" s="294"/>
      <c r="W118" s="301" t="s">
        <v>18</v>
      </c>
      <c r="X118" s="302">
        <v>289.5</v>
      </c>
      <c r="Y118" s="303">
        <v>46048</v>
      </c>
      <c r="Z118" s="304"/>
    </row>
    <row r="119" spans="1:26" ht="15.75">
      <c r="A119" s="6">
        <v>22402152</v>
      </c>
      <c r="B119" s="7">
        <v>46047</v>
      </c>
      <c r="C119" s="6" t="s">
        <v>388</v>
      </c>
      <c r="D119" s="6" t="str">
        <f>VLOOKUP(Tabela1316[[#This Row],[Motorista]],Planilha1!A:C,3,0)</f>
        <v>CARRETA</v>
      </c>
      <c r="E119" s="6">
        <f>IF(Tabela1316[[#This Row],[VEICULO]]="CARRETA",5,IF(Tabela1316[[#This Row],[VEICULO]]="TRUCK BAU",3,0))</f>
        <v>5</v>
      </c>
      <c r="F119" s="6"/>
      <c r="G119" s="6" t="s">
        <v>418</v>
      </c>
      <c r="H119" s="1">
        <v>157017</v>
      </c>
      <c r="I119" s="9">
        <v>46048</v>
      </c>
      <c r="J119" s="9">
        <v>46048</v>
      </c>
      <c r="K119" s="11">
        <v>0</v>
      </c>
      <c r="L119" s="1" t="s">
        <v>17</v>
      </c>
      <c r="M119" s="205" t="s">
        <v>315</v>
      </c>
      <c r="N119" s="1"/>
      <c r="O119" s="9">
        <v>46049</v>
      </c>
      <c r="P119" s="14">
        <f>Tabela1316[[#This Row],[Valor_recibo]]</f>
        <v>0</v>
      </c>
      <c r="Q119" s="16"/>
      <c r="R119" s="1" t="e">
        <f>VLOOKUP(#REF!,[2]Aprovados!A:A,1,0)</f>
        <v>#REF!</v>
      </c>
      <c r="S119" s="236"/>
      <c r="T119" s="235"/>
      <c r="U119" s="236" t="s">
        <v>315</v>
      </c>
      <c r="V119" s="294"/>
      <c r="W119" s="301" t="s">
        <v>18</v>
      </c>
      <c r="X119" s="302">
        <v>132</v>
      </c>
      <c r="Y119" s="303">
        <v>46048</v>
      </c>
      <c r="Z119" s="304"/>
    </row>
    <row r="120" spans="1:26" ht="15.75">
      <c r="A120" s="6">
        <v>22391570</v>
      </c>
      <c r="B120" s="7">
        <v>46047</v>
      </c>
      <c r="C120" s="6" t="s">
        <v>389</v>
      </c>
      <c r="D120" s="6" t="str">
        <f>VLOOKUP(Tabela1316[[#This Row],[Motorista]],Planilha1!A:C,3,0)</f>
        <v>TRUCK BAU</v>
      </c>
      <c r="E120" s="6">
        <f>IF(Tabela1316[[#This Row],[VEICULO]]="CARRETA",5,IF(Tabela1316[[#This Row],[VEICULO]]="TRUCK BAU",3,0))</f>
        <v>3</v>
      </c>
      <c r="F120" s="6"/>
      <c r="G120" s="6" t="s">
        <v>433</v>
      </c>
      <c r="H120" s="1">
        <v>156826</v>
      </c>
      <c r="I120" s="9">
        <v>46048</v>
      </c>
      <c r="J120" s="9">
        <v>46048</v>
      </c>
      <c r="K120" s="11">
        <v>336</v>
      </c>
      <c r="L120" s="1" t="s">
        <v>17</v>
      </c>
      <c r="M120" s="205" t="s">
        <v>315</v>
      </c>
      <c r="N120" s="1" t="s">
        <v>18</v>
      </c>
      <c r="O120" s="9">
        <v>46050</v>
      </c>
      <c r="P120" s="14">
        <f>Tabela1316[[#This Row],[Valor_recibo]]</f>
        <v>336</v>
      </c>
      <c r="Q120" s="16"/>
      <c r="R120" s="1" t="e">
        <f>VLOOKUP(#REF!,[2]Aprovados!A:A,1,0)</f>
        <v>#REF!</v>
      </c>
      <c r="S120" s="236"/>
      <c r="T120" s="235"/>
      <c r="U120" s="236" t="s">
        <v>315</v>
      </c>
      <c r="V120" s="294"/>
      <c r="W120" s="301" t="s">
        <v>18</v>
      </c>
      <c r="X120" s="302">
        <v>44.1</v>
      </c>
      <c r="Y120" s="303">
        <v>46048</v>
      </c>
      <c r="Z120" s="304"/>
    </row>
    <row r="121" spans="1:26" ht="15.75">
      <c r="A121" s="6">
        <v>22459301</v>
      </c>
      <c r="B121" s="7">
        <v>46047</v>
      </c>
      <c r="C121" s="6" t="s">
        <v>442</v>
      </c>
      <c r="D121" s="6" t="s">
        <v>570</v>
      </c>
      <c r="E121" s="6">
        <f>IF(Tabela1316[[#This Row],[VEICULO]]="CARRETA",5,IF(Tabela1316[[#This Row],[VEICULO]]="TRUCK BAU",3,0))</f>
        <v>3</v>
      </c>
      <c r="F121" s="6"/>
      <c r="G121" s="6" t="s">
        <v>503</v>
      </c>
      <c r="H121" s="1" t="s">
        <v>504</v>
      </c>
      <c r="I121" s="9">
        <v>46048</v>
      </c>
      <c r="J121" s="9">
        <v>46048</v>
      </c>
      <c r="K121" s="11">
        <v>238</v>
      </c>
      <c r="L121" s="1" t="s">
        <v>17</v>
      </c>
      <c r="M121" s="205" t="s">
        <v>315</v>
      </c>
      <c r="N121" s="1" t="s">
        <v>18</v>
      </c>
      <c r="O121" s="9">
        <v>46051</v>
      </c>
      <c r="P121" s="14">
        <f>Tabela1316[[#This Row],[Valor_recibo]]</f>
        <v>238</v>
      </c>
      <c r="Q121" s="16"/>
      <c r="R121" s="1" t="e">
        <f>VLOOKUP(#REF!,[2]Aprovados!A:A,1,0)</f>
        <v>#REF!</v>
      </c>
      <c r="S121" s="236"/>
      <c r="T121" s="235"/>
      <c r="U121" s="236" t="s">
        <v>315</v>
      </c>
      <c r="V121" s="294"/>
      <c r="W121" s="301"/>
      <c r="X121" s="302">
        <v>0</v>
      </c>
      <c r="Y121" s="303"/>
      <c r="Z121" s="304"/>
    </row>
    <row r="122" spans="1:26" ht="15.75">
      <c r="A122" s="6">
        <v>22459308</v>
      </c>
      <c r="B122" s="7">
        <v>46047</v>
      </c>
      <c r="C122" s="6" t="s">
        <v>439</v>
      </c>
      <c r="D122" s="6" t="s">
        <v>570</v>
      </c>
      <c r="E122" s="6">
        <f>IF(Tabela1316[[#This Row],[VEICULO]]="CARRETA",5,IF(Tabela1316[[#This Row],[VEICULO]]="TRUCK BAU",3,0))</f>
        <v>3</v>
      </c>
      <c r="F122" s="6"/>
      <c r="G122" s="6" t="s">
        <v>453</v>
      </c>
      <c r="H122" s="1" t="s">
        <v>505</v>
      </c>
      <c r="I122" s="9">
        <v>46048</v>
      </c>
      <c r="J122" s="9">
        <v>46048</v>
      </c>
      <c r="K122" s="11">
        <v>272</v>
      </c>
      <c r="L122" s="1" t="s">
        <v>17</v>
      </c>
      <c r="M122" s="205" t="s">
        <v>315</v>
      </c>
      <c r="N122" s="1" t="s">
        <v>18</v>
      </c>
      <c r="O122" s="9">
        <v>46050</v>
      </c>
      <c r="P122" s="14">
        <f>Tabela1316[[#This Row],[Valor_recibo]]</f>
        <v>272</v>
      </c>
      <c r="Q122" s="16"/>
      <c r="R122" s="1" t="e">
        <f>VLOOKUP(#REF!,[2]Aprovados!A:A,1,0)</f>
        <v>#REF!</v>
      </c>
      <c r="S122" s="236"/>
      <c r="T122" s="235"/>
      <c r="U122" s="236" t="s">
        <v>315</v>
      </c>
      <c r="V122" s="294"/>
      <c r="W122" s="301" t="s">
        <v>18</v>
      </c>
      <c r="X122" s="302">
        <v>38.1</v>
      </c>
      <c r="Y122" s="303">
        <v>46048</v>
      </c>
      <c r="Z122" s="304"/>
    </row>
    <row r="123" spans="1:26" ht="15.75">
      <c r="A123" s="6">
        <v>22460128</v>
      </c>
      <c r="B123" s="7">
        <v>46047</v>
      </c>
      <c r="C123" s="6" t="s">
        <v>449</v>
      </c>
      <c r="D123" s="6" t="s">
        <v>570</v>
      </c>
      <c r="E123" s="6">
        <f>IF(Tabela1316[[#This Row],[VEICULO]]="CARRETA",5,IF(Tabela1316[[#This Row],[VEICULO]]="TRUCK BAU",3,0))</f>
        <v>3</v>
      </c>
      <c r="F123" s="6"/>
      <c r="G123" s="6" t="s">
        <v>506</v>
      </c>
      <c r="H123" s="1"/>
      <c r="I123" s="9"/>
      <c r="J123" s="9"/>
      <c r="K123" s="11"/>
      <c r="L123" s="1"/>
      <c r="M123" s="205" t="s">
        <v>315</v>
      </c>
      <c r="N123" s="1" t="s">
        <v>315</v>
      </c>
      <c r="O123" s="9"/>
      <c r="P123" s="14">
        <f>Tabela1316[[#This Row],[Valor_recibo]]</f>
        <v>0</v>
      </c>
      <c r="Q123" s="16"/>
      <c r="R123" s="1" t="e">
        <f>VLOOKUP(#REF!,[2]Aprovados!A:A,1,0)</f>
        <v>#REF!</v>
      </c>
      <c r="S123" s="236"/>
      <c r="T123" s="235"/>
      <c r="U123" s="236" t="s">
        <v>315</v>
      </c>
      <c r="V123" s="294"/>
      <c r="W123" s="301" t="s">
        <v>18</v>
      </c>
      <c r="X123" s="302">
        <v>707</v>
      </c>
      <c r="Y123" s="303">
        <v>46048</v>
      </c>
      <c r="Z123" s="304"/>
    </row>
    <row r="124" spans="1:26" ht="15.75">
      <c r="A124" s="6">
        <v>22454834</v>
      </c>
      <c r="B124" s="7">
        <v>46047</v>
      </c>
      <c r="C124" s="6" t="s">
        <v>399</v>
      </c>
      <c r="D124" s="6" t="str">
        <f>VLOOKUP(Tabela1316[[#This Row],[Motorista]],Planilha1!A:C,3,0)</f>
        <v>TRUCK BAU</v>
      </c>
      <c r="E124" s="6">
        <f>IF(Tabela1316[[#This Row],[VEICULO]]="CARRETA",5,IF(Tabela1316[[#This Row],[VEICULO]]="TRUCK BAU",3,0))</f>
        <v>3</v>
      </c>
      <c r="F124" s="6"/>
      <c r="G124" s="6" t="s">
        <v>508</v>
      </c>
      <c r="H124" s="1" t="s">
        <v>509</v>
      </c>
      <c r="I124" s="9">
        <v>46048</v>
      </c>
      <c r="J124" s="9">
        <v>46048</v>
      </c>
      <c r="K124" s="11">
        <v>280</v>
      </c>
      <c r="L124" s="1" t="s">
        <v>17</v>
      </c>
      <c r="M124" s="205" t="s">
        <v>315</v>
      </c>
      <c r="N124" s="1" t="s">
        <v>18</v>
      </c>
      <c r="O124" s="9">
        <v>46055</v>
      </c>
      <c r="P124" s="14">
        <f>Tabela1316[[#This Row],[Valor_recibo]]</f>
        <v>280</v>
      </c>
      <c r="Q124" s="16"/>
      <c r="R124" s="1" t="e">
        <f>VLOOKUP(#REF!,[2]Aprovados!A:A,1,0)</f>
        <v>#REF!</v>
      </c>
      <c r="S124" s="236"/>
      <c r="T124" s="235"/>
      <c r="U124" s="236" t="s">
        <v>315</v>
      </c>
      <c r="V124" s="295"/>
      <c r="W124" s="301"/>
      <c r="X124" s="302">
        <v>0</v>
      </c>
      <c r="Y124" s="303"/>
      <c r="Z124" s="304"/>
    </row>
    <row r="125" spans="1:26" ht="15.75">
      <c r="A125" s="6">
        <v>22402146</v>
      </c>
      <c r="B125" s="7">
        <v>46048</v>
      </c>
      <c r="C125" s="6" t="s">
        <v>394</v>
      </c>
      <c r="D125" s="6" t="str">
        <f>VLOOKUP(Tabela1316[[#This Row],[Motorista]],Planilha1!A:C,3,0)</f>
        <v>CARRETA</v>
      </c>
      <c r="E125" s="6">
        <f>IF(Tabela1316[[#This Row],[VEICULO]]="CARRETA",5,IF(Tabela1316[[#This Row],[VEICULO]]="TRUCK BAU",3,0))</f>
        <v>5</v>
      </c>
      <c r="F125" s="6"/>
      <c r="G125" s="6" t="s">
        <v>418</v>
      </c>
      <c r="H125" s="1">
        <v>157659</v>
      </c>
      <c r="I125" s="9">
        <v>46049</v>
      </c>
      <c r="J125" s="9">
        <v>46049</v>
      </c>
      <c r="K125" s="308">
        <v>64.92</v>
      </c>
      <c r="L125" s="1" t="s">
        <v>17</v>
      </c>
      <c r="M125" s="205" t="s">
        <v>315</v>
      </c>
      <c r="N125" s="1" t="s">
        <v>18</v>
      </c>
      <c r="O125" s="9">
        <v>46055</v>
      </c>
      <c r="P125" s="14">
        <f>Tabela1316[[#This Row],[Valor_recibo]]</f>
        <v>64.92</v>
      </c>
      <c r="Q125" s="16"/>
      <c r="R125" s="1" t="e">
        <f>VLOOKUP(#REF!,[2]Aprovados!A:A,1,0)</f>
        <v>#REF!</v>
      </c>
      <c r="S125" s="236"/>
      <c r="T125" s="235"/>
      <c r="U125" s="236" t="s">
        <v>315</v>
      </c>
      <c r="V125" s="294"/>
      <c r="W125" s="301" t="s">
        <v>18</v>
      </c>
      <c r="X125" s="302">
        <v>132</v>
      </c>
      <c r="Y125" s="303">
        <v>46049</v>
      </c>
      <c r="Z125" s="304"/>
    </row>
    <row r="126" spans="1:26" ht="15.75">
      <c r="A126" s="6">
        <v>22454681</v>
      </c>
      <c r="B126" s="7">
        <v>46048</v>
      </c>
      <c r="C126" s="6" t="s">
        <v>439</v>
      </c>
      <c r="D126" s="6" t="s">
        <v>570</v>
      </c>
      <c r="E126" s="6">
        <f>IF(Tabela1316[[#This Row],[VEICULO]]="CARRETA",5,IF(Tabela1316[[#This Row],[VEICULO]]="TRUCK BAU",3,0))</f>
        <v>3</v>
      </c>
      <c r="F126" s="6"/>
      <c r="G126" s="6" t="s">
        <v>418</v>
      </c>
      <c r="H126" s="1" t="s">
        <v>510</v>
      </c>
      <c r="I126" s="9">
        <v>46049</v>
      </c>
      <c r="J126" s="9">
        <v>46049</v>
      </c>
      <c r="K126" s="11">
        <v>358.82</v>
      </c>
      <c r="L126" s="1" t="s">
        <v>17</v>
      </c>
      <c r="M126" s="205" t="s">
        <v>315</v>
      </c>
      <c r="N126" s="1" t="s">
        <v>18</v>
      </c>
      <c r="O126" s="9">
        <v>46051</v>
      </c>
      <c r="P126" s="14">
        <f>Tabela1316[[#This Row],[Valor_recibo]]</f>
        <v>358.82</v>
      </c>
      <c r="Q126" s="16"/>
      <c r="R126" s="1" t="e">
        <f>VLOOKUP(#REF!,[2]Aprovados!A:A,1,0)</f>
        <v>#REF!</v>
      </c>
      <c r="S126" s="236"/>
      <c r="T126" s="235"/>
      <c r="U126" s="236" t="s">
        <v>315</v>
      </c>
      <c r="V126" s="294"/>
      <c r="W126" s="301" t="s">
        <v>18</v>
      </c>
      <c r="X126" s="302">
        <v>79.2</v>
      </c>
      <c r="Y126" s="303">
        <v>46049</v>
      </c>
      <c r="Z126" s="304"/>
    </row>
    <row r="127" spans="1:26" ht="15.75">
      <c r="A127" s="6">
        <v>22442819</v>
      </c>
      <c r="B127" s="7">
        <v>46048</v>
      </c>
      <c r="C127" s="6" t="s">
        <v>399</v>
      </c>
      <c r="D127" s="6" t="str">
        <f>VLOOKUP(Tabela1316[[#This Row],[Motorista]],Planilha1!A:C,3,0)</f>
        <v>TRUCK BAU</v>
      </c>
      <c r="E127" s="6">
        <f>IF(Tabela1316[[#This Row],[VEICULO]]="CARRETA",5,IF(Tabela1316[[#This Row],[VEICULO]]="TRUCK BAU",3,0))</f>
        <v>3</v>
      </c>
      <c r="F127" s="6"/>
      <c r="G127" s="6" t="s">
        <v>415</v>
      </c>
      <c r="H127" s="1"/>
      <c r="I127" s="9"/>
      <c r="J127" s="9"/>
      <c r="K127" s="11"/>
      <c r="L127" s="1"/>
      <c r="M127" s="205" t="s">
        <v>315</v>
      </c>
      <c r="N127" s="1" t="s">
        <v>315</v>
      </c>
      <c r="O127" s="9"/>
      <c r="P127" s="14">
        <f>Tabela1316[[#This Row],[Valor_recibo]]</f>
        <v>0</v>
      </c>
      <c r="Q127" s="16"/>
      <c r="R127" s="1" t="e">
        <f>VLOOKUP(#REF!,[2]Aprovados!A:A,1,0)</f>
        <v>#REF!</v>
      </c>
      <c r="S127" s="236"/>
      <c r="T127" s="235"/>
      <c r="U127" s="236" t="s">
        <v>315</v>
      </c>
      <c r="V127" s="294"/>
      <c r="W127" s="301" t="s">
        <v>18</v>
      </c>
      <c r="X127" s="302">
        <v>89.7</v>
      </c>
      <c r="Y127" s="303">
        <v>46049</v>
      </c>
      <c r="Z127" s="304"/>
    </row>
    <row r="128" spans="1:26" ht="15.75">
      <c r="A128" s="6">
        <v>22472806</v>
      </c>
      <c r="B128" s="7">
        <v>46048</v>
      </c>
      <c r="C128" s="6" t="s">
        <v>511</v>
      </c>
      <c r="D128" s="6" t="str">
        <f>VLOOKUP(Tabela1316[[#This Row],[Motorista]],Planilha1!A:C,3,0)</f>
        <v>TRUCK BAU</v>
      </c>
      <c r="E128" s="6">
        <f>IF(Tabela1316[[#This Row],[VEICULO]]="CARRETA",5,IF(Tabela1316[[#This Row],[VEICULO]]="TRUCK BAU",3,0))</f>
        <v>3</v>
      </c>
      <c r="F128" s="6"/>
      <c r="G128" s="6" t="s">
        <v>390</v>
      </c>
      <c r="H128" s="1"/>
      <c r="I128" s="9"/>
      <c r="J128" s="9"/>
      <c r="K128" s="11"/>
      <c r="L128" s="1"/>
      <c r="M128" s="205" t="s">
        <v>315</v>
      </c>
      <c r="N128" s="1" t="s">
        <v>315</v>
      </c>
      <c r="O128" s="9"/>
      <c r="P128" s="14">
        <f>Tabela1316[[#This Row],[Valor_recibo]]</f>
        <v>0</v>
      </c>
      <c r="Q128" s="16"/>
      <c r="R128" s="1" t="e">
        <f>VLOOKUP(#REF!,[2]Aprovados!A:A,1,0)</f>
        <v>#REF!</v>
      </c>
      <c r="S128" s="236"/>
      <c r="T128" s="235"/>
      <c r="U128" s="236" t="s">
        <v>315</v>
      </c>
      <c r="V128" s="294"/>
      <c r="W128" s="301" t="s">
        <v>18</v>
      </c>
      <c r="X128" s="302">
        <v>47.4</v>
      </c>
      <c r="Y128" s="303">
        <v>46049</v>
      </c>
      <c r="Z128" s="304"/>
    </row>
    <row r="129" spans="1:26" ht="15.75">
      <c r="A129" s="6">
        <v>22495033</v>
      </c>
      <c r="B129" s="7">
        <v>46048</v>
      </c>
      <c r="C129" s="6" t="s">
        <v>384</v>
      </c>
      <c r="D129" s="6" t="str">
        <f>VLOOKUP(Tabela1316[[#This Row],[Motorista]],Planilha1!A:C,3,0)</f>
        <v>CARRETA</v>
      </c>
      <c r="E129" s="6">
        <f>IF(Tabela1316[[#This Row],[VEICULO]]="CARRETA",5,IF(Tabela1316[[#This Row],[VEICULO]]="TRUCK BAU",3,0))</f>
        <v>5</v>
      </c>
      <c r="F129" s="6"/>
      <c r="G129" s="6" t="s">
        <v>415</v>
      </c>
      <c r="H129" s="1"/>
      <c r="I129" s="9"/>
      <c r="J129" s="9"/>
      <c r="K129" s="11"/>
      <c r="L129" s="1"/>
      <c r="M129" s="205" t="s">
        <v>315</v>
      </c>
      <c r="N129" s="1" t="s">
        <v>315</v>
      </c>
      <c r="O129" s="9"/>
      <c r="P129" s="14">
        <f>Tabela1316[[#This Row],[Valor_recibo]]</f>
        <v>0</v>
      </c>
      <c r="Q129" s="16"/>
      <c r="R129" s="1" t="e">
        <f>VLOOKUP(#REF!,[2]Aprovados!A:A,1,0)</f>
        <v>#REF!</v>
      </c>
      <c r="S129" s="236"/>
      <c r="T129" s="235"/>
      <c r="U129" s="236" t="s">
        <v>315</v>
      </c>
      <c r="V129" s="294"/>
      <c r="W129" s="301" t="s">
        <v>18</v>
      </c>
      <c r="X129" s="302">
        <v>149.5</v>
      </c>
      <c r="Y129" s="303">
        <v>46049</v>
      </c>
      <c r="Z129" s="304"/>
    </row>
    <row r="130" spans="1:26" ht="15.75">
      <c r="A130" s="6">
        <v>22495053</v>
      </c>
      <c r="B130" s="7">
        <v>46048</v>
      </c>
      <c r="C130" s="6" t="s">
        <v>388</v>
      </c>
      <c r="D130" s="6" t="str">
        <f>VLOOKUP(Tabela1316[[#This Row],[Motorista]],Planilha1!A:C,3,0)</f>
        <v>CARRETA</v>
      </c>
      <c r="E130" s="6">
        <f>IF(Tabela1316[[#This Row],[VEICULO]]="CARRETA",5,IF(Tabela1316[[#This Row],[VEICULO]]="TRUCK BAU",3,0))</f>
        <v>5</v>
      </c>
      <c r="F130" s="6"/>
      <c r="G130" s="6" t="s">
        <v>415</v>
      </c>
      <c r="H130" s="1"/>
      <c r="I130" s="9"/>
      <c r="J130" s="9"/>
      <c r="K130" s="11"/>
      <c r="L130" s="1"/>
      <c r="M130" s="205" t="s">
        <v>315</v>
      </c>
      <c r="N130" s="1" t="s">
        <v>315</v>
      </c>
      <c r="O130" s="9"/>
      <c r="P130" s="14">
        <f>Tabela1316[[#This Row],[Valor_recibo]]</f>
        <v>0</v>
      </c>
      <c r="Q130" s="16"/>
      <c r="R130" s="1" t="e">
        <f>VLOOKUP(#REF!,[2]Aprovados!A:A,1,0)</f>
        <v>#REF!</v>
      </c>
      <c r="S130" s="236"/>
      <c r="T130" s="235"/>
      <c r="U130" s="236" t="s">
        <v>315</v>
      </c>
      <c r="V130" s="294"/>
      <c r="W130" s="301" t="s">
        <v>18</v>
      </c>
      <c r="X130" s="302">
        <v>149.5</v>
      </c>
      <c r="Y130" s="303">
        <v>46049</v>
      </c>
      <c r="Z130" s="304"/>
    </row>
    <row r="131" spans="1:26" ht="15.75">
      <c r="A131" s="6">
        <v>22402155</v>
      </c>
      <c r="B131" s="7">
        <v>46049</v>
      </c>
      <c r="C131" s="6" t="s">
        <v>442</v>
      </c>
      <c r="D131" s="6" t="s">
        <v>570</v>
      </c>
      <c r="E131" s="6">
        <f>IF(Tabela1316[[#This Row],[VEICULO]]="CARRETA",5,IF(Tabela1316[[#This Row],[VEICULO]]="TRUCK BAU",3,0))</f>
        <v>3</v>
      </c>
      <c r="F131" s="6"/>
      <c r="G131" s="6" t="s">
        <v>433</v>
      </c>
      <c r="H131" s="1" t="s">
        <v>512</v>
      </c>
      <c r="I131" s="9">
        <v>46050</v>
      </c>
      <c r="J131" s="9">
        <v>46050</v>
      </c>
      <c r="K131" s="11">
        <v>312</v>
      </c>
      <c r="L131" s="1" t="s">
        <v>17</v>
      </c>
      <c r="M131" s="205" t="s">
        <v>315</v>
      </c>
      <c r="N131" s="1" t="s">
        <v>18</v>
      </c>
      <c r="O131" s="9">
        <v>46052</v>
      </c>
      <c r="P131" s="14">
        <f>Tabela1316[[#This Row],[Valor_recibo]]</f>
        <v>312</v>
      </c>
      <c r="Q131" s="16"/>
      <c r="R131" s="1" t="e">
        <f>VLOOKUP(#REF!,[2]Aprovados!A:A,1,0)</f>
        <v>#REF!</v>
      </c>
      <c r="S131" s="236"/>
      <c r="T131" s="235"/>
      <c r="U131" s="236" t="s">
        <v>315</v>
      </c>
      <c r="V131" s="294"/>
      <c r="W131" s="301" t="s">
        <v>18</v>
      </c>
      <c r="X131" s="302">
        <v>44</v>
      </c>
      <c r="Y131" s="303">
        <v>46050</v>
      </c>
      <c r="Z131" s="304"/>
    </row>
    <row r="132" spans="1:26" ht="15.75">
      <c r="A132" s="6">
        <v>22396650</v>
      </c>
      <c r="B132" s="7">
        <v>46049</v>
      </c>
      <c r="C132" s="6" t="s">
        <v>385</v>
      </c>
      <c r="D132" s="6" t="str">
        <f>VLOOKUP(Tabela1316[[#This Row],[Motorista]],Planilha1!A:C,3,0)</f>
        <v>CARRETA</v>
      </c>
      <c r="E132" s="6">
        <f>IF(Tabela1316[[#This Row],[VEICULO]]="CARRETA",5,IF(Tabela1316[[#This Row],[VEICULO]]="TRUCK BAU",3,0))</f>
        <v>5</v>
      </c>
      <c r="F132" s="6"/>
      <c r="G132" s="6" t="s">
        <v>390</v>
      </c>
      <c r="H132" s="1" t="s">
        <v>513</v>
      </c>
      <c r="I132" s="9">
        <v>46050</v>
      </c>
      <c r="J132" s="9">
        <v>46050</v>
      </c>
      <c r="K132" s="11">
        <v>682</v>
      </c>
      <c r="L132" s="1" t="s">
        <v>17</v>
      </c>
      <c r="M132" s="205" t="s">
        <v>315</v>
      </c>
      <c r="N132" s="1" t="s">
        <v>18</v>
      </c>
      <c r="O132" s="9">
        <v>46056</v>
      </c>
      <c r="P132" s="14">
        <f>Tabela1316[[#This Row],[Valor_recibo]]</f>
        <v>682</v>
      </c>
      <c r="Q132" s="16"/>
      <c r="R132" s="1" t="e">
        <f>VLOOKUP(#REF!,[2]Aprovados!A:A,1,0)</f>
        <v>#REF!</v>
      </c>
      <c r="S132" s="236"/>
      <c r="T132" s="235"/>
      <c r="U132" s="236" t="s">
        <v>315</v>
      </c>
      <c r="V132" s="294"/>
      <c r="W132" s="301" t="s">
        <v>18</v>
      </c>
      <c r="X132" s="302">
        <v>79</v>
      </c>
      <c r="Y132" s="303">
        <v>46050</v>
      </c>
      <c r="Z132" s="304"/>
    </row>
    <row r="133" spans="1:26" ht="15.75">
      <c r="A133" s="6">
        <v>22431283</v>
      </c>
      <c r="B133" s="7">
        <v>46049</v>
      </c>
      <c r="C133" s="6" t="s">
        <v>514</v>
      </c>
      <c r="D133" s="6" t="str">
        <f>VLOOKUP(Tabela1316[[#This Row],[Motorista]],Planilha1!A:C,3,0)</f>
        <v>CARRETA</v>
      </c>
      <c r="E133" s="6">
        <f>IF(Tabela1316[[#This Row],[VEICULO]]="CARRETA",5,IF(Tabela1316[[#This Row],[VEICULO]]="TRUCK BAU",3,0))</f>
        <v>5</v>
      </c>
      <c r="F133" s="6"/>
      <c r="G133" s="6" t="s">
        <v>418</v>
      </c>
      <c r="H133" s="1"/>
      <c r="I133" s="9"/>
      <c r="J133" s="9"/>
      <c r="K133" s="11"/>
      <c r="L133" s="1"/>
      <c r="M133" s="205" t="s">
        <v>315</v>
      </c>
      <c r="N133" s="1" t="s">
        <v>315</v>
      </c>
      <c r="O133" s="9"/>
      <c r="P133" s="14">
        <f>Tabela1316[[#This Row],[Valor_recibo]]</f>
        <v>0</v>
      </c>
      <c r="Q133" s="16"/>
      <c r="R133" s="1" t="e">
        <f>VLOOKUP(#REF!,[2]Aprovados!A:A,1,0)</f>
        <v>#REF!</v>
      </c>
      <c r="S133" s="236"/>
      <c r="T133" s="235"/>
      <c r="U133" s="236" t="s">
        <v>315</v>
      </c>
      <c r="V133" s="294"/>
      <c r="W133" s="301" t="s">
        <v>18</v>
      </c>
      <c r="X133" s="302">
        <v>132</v>
      </c>
      <c r="Y133" s="303">
        <v>46050</v>
      </c>
      <c r="Z133" s="304"/>
    </row>
    <row r="134" spans="1:26" ht="15.75">
      <c r="A134" s="6">
        <v>22497851</v>
      </c>
      <c r="B134" s="7">
        <v>46049</v>
      </c>
      <c r="C134" s="6" t="s">
        <v>416</v>
      </c>
      <c r="D134" s="6" t="s">
        <v>570</v>
      </c>
      <c r="E134" s="6">
        <f>IF(Tabela1316[[#This Row],[VEICULO]]="CARRETA",5,IF(Tabela1316[[#This Row],[VEICULO]]="TRUCK BAU",3,0))</f>
        <v>3</v>
      </c>
      <c r="F134" s="6"/>
      <c r="G134" s="6" t="s">
        <v>466</v>
      </c>
      <c r="H134" s="1" t="s">
        <v>515</v>
      </c>
      <c r="I134" s="9">
        <v>46050</v>
      </c>
      <c r="J134" s="9">
        <v>46050</v>
      </c>
      <c r="K134" s="11">
        <v>221</v>
      </c>
      <c r="L134" s="1" t="s">
        <v>17</v>
      </c>
      <c r="M134" s="205" t="s">
        <v>315</v>
      </c>
      <c r="N134" s="1" t="s">
        <v>18</v>
      </c>
      <c r="O134" s="9">
        <v>46056</v>
      </c>
      <c r="P134" s="14">
        <f>Tabela1316[[#This Row],[Valor_recibo]]</f>
        <v>221</v>
      </c>
      <c r="Q134" s="16"/>
      <c r="R134" s="1" t="e">
        <f>VLOOKUP(#REF!,[2]Aprovados!A:A,1,0)</f>
        <v>#REF!</v>
      </c>
      <c r="S134" s="236"/>
      <c r="T134" s="235"/>
      <c r="U134" s="236" t="s">
        <v>315</v>
      </c>
      <c r="V134" s="294"/>
      <c r="W134" s="301" t="s">
        <v>18</v>
      </c>
      <c r="X134" s="302">
        <v>42.43</v>
      </c>
      <c r="Y134" s="303">
        <v>46050</v>
      </c>
      <c r="Z134" s="304"/>
    </row>
    <row r="135" spans="1:26" ht="15.75">
      <c r="A135" s="6">
        <v>22495075</v>
      </c>
      <c r="B135" s="7">
        <v>46049</v>
      </c>
      <c r="C135" s="6" t="s">
        <v>399</v>
      </c>
      <c r="D135" s="6" t="str">
        <f>VLOOKUP(Tabela1316[[#This Row],[Motorista]],Planilha1!A:C,3,0)</f>
        <v>TRUCK BAU</v>
      </c>
      <c r="E135" s="6">
        <f>IF(Tabela1316[[#This Row],[VEICULO]]="CARRETA",5,IF(Tabela1316[[#This Row],[VEICULO]]="TRUCK BAU",3,0))</f>
        <v>3</v>
      </c>
      <c r="F135" s="6"/>
      <c r="G135" s="6" t="s">
        <v>458</v>
      </c>
      <c r="H135" s="1"/>
      <c r="I135" s="9"/>
      <c r="J135" s="9"/>
      <c r="K135" s="11"/>
      <c r="L135" s="1"/>
      <c r="M135" s="205" t="s">
        <v>315</v>
      </c>
      <c r="N135" s="1" t="s">
        <v>315</v>
      </c>
      <c r="O135" s="9"/>
      <c r="P135" s="14">
        <f>Tabela1316[[#This Row],[Valor_recibo]]</f>
        <v>0</v>
      </c>
      <c r="Q135" s="16"/>
      <c r="R135" s="1" t="e">
        <f>VLOOKUP(#REF!,[2]Aprovados!A:A,1,0)</f>
        <v>#REF!</v>
      </c>
      <c r="S135" s="236"/>
      <c r="T135" s="235"/>
      <c r="U135" s="236" t="s">
        <v>315</v>
      </c>
      <c r="V135" s="294"/>
      <c r="W135" s="301" t="s">
        <v>18</v>
      </c>
      <c r="X135" s="302">
        <v>319.5</v>
      </c>
      <c r="Y135" s="303">
        <v>46050</v>
      </c>
      <c r="Z135" s="304"/>
    </row>
    <row r="136" spans="1:26" ht="15.75">
      <c r="A136" s="6">
        <v>22495076</v>
      </c>
      <c r="B136" s="7">
        <v>46049</v>
      </c>
      <c r="C136" s="6" t="s">
        <v>439</v>
      </c>
      <c r="D136" s="6" t="s">
        <v>570</v>
      </c>
      <c r="E136" s="6">
        <f>IF(Tabela1316[[#This Row],[VEICULO]]="CARRETA",5,IF(Tabela1316[[#This Row],[VEICULO]]="TRUCK BAU",3,0))</f>
        <v>3</v>
      </c>
      <c r="F136" s="6"/>
      <c r="G136" s="6" t="s">
        <v>503</v>
      </c>
      <c r="H136" s="1"/>
      <c r="I136" s="9"/>
      <c r="J136" s="9"/>
      <c r="K136" s="11"/>
      <c r="L136" s="1"/>
      <c r="M136" s="205" t="s">
        <v>315</v>
      </c>
      <c r="N136" s="1" t="s">
        <v>315</v>
      </c>
      <c r="O136" s="9"/>
      <c r="P136" s="14">
        <f>Tabela1316[[#This Row],[Valor_recibo]]</f>
        <v>0</v>
      </c>
      <c r="Q136" s="16"/>
      <c r="R136" s="1" t="e">
        <f>VLOOKUP(#REF!,[2]Aprovados!A:A,1,0)</f>
        <v>#REF!</v>
      </c>
      <c r="S136" s="236"/>
      <c r="T136" s="235"/>
      <c r="U136" s="236" t="s">
        <v>315</v>
      </c>
      <c r="V136" s="294"/>
      <c r="W136" s="301"/>
      <c r="X136" s="302">
        <v>0</v>
      </c>
      <c r="Y136" s="303"/>
      <c r="Z136" s="304"/>
    </row>
    <row r="137" spans="1:26" ht="15.75">
      <c r="A137" s="6">
        <v>22464419</v>
      </c>
      <c r="B137" s="7">
        <v>46050</v>
      </c>
      <c r="C137" s="6" t="s">
        <v>389</v>
      </c>
      <c r="D137" s="6" t="str">
        <f>VLOOKUP(Tabela1316[[#This Row],[Motorista]],Planilha1!A:C,3,0)</f>
        <v>TRUCK BAU</v>
      </c>
      <c r="E137" s="6">
        <f>IF(Tabela1316[[#This Row],[VEICULO]]="CARRETA",5,IF(Tabela1316[[#This Row],[VEICULO]]="TRUCK BAU",3,0))</f>
        <v>3</v>
      </c>
      <c r="F137" s="6"/>
      <c r="G137" s="6" t="s">
        <v>433</v>
      </c>
      <c r="H137" s="1" t="s">
        <v>516</v>
      </c>
      <c r="I137" s="9">
        <v>46051</v>
      </c>
      <c r="J137" s="9">
        <v>46051</v>
      </c>
      <c r="K137" s="11">
        <v>304</v>
      </c>
      <c r="L137" s="1" t="s">
        <v>17</v>
      </c>
      <c r="M137" s="205" t="s">
        <v>315</v>
      </c>
      <c r="N137" s="1" t="s">
        <v>18</v>
      </c>
      <c r="O137" s="9">
        <v>46055</v>
      </c>
      <c r="P137" s="14">
        <f>Tabela1316[[#This Row],[Valor_recibo]]</f>
        <v>304</v>
      </c>
      <c r="Q137" s="16"/>
      <c r="R137" s="1" t="e">
        <f>VLOOKUP(#REF!,[2]Aprovados!A:A,1,0)</f>
        <v>#REF!</v>
      </c>
      <c r="S137" s="236"/>
      <c r="T137" s="235"/>
      <c r="U137" s="236" t="s">
        <v>315</v>
      </c>
      <c r="V137" s="294"/>
      <c r="W137" s="301" t="s">
        <v>18</v>
      </c>
      <c r="X137" s="302">
        <v>44.1</v>
      </c>
      <c r="Y137" s="303">
        <v>46051</v>
      </c>
      <c r="Z137" s="304"/>
    </row>
    <row r="138" spans="1:26" ht="15.75">
      <c r="A138" s="6">
        <v>22472380</v>
      </c>
      <c r="B138" s="7">
        <v>46050</v>
      </c>
      <c r="C138" s="6" t="s">
        <v>449</v>
      </c>
      <c r="D138" s="6" t="s">
        <v>570</v>
      </c>
      <c r="E138" s="6">
        <f>IF(Tabela1316[[#This Row],[VEICULO]]="CARRETA",5,IF(Tabela1316[[#This Row],[VEICULO]]="TRUCK BAU",3,0))</f>
        <v>3</v>
      </c>
      <c r="F138" s="6"/>
      <c r="G138" s="6" t="s">
        <v>403</v>
      </c>
      <c r="H138" s="1"/>
      <c r="I138" s="9"/>
      <c r="J138" s="9"/>
      <c r="K138" s="11"/>
      <c r="L138" s="1"/>
      <c r="M138" s="205" t="s">
        <v>315</v>
      </c>
      <c r="N138" s="1" t="s">
        <v>315</v>
      </c>
      <c r="O138" s="9"/>
      <c r="P138" s="14">
        <f>Tabela1316[[#This Row],[Valor_recibo]]</f>
        <v>0</v>
      </c>
      <c r="Q138" s="16"/>
      <c r="R138" s="1" t="e">
        <f>VLOOKUP(#REF!,[2]Aprovados!A:A,1,0)</f>
        <v>#REF!</v>
      </c>
      <c r="S138" s="236"/>
      <c r="T138" s="235"/>
      <c r="U138" s="236" t="s">
        <v>315</v>
      </c>
      <c r="V138" s="294"/>
      <c r="W138" s="301" t="s">
        <v>18</v>
      </c>
      <c r="X138" s="302">
        <v>97.8</v>
      </c>
      <c r="Y138" s="303">
        <v>46051</v>
      </c>
      <c r="Z138" s="304"/>
    </row>
    <row r="139" spans="1:26" ht="15.75">
      <c r="A139" s="6">
        <v>22466067</v>
      </c>
      <c r="B139" s="7">
        <v>46050</v>
      </c>
      <c r="C139" s="6" t="s">
        <v>384</v>
      </c>
      <c r="D139" s="6" t="str">
        <f>VLOOKUP(Tabela1316[[#This Row],[Motorista]],Planilha1!A:C,3,0)</f>
        <v>CARRETA</v>
      </c>
      <c r="E139" s="6">
        <f>IF(Tabela1316[[#This Row],[VEICULO]]="CARRETA",5,IF(Tabela1316[[#This Row],[VEICULO]]="TRUCK BAU",3,0))</f>
        <v>5</v>
      </c>
      <c r="F139" s="6"/>
      <c r="G139" s="6" t="s">
        <v>383</v>
      </c>
      <c r="H139" s="1"/>
      <c r="I139" s="9"/>
      <c r="J139" s="9"/>
      <c r="K139" s="11"/>
      <c r="L139" s="1"/>
      <c r="M139" s="205" t="s">
        <v>315</v>
      </c>
      <c r="N139" s="1" t="s">
        <v>315</v>
      </c>
      <c r="O139" s="9"/>
      <c r="P139" s="14">
        <f>Tabela1316[[#This Row],[Valor_recibo]]</f>
        <v>0</v>
      </c>
      <c r="Q139" s="16"/>
      <c r="R139" s="1" t="e">
        <f>VLOOKUP(#REF!,[2]Aprovados!A:A,1,0)</f>
        <v>#REF!</v>
      </c>
      <c r="S139" s="236"/>
      <c r="T139" s="235"/>
      <c r="U139" s="236" t="s">
        <v>315</v>
      </c>
      <c r="V139" s="294"/>
      <c r="W139" s="301" t="s">
        <v>18</v>
      </c>
      <c r="X139" s="302">
        <v>289.5</v>
      </c>
      <c r="Y139" s="303">
        <v>46051</v>
      </c>
      <c r="Z139" s="304"/>
    </row>
    <row r="140" spans="1:26" ht="15.75">
      <c r="A140" s="6">
        <v>22502526</v>
      </c>
      <c r="B140" s="7">
        <v>46050</v>
      </c>
      <c r="C140" s="6" t="s">
        <v>399</v>
      </c>
      <c r="D140" s="6" t="str">
        <f>VLOOKUP(Tabela1316[[#This Row],[Motorista]],Planilha1!A:C,3,0)</f>
        <v>TRUCK BAU</v>
      </c>
      <c r="E140" s="6">
        <f>IF(Tabela1316[[#This Row],[VEICULO]]="CARRETA",5,IF(Tabela1316[[#This Row],[VEICULO]]="TRUCK BAU",3,0))</f>
        <v>3</v>
      </c>
      <c r="F140" s="6"/>
      <c r="G140" s="6" t="s">
        <v>494</v>
      </c>
      <c r="H140" s="1" t="s">
        <v>517</v>
      </c>
      <c r="I140" s="9">
        <v>46051</v>
      </c>
      <c r="J140" s="9">
        <v>46051</v>
      </c>
      <c r="K140" s="11">
        <v>280</v>
      </c>
      <c r="L140" s="1" t="s">
        <v>17</v>
      </c>
      <c r="M140" s="205" t="s">
        <v>315</v>
      </c>
      <c r="N140" s="1" t="s">
        <v>18</v>
      </c>
      <c r="O140" s="9">
        <v>46052</v>
      </c>
      <c r="P140" s="14">
        <f>Tabela1316[[#This Row],[Valor_recibo]]</f>
        <v>280</v>
      </c>
      <c r="Q140" s="16"/>
      <c r="R140" s="1" t="e">
        <f>VLOOKUP(#REF!,[2]Aprovados!A:A,1,0)</f>
        <v>#REF!</v>
      </c>
      <c r="S140" s="236"/>
      <c r="T140" s="235"/>
      <c r="U140" s="236" t="s">
        <v>315</v>
      </c>
      <c r="V140" s="294"/>
      <c r="W140" s="301" t="s">
        <v>18</v>
      </c>
      <c r="X140" s="302">
        <v>79.5</v>
      </c>
      <c r="Y140" s="303">
        <v>46051</v>
      </c>
      <c r="Z140" s="304"/>
    </row>
    <row r="141" spans="1:26" ht="15.75">
      <c r="A141" s="6">
        <v>22503848</v>
      </c>
      <c r="B141" s="7">
        <v>46050</v>
      </c>
      <c r="C141" s="6" t="s">
        <v>416</v>
      </c>
      <c r="D141" s="6" t="s">
        <v>570</v>
      </c>
      <c r="E141" s="6">
        <f>IF(Tabela1316[[#This Row],[VEICULO]]="CARRETA",5,IF(Tabela1316[[#This Row],[VEICULO]]="TRUCK BAU",3,0))</f>
        <v>3</v>
      </c>
      <c r="F141" s="6"/>
      <c r="G141" s="6" t="s">
        <v>507</v>
      </c>
      <c r="H141" s="1"/>
      <c r="I141" s="9"/>
      <c r="J141" s="9"/>
      <c r="K141" s="11"/>
      <c r="L141" s="1"/>
      <c r="M141" s="205" t="s">
        <v>315</v>
      </c>
      <c r="N141" s="1" t="s">
        <v>315</v>
      </c>
      <c r="O141" s="9"/>
      <c r="P141" s="14">
        <f>Tabela1316[[#This Row],[Valor_recibo]]</f>
        <v>0</v>
      </c>
      <c r="Q141" s="16"/>
      <c r="R141" s="1" t="e">
        <f>VLOOKUP(#REF!,[2]Aprovados!A:A,1,0)</f>
        <v>#REF!</v>
      </c>
      <c r="S141" s="236"/>
      <c r="T141" s="235"/>
      <c r="U141" s="236" t="s">
        <v>315</v>
      </c>
      <c r="V141" s="294"/>
      <c r="W141" s="301" t="s">
        <v>18</v>
      </c>
      <c r="X141" s="302">
        <v>68.7</v>
      </c>
      <c r="Y141" s="303">
        <v>46051</v>
      </c>
      <c r="Z141" s="304"/>
    </row>
    <row r="142" spans="1:26" ht="15.75">
      <c r="A142" s="6">
        <v>22503830</v>
      </c>
      <c r="B142" s="7">
        <v>46050</v>
      </c>
      <c r="C142" s="6" t="s">
        <v>426</v>
      </c>
      <c r="D142" s="6" t="s">
        <v>562</v>
      </c>
      <c r="E142" s="6">
        <f>IF(Tabela1316[[#This Row],[VEICULO]]="CARRETA",5,IF(Tabela1316[[#This Row],[VEICULO]]="TRUCK BAU",3,0))</f>
        <v>5</v>
      </c>
      <c r="F142" s="6"/>
      <c r="G142" s="6" t="s">
        <v>518</v>
      </c>
      <c r="H142" s="1"/>
      <c r="I142" s="9"/>
      <c r="J142" s="9"/>
      <c r="K142" s="11"/>
      <c r="L142" s="1"/>
      <c r="M142" s="205" t="s">
        <v>315</v>
      </c>
      <c r="N142" s="1" t="s">
        <v>315</v>
      </c>
      <c r="O142" s="9"/>
      <c r="P142" s="14">
        <f>Tabela1316[[#This Row],[Valor_recibo]]</f>
        <v>0</v>
      </c>
      <c r="Q142" s="16"/>
      <c r="R142" s="1" t="e">
        <f>VLOOKUP(#REF!,[2]Aprovados!A:A,1,0)</f>
        <v>#REF!</v>
      </c>
      <c r="S142" s="236"/>
      <c r="T142" s="235"/>
      <c r="U142" s="236" t="s">
        <v>315</v>
      </c>
      <c r="V142" s="294"/>
      <c r="W142" s="301" t="s">
        <v>18</v>
      </c>
      <c r="X142" s="302">
        <v>311</v>
      </c>
      <c r="Y142" s="303">
        <v>46051</v>
      </c>
      <c r="Z142" s="304"/>
    </row>
    <row r="143" spans="1:26" ht="15.75">
      <c r="A143" s="6">
        <v>22505310</v>
      </c>
      <c r="B143" s="7">
        <v>46051</v>
      </c>
      <c r="C143" s="6" t="s">
        <v>394</v>
      </c>
      <c r="D143" s="6" t="str">
        <f>VLOOKUP(Tabela1316[[#This Row],[Motorista]],Planilha1!A:C,3,0)</f>
        <v>CARRETA</v>
      </c>
      <c r="E143" s="6">
        <f>IF(Tabela1316[[#This Row],[VEICULO]]="CARRETA",5,IF(Tabela1316[[#This Row],[VEICULO]]="TRUCK BAU",3,0))</f>
        <v>5</v>
      </c>
      <c r="F143" s="6"/>
      <c r="G143" s="6" t="s">
        <v>383</v>
      </c>
      <c r="H143" s="1"/>
      <c r="I143" s="9"/>
      <c r="J143" s="9"/>
      <c r="K143" s="11"/>
      <c r="L143" s="1"/>
      <c r="M143" s="205" t="s">
        <v>315</v>
      </c>
      <c r="N143" s="1" t="s">
        <v>315</v>
      </c>
      <c r="O143" s="9"/>
      <c r="P143" s="14">
        <f>Tabela1316[[#This Row],[Valor_recibo]]</f>
        <v>0</v>
      </c>
      <c r="Q143" s="16"/>
      <c r="R143" s="1" t="e">
        <f>VLOOKUP(#REF!,[2]Aprovados!A:A,1,0)</f>
        <v>#REF!</v>
      </c>
      <c r="S143" s="236"/>
      <c r="T143" s="235"/>
      <c r="U143" s="236" t="s">
        <v>315</v>
      </c>
      <c r="V143" s="294"/>
      <c r="W143" s="301" t="s">
        <v>18</v>
      </c>
      <c r="X143" s="302">
        <v>289.5</v>
      </c>
      <c r="Y143" s="303">
        <v>46055</v>
      </c>
      <c r="Z143" s="304"/>
    </row>
    <row r="144" spans="1:26" ht="15.75">
      <c r="A144" s="6">
        <v>22318445</v>
      </c>
      <c r="B144" s="7">
        <v>46051</v>
      </c>
      <c r="C144" s="6" t="s">
        <v>384</v>
      </c>
      <c r="D144" s="6" t="str">
        <f>VLOOKUP(Tabela1316[[#This Row],[Motorista]],Planilha1!A:C,3,0)</f>
        <v>CARRETA</v>
      </c>
      <c r="E144" s="6">
        <f>IF(Tabela1316[[#This Row],[VEICULO]]="CARRETA",5,IF(Tabela1316[[#This Row],[VEICULO]]="TRUCK BAU",3,0))</f>
        <v>5</v>
      </c>
      <c r="F144" s="6"/>
      <c r="G144" s="6" t="s">
        <v>383</v>
      </c>
      <c r="H144" s="1"/>
      <c r="I144" s="9"/>
      <c r="J144" s="9"/>
      <c r="K144" s="11"/>
      <c r="L144" s="1"/>
      <c r="M144" s="205" t="s">
        <v>315</v>
      </c>
      <c r="N144" s="1" t="s">
        <v>315</v>
      </c>
      <c r="O144" s="9"/>
      <c r="P144" s="14">
        <f>Tabela1316[[#This Row],[Valor_recibo]]</f>
        <v>0</v>
      </c>
      <c r="Q144" s="16"/>
      <c r="R144" s="1" t="e">
        <f>VLOOKUP(#REF!,[2]Aprovados!A:A,1,0)</f>
        <v>#REF!</v>
      </c>
      <c r="S144" s="236"/>
      <c r="T144" s="235"/>
      <c r="U144" s="236" t="s">
        <v>315</v>
      </c>
      <c r="V144" s="294"/>
      <c r="W144" s="301" t="s">
        <v>18</v>
      </c>
      <c r="X144" s="302">
        <v>289.5</v>
      </c>
      <c r="Y144" s="303">
        <v>46055</v>
      </c>
      <c r="Z144" s="304"/>
    </row>
    <row r="145" spans="1:26" ht="15.75">
      <c r="A145" s="6">
        <v>22505315</v>
      </c>
      <c r="B145" s="7">
        <v>46051</v>
      </c>
      <c r="C145" s="6" t="s">
        <v>490</v>
      </c>
      <c r="D145" s="6" t="str">
        <f>VLOOKUP(Tabela1316[[#This Row],[Motorista]],Planilha1!A:C,3,0)</f>
        <v>CARRETA</v>
      </c>
      <c r="E145" s="6">
        <f>IF(Tabela1316[[#This Row],[VEICULO]]="CARRETA",5,IF(Tabela1316[[#This Row],[VEICULO]]="TRUCK BAU",3,0))</f>
        <v>5</v>
      </c>
      <c r="F145" s="6"/>
      <c r="G145" s="6" t="s">
        <v>383</v>
      </c>
      <c r="H145" s="1"/>
      <c r="I145" s="9"/>
      <c r="J145" s="9"/>
      <c r="K145" s="11"/>
      <c r="L145" s="1"/>
      <c r="M145" s="205" t="s">
        <v>315</v>
      </c>
      <c r="N145" s="1" t="s">
        <v>315</v>
      </c>
      <c r="O145" s="9"/>
      <c r="P145" s="14">
        <f>Tabela1316[[#This Row],[Valor_recibo]]</f>
        <v>0</v>
      </c>
      <c r="Q145" s="16"/>
      <c r="R145" s="1" t="e">
        <f>VLOOKUP(#REF!,[2]Aprovados!A:A,1,0)</f>
        <v>#REF!</v>
      </c>
      <c r="S145" s="236"/>
      <c r="T145" s="235"/>
      <c r="U145" s="236" t="s">
        <v>315</v>
      </c>
      <c r="V145" s="294"/>
      <c r="W145" s="301" t="s">
        <v>18</v>
      </c>
      <c r="X145" s="302">
        <v>289.5</v>
      </c>
      <c r="Y145" s="303">
        <v>46055</v>
      </c>
      <c r="Z145" s="304"/>
    </row>
    <row r="146" spans="1:26" ht="15.75">
      <c r="A146" s="6">
        <v>22505318</v>
      </c>
      <c r="B146" s="7">
        <v>46051</v>
      </c>
      <c r="C146" s="6" t="s">
        <v>449</v>
      </c>
      <c r="D146" s="6" t="s">
        <v>570</v>
      </c>
      <c r="E146" s="6">
        <f>IF(Tabela1316[[#This Row],[VEICULO]]="CARRETA",5,IF(Tabela1316[[#This Row],[VEICULO]]="TRUCK BAU",3,0))</f>
        <v>3</v>
      </c>
      <c r="F146" s="6"/>
      <c r="G146" s="6" t="s">
        <v>383</v>
      </c>
      <c r="H146" s="1"/>
      <c r="I146" s="9"/>
      <c r="J146" s="9"/>
      <c r="K146" s="11"/>
      <c r="L146" s="1"/>
      <c r="M146" s="205" t="s">
        <v>315</v>
      </c>
      <c r="N146" s="1" t="s">
        <v>315</v>
      </c>
      <c r="O146" s="9"/>
      <c r="P146" s="14">
        <f>Tabela1316[[#This Row],[Valor_recibo]]</f>
        <v>0</v>
      </c>
      <c r="Q146" s="16"/>
      <c r="R146" s="1" t="e">
        <f>VLOOKUP(#REF!,[2]Aprovados!A:A,1,0)</f>
        <v>#REF!</v>
      </c>
      <c r="S146" s="236"/>
      <c r="T146" s="235"/>
      <c r="U146" s="236" t="s">
        <v>315</v>
      </c>
      <c r="V146" s="294"/>
      <c r="W146" s="301" t="s">
        <v>18</v>
      </c>
      <c r="X146" s="302">
        <v>173.7</v>
      </c>
      <c r="Y146" s="303">
        <v>46055</v>
      </c>
      <c r="Z146" s="304"/>
    </row>
    <row r="147" spans="1:26" ht="15.75">
      <c r="A147" s="6">
        <v>22464421</v>
      </c>
      <c r="B147" s="7">
        <v>46051</v>
      </c>
      <c r="C147" s="6" t="s">
        <v>439</v>
      </c>
      <c r="D147" s="6" t="s">
        <v>570</v>
      </c>
      <c r="E147" s="6">
        <f>IF(Tabela1316[[#This Row],[VEICULO]]="CARRETA",5,IF(Tabela1316[[#This Row],[VEICULO]]="TRUCK BAU",3,0))</f>
        <v>3</v>
      </c>
      <c r="F147" s="6"/>
      <c r="G147" s="6" t="s">
        <v>476</v>
      </c>
      <c r="H147" s="1" t="s">
        <v>519</v>
      </c>
      <c r="I147" s="9">
        <v>46052</v>
      </c>
      <c r="J147" s="9">
        <v>46052</v>
      </c>
      <c r="K147" s="11">
        <v>266</v>
      </c>
      <c r="L147" s="1" t="s">
        <v>17</v>
      </c>
      <c r="M147" s="205" t="s">
        <v>315</v>
      </c>
      <c r="N147" s="1" t="s">
        <v>18</v>
      </c>
      <c r="O147" s="9">
        <v>46056</v>
      </c>
      <c r="P147" s="14">
        <f>Tabela1316[[#This Row],[Valor_recibo]]</f>
        <v>266</v>
      </c>
      <c r="Q147" s="16"/>
      <c r="R147" s="1" t="e">
        <f>VLOOKUP(#REF!,[2]Aprovados!A:A,1,0)</f>
        <v>#REF!</v>
      </c>
      <c r="S147" s="236"/>
      <c r="T147" s="235"/>
      <c r="U147" s="236" t="s">
        <v>315</v>
      </c>
      <c r="V147" s="294"/>
      <c r="W147" s="301" t="s">
        <v>18</v>
      </c>
      <c r="X147" s="302">
        <v>189.3</v>
      </c>
      <c r="Y147" s="303">
        <v>46055</v>
      </c>
      <c r="Z147" s="304"/>
    </row>
    <row r="148" spans="1:26" ht="15.75">
      <c r="A148" s="6">
        <v>22505307</v>
      </c>
      <c r="B148" s="7">
        <v>46051</v>
      </c>
      <c r="C148" s="6" t="s">
        <v>326</v>
      </c>
      <c r="D148" s="6" t="str">
        <f>VLOOKUP(Tabela1316[[#This Row],[Motorista]],Planilha1!A:C,3,0)</f>
        <v>CARRETA</v>
      </c>
      <c r="E148" s="6">
        <f>IF(Tabela1316[[#This Row],[VEICULO]]="CARRETA",5,IF(Tabela1316[[#This Row],[VEICULO]]="TRUCK BAU",3,0))</f>
        <v>5</v>
      </c>
      <c r="F148" s="6"/>
      <c r="G148" s="6" t="s">
        <v>383</v>
      </c>
      <c r="H148" s="1"/>
      <c r="I148" s="9"/>
      <c r="J148" s="9"/>
      <c r="K148" s="11"/>
      <c r="L148" s="1"/>
      <c r="M148" s="205" t="s">
        <v>315</v>
      </c>
      <c r="N148" s="1" t="s">
        <v>315</v>
      </c>
      <c r="O148" s="9"/>
      <c r="P148" s="14">
        <f>Tabela1316[[#This Row],[Valor_recibo]]</f>
        <v>0</v>
      </c>
      <c r="Q148" s="16"/>
      <c r="R148" s="1" t="e">
        <f>VLOOKUP(#REF!,[2]Aprovados!A:A,1,0)</f>
        <v>#REF!</v>
      </c>
      <c r="S148" s="236"/>
      <c r="T148" s="235"/>
      <c r="U148" s="236" t="s">
        <v>315</v>
      </c>
      <c r="V148" s="294"/>
      <c r="W148" s="301" t="s">
        <v>18</v>
      </c>
      <c r="X148" s="302">
        <v>289.5</v>
      </c>
      <c r="Y148" s="303">
        <v>46055</v>
      </c>
      <c r="Z148" s="304"/>
    </row>
    <row r="149" spans="1:26" ht="15.75">
      <c r="A149" s="6">
        <v>22499114</v>
      </c>
      <c r="B149" s="7">
        <v>46051</v>
      </c>
      <c r="C149" s="6" t="s">
        <v>399</v>
      </c>
      <c r="D149" s="6" t="str">
        <f>VLOOKUP(Tabela1316[[#This Row],[Motorista]],Planilha1!A:C,3,0)</f>
        <v>TRUCK BAU</v>
      </c>
      <c r="E149" s="6">
        <f>IF(Tabela1316[[#This Row],[VEICULO]]="CARRETA",5,IF(Tabela1316[[#This Row],[VEICULO]]="TRUCK BAU",3,0))</f>
        <v>3</v>
      </c>
      <c r="F149" s="6"/>
      <c r="G149" s="6" t="s">
        <v>520</v>
      </c>
      <c r="H149" s="1"/>
      <c r="I149" s="9"/>
      <c r="J149" s="9"/>
      <c r="K149" s="11"/>
      <c r="L149" s="1"/>
      <c r="M149" s="205" t="s">
        <v>315</v>
      </c>
      <c r="N149" s="1" t="s">
        <v>315</v>
      </c>
      <c r="O149" s="9"/>
      <c r="P149" s="14">
        <f>Tabela1316[[#This Row],[Valor_recibo]]</f>
        <v>0</v>
      </c>
      <c r="Q149" s="16"/>
      <c r="R149" s="1" t="e">
        <f>VLOOKUP(#REF!,[2]Aprovados!A:A,1,0)</f>
        <v>#REF!</v>
      </c>
      <c r="S149" s="236"/>
      <c r="T149" s="235"/>
      <c r="U149" s="236" t="s">
        <v>315</v>
      </c>
      <c r="V149" s="294"/>
      <c r="W149" s="301" t="s">
        <v>18</v>
      </c>
      <c r="X149" s="302">
        <v>187.5</v>
      </c>
      <c r="Y149" s="303">
        <v>46055</v>
      </c>
      <c r="Z149" s="304"/>
    </row>
    <row r="150" spans="1:26" ht="15.75">
      <c r="A150" s="6">
        <v>22502677</v>
      </c>
      <c r="B150" s="7">
        <v>46051</v>
      </c>
      <c r="C150" s="6" t="s">
        <v>442</v>
      </c>
      <c r="D150" s="6" t="s">
        <v>570</v>
      </c>
      <c r="E150" s="6">
        <f>IF(Tabela1316[[#This Row],[VEICULO]]="CARRETA",5,IF(Tabela1316[[#This Row],[VEICULO]]="TRUCK BAU",3,0))</f>
        <v>3</v>
      </c>
      <c r="F150" s="6"/>
      <c r="G150" s="6" t="s">
        <v>472</v>
      </c>
      <c r="H150" s="1"/>
      <c r="I150" s="9"/>
      <c r="J150" s="9"/>
      <c r="K150" s="11"/>
      <c r="L150" s="1"/>
      <c r="M150" s="205" t="s">
        <v>315</v>
      </c>
      <c r="N150" s="1" t="s">
        <v>315</v>
      </c>
      <c r="O150" s="9"/>
      <c r="P150" s="14">
        <f>Tabela1316[[#This Row],[Valor_recibo]]</f>
        <v>0</v>
      </c>
      <c r="Q150" s="16"/>
      <c r="R150" s="1" t="e">
        <f>VLOOKUP(#REF!,[2]Aprovados!A:A,1,0)</f>
        <v>#REF!</v>
      </c>
      <c r="S150" s="236"/>
      <c r="T150" s="235"/>
      <c r="U150" s="236" t="s">
        <v>315</v>
      </c>
      <c r="V150" s="294"/>
      <c r="W150" s="301" t="s">
        <v>18</v>
      </c>
      <c r="X150" s="302">
        <v>60</v>
      </c>
      <c r="Y150" s="303">
        <v>46055</v>
      </c>
      <c r="Z150" s="304"/>
    </row>
    <row r="151" spans="1:26" ht="15.75">
      <c r="A151" s="6">
        <v>22466732</v>
      </c>
      <c r="B151" s="7">
        <v>46052</v>
      </c>
      <c r="C151" s="6" t="s">
        <v>449</v>
      </c>
      <c r="D151" s="6" t="s">
        <v>570</v>
      </c>
      <c r="E151" s="6">
        <f>IF(Tabela1316[[#This Row],[VEICULO]]="CARRETA",5,IF(Tabela1316[[#This Row],[VEICULO]]="TRUCK BAU",3,0))</f>
        <v>3</v>
      </c>
      <c r="F151" s="6"/>
      <c r="G151" s="6" t="s">
        <v>415</v>
      </c>
      <c r="H151" s="1"/>
      <c r="I151" s="9"/>
      <c r="J151" s="9"/>
      <c r="K151" s="11"/>
      <c r="L151" s="1"/>
      <c r="M151" s="205" t="s">
        <v>315</v>
      </c>
      <c r="N151" s="1" t="s">
        <v>315</v>
      </c>
      <c r="O151" s="9"/>
      <c r="P151" s="14">
        <f>Tabela1316[[#This Row],[Valor_recibo]]</f>
        <v>0</v>
      </c>
      <c r="Q151" s="16"/>
      <c r="R151" s="1" t="e">
        <f>VLOOKUP(#REF!,[2]Aprovados!A:A,1,0)</f>
        <v>#REF!</v>
      </c>
      <c r="S151" s="236"/>
      <c r="T151" s="235"/>
      <c r="U151" s="236" t="s">
        <v>315</v>
      </c>
      <c r="V151" s="294"/>
      <c r="W151" s="301" t="s">
        <v>18</v>
      </c>
      <c r="X151" s="302">
        <v>89.7</v>
      </c>
      <c r="Y151" s="303">
        <v>46055</v>
      </c>
      <c r="Z151" s="304"/>
    </row>
    <row r="152" spans="1:26" ht="15.75">
      <c r="A152" s="6">
        <v>22466853</v>
      </c>
      <c r="B152" s="7">
        <v>46052</v>
      </c>
      <c r="C152" s="6" t="s">
        <v>514</v>
      </c>
      <c r="D152" s="6" t="str">
        <f>VLOOKUP(Tabela1316[[#This Row],[Motorista]],Planilha1!A:C,3,0)</f>
        <v>CARRETA</v>
      </c>
      <c r="E152" s="6">
        <f>IF(Tabela1316[[#This Row],[VEICULO]]="CARRETA",5,IF(Tabela1316[[#This Row],[VEICULO]]="TRUCK BAU",3,0))</f>
        <v>5</v>
      </c>
      <c r="F152" s="6"/>
      <c r="G152" s="6" t="s">
        <v>521</v>
      </c>
      <c r="H152" s="1"/>
      <c r="I152" s="9"/>
      <c r="J152" s="9"/>
      <c r="K152" s="11"/>
      <c r="L152" s="1"/>
      <c r="M152" s="205" t="s">
        <v>315</v>
      </c>
      <c r="N152" s="1" t="s">
        <v>315</v>
      </c>
      <c r="O152" s="9"/>
      <c r="P152" s="14">
        <f>Tabela1316[[#This Row],[Valor_recibo]]</f>
        <v>0</v>
      </c>
      <c r="Q152" s="16"/>
      <c r="R152" s="1" t="e">
        <f>VLOOKUP(#REF!,[2]Aprovados!A:A,1,0)</f>
        <v>#REF!</v>
      </c>
      <c r="S152" s="236"/>
      <c r="T152" s="235"/>
      <c r="U152" s="236" t="s">
        <v>315</v>
      </c>
      <c r="V152" s="294"/>
      <c r="W152" s="301" t="s">
        <v>18</v>
      </c>
      <c r="X152" s="302">
        <v>365.5</v>
      </c>
      <c r="Y152" s="303">
        <v>46055</v>
      </c>
      <c r="Z152" s="304"/>
    </row>
    <row r="153" spans="1:26" ht="15.75">
      <c r="A153" s="6">
        <v>22466855</v>
      </c>
      <c r="B153" s="7">
        <v>46052</v>
      </c>
      <c r="C153" s="6" t="s">
        <v>388</v>
      </c>
      <c r="D153" s="6" t="str">
        <f>VLOOKUP(Tabela1316[[#This Row],[Motorista]],Planilha1!A:C,3,0)</f>
        <v>CARRETA</v>
      </c>
      <c r="E153" s="6">
        <f>IF(Tabela1316[[#This Row],[VEICULO]]="CARRETA",5,IF(Tabela1316[[#This Row],[VEICULO]]="TRUCK BAU",3,0))</f>
        <v>5</v>
      </c>
      <c r="F153" s="6"/>
      <c r="G153" s="6" t="s">
        <v>520</v>
      </c>
      <c r="H153" s="1"/>
      <c r="I153" s="9"/>
      <c r="J153" s="9"/>
      <c r="K153" s="11"/>
      <c r="L153" s="1"/>
      <c r="M153" s="205" t="s">
        <v>315</v>
      </c>
      <c r="N153" s="1" t="s">
        <v>315</v>
      </c>
      <c r="O153" s="9"/>
      <c r="P153" s="14">
        <f>Tabela1316[[#This Row],[Valor_recibo]]</f>
        <v>0</v>
      </c>
      <c r="Q153" s="16"/>
      <c r="R153" s="1" t="e">
        <f>VLOOKUP(#REF!,[2]Aprovados!A:A,1,0)</f>
        <v>#REF!</v>
      </c>
      <c r="S153" s="236"/>
      <c r="T153" s="235"/>
      <c r="U153" s="236" t="s">
        <v>315</v>
      </c>
      <c r="V153" s="294"/>
      <c r="W153" s="301" t="s">
        <v>18</v>
      </c>
      <c r="X153" s="302">
        <v>187.5</v>
      </c>
      <c r="Y153" s="303">
        <v>46055</v>
      </c>
      <c r="Z153" s="304"/>
    </row>
    <row r="154" spans="1:26" ht="15.75">
      <c r="A154" s="6">
        <v>22336545</v>
      </c>
      <c r="B154" s="7">
        <v>46052</v>
      </c>
      <c r="C154" s="6" t="s">
        <v>426</v>
      </c>
      <c r="D154" s="6" t="s">
        <v>562</v>
      </c>
      <c r="E154" s="6">
        <f>IF(Tabela1316[[#This Row],[VEICULO]]="CARRETA",5,IF(Tabela1316[[#This Row],[VEICULO]]="TRUCK BAU",3,0))</f>
        <v>5</v>
      </c>
      <c r="F154" s="6"/>
      <c r="G154" s="6" t="s">
        <v>418</v>
      </c>
      <c r="H154" s="1"/>
      <c r="I154" s="9"/>
      <c r="J154" s="9"/>
      <c r="K154" s="11"/>
      <c r="L154" s="1"/>
      <c r="M154" s="205" t="s">
        <v>315</v>
      </c>
      <c r="N154" s="1" t="s">
        <v>315</v>
      </c>
      <c r="O154" s="9"/>
      <c r="P154" s="14">
        <f>Tabela1316[[#This Row],[Valor_recibo]]</f>
        <v>0</v>
      </c>
      <c r="Q154" s="16"/>
      <c r="R154" s="1" t="e">
        <f>VLOOKUP(#REF!,[2]Aprovados!A:A,1,0)</f>
        <v>#REF!</v>
      </c>
      <c r="S154" s="236"/>
      <c r="T154" s="235"/>
      <c r="U154" s="236" t="s">
        <v>315</v>
      </c>
      <c r="V154" s="294"/>
      <c r="W154" s="301" t="s">
        <v>18</v>
      </c>
      <c r="X154" s="302">
        <v>132</v>
      </c>
      <c r="Y154" s="303">
        <v>46055</v>
      </c>
      <c r="Z154" s="304"/>
    </row>
    <row r="155" spans="1:26" ht="15.75">
      <c r="A155" s="6">
        <v>22466728</v>
      </c>
      <c r="B155" s="7">
        <v>46052</v>
      </c>
      <c r="C155" s="6" t="s">
        <v>384</v>
      </c>
      <c r="D155" s="6" t="str">
        <f>VLOOKUP(Tabela1316[[#This Row],[Motorista]],Planilha1!A:C,3,0)</f>
        <v>CARRETA</v>
      </c>
      <c r="E155" s="6">
        <f>IF(Tabela1316[[#This Row],[VEICULO]]="CARRETA",5,IF(Tabela1316[[#This Row],[VEICULO]]="TRUCK BAU",3,0))</f>
        <v>5</v>
      </c>
      <c r="F155" s="6"/>
      <c r="G155" s="6" t="s">
        <v>522</v>
      </c>
      <c r="H155" s="1" t="s">
        <v>523</v>
      </c>
      <c r="I155" s="9">
        <v>46055</v>
      </c>
      <c r="J155" s="9">
        <v>46055</v>
      </c>
      <c r="K155" s="11">
        <v>500</v>
      </c>
      <c r="L155" s="1" t="s">
        <v>17</v>
      </c>
      <c r="M155" s="205" t="s">
        <v>315</v>
      </c>
      <c r="N155" s="1" t="s">
        <v>18</v>
      </c>
      <c r="O155" s="9">
        <v>46056</v>
      </c>
      <c r="P155" s="14">
        <f>Tabela1316[[#This Row],[Valor_recibo]]</f>
        <v>500</v>
      </c>
      <c r="Q155" s="16"/>
      <c r="R155" s="1" t="e">
        <f>VLOOKUP(#REF!,[2]Aprovados!A:A,1,0)</f>
        <v>#REF!</v>
      </c>
      <c r="S155" s="236"/>
      <c r="T155" s="235"/>
      <c r="U155" s="236" t="s">
        <v>315</v>
      </c>
      <c r="V155" s="294"/>
      <c r="W155" s="301" t="s">
        <v>18</v>
      </c>
      <c r="X155" s="302">
        <v>140.26</v>
      </c>
      <c r="Y155" s="303">
        <v>46055</v>
      </c>
      <c r="Z155" s="304"/>
    </row>
    <row r="156" spans="1:26" ht="15.75">
      <c r="A156" s="6">
        <v>22526076</v>
      </c>
      <c r="B156" s="7">
        <v>46052</v>
      </c>
      <c r="C156" s="6" t="s">
        <v>385</v>
      </c>
      <c r="D156" s="6" t="str">
        <f>VLOOKUP(Tabela1316[[#This Row],[Motorista]],Planilha1!A:C,3,0)</f>
        <v>CARRETA</v>
      </c>
      <c r="E156" s="6">
        <f>IF(Tabela1316[[#This Row],[VEICULO]]="CARRETA",5,IF(Tabela1316[[#This Row],[VEICULO]]="TRUCK BAU",3,0))</f>
        <v>5</v>
      </c>
      <c r="F156" s="6"/>
      <c r="G156" s="6" t="s">
        <v>421</v>
      </c>
      <c r="H156" s="1"/>
      <c r="I156" s="9"/>
      <c r="J156" s="9"/>
      <c r="K156" s="11"/>
      <c r="L156" s="1"/>
      <c r="M156" s="205" t="s">
        <v>315</v>
      </c>
      <c r="N156" s="1" t="s">
        <v>315</v>
      </c>
      <c r="O156" s="9"/>
      <c r="P156" s="14">
        <f>Tabela1316[[#This Row],[Valor_recibo]]</f>
        <v>0</v>
      </c>
      <c r="Q156" s="16"/>
      <c r="R156" s="1" t="e">
        <f>VLOOKUP(#REF!,[2]Aprovados!A:A,1,0)</f>
        <v>#REF!</v>
      </c>
      <c r="S156" s="236"/>
      <c r="T156" s="235"/>
      <c r="U156" s="236" t="s">
        <v>315</v>
      </c>
      <c r="V156" s="294"/>
      <c r="W156" s="301" t="s">
        <v>18</v>
      </c>
      <c r="X156" s="302">
        <v>955.8</v>
      </c>
      <c r="Y156" s="303">
        <v>46055</v>
      </c>
      <c r="Z156" s="304"/>
    </row>
    <row r="157" spans="1:26" ht="15.75">
      <c r="A157" s="6">
        <v>22466702</v>
      </c>
      <c r="B157" s="7">
        <v>46052</v>
      </c>
      <c r="C157" s="6" t="s">
        <v>439</v>
      </c>
      <c r="D157" s="6" t="s">
        <v>570</v>
      </c>
      <c r="E157" s="6">
        <f>IF(Tabela1316[[#This Row],[VEICULO]]="CARRETA",5,IF(Tabela1316[[#This Row],[VEICULO]]="TRUCK BAU",3,0))</f>
        <v>3</v>
      </c>
      <c r="F157" s="6"/>
      <c r="G157" s="6" t="s">
        <v>485</v>
      </c>
      <c r="H157" s="1"/>
      <c r="I157" s="9"/>
      <c r="J157" s="9"/>
      <c r="K157" s="11"/>
      <c r="L157" s="1"/>
      <c r="M157" s="205" t="s">
        <v>315</v>
      </c>
      <c r="N157" s="1" t="s">
        <v>315</v>
      </c>
      <c r="O157" s="9"/>
      <c r="P157" s="14">
        <f>Tabela1316[[#This Row],[Valor_recibo]]</f>
        <v>0</v>
      </c>
      <c r="Q157" s="16"/>
      <c r="R157" s="1" t="e">
        <f>VLOOKUP(#REF!,[2]Aprovados!A:A,1,0)</f>
        <v>#REF!</v>
      </c>
      <c r="S157" s="236"/>
      <c r="T157" s="235"/>
      <c r="U157" s="236" t="s">
        <v>315</v>
      </c>
      <c r="V157" s="294"/>
      <c r="W157" s="301" t="s">
        <v>18</v>
      </c>
      <c r="X157" s="302">
        <v>89.7</v>
      </c>
      <c r="Y157" s="303">
        <v>46055</v>
      </c>
      <c r="Z157" s="304"/>
    </row>
    <row r="158" spans="1:26" ht="15.75">
      <c r="A158" s="6">
        <v>22503847</v>
      </c>
      <c r="B158" s="7">
        <v>46052</v>
      </c>
      <c r="C158" s="6" t="s">
        <v>399</v>
      </c>
      <c r="D158" s="6" t="str">
        <f>VLOOKUP(Tabela1316[[#This Row],[Motorista]],Planilha1!A:C,3,0)</f>
        <v>TRUCK BAU</v>
      </c>
      <c r="E158" s="6">
        <f>IF(Tabela1316[[#This Row],[VEICULO]]="CARRETA",5,IF(Tabela1316[[#This Row],[VEICULO]]="TRUCK BAU",3,0))</f>
        <v>3</v>
      </c>
      <c r="F158" s="6"/>
      <c r="G158" s="6" t="s">
        <v>524</v>
      </c>
      <c r="H158" s="1"/>
      <c r="I158" s="9"/>
      <c r="J158" s="9"/>
      <c r="K158" s="11"/>
      <c r="L158" s="1"/>
      <c r="M158" s="205" t="s">
        <v>315</v>
      </c>
      <c r="N158" s="1" t="s">
        <v>315</v>
      </c>
      <c r="O158" s="9"/>
      <c r="P158" s="14">
        <f>Tabela1316[[#This Row],[Valor_recibo]]</f>
        <v>0</v>
      </c>
      <c r="Q158" s="16"/>
      <c r="R158" s="1" t="e">
        <f>VLOOKUP(#REF!,[2]Aprovados!A:A,1,0)</f>
        <v>#REF!</v>
      </c>
      <c r="S158" s="236"/>
      <c r="T158" s="235"/>
      <c r="U158" s="236" t="s">
        <v>315</v>
      </c>
      <c r="V158" s="294"/>
      <c r="W158" s="301" t="s">
        <v>18</v>
      </c>
      <c r="X158" s="302">
        <v>426</v>
      </c>
      <c r="Y158" s="303">
        <v>46055</v>
      </c>
      <c r="Z158" s="304"/>
    </row>
    <row r="159" spans="1:26" ht="15.75">
      <c r="A159" s="6">
        <v>22495487</v>
      </c>
      <c r="B159" s="7">
        <v>46052</v>
      </c>
      <c r="C159" s="6" t="s">
        <v>490</v>
      </c>
      <c r="D159" s="6" t="str">
        <f>VLOOKUP(Tabela1316[[#This Row],[Motorista]],Planilha1!A:C,3,0)</f>
        <v>CARRETA</v>
      </c>
      <c r="E159" s="6">
        <f>IF(Tabela1316[[#This Row],[VEICULO]]="CARRETA",5,IF(Tabela1316[[#This Row],[VEICULO]]="TRUCK BAU",3,0))</f>
        <v>5</v>
      </c>
      <c r="F159" s="6"/>
      <c r="G159" s="6" t="s">
        <v>390</v>
      </c>
      <c r="H159" s="1"/>
      <c r="I159" s="9"/>
      <c r="J159" s="9"/>
      <c r="K159" s="11"/>
      <c r="L159" s="1"/>
      <c r="M159" s="205" t="s">
        <v>315</v>
      </c>
      <c r="N159" s="1" t="s">
        <v>315</v>
      </c>
      <c r="O159" s="9"/>
      <c r="P159" s="14">
        <f>Tabela1316[[#This Row],[Valor_recibo]]</f>
        <v>0</v>
      </c>
      <c r="Q159" s="16"/>
      <c r="R159" s="1" t="e">
        <f>VLOOKUP(#REF!,[2]Aprovados!A:A,1,0)</f>
        <v>#REF!</v>
      </c>
      <c r="S159" s="236"/>
      <c r="T159" s="235"/>
      <c r="U159" s="236" t="s">
        <v>315</v>
      </c>
      <c r="V159" s="294"/>
      <c r="W159" s="301" t="s">
        <v>18</v>
      </c>
      <c r="X159" s="302">
        <v>79</v>
      </c>
      <c r="Y159" s="303">
        <v>46055</v>
      </c>
      <c r="Z159" s="304"/>
    </row>
    <row r="160" spans="1:26" ht="15.75">
      <c r="A160" s="6">
        <v>22504665</v>
      </c>
      <c r="B160" s="7">
        <v>46052</v>
      </c>
      <c r="C160" s="6" t="s">
        <v>442</v>
      </c>
      <c r="D160" s="6" t="s">
        <v>570</v>
      </c>
      <c r="E160" s="6">
        <f>IF(Tabela1316[[#This Row],[VEICULO]]="CARRETA",5,IF(Tabela1316[[#This Row],[VEICULO]]="TRUCK BAU",3,0))</f>
        <v>3</v>
      </c>
      <c r="F160" s="6"/>
      <c r="G160" s="6" t="s">
        <v>500</v>
      </c>
      <c r="H160" s="1"/>
      <c r="I160" s="9"/>
      <c r="J160" s="9"/>
      <c r="K160" s="11"/>
      <c r="L160" s="1"/>
      <c r="M160" s="205" t="s">
        <v>315</v>
      </c>
      <c r="N160" s="1" t="s">
        <v>315</v>
      </c>
      <c r="O160" s="9"/>
      <c r="P160" s="14">
        <f>Tabela1316[[#This Row],[Valor_recibo]]</f>
        <v>0</v>
      </c>
      <c r="Q160" s="16"/>
      <c r="R160" s="1" t="e">
        <f>VLOOKUP(#REF!,[2]Aprovados!A:A,1,0)</f>
        <v>#REF!</v>
      </c>
      <c r="S160" s="236"/>
      <c r="T160" s="235"/>
      <c r="U160" s="236" t="s">
        <v>315</v>
      </c>
      <c r="V160" s="294"/>
      <c r="W160" s="301" t="s">
        <v>18</v>
      </c>
      <c r="X160" s="302">
        <v>161.1</v>
      </c>
      <c r="Y160" s="303">
        <v>46055</v>
      </c>
      <c r="Z160" s="304"/>
    </row>
    <row r="161" spans="1:26" ht="15.75">
      <c r="A161" s="6">
        <v>22466850</v>
      </c>
      <c r="B161" s="7">
        <v>46052</v>
      </c>
      <c r="C161" s="6" t="s">
        <v>389</v>
      </c>
      <c r="D161" s="6" t="str">
        <f>VLOOKUP(Tabela1316[[#This Row],[Motorista]],Planilha1!A:C,3,0)</f>
        <v>TRUCK BAU</v>
      </c>
      <c r="E161" s="6">
        <f>IF(Tabela1316[[#This Row],[VEICULO]]="CARRETA",5,IF(Tabela1316[[#This Row],[VEICULO]]="TRUCK BAU",3,0))</f>
        <v>3</v>
      </c>
      <c r="F161" s="6"/>
      <c r="G161" s="6" t="s">
        <v>525</v>
      </c>
      <c r="H161" s="1"/>
      <c r="I161" s="9"/>
      <c r="J161" s="9"/>
      <c r="K161" s="11"/>
      <c r="L161" s="1"/>
      <c r="M161" s="205" t="s">
        <v>315</v>
      </c>
      <c r="N161" s="1" t="s">
        <v>315</v>
      </c>
      <c r="O161" s="9"/>
      <c r="P161" s="14">
        <f>Tabela1316[[#This Row],[Valor_recibo]]</f>
        <v>0</v>
      </c>
      <c r="Q161" s="16"/>
      <c r="R161" s="1" t="e">
        <f>VLOOKUP(#REF!,[2]Aprovados!A:A,1,0)</f>
        <v>#REF!</v>
      </c>
      <c r="S161" s="236"/>
      <c r="T161" s="235"/>
      <c r="U161" s="236" t="s">
        <v>315</v>
      </c>
      <c r="V161" s="294"/>
      <c r="W161" s="301" t="s">
        <v>18</v>
      </c>
      <c r="X161" s="302">
        <v>267.3</v>
      </c>
      <c r="Y161" s="303">
        <v>46055</v>
      </c>
      <c r="Z161" s="304"/>
    </row>
    <row r="162" spans="1:26" ht="15.75">
      <c r="A162" s="6">
        <v>22503618</v>
      </c>
      <c r="B162" s="7">
        <v>46052</v>
      </c>
      <c r="C162" s="6" t="s">
        <v>416</v>
      </c>
      <c r="D162" s="6" t="s">
        <v>570</v>
      </c>
      <c r="E162" s="6">
        <f>IF(Tabela1316[[#This Row],[VEICULO]]="CARRETA",5,IF(Tabela1316[[#This Row],[VEICULO]]="TRUCK BAU",3,0))</f>
        <v>3</v>
      </c>
      <c r="F162" s="6"/>
      <c r="G162" s="6" t="s">
        <v>390</v>
      </c>
      <c r="H162" s="1"/>
      <c r="I162" s="9"/>
      <c r="J162" s="9"/>
      <c r="K162" s="11"/>
      <c r="L162" s="1"/>
      <c r="M162" s="205" t="s">
        <v>315</v>
      </c>
      <c r="N162" s="1" t="s">
        <v>315</v>
      </c>
      <c r="O162" s="9"/>
      <c r="P162" s="14">
        <f>Tabela1316[[#This Row],[Valor_recibo]]</f>
        <v>0</v>
      </c>
      <c r="Q162" s="16"/>
      <c r="R162" s="1" t="e">
        <f>VLOOKUP(#REF!,[2]Aprovados!A:A,1,0)</f>
        <v>#REF!</v>
      </c>
      <c r="S162" s="236"/>
      <c r="T162" s="235"/>
      <c r="U162" s="236" t="s">
        <v>315</v>
      </c>
      <c r="V162" s="294"/>
      <c r="W162" s="301" t="s">
        <v>18</v>
      </c>
      <c r="X162" s="302">
        <v>47.4</v>
      </c>
      <c r="Y162" s="303">
        <v>46055</v>
      </c>
      <c r="Z162" s="304"/>
    </row>
    <row r="163" spans="1:26" ht="15.75">
      <c r="A163" s="6"/>
      <c r="B163" s="7"/>
      <c r="C163" s="6"/>
      <c r="D163" s="6"/>
      <c r="E163" s="6"/>
      <c r="F163" s="6"/>
      <c r="G163" s="6"/>
      <c r="H163" s="1"/>
      <c r="I163" s="9"/>
      <c r="J163" s="9"/>
      <c r="K163" s="11"/>
      <c r="L163" s="1"/>
      <c r="M163" s="205"/>
      <c r="N163" s="1"/>
      <c r="O163" s="9"/>
      <c r="P163" s="14">
        <f>Tabela1316[[#This Row],[Valor_recibo]]</f>
        <v>0</v>
      </c>
      <c r="Q163" s="16">
        <f t="shared" ref="Q163:Q175" si="0">IFERROR(IF(N163="PENDENTE",-P163,K163-P163),0)</f>
        <v>0</v>
      </c>
      <c r="R163" s="1" t="e">
        <f>VLOOKUP(#REF!,[2]Aprovados!A:A,1,0)</f>
        <v>#REF!</v>
      </c>
      <c r="S163" s="236"/>
      <c r="T163" s="235"/>
      <c r="U163" s="236"/>
      <c r="V163" s="294"/>
      <c r="W163" s="301"/>
      <c r="X163" s="302"/>
      <c r="Y163" s="303"/>
      <c r="Z163" s="304"/>
    </row>
    <row r="164" spans="1:26" ht="15.75">
      <c r="A164" s="6"/>
      <c r="B164" s="7"/>
      <c r="C164" s="6"/>
      <c r="D164" s="6"/>
      <c r="E164" s="6"/>
      <c r="F164" s="6"/>
      <c r="G164" s="6"/>
      <c r="H164" s="1"/>
      <c r="I164" s="9"/>
      <c r="J164" s="9"/>
      <c r="K164" s="11"/>
      <c r="L164" s="1"/>
      <c r="M164" s="205"/>
      <c r="N164" s="1"/>
      <c r="O164" s="9"/>
      <c r="P164" s="14">
        <f>Tabela1316[[#This Row],[Valor_recibo]]</f>
        <v>0</v>
      </c>
      <c r="Q164" s="16">
        <f t="shared" si="0"/>
        <v>0</v>
      </c>
      <c r="R164" s="1" t="e">
        <f>VLOOKUP(#REF!,[2]Aprovados!A:A,1,0)</f>
        <v>#REF!</v>
      </c>
      <c r="S164" s="236"/>
      <c r="T164" s="235"/>
      <c r="U164" s="236"/>
      <c r="V164" s="294"/>
      <c r="W164" s="301"/>
      <c r="X164" s="302"/>
      <c r="Y164" s="303"/>
      <c r="Z164" s="304"/>
    </row>
    <row r="165" spans="1:26" ht="15.75">
      <c r="A165" s="6"/>
      <c r="B165" s="7"/>
      <c r="C165" s="6"/>
      <c r="D165" s="6"/>
      <c r="E165" s="6"/>
      <c r="F165" s="6"/>
      <c r="G165" s="6"/>
      <c r="H165" s="1"/>
      <c r="I165" s="9"/>
      <c r="J165" s="9"/>
      <c r="K165" s="11"/>
      <c r="L165" s="1"/>
      <c r="M165" s="205"/>
      <c r="N165" s="1"/>
      <c r="O165" s="9"/>
      <c r="P165" s="14">
        <f>Tabela1316[[#This Row],[Valor_recibo]]</f>
        <v>0</v>
      </c>
      <c r="Q165" s="16">
        <f t="shared" si="0"/>
        <v>0</v>
      </c>
      <c r="R165" s="1" t="e">
        <f>VLOOKUP(#REF!,[2]Aprovados!A:A,1,0)</f>
        <v>#REF!</v>
      </c>
      <c r="S165" s="236"/>
      <c r="T165" s="235"/>
      <c r="U165" s="236"/>
      <c r="V165" s="294"/>
      <c r="W165" s="301"/>
      <c r="X165" s="302"/>
      <c r="Y165" s="303"/>
      <c r="Z165" s="304"/>
    </row>
    <row r="166" spans="1:26" ht="15.75">
      <c r="A166" s="6"/>
      <c r="B166" s="7"/>
      <c r="C166" s="6"/>
      <c r="D166" s="6"/>
      <c r="E166" s="6"/>
      <c r="F166" s="6"/>
      <c r="G166" s="6"/>
      <c r="H166" s="1"/>
      <c r="I166" s="9"/>
      <c r="J166" s="9"/>
      <c r="K166" s="11"/>
      <c r="L166" s="1"/>
      <c r="M166" s="205"/>
      <c r="N166" s="1"/>
      <c r="O166" s="9"/>
      <c r="P166" s="14">
        <f>Tabela1316[[#This Row],[Valor_recibo]]</f>
        <v>0</v>
      </c>
      <c r="Q166" s="16">
        <f t="shared" si="0"/>
        <v>0</v>
      </c>
      <c r="R166" s="1" t="e">
        <f>VLOOKUP(#REF!,[2]Aprovados!A:A,1,0)</f>
        <v>#REF!</v>
      </c>
      <c r="S166" s="236"/>
      <c r="T166" s="235"/>
      <c r="U166" s="236"/>
      <c r="V166" s="294"/>
      <c r="W166" s="301"/>
      <c r="X166" s="302"/>
      <c r="Y166" s="303"/>
      <c r="Z166" s="304"/>
    </row>
    <row r="167" spans="1:26" ht="15.75">
      <c r="A167" s="6"/>
      <c r="B167" s="7"/>
      <c r="C167" s="6"/>
      <c r="D167" s="6"/>
      <c r="E167" s="6"/>
      <c r="F167" s="6"/>
      <c r="G167" s="6"/>
      <c r="H167" s="1"/>
      <c r="I167" s="9"/>
      <c r="J167" s="9"/>
      <c r="K167" s="11"/>
      <c r="L167" s="1"/>
      <c r="M167" s="205"/>
      <c r="N167" s="1"/>
      <c r="O167" s="9"/>
      <c r="P167" s="14">
        <f>Tabela1316[[#This Row],[Valor_recibo]]</f>
        <v>0</v>
      </c>
      <c r="Q167" s="16">
        <f t="shared" si="0"/>
        <v>0</v>
      </c>
      <c r="R167" s="1" t="e">
        <f>VLOOKUP(#REF!,[2]Aprovados!A:A,1,0)</f>
        <v>#REF!</v>
      </c>
      <c r="S167" s="236"/>
      <c r="T167" s="235"/>
      <c r="U167" s="236"/>
      <c r="V167" s="294"/>
      <c r="W167" s="301"/>
      <c r="X167" s="302"/>
      <c r="Y167" s="303"/>
      <c r="Z167" s="304"/>
    </row>
    <row r="168" spans="1:26" ht="15.75">
      <c r="A168" s="6"/>
      <c r="B168" s="7"/>
      <c r="C168" s="6"/>
      <c r="D168" s="6"/>
      <c r="E168" s="6"/>
      <c r="F168" s="6"/>
      <c r="G168" s="6"/>
      <c r="H168" s="1"/>
      <c r="I168" s="9"/>
      <c r="J168" s="9"/>
      <c r="K168" s="11"/>
      <c r="L168" s="1"/>
      <c r="M168" s="205"/>
      <c r="N168" s="1"/>
      <c r="O168" s="9"/>
      <c r="P168" s="14">
        <f>Tabela1316[[#This Row],[Valor_recibo]]</f>
        <v>0</v>
      </c>
      <c r="Q168" s="16">
        <f t="shared" si="0"/>
        <v>0</v>
      </c>
      <c r="R168" s="1" t="e">
        <f>VLOOKUP(#REF!,[2]Aprovados!A:A,1,0)</f>
        <v>#REF!</v>
      </c>
      <c r="S168" s="236"/>
      <c r="T168" s="235"/>
      <c r="U168" s="236"/>
      <c r="V168" s="294"/>
      <c r="W168" s="301"/>
      <c r="X168" s="302"/>
      <c r="Y168" s="303"/>
      <c r="Z168" s="304"/>
    </row>
    <row r="169" spans="1:26" ht="15.75">
      <c r="A169" s="6"/>
      <c r="B169" s="7"/>
      <c r="C169" s="6"/>
      <c r="D169" s="6"/>
      <c r="E169" s="6"/>
      <c r="F169" s="6"/>
      <c r="G169" s="6"/>
      <c r="H169" s="1"/>
      <c r="I169" s="9"/>
      <c r="J169" s="9"/>
      <c r="K169" s="11"/>
      <c r="L169" s="1"/>
      <c r="M169" s="205"/>
      <c r="N169" s="1"/>
      <c r="O169" s="9"/>
      <c r="P169" s="14">
        <f>Tabela1316[[#This Row],[Valor_recibo]]</f>
        <v>0</v>
      </c>
      <c r="Q169" s="16">
        <f t="shared" si="0"/>
        <v>0</v>
      </c>
      <c r="R169" s="1" t="e">
        <f>VLOOKUP(#REF!,[2]Aprovados!A:A,1,0)</f>
        <v>#REF!</v>
      </c>
      <c r="S169" s="236"/>
      <c r="T169" s="235"/>
      <c r="U169" s="236"/>
      <c r="V169" s="294"/>
      <c r="W169" s="301"/>
      <c r="X169" s="302"/>
      <c r="Y169" s="303"/>
      <c r="Z169" s="304"/>
    </row>
    <row r="170" spans="1:26" ht="15.75">
      <c r="A170" s="6"/>
      <c r="B170" s="7"/>
      <c r="C170" s="6"/>
      <c r="D170" s="6"/>
      <c r="E170" s="6"/>
      <c r="F170" s="6"/>
      <c r="G170" s="6"/>
      <c r="H170" s="1"/>
      <c r="I170" s="9"/>
      <c r="J170" s="9"/>
      <c r="K170" s="11"/>
      <c r="L170" s="1"/>
      <c r="M170" s="205"/>
      <c r="N170" s="1"/>
      <c r="O170" s="9"/>
      <c r="P170" s="14">
        <f>Tabela1316[[#This Row],[Valor_recibo]]</f>
        <v>0</v>
      </c>
      <c r="Q170" s="16">
        <f t="shared" si="0"/>
        <v>0</v>
      </c>
      <c r="R170" s="1" t="e">
        <f>VLOOKUP(#REF!,[2]Aprovados!A:A,1,0)</f>
        <v>#REF!</v>
      </c>
      <c r="S170" s="236"/>
      <c r="T170" s="235"/>
      <c r="U170" s="236"/>
      <c r="V170" s="294"/>
      <c r="W170" s="301"/>
      <c r="X170" s="302"/>
      <c r="Y170" s="303"/>
      <c r="Z170" s="304"/>
    </row>
    <row r="171" spans="1:26" ht="15.75">
      <c r="A171" s="6"/>
      <c r="B171" s="7"/>
      <c r="C171" s="6"/>
      <c r="D171" s="6"/>
      <c r="E171" s="6"/>
      <c r="F171" s="6"/>
      <c r="G171" s="6"/>
      <c r="H171" s="1"/>
      <c r="I171" s="9"/>
      <c r="J171" s="9"/>
      <c r="K171" s="11"/>
      <c r="L171" s="1"/>
      <c r="M171" s="205"/>
      <c r="N171" s="1"/>
      <c r="O171" s="9"/>
      <c r="P171" s="14">
        <f>Tabela1316[[#This Row],[Valor_recibo]]</f>
        <v>0</v>
      </c>
      <c r="Q171" s="16">
        <f t="shared" si="0"/>
        <v>0</v>
      </c>
      <c r="R171" s="1" t="e">
        <f>VLOOKUP(#REF!,[2]Aprovados!A:A,1,0)</f>
        <v>#REF!</v>
      </c>
      <c r="S171" s="236"/>
      <c r="T171" s="235"/>
      <c r="U171" s="236"/>
      <c r="V171" s="294"/>
      <c r="W171" s="301"/>
      <c r="X171" s="302"/>
      <c r="Y171" s="303"/>
      <c r="Z171" s="304"/>
    </row>
    <row r="172" spans="1:26" ht="15.75">
      <c r="A172" s="6"/>
      <c r="B172" s="7"/>
      <c r="C172" s="6"/>
      <c r="D172" s="6"/>
      <c r="E172" s="6"/>
      <c r="F172" s="6"/>
      <c r="G172" s="6"/>
      <c r="H172" s="1"/>
      <c r="I172" s="9"/>
      <c r="J172" s="9"/>
      <c r="K172" s="11"/>
      <c r="L172" s="1"/>
      <c r="M172" s="205"/>
      <c r="N172" s="1"/>
      <c r="O172" s="9"/>
      <c r="P172" s="14">
        <f>Tabela1316[[#This Row],[Valor_recibo]]</f>
        <v>0</v>
      </c>
      <c r="Q172" s="16">
        <f t="shared" si="0"/>
        <v>0</v>
      </c>
      <c r="R172" s="1" t="e">
        <f>VLOOKUP(#REF!,[2]Aprovados!A:A,1,0)</f>
        <v>#REF!</v>
      </c>
      <c r="S172" s="236"/>
      <c r="T172" s="235"/>
      <c r="U172" s="236"/>
      <c r="V172" s="294"/>
      <c r="W172" s="301"/>
      <c r="X172" s="302"/>
      <c r="Y172" s="303"/>
      <c r="Z172" s="304"/>
    </row>
    <row r="173" spans="1:26" ht="15.75">
      <c r="A173" s="6"/>
      <c r="B173" s="7"/>
      <c r="C173" s="6"/>
      <c r="D173" s="6"/>
      <c r="E173" s="6"/>
      <c r="F173" s="6"/>
      <c r="G173" s="6"/>
      <c r="H173" s="1"/>
      <c r="I173" s="9"/>
      <c r="J173" s="9"/>
      <c r="K173" s="11"/>
      <c r="L173" s="1"/>
      <c r="M173" s="205"/>
      <c r="N173" s="1"/>
      <c r="O173" s="9"/>
      <c r="P173" s="14">
        <f>Tabela1316[[#This Row],[Valor_recibo]]</f>
        <v>0</v>
      </c>
      <c r="Q173" s="16">
        <f t="shared" si="0"/>
        <v>0</v>
      </c>
      <c r="R173" s="1" t="e">
        <f>VLOOKUP(#REF!,[2]Aprovados!A:A,1,0)</f>
        <v>#REF!</v>
      </c>
      <c r="S173" s="236"/>
      <c r="T173" s="235"/>
      <c r="U173" s="236"/>
      <c r="V173" s="294"/>
      <c r="W173" s="301"/>
      <c r="X173" s="302"/>
      <c r="Y173" s="303"/>
      <c r="Z173" s="304"/>
    </row>
    <row r="174" spans="1:26" ht="15.75">
      <c r="A174" s="6"/>
      <c r="B174" s="7"/>
      <c r="C174" s="6"/>
      <c r="D174" s="6"/>
      <c r="E174" s="6"/>
      <c r="F174" s="6"/>
      <c r="G174" s="6"/>
      <c r="H174" s="1"/>
      <c r="I174" s="9"/>
      <c r="J174" s="9"/>
      <c r="K174" s="11"/>
      <c r="L174" s="1"/>
      <c r="M174" s="205"/>
      <c r="N174" s="1"/>
      <c r="O174" s="9"/>
      <c r="P174" s="14">
        <f>Tabela1316[[#This Row],[Valor_recibo]]</f>
        <v>0</v>
      </c>
      <c r="Q174" s="16">
        <f t="shared" si="0"/>
        <v>0</v>
      </c>
      <c r="R174" s="1" t="e">
        <f>VLOOKUP(#REF!,[2]Aprovados!A:A,1,0)</f>
        <v>#REF!</v>
      </c>
      <c r="S174" s="236"/>
      <c r="T174" s="235"/>
      <c r="U174" s="236"/>
      <c r="V174" s="294"/>
      <c r="W174" s="301"/>
      <c r="X174" s="302"/>
      <c r="Y174" s="303"/>
      <c r="Z174" s="304"/>
    </row>
    <row r="175" spans="1:26" ht="15.75">
      <c r="A175" s="6"/>
      <c r="B175" s="7"/>
      <c r="C175" s="6"/>
      <c r="D175" s="6"/>
      <c r="E175" s="6"/>
      <c r="F175" s="6"/>
      <c r="G175" s="6"/>
      <c r="H175" s="1"/>
      <c r="I175" s="9"/>
      <c r="J175" s="9"/>
      <c r="K175" s="11"/>
      <c r="L175" s="1"/>
      <c r="M175" s="205"/>
      <c r="N175" s="1"/>
      <c r="O175" s="9"/>
      <c r="P175" s="14">
        <f>Tabela1316[[#This Row],[Valor_recibo]]</f>
        <v>0</v>
      </c>
      <c r="Q175" s="16">
        <f t="shared" si="0"/>
        <v>0</v>
      </c>
      <c r="R175" s="1" t="e">
        <f>VLOOKUP(#REF!,[2]Aprovados!A:A,1,0)</f>
        <v>#REF!</v>
      </c>
      <c r="S175" s="236"/>
      <c r="T175" s="235"/>
      <c r="U175" s="236"/>
      <c r="V175" s="294"/>
      <c r="W175" s="301"/>
      <c r="X175" s="302"/>
      <c r="Y175" s="303"/>
      <c r="Z175" s="304"/>
    </row>
    <row r="176" spans="1:26" ht="15.75">
      <c r="A176" s="6"/>
      <c r="B176" s="7"/>
      <c r="C176" s="6"/>
      <c r="D176" s="6"/>
      <c r="E176" s="6"/>
      <c r="F176" s="6"/>
      <c r="G176" s="6"/>
      <c r="H176" s="1"/>
      <c r="I176" s="9"/>
      <c r="J176" s="9"/>
      <c r="K176" s="11"/>
      <c r="L176" s="1"/>
      <c r="M176" s="205" t="s">
        <v>315</v>
      </c>
      <c r="N176" s="1" t="s">
        <v>315</v>
      </c>
      <c r="O176" s="9"/>
      <c r="P176" s="14">
        <f>Tabela1316[[#This Row],[Valor_recibo]]</f>
        <v>0</v>
      </c>
      <c r="Q176" s="16"/>
      <c r="R176" s="1" t="e">
        <f>VLOOKUP(#REF!,[2]Aprovados!A:A,1,0)</f>
        <v>#REF!</v>
      </c>
      <c r="S176" s="236"/>
      <c r="T176" s="235"/>
      <c r="U176" s="236" t="s">
        <v>315</v>
      </c>
      <c r="V176" s="294"/>
      <c r="W176" s="301"/>
      <c r="X176" s="302"/>
      <c r="Y176" s="303"/>
      <c r="Z176" s="304"/>
    </row>
    <row r="177" spans="1:26" ht="15.75">
      <c r="A177" s="6"/>
      <c r="B177" s="276" t="s">
        <v>526</v>
      </c>
      <c r="C177" s="6"/>
      <c r="D177" s="6"/>
      <c r="E177" s="6"/>
      <c r="F177" s="6"/>
      <c r="G177" s="6"/>
      <c r="H177" s="1"/>
      <c r="I177" s="9"/>
      <c r="J177" s="9"/>
      <c r="K177" s="11"/>
      <c r="L177" s="1"/>
      <c r="M177" s="205" t="s">
        <v>315</v>
      </c>
      <c r="N177" s="1" t="s">
        <v>315</v>
      </c>
      <c r="O177" s="9"/>
      <c r="P177" s="14">
        <f>Tabela1316[[#This Row],[Valor_recibo]]</f>
        <v>0</v>
      </c>
      <c r="Q177" s="16"/>
      <c r="R177" s="1" t="e">
        <f>VLOOKUP(#REF!,[2]Aprovados!A:A,1,0)</f>
        <v>#REF!</v>
      </c>
      <c r="S177" s="236"/>
      <c r="T177" s="235"/>
      <c r="U177" s="236" t="s">
        <v>315</v>
      </c>
      <c r="V177" s="294"/>
      <c r="W177" s="301"/>
      <c r="X177" s="302"/>
      <c r="Y177" s="303"/>
      <c r="Z177" s="304"/>
    </row>
    <row r="178" spans="1:26" ht="15.75">
      <c r="A178" s="6"/>
      <c r="B178" s="7"/>
      <c r="C178" s="6"/>
      <c r="D178" s="6"/>
      <c r="E178" s="6"/>
      <c r="F178" s="6"/>
      <c r="G178" s="6"/>
      <c r="H178" s="1"/>
      <c r="I178" s="9"/>
      <c r="J178" s="9"/>
      <c r="K178" s="11"/>
      <c r="L178" s="1"/>
      <c r="M178" s="205" t="s">
        <v>315</v>
      </c>
      <c r="N178" s="1" t="s">
        <v>315</v>
      </c>
      <c r="O178" s="9"/>
      <c r="P178" s="14">
        <f>Tabela1316[[#This Row],[Valor_recibo]]</f>
        <v>0</v>
      </c>
      <c r="Q178" s="16"/>
      <c r="R178" s="1" t="e">
        <f>VLOOKUP(#REF!,[2]Aprovados!A:A,1,0)</f>
        <v>#REF!</v>
      </c>
      <c r="S178" s="236"/>
      <c r="T178" s="235"/>
      <c r="U178" s="236" t="s">
        <v>315</v>
      </c>
      <c r="V178" s="294"/>
      <c r="W178" s="301"/>
      <c r="X178" s="302"/>
      <c r="Y178" s="303"/>
      <c r="Z178" s="304"/>
    </row>
    <row r="179" spans="1:26" ht="15.75">
      <c r="A179" s="6"/>
      <c r="B179" s="7"/>
      <c r="C179" s="6"/>
      <c r="D179" s="6"/>
      <c r="E179" s="6"/>
      <c r="F179" s="6"/>
      <c r="G179" s="6"/>
      <c r="H179" s="1"/>
      <c r="I179" s="9"/>
      <c r="J179" s="9"/>
      <c r="K179" s="11"/>
      <c r="L179" s="1"/>
      <c r="M179" s="205" t="s">
        <v>315</v>
      </c>
      <c r="N179" s="1" t="s">
        <v>315</v>
      </c>
      <c r="O179" s="9"/>
      <c r="P179" s="14">
        <f>Tabela1316[[#This Row],[Valor_recibo]]</f>
        <v>0</v>
      </c>
      <c r="Q179" s="16"/>
      <c r="R179" s="1" t="e">
        <f>VLOOKUP(#REF!,[2]Aprovados!A:A,1,0)</f>
        <v>#REF!</v>
      </c>
      <c r="S179" s="236"/>
      <c r="T179" s="235"/>
      <c r="U179" s="236" t="s">
        <v>315</v>
      </c>
      <c r="V179" s="294"/>
      <c r="W179" s="301"/>
      <c r="X179" s="302"/>
      <c r="Y179" s="303"/>
      <c r="Z179" s="304"/>
    </row>
    <row r="180" spans="1:26" ht="15.75">
      <c r="A180" s="6"/>
      <c r="B180" s="7"/>
      <c r="C180" s="6"/>
      <c r="D180" s="6"/>
      <c r="E180" s="6"/>
      <c r="F180" s="6"/>
      <c r="G180" s="6"/>
      <c r="H180" s="1"/>
      <c r="I180" s="9"/>
      <c r="J180" s="9"/>
      <c r="K180" s="11"/>
      <c r="L180" s="1"/>
      <c r="M180" s="205" t="s">
        <v>315</v>
      </c>
      <c r="N180" s="1" t="s">
        <v>315</v>
      </c>
      <c r="O180" s="9"/>
      <c r="P180" s="14">
        <f>Tabela1316[[#This Row],[Valor_recibo]]</f>
        <v>0</v>
      </c>
      <c r="Q180" s="16"/>
      <c r="R180" s="1" t="e">
        <f>VLOOKUP(#REF!,[2]Aprovados!A:A,1,0)</f>
        <v>#REF!</v>
      </c>
      <c r="S180" s="236"/>
      <c r="T180" s="235"/>
      <c r="U180" s="236" t="s">
        <v>315</v>
      </c>
      <c r="V180" s="294"/>
      <c r="W180" s="301"/>
      <c r="X180" s="302"/>
      <c r="Y180" s="303"/>
      <c r="Z180" s="304"/>
    </row>
    <row r="181" spans="1:26" ht="15.75">
      <c r="A181" s="6"/>
      <c r="B181" s="7"/>
      <c r="C181" s="6"/>
      <c r="D181" s="6"/>
      <c r="E181" s="6"/>
      <c r="F181" s="6"/>
      <c r="G181" s="6"/>
      <c r="H181" s="1"/>
      <c r="I181" s="9"/>
      <c r="J181" s="9"/>
      <c r="K181" s="11"/>
      <c r="L181" s="1"/>
      <c r="M181" s="205" t="s">
        <v>315</v>
      </c>
      <c r="N181" s="1" t="s">
        <v>315</v>
      </c>
      <c r="O181" s="9"/>
      <c r="P181" s="14">
        <f>Tabela1316[[#This Row],[Valor_recibo]]</f>
        <v>0</v>
      </c>
      <c r="Q181" s="16"/>
      <c r="R181" s="1" t="e">
        <f>VLOOKUP(#REF!,[2]Aprovados!A:A,1,0)</f>
        <v>#REF!</v>
      </c>
      <c r="S181" s="236"/>
      <c r="T181" s="235"/>
      <c r="U181" s="236" t="s">
        <v>315</v>
      </c>
      <c r="V181" s="294"/>
      <c r="W181" s="301"/>
      <c r="X181" s="302"/>
      <c r="Y181" s="303"/>
      <c r="Z181" s="304"/>
    </row>
    <row r="182" spans="1:26" ht="15.75">
      <c r="A182" s="6"/>
      <c r="B182" s="7"/>
      <c r="C182" s="6"/>
      <c r="D182" s="6"/>
      <c r="E182" s="6"/>
      <c r="F182" s="6"/>
      <c r="G182" s="6"/>
      <c r="H182" s="1"/>
      <c r="I182" s="9"/>
      <c r="J182" s="9"/>
      <c r="K182" s="11"/>
      <c r="L182" s="1"/>
      <c r="M182" s="205" t="s">
        <v>315</v>
      </c>
      <c r="N182" s="1" t="s">
        <v>315</v>
      </c>
      <c r="O182" s="9"/>
      <c r="P182" s="14">
        <f>Tabela1316[[#This Row],[Valor_recibo]]</f>
        <v>0</v>
      </c>
      <c r="Q182" s="16"/>
      <c r="R182" s="1" t="e">
        <f>VLOOKUP(#REF!,[2]Aprovados!A:A,1,0)</f>
        <v>#REF!</v>
      </c>
      <c r="S182" s="236"/>
      <c r="T182" s="235"/>
      <c r="U182" s="236" t="s">
        <v>315</v>
      </c>
      <c r="V182" s="294"/>
      <c r="W182" s="301"/>
      <c r="X182" s="302"/>
      <c r="Y182" s="303"/>
      <c r="Z182" s="304"/>
    </row>
    <row r="183" spans="1:26" ht="15.75">
      <c r="A183" s="6"/>
      <c r="B183" s="7"/>
      <c r="C183" s="6"/>
      <c r="D183" s="6"/>
      <c r="E183" s="6"/>
      <c r="F183" s="6"/>
      <c r="G183" s="6"/>
      <c r="H183" s="1"/>
      <c r="I183" s="9"/>
      <c r="J183" s="9"/>
      <c r="K183" s="11"/>
      <c r="L183" s="1"/>
      <c r="M183" s="205" t="s">
        <v>315</v>
      </c>
      <c r="N183" s="1" t="s">
        <v>315</v>
      </c>
      <c r="O183" s="9"/>
      <c r="P183" s="14">
        <f>Tabela1316[[#This Row],[Valor_recibo]]</f>
        <v>0</v>
      </c>
      <c r="Q183" s="16"/>
      <c r="R183" s="1" t="e">
        <f>VLOOKUP(#REF!,[2]Aprovados!A:A,1,0)</f>
        <v>#REF!</v>
      </c>
      <c r="S183" s="236"/>
      <c r="T183" s="235"/>
      <c r="U183" s="236" t="s">
        <v>315</v>
      </c>
      <c r="V183" s="294"/>
      <c r="W183" s="301"/>
      <c r="X183" s="302"/>
      <c r="Y183" s="303"/>
      <c r="Z183" s="304"/>
    </row>
    <row r="184" spans="1:26" ht="15.75">
      <c r="A184" s="6"/>
      <c r="B184" s="7"/>
      <c r="C184" s="6"/>
      <c r="D184" s="6"/>
      <c r="E184" s="6"/>
      <c r="F184" s="6"/>
      <c r="G184" s="6"/>
      <c r="H184" s="1"/>
      <c r="I184" s="9"/>
      <c r="J184" s="9"/>
      <c r="K184" s="11"/>
      <c r="L184" s="1"/>
      <c r="M184" s="205" t="s">
        <v>315</v>
      </c>
      <c r="N184" s="1" t="s">
        <v>315</v>
      </c>
      <c r="O184" s="9"/>
      <c r="P184" s="14">
        <f>Tabela1316[[#This Row],[Valor_recibo]]</f>
        <v>0</v>
      </c>
      <c r="Q184" s="16"/>
      <c r="R184" s="1" t="e">
        <f>VLOOKUP(#REF!,[2]Aprovados!A:A,1,0)</f>
        <v>#REF!</v>
      </c>
      <c r="S184" s="236"/>
      <c r="T184" s="235"/>
      <c r="U184" s="236" t="s">
        <v>315</v>
      </c>
      <c r="V184" s="294"/>
      <c r="W184" s="301"/>
      <c r="X184" s="302"/>
      <c r="Y184" s="303"/>
      <c r="Z184" s="304"/>
    </row>
    <row r="185" spans="1:26" ht="15.75">
      <c r="A185" s="6"/>
      <c r="B185" s="7"/>
      <c r="C185" s="6"/>
      <c r="D185" s="6"/>
      <c r="E185" s="6"/>
      <c r="F185" s="6"/>
      <c r="G185" s="6"/>
      <c r="H185" s="1"/>
      <c r="I185" s="9"/>
      <c r="J185" s="9"/>
      <c r="K185" s="11"/>
      <c r="L185" s="1"/>
      <c r="M185" s="205" t="s">
        <v>315</v>
      </c>
      <c r="N185" s="1" t="s">
        <v>315</v>
      </c>
      <c r="O185" s="9"/>
      <c r="P185" s="14">
        <f>Tabela1316[[#This Row],[Valor_recibo]]</f>
        <v>0</v>
      </c>
      <c r="Q185" s="16"/>
      <c r="R185" s="1" t="e">
        <f>VLOOKUP(#REF!,[2]Aprovados!A:A,1,0)</f>
        <v>#REF!</v>
      </c>
      <c r="S185" s="236"/>
      <c r="T185" s="235"/>
      <c r="U185" s="236" t="s">
        <v>315</v>
      </c>
      <c r="V185" s="294"/>
      <c r="W185" s="301"/>
      <c r="X185" s="302"/>
      <c r="Y185" s="303"/>
      <c r="Z185" s="304"/>
    </row>
    <row r="186" spans="1:26" ht="15.75">
      <c r="A186" s="6"/>
      <c r="B186" s="7"/>
      <c r="C186" s="6"/>
      <c r="D186" s="6"/>
      <c r="E186" s="6"/>
      <c r="F186" s="6"/>
      <c r="G186" s="6"/>
      <c r="H186" s="1"/>
      <c r="I186" s="9"/>
      <c r="J186" s="9"/>
      <c r="K186" s="11"/>
      <c r="L186" s="1"/>
      <c r="M186" s="205" t="s">
        <v>315</v>
      </c>
      <c r="N186" s="1" t="s">
        <v>315</v>
      </c>
      <c r="O186" s="9"/>
      <c r="P186" s="14">
        <f>Tabela1316[[#This Row],[Valor_recibo]]</f>
        <v>0</v>
      </c>
      <c r="Q186" s="16"/>
      <c r="R186" s="1" t="e">
        <f>VLOOKUP(#REF!,[2]Aprovados!A:A,1,0)</f>
        <v>#REF!</v>
      </c>
      <c r="S186" s="236"/>
      <c r="T186" s="235"/>
      <c r="U186" s="236" t="s">
        <v>315</v>
      </c>
      <c r="V186" s="294"/>
      <c r="W186" s="301"/>
      <c r="X186" s="302"/>
      <c r="Y186" s="303"/>
      <c r="Z186" s="304"/>
    </row>
    <row r="187" spans="1:26" ht="15.75">
      <c r="A187" s="6"/>
      <c r="B187" s="7"/>
      <c r="C187" s="6"/>
      <c r="D187" s="6"/>
      <c r="E187" s="6"/>
      <c r="F187" s="6"/>
      <c r="G187" s="6"/>
      <c r="H187" s="1"/>
      <c r="I187" s="9"/>
      <c r="J187" s="9"/>
      <c r="K187" s="11"/>
      <c r="L187" s="1"/>
      <c r="M187" s="205" t="s">
        <v>315</v>
      </c>
      <c r="N187" s="1" t="s">
        <v>315</v>
      </c>
      <c r="O187" s="9"/>
      <c r="P187" s="14">
        <f>Tabela1316[[#This Row],[Valor_recibo]]</f>
        <v>0</v>
      </c>
      <c r="Q187" s="16"/>
      <c r="R187" s="1" t="e">
        <f>VLOOKUP(#REF!,[2]Aprovados!A:A,1,0)</f>
        <v>#REF!</v>
      </c>
      <c r="S187" s="236"/>
      <c r="T187" s="235"/>
      <c r="U187" s="236" t="s">
        <v>315</v>
      </c>
      <c r="V187" s="294"/>
      <c r="W187" s="301"/>
      <c r="X187" s="302"/>
      <c r="Y187" s="303"/>
      <c r="Z187" s="304"/>
    </row>
    <row r="188" spans="1:26" ht="15.75">
      <c r="A188" s="6"/>
      <c r="B188" s="7"/>
      <c r="C188" s="6"/>
      <c r="D188" s="6"/>
      <c r="E188" s="6"/>
      <c r="F188" s="6"/>
      <c r="G188" s="6"/>
      <c r="H188" s="1"/>
      <c r="I188" s="9"/>
      <c r="J188" s="9"/>
      <c r="K188" s="11"/>
      <c r="L188" s="1"/>
      <c r="M188" s="205" t="s">
        <v>315</v>
      </c>
      <c r="N188" s="1" t="s">
        <v>315</v>
      </c>
      <c r="O188" s="9"/>
      <c r="P188" s="14">
        <f>Tabela1316[[#This Row],[Valor_recibo]]</f>
        <v>0</v>
      </c>
      <c r="Q188" s="16"/>
      <c r="R188" s="1" t="e">
        <f>VLOOKUP(#REF!,[2]Aprovados!A:A,1,0)</f>
        <v>#REF!</v>
      </c>
      <c r="S188" s="244"/>
      <c r="T188" s="245"/>
      <c r="U188" s="244" t="s">
        <v>315</v>
      </c>
      <c r="V188" s="296"/>
      <c r="W188" s="301"/>
      <c r="X188" s="302"/>
      <c r="Y188" s="303"/>
      <c r="Z188" s="304"/>
    </row>
    <row r="189" spans="1:26" ht="15.75">
      <c r="A189" s="6"/>
      <c r="B189" s="7"/>
      <c r="C189" s="6"/>
      <c r="D189" s="6"/>
      <c r="E189" s="6"/>
      <c r="F189" s="6"/>
      <c r="G189" s="6"/>
      <c r="H189" s="1"/>
      <c r="I189" s="9"/>
      <c r="J189" s="9"/>
      <c r="K189" s="11"/>
      <c r="L189" s="1"/>
      <c r="M189" s="205" t="s">
        <v>315</v>
      </c>
      <c r="N189" s="1" t="s">
        <v>315</v>
      </c>
      <c r="O189" s="9"/>
      <c r="P189" s="14">
        <f>Tabela1316[[#This Row],[Valor_recibo]]</f>
        <v>0</v>
      </c>
      <c r="Q189" s="16"/>
      <c r="R189" s="1" t="e">
        <f>VLOOKUP(#REF!,[2]Aprovados!A:A,1,0)</f>
        <v>#REF!</v>
      </c>
      <c r="S189" s="236"/>
      <c r="T189" s="235"/>
      <c r="U189" s="236" t="s">
        <v>315</v>
      </c>
      <c r="V189" s="294"/>
      <c r="W189" s="301"/>
      <c r="X189" s="302"/>
      <c r="Y189" s="303"/>
      <c r="Z189" s="304"/>
    </row>
    <row r="190" spans="1:26" ht="15.75">
      <c r="A190" s="6"/>
      <c r="B190" s="7"/>
      <c r="C190" s="6"/>
      <c r="D190" s="6"/>
      <c r="E190" s="6"/>
      <c r="F190" s="6"/>
      <c r="G190" s="6"/>
      <c r="H190" s="1"/>
      <c r="I190" s="9"/>
      <c r="J190" s="9"/>
      <c r="K190" s="11"/>
      <c r="L190" s="1"/>
      <c r="M190" s="205" t="s">
        <v>315</v>
      </c>
      <c r="N190" s="1" t="s">
        <v>315</v>
      </c>
      <c r="O190" s="9"/>
      <c r="P190" s="14">
        <f>Tabela1316[[#This Row],[Valor_recibo]]</f>
        <v>0</v>
      </c>
      <c r="Q190" s="16"/>
      <c r="R190" s="1" t="e">
        <f>VLOOKUP(#REF!,[2]Aprovados!A:A,1,0)</f>
        <v>#REF!</v>
      </c>
      <c r="S190" s="246"/>
      <c r="T190" s="247"/>
      <c r="U190" s="246" t="s">
        <v>315</v>
      </c>
      <c r="V190" s="297"/>
      <c r="W190" s="301"/>
      <c r="X190" s="302"/>
      <c r="Y190" s="303"/>
      <c r="Z190" s="304"/>
    </row>
    <row r="191" spans="1:26" ht="15.75">
      <c r="A191" s="6"/>
      <c r="B191" s="7"/>
      <c r="C191" s="6"/>
      <c r="D191" s="6"/>
      <c r="E191" s="6"/>
      <c r="F191" s="6"/>
      <c r="G191" s="6"/>
      <c r="H191" s="1"/>
      <c r="I191" s="9"/>
      <c r="J191" s="9"/>
      <c r="K191" s="11"/>
      <c r="L191" s="1"/>
      <c r="M191" s="205" t="s">
        <v>315</v>
      </c>
      <c r="N191" s="1" t="s">
        <v>315</v>
      </c>
      <c r="O191" s="9"/>
      <c r="P191" s="14">
        <f>Tabela1316[[#This Row],[Valor_recibo]]</f>
        <v>0</v>
      </c>
      <c r="Q191" s="16"/>
      <c r="R191" s="1" t="e">
        <f>VLOOKUP(#REF!,[2]Aprovados!A:A,1,0)</f>
        <v>#REF!</v>
      </c>
      <c r="S191" s="236"/>
      <c r="T191" s="235"/>
      <c r="U191" s="236" t="s">
        <v>315</v>
      </c>
      <c r="V191" s="294"/>
      <c r="W191" s="301"/>
      <c r="X191" s="302"/>
      <c r="Y191" s="303"/>
      <c r="Z191" s="304"/>
    </row>
    <row r="192" spans="1:26" ht="15.75">
      <c r="A192" s="6"/>
      <c r="B192" s="7"/>
      <c r="C192" s="6"/>
      <c r="D192" s="6"/>
      <c r="E192" s="6"/>
      <c r="F192" s="6"/>
      <c r="G192" s="6"/>
      <c r="H192" s="1"/>
      <c r="I192" s="9"/>
      <c r="J192" s="9"/>
      <c r="K192" s="11"/>
      <c r="L192" s="1"/>
      <c r="M192" s="205" t="s">
        <v>315</v>
      </c>
      <c r="N192" s="1" t="s">
        <v>315</v>
      </c>
      <c r="O192" s="9"/>
      <c r="P192" s="14">
        <f>Tabela1316[[#This Row],[Valor_recibo]]</f>
        <v>0</v>
      </c>
      <c r="Q192" s="16"/>
      <c r="R192" s="1" t="e">
        <f>VLOOKUP(#REF!,[2]Aprovados!A:A,1,0)</f>
        <v>#REF!</v>
      </c>
      <c r="S192" s="236"/>
      <c r="T192" s="235"/>
      <c r="U192" s="236" t="s">
        <v>315</v>
      </c>
      <c r="V192" s="294"/>
      <c r="W192" s="301"/>
      <c r="X192" s="302"/>
      <c r="Y192" s="303"/>
      <c r="Z192" s="304"/>
    </row>
    <row r="193" spans="1:26" ht="15.75">
      <c r="A193" s="6"/>
      <c r="B193" s="7"/>
      <c r="C193" s="6"/>
      <c r="D193" s="6"/>
      <c r="E193" s="6"/>
      <c r="F193" s="6"/>
      <c r="G193" s="6"/>
      <c r="H193" s="1"/>
      <c r="I193" s="9"/>
      <c r="J193" s="9"/>
      <c r="K193" s="11"/>
      <c r="L193" s="1"/>
      <c r="M193" s="205" t="s">
        <v>315</v>
      </c>
      <c r="N193" s="1" t="s">
        <v>315</v>
      </c>
      <c r="O193" s="9"/>
      <c r="P193" s="14">
        <f>Tabela1316[[#This Row],[Valor_recibo]]</f>
        <v>0</v>
      </c>
      <c r="Q193" s="16"/>
      <c r="R193" s="1" t="e">
        <f>VLOOKUP(#REF!,[2]Aprovados!A:A,1,0)</f>
        <v>#REF!</v>
      </c>
      <c r="S193" s="236"/>
      <c r="T193" s="235"/>
      <c r="U193" s="236" t="s">
        <v>315</v>
      </c>
      <c r="V193" s="294"/>
      <c r="W193" s="301"/>
      <c r="X193" s="302"/>
      <c r="Y193" s="303"/>
      <c r="Z193" s="304"/>
    </row>
    <row r="194" spans="1:26" ht="15.75">
      <c r="A194" s="6"/>
      <c r="B194" s="7"/>
      <c r="C194" s="6"/>
      <c r="D194" s="6"/>
      <c r="E194" s="6"/>
      <c r="F194" s="6"/>
      <c r="G194" s="6"/>
      <c r="H194" s="1"/>
      <c r="I194" s="9"/>
      <c r="J194" s="9"/>
      <c r="K194" s="11"/>
      <c r="L194" s="1"/>
      <c r="M194" s="205" t="s">
        <v>315</v>
      </c>
      <c r="N194" s="1" t="s">
        <v>315</v>
      </c>
      <c r="O194" s="9"/>
      <c r="P194" s="14">
        <f>Tabela1316[[#This Row],[Valor_recibo]]</f>
        <v>0</v>
      </c>
      <c r="Q194" s="16"/>
      <c r="R194" s="1" t="e">
        <f>VLOOKUP(#REF!,[2]Aprovados!A:A,1,0)</f>
        <v>#REF!</v>
      </c>
      <c r="S194" s="236"/>
      <c r="T194" s="235"/>
      <c r="U194" s="236" t="s">
        <v>315</v>
      </c>
      <c r="V194" s="294"/>
      <c r="W194" s="301"/>
      <c r="X194" s="302"/>
      <c r="Y194" s="303"/>
      <c r="Z194" s="304"/>
    </row>
    <row r="195" spans="1:26" ht="15.75">
      <c r="A195" s="6"/>
      <c r="B195" s="7"/>
      <c r="C195" s="6"/>
      <c r="D195" s="6"/>
      <c r="E195" s="6"/>
      <c r="F195" s="6"/>
      <c r="G195" s="6"/>
      <c r="H195" s="1"/>
      <c r="I195" s="9"/>
      <c r="J195" s="9"/>
      <c r="K195" s="11"/>
      <c r="L195" s="1"/>
      <c r="M195" s="205" t="s">
        <v>315</v>
      </c>
      <c r="N195" s="1" t="s">
        <v>315</v>
      </c>
      <c r="O195" s="9"/>
      <c r="P195" s="14">
        <f>Tabela1316[[#This Row],[Valor_recibo]]</f>
        <v>0</v>
      </c>
      <c r="Q195" s="16"/>
      <c r="R195" s="1" t="e">
        <f>VLOOKUP(#REF!,[2]Aprovados!A:A,1,0)</f>
        <v>#REF!</v>
      </c>
      <c r="S195" s="236"/>
      <c r="T195" s="235"/>
      <c r="U195" s="236" t="s">
        <v>315</v>
      </c>
      <c r="V195" s="294"/>
      <c r="W195" s="301"/>
      <c r="X195" s="302"/>
      <c r="Y195" s="303"/>
      <c r="Z195" s="304"/>
    </row>
    <row r="196" spans="1:26" ht="15.75">
      <c r="A196" s="6"/>
      <c r="B196" s="7"/>
      <c r="C196" s="6"/>
      <c r="D196" s="6"/>
      <c r="E196" s="6"/>
      <c r="F196" s="6"/>
      <c r="G196" s="6"/>
      <c r="H196" s="1"/>
      <c r="I196" s="9"/>
      <c r="J196" s="9"/>
      <c r="K196" s="11"/>
      <c r="L196" s="1"/>
      <c r="M196" s="205" t="s">
        <v>315</v>
      </c>
      <c r="N196" s="1" t="s">
        <v>315</v>
      </c>
      <c r="O196" s="9"/>
      <c r="P196" s="14">
        <f>Tabela1316[[#This Row],[Valor_recibo]]</f>
        <v>0</v>
      </c>
      <c r="Q196" s="16"/>
      <c r="R196" s="1" t="e">
        <f>VLOOKUP(#REF!,[2]Aprovados!A:A,1,0)</f>
        <v>#REF!</v>
      </c>
      <c r="S196" s="236"/>
      <c r="T196" s="235"/>
      <c r="U196" s="236" t="s">
        <v>315</v>
      </c>
      <c r="V196" s="294"/>
      <c r="W196" s="301"/>
      <c r="X196" s="302"/>
      <c r="Y196" s="303"/>
      <c r="Z196" s="304"/>
    </row>
    <row r="197" spans="1:26" ht="15.75">
      <c r="A197" s="6"/>
      <c r="B197" s="7"/>
      <c r="C197" s="6"/>
      <c r="D197" s="6"/>
      <c r="E197" s="6"/>
      <c r="F197" s="6"/>
      <c r="G197" s="6"/>
      <c r="H197" s="1"/>
      <c r="I197" s="9"/>
      <c r="J197" s="9"/>
      <c r="K197" s="11"/>
      <c r="L197" s="1"/>
      <c r="M197" s="205" t="s">
        <v>315</v>
      </c>
      <c r="N197" s="1" t="s">
        <v>315</v>
      </c>
      <c r="O197" s="9"/>
      <c r="P197" s="14">
        <f>Tabela1316[[#This Row],[Valor_recibo]]</f>
        <v>0</v>
      </c>
      <c r="Q197" s="16"/>
      <c r="R197" s="1" t="e">
        <f>VLOOKUP(#REF!,[2]Aprovados!A:A,1,0)</f>
        <v>#REF!</v>
      </c>
      <c r="S197" s="236"/>
      <c r="T197" s="235"/>
      <c r="U197" s="236" t="s">
        <v>315</v>
      </c>
      <c r="V197" s="294"/>
      <c r="W197" s="301"/>
      <c r="X197" s="302"/>
      <c r="Y197" s="303"/>
      <c r="Z197" s="304"/>
    </row>
    <row r="198" spans="1:26" ht="15.75">
      <c r="A198" s="6"/>
      <c r="B198" s="7"/>
      <c r="C198" s="6"/>
      <c r="D198" s="6"/>
      <c r="E198" s="6"/>
      <c r="F198" s="6"/>
      <c r="G198" s="6"/>
      <c r="H198" s="1"/>
      <c r="I198" s="9"/>
      <c r="J198" s="9"/>
      <c r="K198" s="11"/>
      <c r="L198" s="1"/>
      <c r="M198" s="205" t="s">
        <v>315</v>
      </c>
      <c r="N198" s="1" t="s">
        <v>315</v>
      </c>
      <c r="O198" s="9"/>
      <c r="P198" s="14">
        <f>Tabela1316[[#This Row],[Valor_recibo]]</f>
        <v>0</v>
      </c>
      <c r="Q198" s="16"/>
      <c r="R198" s="1" t="e">
        <f>VLOOKUP(#REF!,[2]Aprovados!A:A,1,0)</f>
        <v>#REF!</v>
      </c>
      <c r="S198" s="236"/>
      <c r="T198" s="235"/>
      <c r="U198" s="236" t="s">
        <v>315</v>
      </c>
      <c r="V198" s="294"/>
      <c r="W198" s="301"/>
      <c r="X198" s="302"/>
      <c r="Y198" s="303"/>
      <c r="Z198" s="304"/>
    </row>
    <row r="199" spans="1:26" ht="15.75">
      <c r="A199" s="6"/>
      <c r="B199" s="7"/>
      <c r="C199" s="6"/>
      <c r="D199" s="6"/>
      <c r="E199" s="6"/>
      <c r="F199" s="6"/>
      <c r="G199" s="6"/>
      <c r="H199" s="1"/>
      <c r="I199" s="9"/>
      <c r="J199" s="9"/>
      <c r="K199" s="11"/>
      <c r="L199" s="1"/>
      <c r="M199" s="205" t="s">
        <v>315</v>
      </c>
      <c r="N199" s="1" t="s">
        <v>315</v>
      </c>
      <c r="O199" s="9"/>
      <c r="P199" s="14">
        <f>Tabela1316[[#This Row],[Valor_recibo]]</f>
        <v>0</v>
      </c>
      <c r="Q199" s="16"/>
      <c r="R199" s="1" t="e">
        <f>VLOOKUP(#REF!,[2]Aprovados!A:A,1,0)</f>
        <v>#REF!</v>
      </c>
      <c r="S199" s="236"/>
      <c r="T199" s="235"/>
      <c r="U199" s="236" t="s">
        <v>315</v>
      </c>
      <c r="V199" s="294"/>
      <c r="W199" s="301"/>
      <c r="X199" s="302"/>
      <c r="Y199" s="303"/>
      <c r="Z199" s="304"/>
    </row>
    <row r="200" spans="1:26" ht="15.75">
      <c r="A200" s="6"/>
      <c r="B200" s="7"/>
      <c r="C200" s="6"/>
      <c r="D200" s="6"/>
      <c r="E200" s="6"/>
      <c r="F200" s="6"/>
      <c r="G200" s="6"/>
      <c r="H200" s="1"/>
      <c r="I200" s="9"/>
      <c r="J200" s="9"/>
      <c r="K200" s="11"/>
      <c r="L200" s="1"/>
      <c r="M200" s="205" t="s">
        <v>315</v>
      </c>
      <c r="N200" s="1" t="s">
        <v>315</v>
      </c>
      <c r="O200" s="9"/>
      <c r="P200" s="14">
        <f>Tabela1316[[#This Row],[Valor_recibo]]</f>
        <v>0</v>
      </c>
      <c r="Q200" s="16"/>
      <c r="R200" s="1" t="e">
        <f>VLOOKUP(#REF!,[2]Aprovados!A:A,1,0)</f>
        <v>#REF!</v>
      </c>
      <c r="S200" s="236"/>
      <c r="T200" s="235"/>
      <c r="U200" s="236" t="s">
        <v>315</v>
      </c>
      <c r="V200" s="294"/>
      <c r="W200" s="301"/>
      <c r="X200" s="302"/>
      <c r="Y200" s="303"/>
      <c r="Z200" s="304"/>
    </row>
    <row r="201" spans="1:26" ht="15.75">
      <c r="A201" s="6"/>
      <c r="B201" s="7"/>
      <c r="C201" s="6"/>
      <c r="D201" s="6"/>
      <c r="E201" s="6"/>
      <c r="F201" s="6"/>
      <c r="G201" s="6"/>
      <c r="H201" s="1"/>
      <c r="I201" s="9"/>
      <c r="J201" s="9"/>
      <c r="K201" s="11"/>
      <c r="L201" s="1"/>
      <c r="M201" s="205" t="s">
        <v>315</v>
      </c>
      <c r="N201" s="1" t="s">
        <v>315</v>
      </c>
      <c r="O201" s="9"/>
      <c r="P201" s="14">
        <f>Tabela1316[[#This Row],[Valor_recibo]]</f>
        <v>0</v>
      </c>
      <c r="Q201" s="16"/>
      <c r="R201" s="1" t="e">
        <f>VLOOKUP(#REF!,[2]Aprovados!A:A,1,0)</f>
        <v>#REF!</v>
      </c>
      <c r="S201" s="236"/>
      <c r="T201" s="235"/>
      <c r="U201" s="236" t="s">
        <v>315</v>
      </c>
      <c r="V201" s="294"/>
      <c r="W201" s="301"/>
      <c r="X201" s="302"/>
      <c r="Y201" s="303"/>
      <c r="Z201" s="304"/>
    </row>
    <row r="202" spans="1:26" ht="15.75">
      <c r="A202" s="6"/>
      <c r="B202" s="7"/>
      <c r="C202" s="6"/>
      <c r="D202" s="6"/>
      <c r="E202" s="6"/>
      <c r="F202" s="6"/>
      <c r="G202" s="6"/>
      <c r="H202" s="1"/>
      <c r="I202" s="9"/>
      <c r="J202" s="9"/>
      <c r="K202" s="11"/>
      <c r="L202" s="1"/>
      <c r="M202" s="205" t="s">
        <v>315</v>
      </c>
      <c r="N202" s="1" t="s">
        <v>315</v>
      </c>
      <c r="O202" s="9"/>
      <c r="P202" s="14">
        <f>Tabela1316[[#This Row],[Valor_recibo]]</f>
        <v>0</v>
      </c>
      <c r="Q202" s="16"/>
      <c r="R202" s="1" t="e">
        <f>VLOOKUP(#REF!,[2]Aprovados!A:A,1,0)</f>
        <v>#REF!</v>
      </c>
      <c r="S202" s="236"/>
      <c r="T202" s="235"/>
      <c r="U202" s="236" t="s">
        <v>315</v>
      </c>
      <c r="V202" s="294"/>
      <c r="W202" s="301"/>
      <c r="X202" s="302"/>
      <c r="Y202" s="303"/>
      <c r="Z202" s="304"/>
    </row>
    <row r="203" spans="1:26" ht="15.75">
      <c r="A203" s="6"/>
      <c r="B203" s="7"/>
      <c r="C203" s="6"/>
      <c r="D203" s="6"/>
      <c r="E203" s="6"/>
      <c r="F203" s="6"/>
      <c r="G203" s="6"/>
      <c r="H203" s="1"/>
      <c r="I203" s="9"/>
      <c r="J203" s="9"/>
      <c r="K203" s="11"/>
      <c r="L203" s="1"/>
      <c r="M203" s="205" t="s">
        <v>315</v>
      </c>
      <c r="N203" s="1" t="s">
        <v>315</v>
      </c>
      <c r="O203" s="9"/>
      <c r="P203" s="14">
        <f>Tabela1316[[#This Row],[Valor_recibo]]</f>
        <v>0</v>
      </c>
      <c r="Q203" s="16"/>
      <c r="R203" s="1" t="e">
        <f>VLOOKUP(#REF!,[2]Aprovados!A:A,1,0)</f>
        <v>#REF!</v>
      </c>
      <c r="S203" s="236"/>
      <c r="T203" s="235"/>
      <c r="U203" s="236" t="s">
        <v>315</v>
      </c>
      <c r="V203" s="294"/>
      <c r="W203" s="301"/>
      <c r="X203" s="302"/>
      <c r="Y203" s="303"/>
      <c r="Z203" s="304"/>
    </row>
    <row r="204" spans="1:26" ht="15.75">
      <c r="A204" s="6"/>
      <c r="B204" s="7"/>
      <c r="C204" s="6"/>
      <c r="D204" s="6"/>
      <c r="E204" s="6"/>
      <c r="F204" s="6"/>
      <c r="G204" s="6"/>
      <c r="H204" s="1"/>
      <c r="I204" s="9"/>
      <c r="J204" s="9"/>
      <c r="K204" s="11"/>
      <c r="L204" s="1"/>
      <c r="M204" s="205" t="s">
        <v>315</v>
      </c>
      <c r="N204" s="1" t="s">
        <v>315</v>
      </c>
      <c r="O204" s="9"/>
      <c r="P204" s="14">
        <f>Tabela1316[[#This Row],[Valor_recibo]]</f>
        <v>0</v>
      </c>
      <c r="Q204" s="16"/>
      <c r="R204" s="1" t="e">
        <f>VLOOKUP(#REF!,[2]Aprovados!A:A,1,0)</f>
        <v>#REF!</v>
      </c>
      <c r="S204" s="236"/>
      <c r="T204" s="235"/>
      <c r="U204" s="236" t="s">
        <v>315</v>
      </c>
      <c r="V204" s="294"/>
      <c r="W204" s="301"/>
      <c r="X204" s="302"/>
      <c r="Y204" s="303"/>
      <c r="Z204" s="304"/>
    </row>
    <row r="205" spans="1:26" ht="15.75">
      <c r="A205" s="6"/>
      <c r="B205" s="7"/>
      <c r="C205" s="6"/>
      <c r="D205" s="6"/>
      <c r="E205" s="6"/>
      <c r="F205" s="6"/>
      <c r="G205" s="6"/>
      <c r="H205" s="1"/>
      <c r="I205" s="9"/>
      <c r="J205" s="9"/>
      <c r="K205" s="11"/>
      <c r="L205" s="1"/>
      <c r="M205" s="205" t="s">
        <v>315</v>
      </c>
      <c r="N205" s="1" t="s">
        <v>315</v>
      </c>
      <c r="O205" s="9"/>
      <c r="P205" s="14">
        <f>Tabela1316[[#This Row],[Valor_recibo]]</f>
        <v>0</v>
      </c>
      <c r="Q205" s="16"/>
      <c r="R205" s="1" t="e">
        <f>VLOOKUP(#REF!,[2]Aprovados!A:A,1,0)</f>
        <v>#REF!</v>
      </c>
      <c r="S205" s="236"/>
      <c r="T205" s="235"/>
      <c r="U205" s="236" t="s">
        <v>315</v>
      </c>
      <c r="V205" s="294"/>
      <c r="W205" s="301"/>
      <c r="X205" s="302"/>
      <c r="Y205" s="303"/>
      <c r="Z205" s="304"/>
    </row>
    <row r="206" spans="1:26" ht="15.75">
      <c r="A206" s="6"/>
      <c r="B206" s="7"/>
      <c r="C206" s="6"/>
      <c r="D206" s="6"/>
      <c r="E206" s="6"/>
      <c r="F206" s="6"/>
      <c r="G206" s="6"/>
      <c r="H206" s="1"/>
      <c r="I206" s="9"/>
      <c r="J206" s="9"/>
      <c r="K206" s="11"/>
      <c r="L206" s="1"/>
      <c r="M206" s="205" t="s">
        <v>315</v>
      </c>
      <c r="N206" s="1" t="s">
        <v>315</v>
      </c>
      <c r="O206" s="9"/>
      <c r="P206" s="14">
        <f>Tabela1316[[#This Row],[Valor_recibo]]</f>
        <v>0</v>
      </c>
      <c r="Q206" s="16"/>
      <c r="R206" s="1" t="e">
        <f>VLOOKUP(#REF!,[2]Aprovados!A:A,1,0)</f>
        <v>#REF!</v>
      </c>
      <c r="S206" s="236"/>
      <c r="T206" s="235"/>
      <c r="U206" s="236" t="s">
        <v>315</v>
      </c>
      <c r="V206" s="294"/>
      <c r="W206" s="301"/>
      <c r="X206" s="302"/>
      <c r="Y206" s="303"/>
      <c r="Z206" s="304"/>
    </row>
    <row r="207" spans="1:26" ht="15.75">
      <c r="A207" s="6"/>
      <c r="B207" s="7"/>
      <c r="C207" s="6"/>
      <c r="D207" s="6"/>
      <c r="E207" s="6"/>
      <c r="F207" s="6"/>
      <c r="G207" s="6"/>
      <c r="H207" s="1"/>
      <c r="I207" s="9"/>
      <c r="J207" s="9"/>
      <c r="K207" s="11"/>
      <c r="L207" s="1"/>
      <c r="M207" s="205" t="s">
        <v>315</v>
      </c>
      <c r="N207" s="1" t="s">
        <v>315</v>
      </c>
      <c r="O207" s="9"/>
      <c r="P207" s="14">
        <f>Tabela1316[[#This Row],[Valor_recibo]]</f>
        <v>0</v>
      </c>
      <c r="Q207" s="16"/>
      <c r="R207" s="1" t="e">
        <f>VLOOKUP(#REF!,[2]Aprovados!A:A,1,0)</f>
        <v>#REF!</v>
      </c>
      <c r="S207" s="236"/>
      <c r="T207" s="235"/>
      <c r="U207" s="235"/>
      <c r="V207" s="294"/>
      <c r="W207" s="301"/>
      <c r="X207" s="302"/>
      <c r="Y207" s="303"/>
      <c r="Z207" s="304"/>
    </row>
    <row r="208" spans="1:26" ht="15.75">
      <c r="A208" s="6"/>
      <c r="B208" s="7"/>
      <c r="C208" s="6"/>
      <c r="D208" s="6"/>
      <c r="E208" s="6"/>
      <c r="F208" s="6"/>
      <c r="G208" s="260"/>
      <c r="H208" s="1"/>
      <c r="I208" s="9"/>
      <c r="J208" s="9"/>
      <c r="K208" s="11"/>
      <c r="L208" s="1"/>
      <c r="M208" s="205" t="s">
        <v>315</v>
      </c>
      <c r="N208" s="1" t="s">
        <v>315</v>
      </c>
      <c r="O208" s="9"/>
      <c r="P208" s="14">
        <f>Tabela1316[[#This Row],[Valor_recibo]]</f>
        <v>0</v>
      </c>
      <c r="Q208" s="16"/>
      <c r="R208" s="1" t="e">
        <f>VLOOKUP(#REF!,[2]Aprovados!A:A,1,0)</f>
        <v>#REF!</v>
      </c>
      <c r="S208" s="236"/>
      <c r="T208" s="235"/>
      <c r="U208" s="235"/>
      <c r="V208" s="294"/>
      <c r="W208" s="301"/>
      <c r="X208" s="302"/>
      <c r="Y208" s="303"/>
      <c r="Z208" s="304"/>
    </row>
    <row r="209" spans="1:26" ht="15.75">
      <c r="A209" s="6"/>
      <c r="B209" s="7"/>
      <c r="C209" s="6"/>
      <c r="D209" s="6"/>
      <c r="E209" s="6"/>
      <c r="F209" s="6"/>
      <c r="G209" s="6"/>
      <c r="H209" s="1"/>
      <c r="I209" s="9"/>
      <c r="J209" s="9"/>
      <c r="K209" s="11"/>
      <c r="L209" s="1"/>
      <c r="M209" s="205" t="s">
        <v>315</v>
      </c>
      <c r="N209" s="1" t="s">
        <v>315</v>
      </c>
      <c r="O209" s="9"/>
      <c r="P209" s="14">
        <f>Tabela1316[[#This Row],[Valor_recibo]]</f>
        <v>0</v>
      </c>
      <c r="Q209" s="16"/>
      <c r="R209" s="1" t="e">
        <f>VLOOKUP(#REF!,[2]Aprovados!A:A,1,0)</f>
        <v>#REF!</v>
      </c>
      <c r="S209" s="236"/>
      <c r="T209" s="235"/>
      <c r="U209" s="235"/>
      <c r="V209" s="294"/>
      <c r="W209" s="301"/>
      <c r="X209" s="302"/>
      <c r="Y209" s="303"/>
      <c r="Z209" s="304"/>
    </row>
    <row r="210" spans="1:26" ht="15.75">
      <c r="A210" s="6"/>
      <c r="B210" s="7"/>
      <c r="C210" s="6"/>
      <c r="D210" s="6"/>
      <c r="E210" s="6"/>
      <c r="F210" s="6"/>
      <c r="G210" s="6"/>
      <c r="H210" s="1"/>
      <c r="I210" s="9"/>
      <c r="J210" s="9"/>
      <c r="K210" s="11"/>
      <c r="L210" s="1"/>
      <c r="M210" s="205" t="s">
        <v>315</v>
      </c>
      <c r="N210" s="1" t="s">
        <v>315</v>
      </c>
      <c r="O210" s="9"/>
      <c r="P210" s="14">
        <f>Tabela1316[[#This Row],[Valor_recibo]]</f>
        <v>0</v>
      </c>
      <c r="Q210" s="16"/>
      <c r="R210" s="1" t="e">
        <f>VLOOKUP(#REF!,[2]Aprovados!A:A,1,0)</f>
        <v>#REF!</v>
      </c>
      <c r="S210" s="236"/>
      <c r="T210" s="235"/>
      <c r="U210" s="235"/>
      <c r="V210" s="294"/>
      <c r="W210" s="301"/>
      <c r="X210" s="302"/>
      <c r="Y210" s="303"/>
      <c r="Z210" s="304"/>
    </row>
    <row r="211" spans="1:26" ht="15.75">
      <c r="A211" s="6"/>
      <c r="B211" s="7"/>
      <c r="C211" s="6"/>
      <c r="D211" s="6"/>
      <c r="E211" s="6"/>
      <c r="F211" s="6"/>
      <c r="G211" s="6"/>
      <c r="H211" s="1"/>
      <c r="I211" s="9"/>
      <c r="J211" s="9"/>
      <c r="K211" s="11"/>
      <c r="L211" s="1"/>
      <c r="M211" s="205" t="s">
        <v>315</v>
      </c>
      <c r="N211" s="1" t="s">
        <v>315</v>
      </c>
      <c r="O211" s="9"/>
      <c r="P211" s="14">
        <f>Tabela1316[[#This Row],[Valor_recibo]]</f>
        <v>0</v>
      </c>
      <c r="Q211" s="16"/>
      <c r="R211" s="1" t="e">
        <f>VLOOKUP(#REF!,[2]Aprovados!A:A,1,0)</f>
        <v>#REF!</v>
      </c>
      <c r="S211" s="236"/>
      <c r="T211" s="235"/>
      <c r="U211" s="235"/>
      <c r="V211" s="294"/>
      <c r="W211" s="301"/>
      <c r="X211" s="302"/>
      <c r="Y211" s="303"/>
      <c r="Z211" s="304"/>
    </row>
    <row r="212" spans="1:26" ht="15.75">
      <c r="A212" s="6"/>
      <c r="B212" s="7"/>
      <c r="C212" s="6"/>
      <c r="D212" s="6"/>
      <c r="E212" s="6"/>
      <c r="F212" s="6"/>
      <c r="G212" s="6"/>
      <c r="H212" s="1"/>
      <c r="I212" s="9"/>
      <c r="J212" s="9"/>
      <c r="K212" s="11"/>
      <c r="L212" s="1"/>
      <c r="M212" s="205" t="s">
        <v>315</v>
      </c>
      <c r="N212" s="1" t="s">
        <v>315</v>
      </c>
      <c r="O212" s="9"/>
      <c r="P212" s="14">
        <f>Tabela1316[[#This Row],[Valor_recibo]]</f>
        <v>0</v>
      </c>
      <c r="Q212" s="16"/>
      <c r="R212" s="1" t="e">
        <f>VLOOKUP(#REF!,[2]Aprovados!A:A,1,0)</f>
        <v>#REF!</v>
      </c>
      <c r="S212" s="236"/>
      <c r="T212" s="235"/>
      <c r="U212" s="235"/>
      <c r="V212" s="294"/>
      <c r="W212" s="301"/>
      <c r="X212" s="302"/>
      <c r="Y212" s="303"/>
      <c r="Z212" s="304"/>
    </row>
    <row r="213" spans="1:26" ht="15.75">
      <c r="A213" s="6"/>
      <c r="B213" s="7"/>
      <c r="C213" s="6"/>
      <c r="D213" s="6"/>
      <c r="E213" s="6"/>
      <c r="F213" s="6"/>
      <c r="G213" s="6"/>
      <c r="H213" s="1"/>
      <c r="I213" s="9"/>
      <c r="J213" s="9"/>
      <c r="K213" s="11"/>
      <c r="L213" s="1"/>
      <c r="M213" s="205" t="s">
        <v>315</v>
      </c>
      <c r="N213" s="1" t="s">
        <v>315</v>
      </c>
      <c r="O213" s="9"/>
      <c r="P213" s="14">
        <f>Tabela1316[[#This Row],[Valor_recibo]]</f>
        <v>0</v>
      </c>
      <c r="Q213" s="16"/>
      <c r="R213" s="1" t="e">
        <f>VLOOKUP(#REF!,[2]Aprovados!A:A,1,0)</f>
        <v>#REF!</v>
      </c>
      <c r="S213" s="236"/>
      <c r="T213" s="235"/>
      <c r="U213" s="235"/>
      <c r="V213" s="294"/>
      <c r="W213" s="301"/>
      <c r="X213" s="302"/>
      <c r="Y213" s="303"/>
      <c r="Z213" s="304"/>
    </row>
    <row r="214" spans="1:26" ht="15.75">
      <c r="A214" s="6"/>
      <c r="B214" s="7"/>
      <c r="C214" s="6"/>
      <c r="D214" s="6"/>
      <c r="E214" s="6"/>
      <c r="F214" s="6"/>
      <c r="G214" s="6"/>
      <c r="H214" s="1"/>
      <c r="I214" s="9"/>
      <c r="J214" s="9"/>
      <c r="K214" s="11"/>
      <c r="L214" s="1"/>
      <c r="M214" s="205" t="s">
        <v>315</v>
      </c>
      <c r="N214" s="1" t="s">
        <v>315</v>
      </c>
      <c r="O214" s="9"/>
      <c r="P214" s="14">
        <f>Tabela1316[[#This Row],[Valor_recibo]]</f>
        <v>0</v>
      </c>
      <c r="Q214" s="16"/>
      <c r="R214" s="1" t="e">
        <f>VLOOKUP(#REF!,[2]Aprovados!A:A,1,0)</f>
        <v>#REF!</v>
      </c>
      <c r="S214" s="236"/>
      <c r="T214" s="235"/>
      <c r="U214" s="235"/>
      <c r="V214" s="294"/>
      <c r="W214" s="301"/>
      <c r="X214" s="302"/>
      <c r="Y214" s="303"/>
      <c r="Z214" s="304"/>
    </row>
    <row r="215" spans="1:26" ht="15.75">
      <c r="A215" s="6"/>
      <c r="B215" s="7"/>
      <c r="C215" s="6"/>
      <c r="D215" s="6"/>
      <c r="E215" s="6"/>
      <c r="F215" s="6"/>
      <c r="G215" s="6"/>
      <c r="H215" s="1"/>
      <c r="I215" s="9"/>
      <c r="J215" s="9"/>
      <c r="K215" s="11"/>
      <c r="L215" s="1"/>
      <c r="M215" s="205" t="s">
        <v>315</v>
      </c>
      <c r="N215" s="1" t="s">
        <v>315</v>
      </c>
      <c r="O215" s="9"/>
      <c r="P215" s="14">
        <f>Tabela1316[[#This Row],[Valor_recibo]]</f>
        <v>0</v>
      </c>
      <c r="Q215" s="16"/>
      <c r="R215" s="1" t="e">
        <f>VLOOKUP(#REF!,[2]Aprovados!A:A,1,0)</f>
        <v>#REF!</v>
      </c>
      <c r="S215" s="236"/>
      <c r="T215" s="235"/>
      <c r="U215" s="235"/>
      <c r="V215" s="294"/>
      <c r="W215" s="301"/>
      <c r="X215" s="302"/>
      <c r="Y215" s="303"/>
      <c r="Z215" s="304"/>
    </row>
    <row r="216" spans="1:26" ht="15.75">
      <c r="A216" s="6"/>
      <c r="B216" s="7"/>
      <c r="C216" s="6"/>
      <c r="D216" s="6"/>
      <c r="E216" s="6"/>
      <c r="F216" s="6"/>
      <c r="G216" s="6"/>
      <c r="H216" s="1"/>
      <c r="I216" s="9"/>
      <c r="J216" s="9"/>
      <c r="K216" s="11"/>
      <c r="L216" s="1"/>
      <c r="M216" s="205" t="s">
        <v>315</v>
      </c>
      <c r="N216" s="1" t="s">
        <v>315</v>
      </c>
      <c r="O216" s="9"/>
      <c r="P216" s="14">
        <f>Tabela1316[[#This Row],[Valor_recibo]]</f>
        <v>0</v>
      </c>
      <c r="Q216" s="16"/>
      <c r="R216" s="1" t="e">
        <f>VLOOKUP(#REF!,[2]Aprovados!A:A,1,0)</f>
        <v>#REF!</v>
      </c>
      <c r="S216" s="236"/>
      <c r="T216" s="235"/>
      <c r="U216" s="235"/>
      <c r="V216" s="294"/>
      <c r="W216" s="301"/>
      <c r="X216" s="302"/>
      <c r="Y216" s="303"/>
      <c r="Z216" s="304"/>
    </row>
    <row r="217" spans="1:26" ht="15.75">
      <c r="A217" s="6"/>
      <c r="B217" s="7"/>
      <c r="C217" s="6"/>
      <c r="D217" s="6"/>
      <c r="E217" s="6"/>
      <c r="F217" s="6"/>
      <c r="G217" s="6"/>
      <c r="H217" s="1"/>
      <c r="I217" s="9"/>
      <c r="J217" s="9"/>
      <c r="K217" s="11"/>
      <c r="L217" s="1"/>
      <c r="M217" s="205" t="s">
        <v>315</v>
      </c>
      <c r="N217" s="1" t="s">
        <v>315</v>
      </c>
      <c r="O217" s="9"/>
      <c r="P217" s="14">
        <f>Tabela1316[[#This Row],[Valor_recibo]]</f>
        <v>0</v>
      </c>
      <c r="Q217" s="16"/>
      <c r="R217" s="1" t="e">
        <f>VLOOKUP(#REF!,[2]Aprovados!A:A,1,0)</f>
        <v>#REF!</v>
      </c>
      <c r="S217" s="236"/>
      <c r="T217" s="235"/>
      <c r="U217" s="235"/>
      <c r="V217" s="294"/>
      <c r="W217" s="301"/>
      <c r="X217" s="302"/>
      <c r="Y217" s="303"/>
      <c r="Z217" s="304"/>
    </row>
    <row r="218" spans="1:26" ht="15.75">
      <c r="A218" s="6"/>
      <c r="B218" s="7"/>
      <c r="C218" s="6"/>
      <c r="D218" s="6"/>
      <c r="E218" s="6"/>
      <c r="F218" s="6"/>
      <c r="G218" s="6"/>
      <c r="H218" s="1"/>
      <c r="I218" s="9"/>
      <c r="J218" s="9"/>
      <c r="K218" s="11"/>
      <c r="L218" s="1"/>
      <c r="M218" s="205" t="s">
        <v>315</v>
      </c>
      <c r="N218" s="1" t="s">
        <v>315</v>
      </c>
      <c r="O218" s="9"/>
      <c r="P218" s="14">
        <f>Tabela1316[[#This Row],[Valor_recibo]]</f>
        <v>0</v>
      </c>
      <c r="Q218" s="16"/>
      <c r="R218" s="1" t="e">
        <f>VLOOKUP(#REF!,[2]Aprovados!A:A,1,0)</f>
        <v>#REF!</v>
      </c>
      <c r="S218" s="236"/>
      <c r="T218" s="235"/>
      <c r="U218" s="235"/>
      <c r="V218" s="294"/>
      <c r="W218" s="301"/>
      <c r="X218" s="302"/>
      <c r="Y218" s="303"/>
      <c r="Z218" s="304"/>
    </row>
    <row r="219" spans="1:26" ht="15.75">
      <c r="A219" s="6"/>
      <c r="B219" s="7"/>
      <c r="C219" s="6"/>
      <c r="D219" s="6"/>
      <c r="E219" s="6"/>
      <c r="F219" s="6"/>
      <c r="G219" s="6"/>
      <c r="H219" s="1"/>
      <c r="I219" s="9"/>
      <c r="J219" s="9"/>
      <c r="K219" s="11"/>
      <c r="L219" s="1"/>
      <c r="M219" s="205" t="s">
        <v>315</v>
      </c>
      <c r="N219" s="1" t="s">
        <v>315</v>
      </c>
      <c r="O219" s="9"/>
      <c r="P219" s="14">
        <f>Tabela1316[[#This Row],[Valor_recibo]]</f>
        <v>0</v>
      </c>
      <c r="Q219" s="16"/>
      <c r="R219" s="1" t="e">
        <f>VLOOKUP(#REF!,[2]Aprovados!A:A,1,0)</f>
        <v>#REF!</v>
      </c>
      <c r="S219" s="236"/>
      <c r="T219" s="235"/>
      <c r="U219" s="235"/>
      <c r="V219" s="294"/>
      <c r="W219" s="301"/>
      <c r="X219" s="302"/>
      <c r="Y219" s="303"/>
      <c r="Z219" s="304"/>
    </row>
    <row r="220" spans="1:26" ht="15.75">
      <c r="A220" s="6"/>
      <c r="B220" s="7"/>
      <c r="C220" s="6"/>
      <c r="D220" s="6"/>
      <c r="E220" s="6"/>
      <c r="F220" s="6"/>
      <c r="G220" s="6"/>
      <c r="H220" s="1"/>
      <c r="I220" s="9"/>
      <c r="J220" s="9"/>
      <c r="K220" s="11"/>
      <c r="L220" s="1"/>
      <c r="M220" s="205" t="s">
        <v>315</v>
      </c>
      <c r="N220" s="1" t="s">
        <v>315</v>
      </c>
      <c r="O220" s="9"/>
      <c r="P220" s="14">
        <f>Tabela1316[[#This Row],[Valor_recibo]]</f>
        <v>0</v>
      </c>
      <c r="Q220" s="16"/>
      <c r="R220" s="1" t="e">
        <f>VLOOKUP(#REF!,[2]Aprovados!A:A,1,0)</f>
        <v>#REF!</v>
      </c>
      <c r="S220" s="236"/>
      <c r="T220" s="235"/>
      <c r="U220" s="235"/>
      <c r="V220" s="294"/>
      <c r="W220" s="301"/>
      <c r="X220" s="302"/>
      <c r="Y220" s="303"/>
      <c r="Z220" s="304"/>
    </row>
    <row r="221" spans="1:26" ht="15.75">
      <c r="A221" s="6"/>
      <c r="B221" s="7"/>
      <c r="C221" s="6"/>
      <c r="D221" s="6"/>
      <c r="E221" s="6"/>
      <c r="F221" s="6"/>
      <c r="G221" s="6"/>
      <c r="H221" s="1"/>
      <c r="I221" s="9"/>
      <c r="J221" s="9"/>
      <c r="K221" s="11"/>
      <c r="L221" s="1"/>
      <c r="M221" s="205" t="s">
        <v>315</v>
      </c>
      <c r="N221" s="1" t="s">
        <v>315</v>
      </c>
      <c r="O221" s="9"/>
      <c r="P221" s="14">
        <f>Tabela1316[[#This Row],[Valor_recibo]]</f>
        <v>0</v>
      </c>
      <c r="Q221" s="16"/>
      <c r="R221" s="1" t="e">
        <f>VLOOKUP(#REF!,[2]Aprovados!A:A,1,0)</f>
        <v>#REF!</v>
      </c>
      <c r="S221" s="236"/>
      <c r="T221" s="235"/>
      <c r="U221" s="235"/>
      <c r="V221" s="294"/>
      <c r="W221" s="301"/>
      <c r="X221" s="302"/>
      <c r="Y221" s="303"/>
      <c r="Z221" s="304"/>
    </row>
    <row r="222" spans="1:26" ht="15.75">
      <c r="A222" s="6"/>
      <c r="B222" s="7"/>
      <c r="C222" s="6"/>
      <c r="D222" s="6"/>
      <c r="E222" s="6"/>
      <c r="F222" s="6"/>
      <c r="G222" s="6"/>
      <c r="H222" s="1"/>
      <c r="I222" s="9"/>
      <c r="J222" s="9"/>
      <c r="K222" s="11"/>
      <c r="L222" s="1"/>
      <c r="M222" s="205" t="s">
        <v>315</v>
      </c>
      <c r="N222" s="1" t="s">
        <v>315</v>
      </c>
      <c r="O222" s="9"/>
      <c r="P222" s="14">
        <f>Tabela1316[[#This Row],[Valor_recibo]]</f>
        <v>0</v>
      </c>
      <c r="Q222" s="16"/>
      <c r="R222" s="1" t="e">
        <f>VLOOKUP(#REF!,[2]Aprovados!A:A,1,0)</f>
        <v>#REF!</v>
      </c>
      <c r="S222" s="236"/>
      <c r="T222" s="235"/>
      <c r="U222" s="235"/>
      <c r="V222" s="294"/>
      <c r="W222" s="301"/>
      <c r="X222" s="302"/>
      <c r="Y222" s="303"/>
      <c r="Z222" s="304"/>
    </row>
    <row r="223" spans="1:26" ht="15.75">
      <c r="A223" s="6"/>
      <c r="B223" s="7"/>
      <c r="C223" s="6"/>
      <c r="D223" s="6"/>
      <c r="E223" s="6"/>
      <c r="F223" s="6"/>
      <c r="G223" s="6"/>
      <c r="H223" s="1"/>
      <c r="I223" s="9"/>
      <c r="J223" s="9"/>
      <c r="K223" s="11"/>
      <c r="L223" s="1"/>
      <c r="M223" s="205" t="s">
        <v>315</v>
      </c>
      <c r="N223" s="1" t="s">
        <v>315</v>
      </c>
      <c r="O223" s="9"/>
      <c r="P223" s="14">
        <f>Tabela1316[[#This Row],[Valor_recibo]]</f>
        <v>0</v>
      </c>
      <c r="Q223" s="16"/>
      <c r="R223" s="1" t="e">
        <f>VLOOKUP(#REF!,[2]Aprovados!A:A,1,0)</f>
        <v>#REF!</v>
      </c>
      <c r="S223" s="236"/>
      <c r="T223" s="235"/>
      <c r="U223" s="235"/>
      <c r="V223" s="294"/>
      <c r="W223" s="301"/>
      <c r="X223" s="302"/>
      <c r="Y223" s="303"/>
      <c r="Z223" s="304"/>
    </row>
    <row r="224" spans="1:26" ht="15.75">
      <c r="A224" s="6"/>
      <c r="B224" s="7"/>
      <c r="C224" s="6"/>
      <c r="D224" s="6"/>
      <c r="E224" s="6"/>
      <c r="F224" s="6"/>
      <c r="G224" s="6"/>
      <c r="H224" s="1"/>
      <c r="I224" s="9"/>
      <c r="J224" s="9"/>
      <c r="K224" s="11"/>
      <c r="L224" s="1"/>
      <c r="M224" s="205" t="s">
        <v>315</v>
      </c>
      <c r="N224" s="1" t="s">
        <v>315</v>
      </c>
      <c r="O224" s="9"/>
      <c r="P224" s="14">
        <f>Tabela1316[[#This Row],[Valor_recibo]]</f>
        <v>0</v>
      </c>
      <c r="Q224" s="16"/>
      <c r="R224" s="1" t="e">
        <f>VLOOKUP(#REF!,[2]Aprovados!A:A,1,0)</f>
        <v>#REF!</v>
      </c>
      <c r="S224" s="236"/>
      <c r="T224" s="235"/>
      <c r="U224" s="235"/>
      <c r="V224" s="294"/>
      <c r="W224" s="301"/>
      <c r="X224" s="302"/>
      <c r="Y224" s="303"/>
      <c r="Z224" s="304"/>
    </row>
    <row r="225" spans="1:26" ht="15.75">
      <c r="A225" s="6"/>
      <c r="B225" s="7"/>
      <c r="C225" s="6"/>
      <c r="D225" s="6"/>
      <c r="E225" s="6"/>
      <c r="F225" s="6"/>
      <c r="G225" s="6"/>
      <c r="H225" s="1"/>
      <c r="I225" s="9"/>
      <c r="J225" s="9"/>
      <c r="K225" s="11"/>
      <c r="L225" s="1"/>
      <c r="M225" s="205" t="s">
        <v>315</v>
      </c>
      <c r="N225" s="1" t="s">
        <v>315</v>
      </c>
      <c r="O225" s="9"/>
      <c r="P225" s="14">
        <f>Tabela1316[[#This Row],[Valor_recibo]]</f>
        <v>0</v>
      </c>
      <c r="Q225" s="16"/>
      <c r="R225" s="1" t="e">
        <f>VLOOKUP(#REF!,[2]Aprovados!A:A,1,0)</f>
        <v>#REF!</v>
      </c>
      <c r="S225" s="236"/>
      <c r="T225" s="235"/>
      <c r="U225" s="235"/>
      <c r="V225" s="294"/>
      <c r="W225" s="301"/>
      <c r="X225" s="302"/>
      <c r="Y225" s="303"/>
      <c r="Z225" s="304"/>
    </row>
    <row r="226" spans="1:26" ht="15.75">
      <c r="A226" s="6"/>
      <c r="B226" s="7"/>
      <c r="C226" s="6"/>
      <c r="D226" s="6"/>
      <c r="E226" s="6"/>
      <c r="F226" s="6"/>
      <c r="G226" s="6"/>
      <c r="H226" s="1"/>
      <c r="I226" s="9"/>
      <c r="J226" s="9"/>
      <c r="K226" s="11"/>
      <c r="L226" s="1"/>
      <c r="M226" s="205" t="s">
        <v>315</v>
      </c>
      <c r="N226" s="1" t="s">
        <v>315</v>
      </c>
      <c r="O226" s="9"/>
      <c r="P226" s="14">
        <f>Tabela1316[[#This Row],[Valor_recibo]]</f>
        <v>0</v>
      </c>
      <c r="Q226" s="16"/>
      <c r="R226" s="1" t="e">
        <f>VLOOKUP(#REF!,[2]Aprovados!A:A,1,0)</f>
        <v>#REF!</v>
      </c>
      <c r="S226" s="236"/>
      <c r="T226" s="235"/>
      <c r="U226" s="235"/>
      <c r="V226" s="294"/>
      <c r="W226" s="301"/>
      <c r="X226" s="302"/>
      <c r="Y226" s="303"/>
      <c r="Z226" s="304"/>
    </row>
    <row r="227" spans="1:26" ht="15.75">
      <c r="A227" s="6"/>
      <c r="B227" s="7"/>
      <c r="C227" s="6"/>
      <c r="D227" s="6"/>
      <c r="E227" s="6"/>
      <c r="F227" s="6"/>
      <c r="G227" s="6"/>
      <c r="H227" s="1"/>
      <c r="I227" s="9"/>
      <c r="J227" s="9"/>
      <c r="K227" s="11"/>
      <c r="L227" s="1"/>
      <c r="M227" s="205" t="s">
        <v>315</v>
      </c>
      <c r="N227" s="1" t="s">
        <v>315</v>
      </c>
      <c r="O227" s="9"/>
      <c r="P227" s="14">
        <f>Tabela1316[[#This Row],[Valor_recibo]]</f>
        <v>0</v>
      </c>
      <c r="Q227" s="16"/>
      <c r="R227" s="1" t="e">
        <f>VLOOKUP(#REF!,[2]Aprovados!A:A,1,0)</f>
        <v>#REF!</v>
      </c>
      <c r="S227" s="236"/>
      <c r="T227" s="235"/>
      <c r="U227" s="235"/>
      <c r="V227" s="294"/>
      <c r="W227" s="301"/>
      <c r="X227" s="302"/>
      <c r="Y227" s="303"/>
      <c r="Z227" s="304"/>
    </row>
    <row r="228" spans="1:26" ht="15.75">
      <c r="A228" s="6"/>
      <c r="B228" s="7"/>
      <c r="C228" s="6"/>
      <c r="D228" s="6"/>
      <c r="E228" s="6"/>
      <c r="F228" s="6"/>
      <c r="G228" s="6"/>
      <c r="H228" s="1"/>
      <c r="I228" s="9"/>
      <c r="J228" s="9"/>
      <c r="K228" s="11"/>
      <c r="L228" s="1"/>
      <c r="M228" s="205" t="s">
        <v>315</v>
      </c>
      <c r="N228" s="1" t="s">
        <v>315</v>
      </c>
      <c r="O228" s="9"/>
      <c r="P228" s="14">
        <f>Tabela1316[[#This Row],[Valor_recibo]]</f>
        <v>0</v>
      </c>
      <c r="Q228" s="16"/>
      <c r="R228" s="1" t="e">
        <f>VLOOKUP(#REF!,[2]Aprovados!A:A,1,0)</f>
        <v>#REF!</v>
      </c>
      <c r="S228" s="236"/>
      <c r="T228" s="235"/>
      <c r="U228" s="235"/>
      <c r="V228" s="294"/>
      <c r="W228" s="301"/>
      <c r="X228" s="302"/>
      <c r="Y228" s="303"/>
      <c r="Z228" s="304"/>
    </row>
    <row r="229" spans="1:26" ht="15.75">
      <c r="A229" s="6"/>
      <c r="B229" s="7"/>
      <c r="C229" s="6"/>
      <c r="D229" s="6"/>
      <c r="E229" s="6"/>
      <c r="F229" s="6"/>
      <c r="G229" s="6"/>
      <c r="H229" s="1"/>
      <c r="I229" s="9"/>
      <c r="J229" s="9"/>
      <c r="K229" s="11"/>
      <c r="L229" s="1"/>
      <c r="M229" s="205" t="s">
        <v>315</v>
      </c>
      <c r="N229" s="1" t="s">
        <v>315</v>
      </c>
      <c r="O229" s="9"/>
      <c r="P229" s="14">
        <f>Tabela1316[[#This Row],[Valor_recibo]]</f>
        <v>0</v>
      </c>
      <c r="Q229" s="16"/>
      <c r="R229" s="1" t="e">
        <f>VLOOKUP(#REF!,[2]Aprovados!A:A,1,0)</f>
        <v>#REF!</v>
      </c>
      <c r="S229" s="236"/>
      <c r="T229" s="235"/>
      <c r="U229" s="235"/>
      <c r="V229" s="294"/>
      <c r="W229" s="301"/>
      <c r="X229" s="302"/>
      <c r="Y229" s="303"/>
      <c r="Z229" s="304"/>
    </row>
    <row r="230" spans="1:26" ht="15.75">
      <c r="A230" s="6"/>
      <c r="B230" s="7"/>
      <c r="C230" s="6"/>
      <c r="D230" s="6"/>
      <c r="E230" s="6"/>
      <c r="F230" s="6"/>
      <c r="G230" s="6"/>
      <c r="H230" s="1"/>
      <c r="I230" s="9"/>
      <c r="J230" s="9"/>
      <c r="K230" s="11"/>
      <c r="L230" s="1"/>
      <c r="M230" s="205" t="s">
        <v>315</v>
      </c>
      <c r="N230" s="1" t="s">
        <v>315</v>
      </c>
      <c r="O230" s="9"/>
      <c r="P230" s="14">
        <f>Tabela1316[[#This Row],[Valor_recibo]]</f>
        <v>0</v>
      </c>
      <c r="Q230" s="16"/>
      <c r="R230" s="1" t="e">
        <f>VLOOKUP(#REF!,[2]Aprovados!A:A,1,0)</f>
        <v>#REF!</v>
      </c>
      <c r="S230" s="236"/>
      <c r="T230" s="235"/>
      <c r="U230" s="235"/>
      <c r="V230" s="294"/>
      <c r="W230" s="301"/>
      <c r="X230" s="302"/>
      <c r="Y230" s="303"/>
      <c r="Z230" s="304"/>
    </row>
    <row r="231" spans="1:26" ht="15.75">
      <c r="A231" s="6"/>
      <c r="B231" s="7"/>
      <c r="C231" s="6"/>
      <c r="D231" s="6"/>
      <c r="E231" s="6"/>
      <c r="F231" s="6"/>
      <c r="G231" s="6"/>
      <c r="H231" s="1"/>
      <c r="I231" s="9"/>
      <c r="J231" s="9"/>
      <c r="K231" s="11"/>
      <c r="L231" s="1"/>
      <c r="M231" s="205" t="s">
        <v>315</v>
      </c>
      <c r="N231" s="1" t="s">
        <v>315</v>
      </c>
      <c r="O231" s="9"/>
      <c r="P231" s="14">
        <f>Tabela1316[[#This Row],[Valor_recibo]]</f>
        <v>0</v>
      </c>
      <c r="Q231" s="16"/>
      <c r="R231" s="1" t="e">
        <f>VLOOKUP(#REF!,[2]Aprovados!A:A,1,0)</f>
        <v>#REF!</v>
      </c>
      <c r="S231" s="236"/>
      <c r="T231" s="235"/>
      <c r="U231" s="235"/>
      <c r="V231" s="294"/>
      <c r="W231" s="301"/>
      <c r="X231" s="302"/>
      <c r="Y231" s="303"/>
      <c r="Z231" s="304"/>
    </row>
    <row r="232" spans="1:26" ht="15.75">
      <c r="A232" s="6"/>
      <c r="B232" s="7"/>
      <c r="C232" s="6"/>
      <c r="D232" s="6"/>
      <c r="E232" s="6"/>
      <c r="F232" s="6"/>
      <c r="G232" s="6"/>
      <c r="H232" s="1"/>
      <c r="I232" s="9"/>
      <c r="J232" s="9"/>
      <c r="K232" s="11"/>
      <c r="L232" s="1"/>
      <c r="M232" s="205" t="s">
        <v>315</v>
      </c>
      <c r="N232" s="1" t="s">
        <v>315</v>
      </c>
      <c r="O232" s="9"/>
      <c r="P232" s="14">
        <f>Tabela1316[[#This Row],[Valor_recibo]]</f>
        <v>0</v>
      </c>
      <c r="Q232" s="16"/>
      <c r="R232" s="1" t="e">
        <f>VLOOKUP(#REF!,[2]Aprovados!A:A,1,0)</f>
        <v>#REF!</v>
      </c>
      <c r="S232" s="236"/>
      <c r="T232" s="235"/>
      <c r="U232" s="235"/>
      <c r="V232" s="294"/>
      <c r="W232" s="301"/>
      <c r="X232" s="302"/>
      <c r="Y232" s="303"/>
      <c r="Z232" s="304"/>
    </row>
    <row r="233" spans="1:26" ht="15.75">
      <c r="A233" s="6"/>
      <c r="B233" s="7"/>
      <c r="C233" s="6"/>
      <c r="D233" s="6"/>
      <c r="E233" s="6"/>
      <c r="F233" s="6"/>
      <c r="G233" s="6"/>
      <c r="H233" s="1"/>
      <c r="I233" s="9"/>
      <c r="J233" s="9"/>
      <c r="K233" s="11"/>
      <c r="L233" s="1"/>
      <c r="M233" s="205" t="s">
        <v>315</v>
      </c>
      <c r="N233" s="1" t="s">
        <v>315</v>
      </c>
      <c r="O233" s="9"/>
      <c r="P233" s="14">
        <f>Tabela1316[[#This Row],[Valor_recibo]]</f>
        <v>0</v>
      </c>
      <c r="Q233" s="16"/>
      <c r="R233" s="1" t="e">
        <f>VLOOKUP(#REF!,[2]Aprovados!A:A,1,0)</f>
        <v>#REF!</v>
      </c>
      <c r="S233" s="236"/>
      <c r="T233" s="235"/>
      <c r="U233" s="235"/>
      <c r="V233" s="294"/>
      <c r="W233" s="301"/>
      <c r="X233" s="302"/>
      <c r="Y233" s="303"/>
      <c r="Z233" s="304"/>
    </row>
    <row r="234" spans="1:26" ht="15.75">
      <c r="A234" s="6"/>
      <c r="B234" s="7"/>
      <c r="C234" s="6"/>
      <c r="D234" s="6"/>
      <c r="E234" s="6"/>
      <c r="F234" s="6"/>
      <c r="G234" s="6"/>
      <c r="H234" s="1"/>
      <c r="I234" s="9"/>
      <c r="J234" s="9"/>
      <c r="K234" s="11"/>
      <c r="L234" s="1"/>
      <c r="M234" s="205" t="s">
        <v>315</v>
      </c>
      <c r="N234" s="1" t="s">
        <v>315</v>
      </c>
      <c r="O234" s="9"/>
      <c r="P234" s="14">
        <f>Tabela1316[[#This Row],[Valor_recibo]]</f>
        <v>0</v>
      </c>
      <c r="Q234" s="16"/>
      <c r="R234" s="1" t="e">
        <f>VLOOKUP(#REF!,[2]Aprovados!A:A,1,0)</f>
        <v>#REF!</v>
      </c>
      <c r="S234" s="236"/>
      <c r="T234" s="235"/>
      <c r="U234" s="235"/>
      <c r="V234" s="294"/>
      <c r="W234" s="301"/>
      <c r="X234" s="302"/>
      <c r="Y234" s="303"/>
      <c r="Z234" s="304"/>
    </row>
    <row r="235" spans="1:26" ht="15.75">
      <c r="A235" s="6"/>
      <c r="B235" s="7"/>
      <c r="C235" s="6"/>
      <c r="D235" s="6"/>
      <c r="E235" s="6"/>
      <c r="F235" s="6"/>
      <c r="G235" s="6"/>
      <c r="H235" s="1"/>
      <c r="I235" s="9"/>
      <c r="J235" s="9"/>
      <c r="K235" s="11"/>
      <c r="L235" s="1"/>
      <c r="M235" s="205" t="s">
        <v>315</v>
      </c>
      <c r="N235" s="1" t="s">
        <v>315</v>
      </c>
      <c r="O235" s="9"/>
      <c r="P235" s="14">
        <f>Tabela1316[[#This Row],[Valor_recibo]]</f>
        <v>0</v>
      </c>
      <c r="Q235" s="16"/>
      <c r="R235" s="1" t="e">
        <f>VLOOKUP(#REF!,[2]Aprovados!A:A,1,0)</f>
        <v>#REF!</v>
      </c>
      <c r="S235" s="236"/>
      <c r="T235" s="235"/>
      <c r="U235" s="235"/>
      <c r="V235" s="294"/>
      <c r="W235" s="301"/>
      <c r="X235" s="302"/>
      <c r="Y235" s="303"/>
      <c r="Z235" s="304"/>
    </row>
    <row r="236" spans="1:26" ht="15.75">
      <c r="A236" s="6"/>
      <c r="B236" s="7"/>
      <c r="C236" s="6"/>
      <c r="D236" s="6"/>
      <c r="E236" s="6"/>
      <c r="F236" s="6"/>
      <c r="G236" s="6"/>
      <c r="H236" s="1"/>
      <c r="I236" s="9"/>
      <c r="J236" s="9"/>
      <c r="K236" s="11"/>
      <c r="L236" s="1"/>
      <c r="M236" s="205" t="s">
        <v>315</v>
      </c>
      <c r="N236" s="1" t="s">
        <v>315</v>
      </c>
      <c r="O236" s="9"/>
      <c r="P236" s="14">
        <f>Tabela1316[[#This Row],[Valor_recibo]]</f>
        <v>0</v>
      </c>
      <c r="Q236" s="16"/>
      <c r="R236" s="1" t="e">
        <f>VLOOKUP(#REF!,[2]Aprovados!A:A,1,0)</f>
        <v>#REF!</v>
      </c>
      <c r="S236" s="236"/>
      <c r="T236" s="235"/>
      <c r="U236" s="235"/>
      <c r="V236" s="294"/>
      <c r="W236" s="301"/>
      <c r="X236" s="302"/>
      <c r="Y236" s="303"/>
      <c r="Z236" s="304"/>
    </row>
    <row r="237" spans="1:26" ht="15.75">
      <c r="A237" s="6"/>
      <c r="B237" s="7"/>
      <c r="C237" s="6"/>
      <c r="D237" s="6"/>
      <c r="E237" s="6"/>
      <c r="F237" s="6"/>
      <c r="G237" s="6"/>
      <c r="H237" s="1"/>
      <c r="I237" s="9"/>
      <c r="J237" s="9"/>
      <c r="K237" s="11"/>
      <c r="L237" s="1"/>
      <c r="M237" s="205" t="s">
        <v>315</v>
      </c>
      <c r="N237" s="1" t="s">
        <v>315</v>
      </c>
      <c r="O237" s="9"/>
      <c r="P237" s="14">
        <f>Tabela1316[[#This Row],[Valor_recibo]]</f>
        <v>0</v>
      </c>
      <c r="Q237" s="16"/>
      <c r="R237" s="1" t="e">
        <f>VLOOKUP(#REF!,[2]Aprovados!A:A,1,0)</f>
        <v>#REF!</v>
      </c>
      <c r="S237" s="236"/>
      <c r="T237" s="235"/>
      <c r="U237" s="235"/>
      <c r="V237" s="294"/>
      <c r="W237" s="301"/>
      <c r="X237" s="302"/>
      <c r="Y237" s="303"/>
      <c r="Z237" s="304"/>
    </row>
    <row r="238" spans="1:26" ht="15.75">
      <c r="A238" s="6"/>
      <c r="B238" s="7"/>
      <c r="C238" s="6"/>
      <c r="D238" s="6"/>
      <c r="E238" s="6"/>
      <c r="F238" s="6"/>
      <c r="G238" s="6"/>
      <c r="H238" s="1"/>
      <c r="I238" s="9"/>
      <c r="J238" s="9"/>
      <c r="K238" s="11"/>
      <c r="L238" s="1"/>
      <c r="M238" s="205" t="s">
        <v>315</v>
      </c>
      <c r="N238" s="1" t="s">
        <v>315</v>
      </c>
      <c r="O238" s="9"/>
      <c r="P238" s="14">
        <f>Tabela1316[[#This Row],[Valor_recibo]]</f>
        <v>0</v>
      </c>
      <c r="Q238" s="16"/>
      <c r="R238" s="1" t="e">
        <f>VLOOKUP(#REF!,[2]Aprovados!A:A,1,0)</f>
        <v>#REF!</v>
      </c>
      <c r="S238" s="236"/>
      <c r="T238" s="235"/>
      <c r="U238" s="235"/>
      <c r="V238" s="294"/>
      <c r="W238" s="301"/>
      <c r="X238" s="302"/>
      <c r="Y238" s="303"/>
      <c r="Z238" s="304"/>
    </row>
    <row r="239" spans="1:26" ht="15.75">
      <c r="A239" s="6"/>
      <c r="B239" s="7"/>
      <c r="C239" s="6"/>
      <c r="D239" s="6"/>
      <c r="E239" s="6"/>
      <c r="F239" s="6"/>
      <c r="G239" s="6"/>
      <c r="H239" s="1"/>
      <c r="I239" s="9"/>
      <c r="J239" s="9"/>
      <c r="K239" s="11"/>
      <c r="L239" s="1"/>
      <c r="M239" s="205" t="s">
        <v>315</v>
      </c>
      <c r="N239" s="1" t="s">
        <v>315</v>
      </c>
      <c r="O239" s="9"/>
      <c r="P239" s="14">
        <f>Tabela1316[[#This Row],[Valor_recibo]]</f>
        <v>0</v>
      </c>
      <c r="Q239" s="16"/>
      <c r="R239" s="1" t="e">
        <f>VLOOKUP(#REF!,[2]Aprovados!A:A,1,0)</f>
        <v>#REF!</v>
      </c>
      <c r="S239" s="236"/>
      <c r="T239" s="235"/>
      <c r="U239" s="235"/>
      <c r="V239" s="294"/>
      <c r="W239" s="301"/>
      <c r="X239" s="302"/>
      <c r="Y239" s="303"/>
      <c r="Z239" s="304"/>
    </row>
    <row r="240" spans="1:26" ht="15.75">
      <c r="A240" s="6"/>
      <c r="B240" s="7"/>
      <c r="C240" s="6"/>
      <c r="D240" s="6"/>
      <c r="E240" s="6"/>
      <c r="F240" s="6"/>
      <c r="G240" s="6"/>
      <c r="H240" s="1"/>
      <c r="I240" s="9"/>
      <c r="J240" s="9"/>
      <c r="K240" s="11"/>
      <c r="L240" s="1"/>
      <c r="M240" s="205" t="s">
        <v>315</v>
      </c>
      <c r="N240" s="1" t="s">
        <v>315</v>
      </c>
      <c r="O240" s="9"/>
      <c r="P240" s="14">
        <f>Tabela1316[[#This Row],[Valor_recibo]]</f>
        <v>0</v>
      </c>
      <c r="Q240" s="16"/>
      <c r="R240" s="1" t="e">
        <f>VLOOKUP(#REF!,[2]Aprovados!A:A,1,0)</f>
        <v>#REF!</v>
      </c>
      <c r="S240" s="236"/>
      <c r="T240" s="235"/>
      <c r="U240" s="235"/>
      <c r="V240" s="294"/>
      <c r="W240" s="301" t="s">
        <v>315</v>
      </c>
      <c r="X240" s="302"/>
      <c r="Y240" s="303"/>
      <c r="Z240" s="304"/>
    </row>
    <row r="241" spans="1:26" ht="15.75">
      <c r="A241" s="6"/>
      <c r="B241" s="7"/>
      <c r="C241" s="6"/>
      <c r="D241" s="6"/>
      <c r="E241" s="6"/>
      <c r="F241" s="6"/>
      <c r="G241" s="6"/>
      <c r="H241" s="1"/>
      <c r="I241" s="9"/>
      <c r="J241" s="9"/>
      <c r="K241" s="11"/>
      <c r="L241" s="1"/>
      <c r="M241" s="205" t="s">
        <v>315</v>
      </c>
      <c r="N241" s="1" t="s">
        <v>315</v>
      </c>
      <c r="O241" s="9"/>
      <c r="P241" s="14">
        <f>Tabela1316[[#This Row],[Valor_recibo]]</f>
        <v>0</v>
      </c>
      <c r="Q241" s="16"/>
      <c r="R241" s="1" t="e">
        <f>VLOOKUP(#REF!,[2]Aprovados!A:A,1,0)</f>
        <v>#REF!</v>
      </c>
      <c r="S241" s="236"/>
      <c r="T241" s="235"/>
      <c r="U241" s="235"/>
      <c r="V241" s="294"/>
      <c r="W241" s="301" t="s">
        <v>315</v>
      </c>
      <c r="X241" s="302"/>
      <c r="Y241" s="303"/>
      <c r="Z241" s="304"/>
    </row>
    <row r="242" spans="1:26" ht="15.75">
      <c r="A242" s="6"/>
      <c r="B242" s="7"/>
      <c r="C242" s="6"/>
      <c r="D242" s="6"/>
      <c r="E242" s="6"/>
      <c r="F242" s="6"/>
      <c r="G242" s="6"/>
      <c r="H242" s="1"/>
      <c r="I242" s="9"/>
      <c r="J242" s="9"/>
      <c r="K242" s="11"/>
      <c r="L242" s="1"/>
      <c r="M242" s="205" t="s">
        <v>315</v>
      </c>
      <c r="N242" s="1" t="s">
        <v>315</v>
      </c>
      <c r="O242" s="9"/>
      <c r="P242" s="14">
        <f>Tabela1316[[#This Row],[Valor_recibo]]</f>
        <v>0</v>
      </c>
      <c r="Q242" s="16"/>
      <c r="R242" s="1" t="e">
        <f>VLOOKUP(#REF!,[2]Aprovados!A:A,1,0)</f>
        <v>#REF!</v>
      </c>
      <c r="S242" s="236"/>
      <c r="T242" s="235"/>
      <c r="U242" s="235"/>
      <c r="V242" s="294"/>
      <c r="W242" s="301" t="s">
        <v>315</v>
      </c>
      <c r="X242" s="302"/>
      <c r="Y242" s="303"/>
      <c r="Z242" s="304"/>
    </row>
    <row r="243" spans="1:26" ht="15.75">
      <c r="A243" s="6"/>
      <c r="B243" s="7"/>
      <c r="C243" s="6"/>
      <c r="D243" s="6"/>
      <c r="E243" s="6"/>
      <c r="F243" s="6"/>
      <c r="G243" s="6"/>
      <c r="H243" s="1"/>
      <c r="I243" s="9"/>
      <c r="J243" s="9"/>
      <c r="K243" s="11"/>
      <c r="L243" s="1"/>
      <c r="M243" s="205" t="s">
        <v>315</v>
      </c>
      <c r="N243" s="1" t="s">
        <v>315</v>
      </c>
      <c r="O243" s="9"/>
      <c r="P243" s="14">
        <f>Tabela1316[[#This Row],[Valor_recibo]]</f>
        <v>0</v>
      </c>
      <c r="Q243" s="16"/>
      <c r="R243" s="1" t="e">
        <f>VLOOKUP(#REF!,[2]Aprovados!A:A,1,0)</f>
        <v>#REF!</v>
      </c>
      <c r="S243" s="236"/>
      <c r="T243" s="235"/>
      <c r="U243" s="235"/>
      <c r="V243" s="294"/>
      <c r="W243" s="301" t="s">
        <v>315</v>
      </c>
      <c r="X243" s="302"/>
      <c r="Y243" s="303"/>
      <c r="Z243" s="304"/>
    </row>
    <row r="244" spans="1:26" ht="15.75">
      <c r="A244" s="6"/>
      <c r="B244" s="7"/>
      <c r="C244" s="6"/>
      <c r="D244" s="6"/>
      <c r="E244" s="6"/>
      <c r="F244" s="6"/>
      <c r="G244" s="6"/>
      <c r="H244" s="1"/>
      <c r="I244" s="9"/>
      <c r="J244" s="9"/>
      <c r="K244" s="11"/>
      <c r="L244" s="1"/>
      <c r="M244" s="205" t="s">
        <v>315</v>
      </c>
      <c r="N244" s="1" t="s">
        <v>315</v>
      </c>
      <c r="O244" s="9"/>
      <c r="P244" s="14">
        <f>Tabela1316[[#This Row],[Valor_recibo]]</f>
        <v>0</v>
      </c>
      <c r="Q244" s="16"/>
      <c r="R244" s="1" t="e">
        <f>VLOOKUP(#REF!,[2]Aprovados!A:A,1,0)</f>
        <v>#REF!</v>
      </c>
      <c r="S244" s="236"/>
      <c r="T244" s="235"/>
      <c r="U244" s="235"/>
      <c r="V244" s="294"/>
      <c r="W244" s="301" t="s">
        <v>315</v>
      </c>
      <c r="X244" s="302"/>
      <c r="Y244" s="303"/>
      <c r="Z244" s="304"/>
    </row>
    <row r="245" spans="1:26" ht="15.75">
      <c r="A245" s="6"/>
      <c r="B245" s="7"/>
      <c r="C245" s="6"/>
      <c r="D245" s="6"/>
      <c r="E245" s="6"/>
      <c r="F245" s="6"/>
      <c r="G245" s="6"/>
      <c r="H245" s="1"/>
      <c r="I245" s="9"/>
      <c r="J245" s="9"/>
      <c r="K245" s="11"/>
      <c r="L245" s="1"/>
      <c r="M245" s="205" t="s">
        <v>315</v>
      </c>
      <c r="N245" s="1" t="s">
        <v>315</v>
      </c>
      <c r="O245" s="9"/>
      <c r="P245" s="14">
        <f>Tabela1316[[#This Row],[Valor_recibo]]</f>
        <v>0</v>
      </c>
      <c r="Q245" s="16"/>
      <c r="R245" s="1" t="e">
        <f>VLOOKUP(#REF!,[2]Aprovados!A:A,1,0)</f>
        <v>#REF!</v>
      </c>
      <c r="S245" s="236"/>
      <c r="T245" s="235"/>
      <c r="U245" s="235"/>
      <c r="V245" s="294"/>
      <c r="W245" s="301" t="s">
        <v>315</v>
      </c>
      <c r="X245" s="302"/>
      <c r="Y245" s="303"/>
      <c r="Z245" s="304"/>
    </row>
    <row r="246" spans="1:26" ht="15.75">
      <c r="A246" s="6"/>
      <c r="B246" s="7"/>
      <c r="C246" s="6"/>
      <c r="D246" s="6"/>
      <c r="E246" s="6"/>
      <c r="F246" s="6"/>
      <c r="G246" s="6"/>
      <c r="H246" s="1"/>
      <c r="I246" s="9"/>
      <c r="J246" s="9"/>
      <c r="K246" s="11"/>
      <c r="L246" s="1"/>
      <c r="M246" s="205" t="s">
        <v>315</v>
      </c>
      <c r="N246" s="1" t="s">
        <v>315</v>
      </c>
      <c r="O246" s="9"/>
      <c r="P246" s="14">
        <f>Tabela1316[[#This Row],[Valor_recibo]]</f>
        <v>0</v>
      </c>
      <c r="Q246" s="16"/>
      <c r="R246" s="1" t="e">
        <f>VLOOKUP(#REF!,[2]Aprovados!A:A,1,0)</f>
        <v>#REF!</v>
      </c>
      <c r="S246" s="236"/>
      <c r="T246" s="235"/>
      <c r="U246" s="235"/>
      <c r="V246" s="294"/>
      <c r="W246" s="301" t="s">
        <v>315</v>
      </c>
      <c r="X246" s="302"/>
      <c r="Y246" s="303"/>
      <c r="Z246" s="304"/>
    </row>
    <row r="247" spans="1:26" ht="15.75">
      <c r="A247" s="6"/>
      <c r="B247" s="7"/>
      <c r="C247" s="6"/>
      <c r="D247" s="6"/>
      <c r="E247" s="6"/>
      <c r="F247" s="6"/>
      <c r="G247" s="6"/>
      <c r="H247" s="1"/>
      <c r="I247" s="9"/>
      <c r="J247" s="9"/>
      <c r="K247" s="11"/>
      <c r="L247" s="1"/>
      <c r="M247" s="205" t="s">
        <v>315</v>
      </c>
      <c r="N247" s="1" t="s">
        <v>315</v>
      </c>
      <c r="O247" s="9"/>
      <c r="P247" s="14">
        <f>Tabela1316[[#This Row],[Valor_recibo]]</f>
        <v>0</v>
      </c>
      <c r="Q247" s="16"/>
      <c r="R247" s="1" t="e">
        <f>VLOOKUP(#REF!,[2]Aprovados!A:A,1,0)</f>
        <v>#REF!</v>
      </c>
      <c r="S247" s="236"/>
      <c r="T247" s="235"/>
      <c r="U247" s="235"/>
      <c r="V247" s="294"/>
      <c r="W247" s="301" t="s">
        <v>315</v>
      </c>
      <c r="X247" s="302"/>
      <c r="Y247" s="303"/>
      <c r="Z247" s="304"/>
    </row>
    <row r="248" spans="1:26" ht="15.75">
      <c r="A248" s="6"/>
      <c r="B248" s="7"/>
      <c r="C248" s="6"/>
      <c r="D248" s="6"/>
      <c r="E248" s="6"/>
      <c r="F248" s="6"/>
      <c r="G248" s="6"/>
      <c r="H248" s="1"/>
      <c r="I248" s="9"/>
      <c r="J248" s="9"/>
      <c r="K248" s="11"/>
      <c r="L248" s="1"/>
      <c r="M248" s="205" t="s">
        <v>315</v>
      </c>
      <c r="N248" s="1" t="s">
        <v>315</v>
      </c>
      <c r="O248" s="9"/>
      <c r="P248" s="14">
        <f>Tabela1316[[#This Row],[Valor_recibo]]</f>
        <v>0</v>
      </c>
      <c r="Q248" s="16"/>
      <c r="R248" s="1" t="e">
        <f>VLOOKUP(#REF!,[2]Aprovados!A:A,1,0)</f>
        <v>#REF!</v>
      </c>
      <c r="S248" s="236"/>
      <c r="T248" s="235"/>
      <c r="U248" s="235"/>
      <c r="V248" s="294"/>
      <c r="W248" s="301" t="s">
        <v>315</v>
      </c>
      <c r="X248" s="302"/>
      <c r="Y248" s="303"/>
      <c r="Z248" s="304"/>
    </row>
    <row r="249" spans="1:26" ht="15.75">
      <c r="A249" s="6"/>
      <c r="B249" s="7"/>
      <c r="C249" s="6"/>
      <c r="D249" s="6"/>
      <c r="E249" s="6"/>
      <c r="F249" s="6"/>
      <c r="G249" s="6"/>
      <c r="H249" s="1"/>
      <c r="I249" s="9"/>
      <c r="J249" s="9"/>
      <c r="K249" s="11"/>
      <c r="L249" s="1"/>
      <c r="M249" s="205" t="s">
        <v>315</v>
      </c>
      <c r="N249" s="1" t="s">
        <v>315</v>
      </c>
      <c r="O249" s="9"/>
      <c r="P249" s="14">
        <f>Tabela1316[[#This Row],[Valor_recibo]]</f>
        <v>0</v>
      </c>
      <c r="Q249" s="16"/>
      <c r="R249" s="1" t="e">
        <f>VLOOKUP(#REF!,[2]Aprovados!A:A,1,0)</f>
        <v>#REF!</v>
      </c>
      <c r="S249" s="236"/>
      <c r="T249" s="235"/>
      <c r="U249" s="235"/>
      <c r="V249" s="294"/>
      <c r="W249" s="301" t="s">
        <v>315</v>
      </c>
      <c r="X249" s="302"/>
      <c r="Y249" s="303"/>
      <c r="Z249" s="304"/>
    </row>
    <row r="250" spans="1:26" ht="15.75">
      <c r="A250" s="6"/>
      <c r="B250" s="7"/>
      <c r="C250" s="6"/>
      <c r="D250" s="6"/>
      <c r="E250" s="6"/>
      <c r="F250" s="6"/>
      <c r="G250" s="6"/>
      <c r="H250" s="1"/>
      <c r="I250" s="9"/>
      <c r="J250" s="9"/>
      <c r="K250" s="11"/>
      <c r="L250" s="1"/>
      <c r="M250" s="205" t="s">
        <v>315</v>
      </c>
      <c r="N250" s="1" t="s">
        <v>315</v>
      </c>
      <c r="O250" s="9"/>
      <c r="P250" s="14">
        <f>Tabela1316[[#This Row],[Valor_recibo]]</f>
        <v>0</v>
      </c>
      <c r="Q250" s="16"/>
      <c r="R250" s="1" t="e">
        <f>VLOOKUP(#REF!,[2]Aprovados!A:A,1,0)</f>
        <v>#REF!</v>
      </c>
      <c r="S250" s="236"/>
      <c r="T250" s="235"/>
      <c r="U250" s="235"/>
      <c r="V250" s="294"/>
      <c r="W250" s="301" t="s">
        <v>315</v>
      </c>
      <c r="X250" s="302"/>
      <c r="Y250" s="303"/>
      <c r="Z250" s="304"/>
    </row>
    <row r="251" spans="1:26" ht="15.75">
      <c r="A251" s="6"/>
      <c r="B251" s="7"/>
      <c r="C251" s="6"/>
      <c r="D251" s="6"/>
      <c r="E251" s="6"/>
      <c r="F251" s="6"/>
      <c r="G251" s="6"/>
      <c r="H251" s="1"/>
      <c r="I251" s="9"/>
      <c r="J251" s="9"/>
      <c r="K251" s="11"/>
      <c r="L251" s="1"/>
      <c r="M251" s="205" t="s">
        <v>315</v>
      </c>
      <c r="N251" s="1" t="s">
        <v>315</v>
      </c>
      <c r="O251" s="9"/>
      <c r="P251" s="14">
        <f>Tabela1316[[#This Row],[Valor_recibo]]</f>
        <v>0</v>
      </c>
      <c r="Q251" s="16"/>
      <c r="R251" s="1" t="e">
        <f>VLOOKUP(#REF!,[2]Aprovados!A:A,1,0)</f>
        <v>#REF!</v>
      </c>
      <c r="S251" s="236"/>
      <c r="T251" s="235"/>
      <c r="U251" s="235"/>
      <c r="V251" s="294"/>
      <c r="W251" s="301" t="s">
        <v>315</v>
      </c>
      <c r="X251" s="302"/>
      <c r="Y251" s="303"/>
      <c r="Z251" s="304"/>
    </row>
    <row r="252" spans="1:26" ht="15.75">
      <c r="A252" s="6"/>
      <c r="B252" s="7"/>
      <c r="C252" s="6"/>
      <c r="D252" s="6"/>
      <c r="E252" s="6"/>
      <c r="F252" s="6"/>
      <c r="G252" s="6"/>
      <c r="H252" s="1"/>
      <c r="I252" s="9"/>
      <c r="J252" s="9"/>
      <c r="K252" s="11"/>
      <c r="L252" s="1"/>
      <c r="M252" s="205" t="s">
        <v>315</v>
      </c>
      <c r="N252" s="1" t="s">
        <v>315</v>
      </c>
      <c r="O252" s="9"/>
      <c r="P252" s="14">
        <f>Tabela1316[[#This Row],[Valor_recibo]]</f>
        <v>0</v>
      </c>
      <c r="Q252" s="16"/>
      <c r="R252" s="1" t="e">
        <f>VLOOKUP(#REF!,[2]Aprovados!A:A,1,0)</f>
        <v>#REF!</v>
      </c>
      <c r="S252" s="236"/>
      <c r="T252" s="235"/>
      <c r="U252" s="235"/>
      <c r="V252" s="294"/>
      <c r="W252" s="301" t="s">
        <v>315</v>
      </c>
      <c r="X252" s="302"/>
      <c r="Y252" s="303"/>
      <c r="Z252" s="304"/>
    </row>
    <row r="253" spans="1:26" ht="15.75">
      <c r="A253" s="6"/>
      <c r="B253" s="7"/>
      <c r="C253" s="6"/>
      <c r="D253" s="6"/>
      <c r="E253" s="6"/>
      <c r="F253" s="6"/>
      <c r="G253" s="6"/>
      <c r="H253" s="1"/>
      <c r="I253" s="9"/>
      <c r="J253" s="9"/>
      <c r="K253" s="11"/>
      <c r="L253" s="1"/>
      <c r="M253" s="205" t="s">
        <v>315</v>
      </c>
      <c r="N253" s="1" t="s">
        <v>315</v>
      </c>
      <c r="O253" s="9"/>
      <c r="P253" s="14">
        <f>Tabela1316[[#This Row],[Valor_recibo]]</f>
        <v>0</v>
      </c>
      <c r="Q253" s="16"/>
      <c r="R253" s="1" t="e">
        <f>VLOOKUP(#REF!,[2]Aprovados!A:A,1,0)</f>
        <v>#REF!</v>
      </c>
      <c r="S253" s="236"/>
      <c r="T253" s="235"/>
      <c r="U253" s="235"/>
      <c r="V253" s="294"/>
      <c r="W253" s="301" t="s">
        <v>315</v>
      </c>
      <c r="X253" s="302"/>
      <c r="Y253" s="303"/>
      <c r="Z253" s="304"/>
    </row>
    <row r="254" spans="1:26" ht="15.75">
      <c r="A254" s="6"/>
      <c r="B254" s="7"/>
      <c r="C254" s="6"/>
      <c r="D254" s="6"/>
      <c r="E254" s="6"/>
      <c r="F254" s="6"/>
      <c r="G254" s="6"/>
      <c r="H254" s="1"/>
      <c r="I254" s="9"/>
      <c r="J254" s="9"/>
      <c r="K254" s="11"/>
      <c r="L254" s="1"/>
      <c r="M254" s="205" t="s">
        <v>315</v>
      </c>
      <c r="N254" s="1" t="s">
        <v>315</v>
      </c>
      <c r="O254" s="9"/>
      <c r="P254" s="14">
        <f>Tabela1316[[#This Row],[Valor_recibo]]</f>
        <v>0</v>
      </c>
      <c r="Q254" s="16"/>
      <c r="R254" s="1" t="e">
        <f>VLOOKUP(#REF!,[2]Aprovados!A:A,1,0)</f>
        <v>#REF!</v>
      </c>
      <c r="S254" s="236"/>
      <c r="T254" s="235"/>
      <c r="U254" s="235"/>
      <c r="V254" s="294"/>
      <c r="W254" s="301" t="s">
        <v>315</v>
      </c>
      <c r="X254" s="302"/>
      <c r="Y254" s="303"/>
      <c r="Z254" s="304"/>
    </row>
    <row r="255" spans="1:26" ht="15.75">
      <c r="A255" s="6"/>
      <c r="B255" s="7"/>
      <c r="C255" s="6"/>
      <c r="D255" s="6"/>
      <c r="E255" s="6"/>
      <c r="F255" s="6"/>
      <c r="G255" s="6"/>
      <c r="H255" s="1"/>
      <c r="I255" s="9"/>
      <c r="J255" s="9"/>
      <c r="K255" s="11"/>
      <c r="L255" s="1"/>
      <c r="M255" s="205" t="s">
        <v>315</v>
      </c>
      <c r="N255" s="1" t="s">
        <v>315</v>
      </c>
      <c r="O255" s="9"/>
      <c r="P255" s="14">
        <f>Tabela1316[[#This Row],[Valor_recibo]]</f>
        <v>0</v>
      </c>
      <c r="Q255" s="16"/>
      <c r="R255" s="1" t="e">
        <f>VLOOKUP(#REF!,[2]Aprovados!A:A,1,0)</f>
        <v>#REF!</v>
      </c>
      <c r="S255" s="236"/>
      <c r="T255" s="235"/>
      <c r="U255" s="235"/>
      <c r="V255" s="294"/>
      <c r="W255" s="301" t="s">
        <v>315</v>
      </c>
      <c r="X255" s="302"/>
      <c r="Y255" s="303"/>
      <c r="Z255" s="304"/>
    </row>
    <row r="256" spans="1:26" ht="15.75">
      <c r="A256" s="6"/>
      <c r="B256" s="7"/>
      <c r="C256" s="6"/>
      <c r="D256" s="6"/>
      <c r="E256" s="6"/>
      <c r="F256" s="6"/>
      <c r="G256" s="6"/>
      <c r="H256" s="1"/>
      <c r="I256" s="9"/>
      <c r="J256" s="9"/>
      <c r="K256" s="11"/>
      <c r="L256" s="1"/>
      <c r="M256" s="205" t="s">
        <v>315</v>
      </c>
      <c r="N256" s="1" t="s">
        <v>315</v>
      </c>
      <c r="O256" s="9"/>
      <c r="P256" s="14">
        <f>Tabela1316[[#This Row],[Valor_recibo]]</f>
        <v>0</v>
      </c>
      <c r="Q256" s="16"/>
      <c r="R256" s="1" t="e">
        <f>VLOOKUP(#REF!,[2]Aprovados!A:A,1,0)</f>
        <v>#REF!</v>
      </c>
      <c r="S256" s="236"/>
      <c r="T256" s="235"/>
      <c r="U256" s="235"/>
      <c r="V256" s="294"/>
      <c r="W256" s="301" t="s">
        <v>315</v>
      </c>
      <c r="X256" s="302"/>
      <c r="Y256" s="303"/>
      <c r="Z256" s="304"/>
    </row>
    <row r="257" spans="1:26" ht="15.75">
      <c r="A257" s="6"/>
      <c r="B257" s="7"/>
      <c r="C257" s="6"/>
      <c r="D257" s="6"/>
      <c r="E257" s="6"/>
      <c r="F257" s="6"/>
      <c r="G257" s="6"/>
      <c r="H257" s="1"/>
      <c r="I257" s="9"/>
      <c r="J257" s="9"/>
      <c r="K257" s="11"/>
      <c r="L257" s="1"/>
      <c r="M257" s="205" t="s">
        <v>315</v>
      </c>
      <c r="N257" s="1" t="s">
        <v>315</v>
      </c>
      <c r="O257" s="9"/>
      <c r="P257" s="14">
        <f>Tabela1316[[#This Row],[Valor_recibo]]</f>
        <v>0</v>
      </c>
      <c r="Q257" s="16"/>
      <c r="R257" s="1" t="e">
        <f>VLOOKUP(#REF!,[2]Aprovados!A:A,1,0)</f>
        <v>#REF!</v>
      </c>
      <c r="S257" s="236"/>
      <c r="T257" s="235"/>
      <c r="U257" s="235"/>
      <c r="V257" s="294"/>
      <c r="W257" s="301" t="s">
        <v>315</v>
      </c>
      <c r="X257" s="302"/>
      <c r="Y257" s="303"/>
      <c r="Z257" s="304"/>
    </row>
    <row r="258" spans="1:26" ht="15.75">
      <c r="A258" s="6"/>
      <c r="B258" s="7"/>
      <c r="C258" s="6"/>
      <c r="D258" s="6"/>
      <c r="E258" s="6"/>
      <c r="F258" s="6"/>
      <c r="G258" s="6"/>
      <c r="H258" s="1"/>
      <c r="I258" s="9"/>
      <c r="J258" s="9"/>
      <c r="K258" s="11"/>
      <c r="L258" s="1"/>
      <c r="M258" s="205" t="s">
        <v>315</v>
      </c>
      <c r="N258" s="1" t="s">
        <v>315</v>
      </c>
      <c r="O258" s="9"/>
      <c r="P258" s="14">
        <f>Tabela1316[[#This Row],[Valor_recibo]]</f>
        <v>0</v>
      </c>
      <c r="Q258" s="16"/>
      <c r="R258" s="1" t="e">
        <f>VLOOKUP(#REF!,[2]Aprovados!A:A,1,0)</f>
        <v>#REF!</v>
      </c>
      <c r="S258" s="236"/>
      <c r="T258" s="235"/>
      <c r="U258" s="235"/>
      <c r="V258" s="294"/>
      <c r="W258" s="301" t="s">
        <v>315</v>
      </c>
      <c r="X258" s="302"/>
      <c r="Y258" s="303"/>
      <c r="Z258" s="304"/>
    </row>
    <row r="259" spans="1:26" ht="15.75">
      <c r="A259" s="6"/>
      <c r="B259" s="7"/>
      <c r="C259" s="6"/>
      <c r="D259" s="6"/>
      <c r="E259" s="6"/>
      <c r="F259" s="6"/>
      <c r="G259" s="6"/>
      <c r="H259" s="1"/>
      <c r="I259" s="9"/>
      <c r="J259" s="9"/>
      <c r="K259" s="11"/>
      <c r="L259" s="1"/>
      <c r="M259" s="205" t="s">
        <v>315</v>
      </c>
      <c r="N259" s="1" t="s">
        <v>315</v>
      </c>
      <c r="O259" s="9"/>
      <c r="P259" s="14">
        <f>Tabela1316[[#This Row],[Valor_recibo]]</f>
        <v>0</v>
      </c>
      <c r="Q259" s="16"/>
      <c r="R259" s="1" t="e">
        <f>VLOOKUP(#REF!,[2]Aprovados!A:A,1,0)</f>
        <v>#REF!</v>
      </c>
      <c r="S259" s="236"/>
      <c r="T259" s="235"/>
      <c r="U259" s="235"/>
      <c r="V259" s="294"/>
      <c r="W259" s="301" t="s">
        <v>315</v>
      </c>
      <c r="X259" s="302"/>
      <c r="Y259" s="303"/>
      <c r="Z259" s="304"/>
    </row>
    <row r="260" spans="1:26" ht="15.75">
      <c r="A260" s="6"/>
      <c r="B260" s="7"/>
      <c r="C260" s="6"/>
      <c r="D260" s="6"/>
      <c r="E260" s="6"/>
      <c r="F260" s="6"/>
      <c r="G260" s="6"/>
      <c r="H260" s="1"/>
      <c r="I260" s="9"/>
      <c r="J260" s="9"/>
      <c r="K260" s="11"/>
      <c r="L260" s="1"/>
      <c r="M260" s="205" t="s">
        <v>315</v>
      </c>
      <c r="N260" s="1" t="s">
        <v>315</v>
      </c>
      <c r="O260" s="9"/>
      <c r="P260" s="14">
        <f>Tabela1316[[#This Row],[Valor_recibo]]</f>
        <v>0</v>
      </c>
      <c r="Q260" s="16"/>
      <c r="R260" s="1" t="e">
        <f>VLOOKUP(#REF!,[2]Aprovados!A:A,1,0)</f>
        <v>#REF!</v>
      </c>
      <c r="S260" s="236"/>
      <c r="T260" s="235"/>
      <c r="U260" s="235"/>
      <c r="V260" s="294"/>
      <c r="W260" s="301" t="s">
        <v>315</v>
      </c>
      <c r="X260" s="302"/>
      <c r="Y260" s="303"/>
      <c r="Z260" s="304"/>
    </row>
    <row r="261" spans="1:26" ht="15.75">
      <c r="A261" s="6"/>
      <c r="B261" s="7"/>
      <c r="C261" s="6"/>
      <c r="D261" s="6"/>
      <c r="E261" s="6"/>
      <c r="F261" s="6"/>
      <c r="G261" s="6"/>
      <c r="H261" s="1"/>
      <c r="I261" s="9"/>
      <c r="J261" s="9"/>
      <c r="K261" s="11"/>
      <c r="L261" s="1"/>
      <c r="M261" s="205" t="s">
        <v>315</v>
      </c>
      <c r="N261" s="1" t="s">
        <v>315</v>
      </c>
      <c r="O261" s="9"/>
      <c r="P261" s="14">
        <f>Tabela1316[[#This Row],[Valor_recibo]]</f>
        <v>0</v>
      </c>
      <c r="Q261" s="16"/>
      <c r="R261" s="1" t="e">
        <f>VLOOKUP(#REF!,[2]Aprovados!A:A,1,0)</f>
        <v>#REF!</v>
      </c>
      <c r="S261" s="236"/>
      <c r="T261" s="235"/>
      <c r="U261" s="235"/>
      <c r="V261" s="294"/>
      <c r="W261" s="301" t="s">
        <v>315</v>
      </c>
      <c r="X261" s="302"/>
      <c r="Y261" s="303"/>
      <c r="Z261" s="304"/>
    </row>
    <row r="262" spans="1:26" ht="15.75">
      <c r="A262" s="6"/>
      <c r="B262" s="7"/>
      <c r="C262" s="6"/>
      <c r="D262" s="6"/>
      <c r="E262" s="6"/>
      <c r="F262" s="6"/>
      <c r="G262" s="6"/>
      <c r="H262" s="1"/>
      <c r="I262" s="9"/>
      <c r="J262" s="9"/>
      <c r="K262" s="11"/>
      <c r="L262" s="1"/>
      <c r="M262" s="205" t="s">
        <v>315</v>
      </c>
      <c r="N262" s="1" t="s">
        <v>315</v>
      </c>
      <c r="O262" s="9"/>
      <c r="P262" s="14">
        <f>Tabela1316[[#This Row],[Valor_recibo]]</f>
        <v>0</v>
      </c>
      <c r="Q262" s="16"/>
      <c r="R262" s="1" t="e">
        <f>VLOOKUP(#REF!,[2]Aprovados!A:A,1,0)</f>
        <v>#REF!</v>
      </c>
      <c r="S262" s="236"/>
      <c r="T262" s="235"/>
      <c r="U262" s="235"/>
      <c r="V262" s="294"/>
      <c r="W262" s="301" t="s">
        <v>315</v>
      </c>
      <c r="X262" s="302"/>
      <c r="Y262" s="303"/>
      <c r="Z262" s="304"/>
    </row>
    <row r="263" spans="1:26" ht="15.75">
      <c r="A263" s="6"/>
      <c r="B263" s="7"/>
      <c r="C263" s="6"/>
      <c r="D263" s="6"/>
      <c r="E263" s="6"/>
      <c r="F263" s="6"/>
      <c r="G263" s="6"/>
      <c r="H263" s="1"/>
      <c r="I263" s="9"/>
      <c r="J263" s="9"/>
      <c r="K263" s="11"/>
      <c r="L263" s="1"/>
      <c r="M263" s="205" t="s">
        <v>315</v>
      </c>
      <c r="N263" s="1" t="s">
        <v>315</v>
      </c>
      <c r="O263" s="9"/>
      <c r="P263" s="14">
        <f>Tabela1316[[#This Row],[Valor_recibo]]</f>
        <v>0</v>
      </c>
      <c r="Q263" s="16"/>
      <c r="R263" s="1" t="e">
        <f>VLOOKUP(#REF!,[2]Aprovados!A:A,1,0)</f>
        <v>#REF!</v>
      </c>
      <c r="S263" s="236"/>
      <c r="T263" s="235"/>
      <c r="U263" s="235"/>
      <c r="V263" s="294"/>
      <c r="W263" s="301" t="s">
        <v>315</v>
      </c>
      <c r="X263" s="302"/>
      <c r="Y263" s="303"/>
      <c r="Z263" s="304"/>
    </row>
    <row r="264" spans="1:26" ht="15.75">
      <c r="A264" s="6"/>
      <c r="B264" s="7"/>
      <c r="C264" s="6"/>
      <c r="D264" s="6"/>
      <c r="E264" s="6"/>
      <c r="F264" s="6"/>
      <c r="G264" s="6"/>
      <c r="H264" s="1"/>
      <c r="I264" s="9"/>
      <c r="J264" s="9"/>
      <c r="K264" s="11"/>
      <c r="L264" s="1"/>
      <c r="M264" s="205" t="s">
        <v>315</v>
      </c>
      <c r="N264" s="1" t="s">
        <v>315</v>
      </c>
      <c r="O264" s="9"/>
      <c r="P264" s="14">
        <f>Tabela1316[[#This Row],[Valor_recibo]]</f>
        <v>0</v>
      </c>
      <c r="Q264" s="16"/>
      <c r="R264" s="1" t="e">
        <f>VLOOKUP(#REF!,[2]Aprovados!A:A,1,0)</f>
        <v>#REF!</v>
      </c>
      <c r="S264" s="236"/>
      <c r="T264" s="235"/>
      <c r="U264" s="235"/>
      <c r="V264" s="294"/>
      <c r="W264" s="301" t="s">
        <v>315</v>
      </c>
      <c r="X264" s="302"/>
      <c r="Y264" s="303"/>
      <c r="Z264" s="304"/>
    </row>
    <row r="265" spans="1:26" ht="15.75">
      <c r="A265" s="6"/>
      <c r="B265" s="7"/>
      <c r="C265" s="6"/>
      <c r="D265" s="6"/>
      <c r="E265" s="6"/>
      <c r="F265" s="6"/>
      <c r="G265" s="6"/>
      <c r="H265" s="1"/>
      <c r="I265" s="9"/>
      <c r="J265" s="9"/>
      <c r="K265" s="11"/>
      <c r="L265" s="1"/>
      <c r="M265" s="205" t="s">
        <v>315</v>
      </c>
      <c r="N265" s="1" t="s">
        <v>315</v>
      </c>
      <c r="O265" s="9"/>
      <c r="P265" s="14">
        <f>Tabela1316[[#This Row],[Valor_recibo]]</f>
        <v>0</v>
      </c>
      <c r="Q265" s="16"/>
      <c r="R265" s="1" t="e">
        <f>VLOOKUP(#REF!,[2]Aprovados!A:A,1,0)</f>
        <v>#REF!</v>
      </c>
      <c r="S265" s="236"/>
      <c r="T265" s="235"/>
      <c r="U265" s="235"/>
      <c r="V265" s="294"/>
      <c r="W265" s="301" t="s">
        <v>315</v>
      </c>
      <c r="X265" s="302"/>
      <c r="Y265" s="303"/>
      <c r="Z265" s="304"/>
    </row>
    <row r="266" spans="1:26" ht="15.75">
      <c r="A266" s="6"/>
      <c r="B266" s="7"/>
      <c r="C266" s="6"/>
      <c r="D266" s="6"/>
      <c r="E266" s="6"/>
      <c r="F266" s="6"/>
      <c r="G266" s="6"/>
      <c r="H266" s="1"/>
      <c r="I266" s="9"/>
      <c r="J266" s="9"/>
      <c r="K266" s="11"/>
      <c r="L266" s="1"/>
      <c r="M266" s="205" t="s">
        <v>315</v>
      </c>
      <c r="N266" s="1" t="s">
        <v>315</v>
      </c>
      <c r="O266" s="9"/>
      <c r="P266" s="14">
        <f>Tabela1316[[#This Row],[Valor_recibo]]</f>
        <v>0</v>
      </c>
      <c r="Q266" s="16"/>
      <c r="R266" s="1" t="e">
        <f>VLOOKUP(#REF!,[2]Aprovados!A:A,1,0)</f>
        <v>#REF!</v>
      </c>
      <c r="S266" s="236"/>
      <c r="T266" s="235"/>
      <c r="U266" s="235"/>
      <c r="V266" s="294"/>
      <c r="W266" s="301" t="s">
        <v>315</v>
      </c>
      <c r="X266" s="302"/>
      <c r="Y266" s="303"/>
      <c r="Z266" s="304"/>
    </row>
    <row r="267" spans="1:26" ht="15.75">
      <c r="A267" s="6"/>
      <c r="B267" s="7"/>
      <c r="C267" s="6"/>
      <c r="D267" s="6"/>
      <c r="E267" s="6"/>
      <c r="F267" s="6"/>
      <c r="G267" s="6"/>
      <c r="H267" s="1"/>
      <c r="I267" s="9"/>
      <c r="J267" s="9"/>
      <c r="K267" s="11"/>
      <c r="L267" s="1"/>
      <c r="M267" s="205" t="s">
        <v>315</v>
      </c>
      <c r="N267" s="1" t="s">
        <v>315</v>
      </c>
      <c r="O267" s="9"/>
      <c r="P267" s="14">
        <f>Tabela1316[[#This Row],[Valor_recibo]]</f>
        <v>0</v>
      </c>
      <c r="Q267" s="16"/>
      <c r="R267" s="1" t="e">
        <f>VLOOKUP(#REF!,[2]Aprovados!A:A,1,0)</f>
        <v>#REF!</v>
      </c>
      <c r="S267" s="236"/>
      <c r="T267" s="235"/>
      <c r="U267" s="235"/>
      <c r="V267" s="294"/>
      <c r="W267" s="301" t="s">
        <v>315</v>
      </c>
      <c r="X267" s="302"/>
      <c r="Y267" s="303"/>
      <c r="Z267" s="304"/>
    </row>
    <row r="268" spans="1:26" ht="15.75">
      <c r="A268" s="6"/>
      <c r="B268" s="7"/>
      <c r="C268" s="6"/>
      <c r="D268" s="6"/>
      <c r="E268" s="6"/>
      <c r="F268" s="6"/>
      <c r="G268" s="6"/>
      <c r="H268" s="1"/>
      <c r="I268" s="9"/>
      <c r="J268" s="9"/>
      <c r="K268" s="11"/>
      <c r="L268" s="1"/>
      <c r="M268" s="205" t="s">
        <v>315</v>
      </c>
      <c r="N268" s="1" t="s">
        <v>315</v>
      </c>
      <c r="O268" s="9"/>
      <c r="P268" s="14">
        <f>Tabela1316[[#This Row],[Valor_recibo]]</f>
        <v>0</v>
      </c>
      <c r="Q268" s="16"/>
      <c r="R268" s="1" t="e">
        <f>VLOOKUP(#REF!,[2]Aprovados!A:A,1,0)</f>
        <v>#REF!</v>
      </c>
      <c r="S268" s="236"/>
      <c r="T268" s="235"/>
      <c r="U268" s="235"/>
      <c r="V268" s="294"/>
      <c r="W268" s="301" t="s">
        <v>315</v>
      </c>
      <c r="X268" s="302"/>
      <c r="Y268" s="303"/>
      <c r="Z268" s="304"/>
    </row>
    <row r="269" spans="1:26" ht="15.75">
      <c r="A269" s="6"/>
      <c r="B269" s="7"/>
      <c r="C269" s="6"/>
      <c r="D269" s="6"/>
      <c r="E269" s="6"/>
      <c r="F269" s="6"/>
      <c r="G269" s="6"/>
      <c r="H269" s="1"/>
      <c r="I269" s="9"/>
      <c r="J269" s="9"/>
      <c r="K269" s="11"/>
      <c r="L269" s="1"/>
      <c r="M269" s="205" t="s">
        <v>315</v>
      </c>
      <c r="N269" s="1" t="s">
        <v>315</v>
      </c>
      <c r="O269" s="9"/>
      <c r="P269" s="14">
        <f>Tabela1316[[#This Row],[Valor_recibo]]</f>
        <v>0</v>
      </c>
      <c r="Q269" s="16"/>
      <c r="R269" s="1" t="e">
        <f>VLOOKUP(#REF!,[2]Aprovados!A:A,1,0)</f>
        <v>#REF!</v>
      </c>
      <c r="S269" s="236"/>
      <c r="T269" s="235"/>
      <c r="U269" s="235"/>
      <c r="V269" s="294"/>
      <c r="W269" s="301" t="s">
        <v>315</v>
      </c>
      <c r="X269" s="302"/>
      <c r="Y269" s="303"/>
      <c r="Z269" s="304"/>
    </row>
    <row r="270" spans="1:26" ht="15.75">
      <c r="A270" s="6"/>
      <c r="B270" s="7"/>
      <c r="C270" s="6"/>
      <c r="D270" s="6"/>
      <c r="E270" s="6"/>
      <c r="F270" s="6"/>
      <c r="G270" s="6"/>
      <c r="H270" s="1"/>
      <c r="I270" s="9"/>
      <c r="J270" s="9"/>
      <c r="K270" s="11"/>
      <c r="L270" s="1"/>
      <c r="M270" s="205" t="s">
        <v>315</v>
      </c>
      <c r="N270" s="1" t="s">
        <v>315</v>
      </c>
      <c r="O270" s="9"/>
      <c r="P270" s="14">
        <f>Tabela1316[[#This Row],[Valor_recibo]]</f>
        <v>0</v>
      </c>
      <c r="Q270" s="16"/>
      <c r="R270" s="1" t="e">
        <f>VLOOKUP(#REF!,[2]Aprovados!A:A,1,0)</f>
        <v>#REF!</v>
      </c>
      <c r="S270" s="236"/>
      <c r="T270" s="235"/>
      <c r="U270" s="235"/>
      <c r="V270" s="294"/>
      <c r="W270" s="301" t="s">
        <v>315</v>
      </c>
      <c r="X270" s="302"/>
      <c r="Y270" s="303"/>
      <c r="Z270" s="304"/>
    </row>
    <row r="271" spans="1:26" ht="15.75">
      <c r="A271" s="6"/>
      <c r="B271" s="7"/>
      <c r="C271" s="6"/>
      <c r="D271" s="6"/>
      <c r="E271" s="6"/>
      <c r="F271" s="6"/>
      <c r="G271" s="6"/>
      <c r="H271" s="1"/>
      <c r="I271" s="9"/>
      <c r="J271" s="9"/>
      <c r="K271" s="11"/>
      <c r="L271" s="1"/>
      <c r="M271" s="205" t="s">
        <v>315</v>
      </c>
      <c r="N271" s="1" t="s">
        <v>315</v>
      </c>
      <c r="O271" s="9"/>
      <c r="P271" s="14">
        <f>Tabela1316[[#This Row],[Valor_recibo]]</f>
        <v>0</v>
      </c>
      <c r="Q271" s="16"/>
      <c r="R271" s="1" t="e">
        <f>VLOOKUP(#REF!,[2]Aprovados!A:A,1,0)</f>
        <v>#REF!</v>
      </c>
      <c r="S271" s="236"/>
      <c r="T271" s="235"/>
      <c r="U271" s="235"/>
      <c r="V271" s="294"/>
      <c r="W271" s="301" t="s">
        <v>315</v>
      </c>
      <c r="X271" s="302"/>
      <c r="Y271" s="303"/>
      <c r="Z271" s="304"/>
    </row>
    <row r="272" spans="1:26" ht="15.75">
      <c r="A272" s="6"/>
      <c r="B272" s="7"/>
      <c r="C272" s="6"/>
      <c r="D272" s="6"/>
      <c r="E272" s="6"/>
      <c r="F272" s="6"/>
      <c r="G272" s="6"/>
      <c r="H272" s="1"/>
      <c r="I272" s="9"/>
      <c r="J272" s="9"/>
      <c r="K272" s="11"/>
      <c r="L272" s="1"/>
      <c r="M272" s="205" t="s">
        <v>315</v>
      </c>
      <c r="N272" s="1" t="s">
        <v>315</v>
      </c>
      <c r="O272" s="9"/>
      <c r="P272" s="14">
        <f>Tabela1316[[#This Row],[Valor_recibo]]</f>
        <v>0</v>
      </c>
      <c r="Q272" s="16"/>
      <c r="R272" s="1" t="e">
        <f>VLOOKUP(#REF!,[2]Aprovados!A:A,1,0)</f>
        <v>#REF!</v>
      </c>
      <c r="S272" s="236"/>
      <c r="T272" s="235"/>
      <c r="U272" s="235"/>
      <c r="V272" s="294"/>
      <c r="W272" s="301" t="s">
        <v>315</v>
      </c>
      <c r="X272" s="302"/>
      <c r="Y272" s="303"/>
      <c r="Z272" s="304"/>
    </row>
    <row r="273" spans="1:26" ht="15.75">
      <c r="A273" s="6"/>
      <c r="B273" s="7"/>
      <c r="C273" s="6"/>
      <c r="D273" s="6"/>
      <c r="E273" s="6"/>
      <c r="F273" s="6"/>
      <c r="G273" s="6"/>
      <c r="H273" s="1"/>
      <c r="I273" s="9"/>
      <c r="J273" s="9"/>
      <c r="K273" s="11"/>
      <c r="L273" s="1"/>
      <c r="M273" s="205" t="s">
        <v>315</v>
      </c>
      <c r="N273" s="1" t="s">
        <v>315</v>
      </c>
      <c r="O273" s="9"/>
      <c r="P273" s="14">
        <f>Tabela1316[[#This Row],[Valor_recibo]]</f>
        <v>0</v>
      </c>
      <c r="Q273" s="16"/>
      <c r="R273" s="1" t="e">
        <f>VLOOKUP(#REF!,[2]Aprovados!A:A,1,0)</f>
        <v>#REF!</v>
      </c>
      <c r="S273" s="236"/>
      <c r="T273" s="235"/>
      <c r="U273" s="235"/>
      <c r="V273" s="294"/>
      <c r="W273" s="301" t="s">
        <v>315</v>
      </c>
      <c r="X273" s="302"/>
      <c r="Y273" s="303"/>
      <c r="Z273" s="304"/>
    </row>
    <row r="274" spans="1:26" ht="15.75">
      <c r="A274" s="6"/>
      <c r="B274" s="7"/>
      <c r="C274" s="6"/>
      <c r="D274" s="6"/>
      <c r="E274" s="6"/>
      <c r="F274" s="6"/>
      <c r="G274" s="6"/>
      <c r="H274" s="1"/>
      <c r="I274" s="9"/>
      <c r="J274" s="9"/>
      <c r="K274" s="11"/>
      <c r="L274" s="1"/>
      <c r="M274" s="205" t="s">
        <v>315</v>
      </c>
      <c r="N274" s="1" t="s">
        <v>315</v>
      </c>
      <c r="O274" s="9"/>
      <c r="P274" s="14">
        <f>Tabela1316[[#This Row],[Valor_recibo]]</f>
        <v>0</v>
      </c>
      <c r="Q274" s="16"/>
      <c r="R274" s="1" t="e">
        <f>VLOOKUP(#REF!,[2]Aprovados!A:A,1,0)</f>
        <v>#REF!</v>
      </c>
      <c r="S274" s="236"/>
      <c r="T274" s="235"/>
      <c r="U274" s="235"/>
      <c r="V274" s="294"/>
      <c r="W274" s="301" t="s">
        <v>315</v>
      </c>
      <c r="X274" s="302"/>
      <c r="Y274" s="303"/>
      <c r="Z274" s="304"/>
    </row>
    <row r="275" spans="1:26" ht="15.75">
      <c r="A275" s="6"/>
      <c r="B275" s="7"/>
      <c r="C275" s="6"/>
      <c r="D275" s="6"/>
      <c r="E275" s="6"/>
      <c r="F275" s="6"/>
      <c r="G275" s="6"/>
      <c r="H275" s="1"/>
      <c r="I275" s="9"/>
      <c r="J275" s="9"/>
      <c r="K275" s="11"/>
      <c r="L275" s="1"/>
      <c r="M275" s="205" t="s">
        <v>315</v>
      </c>
      <c r="N275" s="1" t="s">
        <v>315</v>
      </c>
      <c r="O275" s="9"/>
      <c r="P275" s="14">
        <f>Tabela1316[[#This Row],[Valor_recibo]]</f>
        <v>0</v>
      </c>
      <c r="Q275" s="16"/>
      <c r="R275" s="1" t="e">
        <f>VLOOKUP(#REF!,[2]Aprovados!A:A,1,0)</f>
        <v>#REF!</v>
      </c>
      <c r="S275" s="236"/>
      <c r="T275" s="235"/>
      <c r="U275" s="235"/>
      <c r="V275" s="294"/>
      <c r="W275" s="301" t="s">
        <v>315</v>
      </c>
      <c r="X275" s="302"/>
      <c r="Y275" s="303"/>
      <c r="Z275" s="304"/>
    </row>
    <row r="276" spans="1:26" ht="15.75">
      <c r="A276" s="6"/>
      <c r="B276" s="7"/>
      <c r="C276" s="6"/>
      <c r="D276" s="6"/>
      <c r="E276" s="6"/>
      <c r="F276" s="6"/>
      <c r="G276" s="6"/>
      <c r="H276" s="1"/>
      <c r="I276" s="9"/>
      <c r="J276" s="9"/>
      <c r="K276" s="11"/>
      <c r="L276" s="1"/>
      <c r="M276" s="205" t="s">
        <v>315</v>
      </c>
      <c r="N276" s="1" t="s">
        <v>315</v>
      </c>
      <c r="O276" s="9"/>
      <c r="P276" s="14">
        <f>Tabela1316[[#This Row],[Valor_recibo]]</f>
        <v>0</v>
      </c>
      <c r="Q276" s="16"/>
      <c r="R276" s="1" t="e">
        <f>VLOOKUP(#REF!,[2]Aprovados!A:A,1,0)</f>
        <v>#REF!</v>
      </c>
      <c r="S276" s="236"/>
      <c r="T276" s="235"/>
      <c r="U276" s="235"/>
      <c r="V276" s="294"/>
      <c r="W276" s="301" t="s">
        <v>315</v>
      </c>
      <c r="X276" s="302"/>
      <c r="Y276" s="303"/>
      <c r="Z276" s="304"/>
    </row>
    <row r="277" spans="1:26" ht="15.75">
      <c r="A277" s="6"/>
      <c r="B277" s="7"/>
      <c r="C277" s="6"/>
      <c r="D277" s="6"/>
      <c r="E277" s="6"/>
      <c r="F277" s="6"/>
      <c r="G277" s="6"/>
      <c r="H277" s="1"/>
      <c r="I277" s="9"/>
      <c r="J277" s="9"/>
      <c r="K277" s="11"/>
      <c r="L277" s="1"/>
      <c r="M277" s="205" t="s">
        <v>315</v>
      </c>
      <c r="N277" s="1" t="s">
        <v>315</v>
      </c>
      <c r="O277" s="9"/>
      <c r="P277" s="14">
        <f>Tabela1316[[#This Row],[Valor_recibo]]</f>
        <v>0</v>
      </c>
      <c r="Q277" s="16"/>
      <c r="R277" s="1" t="e">
        <f>VLOOKUP(#REF!,[2]Aprovados!A:A,1,0)</f>
        <v>#REF!</v>
      </c>
      <c r="S277" s="236"/>
      <c r="T277" s="235"/>
      <c r="U277" s="235"/>
      <c r="V277" s="294"/>
      <c r="W277" s="301" t="s">
        <v>315</v>
      </c>
      <c r="X277" s="302"/>
      <c r="Y277" s="303"/>
      <c r="Z277" s="304"/>
    </row>
    <row r="278" spans="1:26" ht="15.75">
      <c r="A278" s="6"/>
      <c r="B278" s="7"/>
      <c r="C278" s="6"/>
      <c r="D278" s="6"/>
      <c r="E278" s="6"/>
      <c r="F278" s="6"/>
      <c r="G278" s="6"/>
      <c r="H278" s="1"/>
      <c r="I278" s="9"/>
      <c r="J278" s="9"/>
      <c r="K278" s="11"/>
      <c r="L278" s="1"/>
      <c r="M278" s="205" t="s">
        <v>315</v>
      </c>
      <c r="N278" s="1" t="s">
        <v>315</v>
      </c>
      <c r="O278" s="9"/>
      <c r="P278" s="14">
        <f>Tabela1316[[#This Row],[Valor_recibo]]</f>
        <v>0</v>
      </c>
      <c r="Q278" s="16"/>
      <c r="R278" s="1" t="e">
        <f>VLOOKUP(#REF!,[2]Aprovados!A:A,1,0)</f>
        <v>#REF!</v>
      </c>
      <c r="S278" s="236"/>
      <c r="T278" s="235"/>
      <c r="U278" s="235"/>
      <c r="V278" s="294"/>
      <c r="W278" s="301" t="s">
        <v>315</v>
      </c>
      <c r="X278" s="302"/>
      <c r="Y278" s="303"/>
      <c r="Z278" s="304"/>
    </row>
    <row r="279" spans="1:26" ht="15.75">
      <c r="A279" s="6"/>
      <c r="B279" s="7"/>
      <c r="C279" s="6"/>
      <c r="D279" s="6"/>
      <c r="E279" s="6"/>
      <c r="F279" s="6"/>
      <c r="G279" s="6"/>
      <c r="H279" s="1"/>
      <c r="I279" s="9"/>
      <c r="J279" s="9"/>
      <c r="K279" s="11"/>
      <c r="L279" s="1"/>
      <c r="M279" s="205" t="s">
        <v>315</v>
      </c>
      <c r="N279" s="1" t="s">
        <v>315</v>
      </c>
      <c r="O279" s="9"/>
      <c r="P279" s="14">
        <f>Tabela1316[[#This Row],[Valor_recibo]]</f>
        <v>0</v>
      </c>
      <c r="Q279" s="16"/>
      <c r="R279" s="1" t="e">
        <f>VLOOKUP(#REF!,[2]Aprovados!A:A,1,0)</f>
        <v>#REF!</v>
      </c>
      <c r="S279" s="236"/>
      <c r="T279" s="235"/>
      <c r="U279" s="235"/>
      <c r="V279" s="294"/>
      <c r="W279" s="301" t="s">
        <v>315</v>
      </c>
      <c r="X279" s="302"/>
      <c r="Y279" s="303"/>
      <c r="Z279" s="304"/>
    </row>
    <row r="280" spans="1:26" ht="15.75">
      <c r="A280" s="6"/>
      <c r="B280" s="7"/>
      <c r="C280" s="6"/>
      <c r="D280" s="6"/>
      <c r="E280" s="6"/>
      <c r="F280" s="6"/>
      <c r="G280" s="6"/>
      <c r="H280" s="1"/>
      <c r="I280" s="9"/>
      <c r="J280" s="9"/>
      <c r="K280" s="11"/>
      <c r="L280" s="1"/>
      <c r="M280" s="205" t="s">
        <v>315</v>
      </c>
      <c r="N280" s="1" t="s">
        <v>315</v>
      </c>
      <c r="O280" s="9"/>
      <c r="P280" s="14">
        <f>Tabela1316[[#This Row],[Valor_recibo]]</f>
        <v>0</v>
      </c>
      <c r="Q280" s="16"/>
      <c r="R280" s="1" t="e">
        <f>VLOOKUP(#REF!,[2]Aprovados!A:A,1,0)</f>
        <v>#REF!</v>
      </c>
      <c r="S280" s="244"/>
      <c r="T280" s="245"/>
      <c r="U280" s="245"/>
      <c r="V280" s="296"/>
      <c r="W280" s="301" t="s">
        <v>315</v>
      </c>
      <c r="X280" s="302"/>
      <c r="Y280" s="303"/>
      <c r="Z280" s="304"/>
    </row>
    <row r="281" spans="1:26" ht="15.75">
      <c r="A281" s="6"/>
      <c r="B281" s="7"/>
      <c r="C281" s="6"/>
      <c r="D281" s="6"/>
      <c r="E281" s="6"/>
      <c r="F281" s="6"/>
      <c r="G281" s="6"/>
      <c r="H281" s="1"/>
      <c r="I281" s="9"/>
      <c r="J281" s="9"/>
      <c r="K281" s="11"/>
      <c r="L281" s="1"/>
      <c r="M281" s="205" t="s">
        <v>315</v>
      </c>
      <c r="N281" s="1" t="s">
        <v>315</v>
      </c>
      <c r="O281" s="9"/>
      <c r="P281" s="14">
        <f>Tabela1316[[#This Row],[Valor_recibo]]</f>
        <v>0</v>
      </c>
      <c r="Q281" s="16"/>
      <c r="R281" s="1" t="e">
        <f>VLOOKUP(#REF!,[2]Aprovados!A:A,1,0)</f>
        <v>#REF!</v>
      </c>
      <c r="S281" s="236"/>
      <c r="T281" s="235"/>
      <c r="U281" s="235"/>
      <c r="V281" s="294"/>
      <c r="W281" s="301" t="s">
        <v>315</v>
      </c>
      <c r="X281" s="302"/>
      <c r="Y281" s="303"/>
      <c r="Z281" s="304"/>
    </row>
    <row r="282" spans="1:26" ht="15.75">
      <c r="A282" s="6"/>
      <c r="B282" s="7"/>
      <c r="C282" s="6"/>
      <c r="D282" s="6"/>
      <c r="E282" s="6"/>
      <c r="F282" s="6"/>
      <c r="G282" s="6"/>
      <c r="H282" s="1"/>
      <c r="I282" s="9"/>
      <c r="J282" s="9"/>
      <c r="K282" s="11"/>
      <c r="L282" s="1"/>
      <c r="M282" s="205" t="s">
        <v>315</v>
      </c>
      <c r="N282" s="1" t="s">
        <v>315</v>
      </c>
      <c r="O282" s="9"/>
      <c r="P282" s="14">
        <f>Tabela1316[[#This Row],[Valor_recibo]]</f>
        <v>0</v>
      </c>
      <c r="Q282" s="16"/>
      <c r="R282" s="1" t="e">
        <f>VLOOKUP(#REF!,[2]Aprovados!A:A,1,0)</f>
        <v>#REF!</v>
      </c>
      <c r="S282" s="236"/>
      <c r="T282" s="235"/>
      <c r="U282" s="235"/>
      <c r="V282" s="294"/>
      <c r="W282" s="301" t="s">
        <v>315</v>
      </c>
      <c r="X282" s="302"/>
      <c r="Y282" s="303"/>
      <c r="Z282" s="304"/>
    </row>
    <row r="283" spans="1:26" ht="15.75">
      <c r="A283" s="6"/>
      <c r="B283" s="7"/>
      <c r="C283" s="6"/>
      <c r="D283" s="6"/>
      <c r="E283" s="6"/>
      <c r="F283" s="6"/>
      <c r="G283" s="6"/>
      <c r="H283" s="1"/>
      <c r="I283" s="9"/>
      <c r="J283" s="9"/>
      <c r="K283" s="11"/>
      <c r="L283" s="1"/>
      <c r="M283" s="205" t="s">
        <v>315</v>
      </c>
      <c r="N283" s="1" t="s">
        <v>315</v>
      </c>
      <c r="O283" s="9"/>
      <c r="P283" s="14">
        <f>Tabela1316[[#This Row],[Valor_recibo]]</f>
        <v>0</v>
      </c>
      <c r="Q283" s="16"/>
      <c r="R283" s="1" t="e">
        <f>VLOOKUP(#REF!,[2]Aprovados!A:A,1,0)</f>
        <v>#REF!</v>
      </c>
      <c r="S283" s="236"/>
      <c r="T283" s="235"/>
      <c r="U283" s="235"/>
      <c r="V283" s="294"/>
      <c r="W283" s="301" t="s">
        <v>315</v>
      </c>
      <c r="X283" s="302"/>
      <c r="Y283" s="303"/>
      <c r="Z283" s="304"/>
    </row>
    <row r="284" spans="1:26" ht="15.75">
      <c r="A284" s="6"/>
      <c r="B284" s="7"/>
      <c r="C284" s="6"/>
      <c r="D284" s="6"/>
      <c r="E284" s="6"/>
      <c r="F284" s="6"/>
      <c r="G284" s="6"/>
      <c r="H284" s="1"/>
      <c r="I284" s="9"/>
      <c r="J284" s="9"/>
      <c r="K284" s="11"/>
      <c r="L284" s="1"/>
      <c r="M284" s="205" t="s">
        <v>315</v>
      </c>
      <c r="N284" s="1" t="s">
        <v>315</v>
      </c>
      <c r="O284" s="9"/>
      <c r="P284" s="14">
        <f>Tabela1316[[#This Row],[Valor_recibo]]</f>
        <v>0</v>
      </c>
      <c r="Q284" s="16"/>
      <c r="R284" s="1" t="e">
        <f>VLOOKUP(#REF!,[2]Aprovados!A:A,1,0)</f>
        <v>#REF!</v>
      </c>
      <c r="S284" s="236"/>
      <c r="T284" s="235"/>
      <c r="U284" s="235"/>
      <c r="V284" s="294"/>
      <c r="W284" s="301" t="s">
        <v>315</v>
      </c>
      <c r="X284" s="302"/>
      <c r="Y284" s="303"/>
      <c r="Z284" s="304"/>
    </row>
    <row r="285" spans="1:26" ht="15.75">
      <c r="A285" s="6"/>
      <c r="B285" s="7"/>
      <c r="C285" s="6"/>
      <c r="D285" s="6"/>
      <c r="E285" s="6"/>
      <c r="F285" s="6"/>
      <c r="G285" s="6"/>
      <c r="H285" s="1"/>
      <c r="I285" s="9"/>
      <c r="J285" s="9"/>
      <c r="K285" s="11"/>
      <c r="L285" s="1"/>
      <c r="M285" s="205" t="s">
        <v>315</v>
      </c>
      <c r="N285" s="1" t="s">
        <v>315</v>
      </c>
      <c r="O285" s="9"/>
      <c r="P285" s="14">
        <f>Tabela1316[[#This Row],[Valor_recibo]]</f>
        <v>0</v>
      </c>
      <c r="Q285" s="16"/>
      <c r="R285" s="1" t="e">
        <f>VLOOKUP(#REF!,[2]Aprovados!A:A,1,0)</f>
        <v>#REF!</v>
      </c>
      <c r="S285" s="236"/>
      <c r="T285" s="235"/>
      <c r="U285" s="235"/>
      <c r="V285" s="294"/>
      <c r="W285" s="301" t="s">
        <v>315</v>
      </c>
      <c r="X285" s="302"/>
      <c r="Y285" s="303"/>
      <c r="Z285" s="304"/>
    </row>
    <row r="286" spans="1:26" ht="15.75">
      <c r="A286" s="6"/>
      <c r="B286" s="7"/>
      <c r="C286" s="6"/>
      <c r="D286" s="6"/>
      <c r="E286" s="6"/>
      <c r="F286" s="6"/>
      <c r="G286" s="6"/>
      <c r="H286" s="1"/>
      <c r="I286" s="9"/>
      <c r="J286" s="9"/>
      <c r="K286" s="11"/>
      <c r="L286" s="1"/>
      <c r="M286" s="205" t="s">
        <v>315</v>
      </c>
      <c r="N286" s="1" t="s">
        <v>315</v>
      </c>
      <c r="O286" s="9"/>
      <c r="P286" s="14">
        <f>Tabela1316[[#This Row],[Valor_recibo]]</f>
        <v>0</v>
      </c>
      <c r="Q286" s="16"/>
      <c r="R286" s="1" t="e">
        <f>VLOOKUP(#REF!,[2]Aprovados!A:A,1,0)</f>
        <v>#REF!</v>
      </c>
      <c r="S286" s="236"/>
      <c r="T286" s="235"/>
      <c r="U286" s="235"/>
      <c r="V286" s="294"/>
      <c r="W286" s="301" t="s">
        <v>315</v>
      </c>
      <c r="X286" s="302"/>
      <c r="Y286" s="303"/>
      <c r="Z286" s="304"/>
    </row>
    <row r="287" spans="1:26" ht="15.75">
      <c r="A287" s="6"/>
      <c r="B287" s="7"/>
      <c r="C287" s="6"/>
      <c r="D287" s="6"/>
      <c r="E287" s="6"/>
      <c r="F287" s="6"/>
      <c r="G287" s="6"/>
      <c r="H287" s="1"/>
      <c r="I287" s="9"/>
      <c r="J287" s="9"/>
      <c r="K287" s="11"/>
      <c r="L287" s="1"/>
      <c r="M287" s="205" t="s">
        <v>315</v>
      </c>
      <c r="N287" s="1" t="s">
        <v>315</v>
      </c>
      <c r="O287" s="9"/>
      <c r="P287" s="14">
        <f>Tabela1316[[#This Row],[Valor_recibo]]</f>
        <v>0</v>
      </c>
      <c r="Q287" s="16"/>
      <c r="R287" s="1" t="e">
        <f>VLOOKUP(#REF!,[2]Aprovados!A:A,1,0)</f>
        <v>#REF!</v>
      </c>
      <c r="S287" s="236"/>
      <c r="T287" s="235"/>
      <c r="U287" s="235"/>
      <c r="V287" s="294"/>
      <c r="W287" s="301" t="s">
        <v>315</v>
      </c>
      <c r="X287" s="302"/>
      <c r="Y287" s="303"/>
      <c r="Z287" s="304"/>
    </row>
    <row r="288" spans="1:26" ht="15.75">
      <c r="A288" s="6"/>
      <c r="B288" s="7"/>
      <c r="C288" s="6"/>
      <c r="D288" s="6"/>
      <c r="E288" s="6"/>
      <c r="F288" s="6"/>
      <c r="G288" s="6"/>
      <c r="H288" s="1"/>
      <c r="I288" s="9"/>
      <c r="J288" s="9"/>
      <c r="K288" s="11"/>
      <c r="L288" s="1"/>
      <c r="M288" s="205" t="s">
        <v>315</v>
      </c>
      <c r="N288" s="1" t="s">
        <v>315</v>
      </c>
      <c r="O288" s="9"/>
      <c r="P288" s="14">
        <f>Tabela1316[[#This Row],[Valor_recibo]]</f>
        <v>0</v>
      </c>
      <c r="Q288" s="16"/>
      <c r="R288" s="1" t="e">
        <f>VLOOKUP(#REF!,[2]Aprovados!A:A,1,0)</f>
        <v>#REF!</v>
      </c>
      <c r="S288" s="236"/>
      <c r="T288" s="235"/>
      <c r="U288" s="235"/>
      <c r="V288" s="294"/>
      <c r="W288" s="301" t="s">
        <v>315</v>
      </c>
      <c r="X288" s="302"/>
      <c r="Y288" s="303"/>
      <c r="Z288" s="304"/>
    </row>
    <row r="289" spans="1:26" ht="15.75">
      <c r="A289" s="6"/>
      <c r="B289" s="7"/>
      <c r="C289" s="6"/>
      <c r="D289" s="6"/>
      <c r="E289" s="6"/>
      <c r="F289" s="6"/>
      <c r="G289" s="6"/>
      <c r="H289" s="1"/>
      <c r="I289" s="9"/>
      <c r="J289" s="9"/>
      <c r="K289" s="11"/>
      <c r="L289" s="1"/>
      <c r="M289" s="205" t="s">
        <v>315</v>
      </c>
      <c r="N289" s="1" t="s">
        <v>315</v>
      </c>
      <c r="O289" s="9"/>
      <c r="P289" s="14">
        <f>Tabela1316[[#This Row],[Valor_recibo]]</f>
        <v>0</v>
      </c>
      <c r="Q289" s="16"/>
      <c r="R289" s="1" t="e">
        <f>VLOOKUP(#REF!,[2]Aprovados!A:A,1,0)</f>
        <v>#REF!</v>
      </c>
      <c r="S289" s="236"/>
      <c r="T289" s="235"/>
      <c r="U289" s="235"/>
      <c r="V289" s="294"/>
      <c r="W289" s="301" t="s">
        <v>315</v>
      </c>
      <c r="X289" s="302"/>
      <c r="Y289" s="303"/>
      <c r="Z289" s="304"/>
    </row>
    <row r="290" spans="1:26" ht="15.75">
      <c r="A290" s="6"/>
      <c r="B290" s="7"/>
      <c r="C290" s="6"/>
      <c r="D290" s="6"/>
      <c r="E290" s="6"/>
      <c r="F290" s="6"/>
      <c r="G290" s="6"/>
      <c r="H290" s="1"/>
      <c r="I290" s="9"/>
      <c r="J290" s="9"/>
      <c r="K290" s="11"/>
      <c r="L290" s="1"/>
      <c r="M290" s="205" t="s">
        <v>315</v>
      </c>
      <c r="N290" s="1" t="s">
        <v>315</v>
      </c>
      <c r="O290" s="9"/>
      <c r="P290" s="14">
        <f>Tabela1316[[#This Row],[Valor_recibo]]</f>
        <v>0</v>
      </c>
      <c r="Q290" s="16"/>
      <c r="R290" s="1" t="e">
        <f>VLOOKUP(#REF!,[2]Aprovados!A:A,1,0)</f>
        <v>#REF!</v>
      </c>
      <c r="S290" s="236"/>
      <c r="T290" s="235"/>
      <c r="U290" s="235"/>
      <c r="V290" s="294"/>
      <c r="W290" s="301" t="s">
        <v>315</v>
      </c>
      <c r="X290" s="302"/>
      <c r="Y290" s="303"/>
      <c r="Z290" s="304"/>
    </row>
    <row r="291" spans="1:26" ht="15.75">
      <c r="A291" s="6"/>
      <c r="B291" s="7"/>
      <c r="C291" s="6"/>
      <c r="D291" s="6"/>
      <c r="E291" s="6"/>
      <c r="F291" s="6"/>
      <c r="G291" s="6"/>
      <c r="H291" s="1"/>
      <c r="I291" s="9"/>
      <c r="J291" s="9"/>
      <c r="K291" s="11"/>
      <c r="L291" s="1"/>
      <c r="M291" s="205" t="s">
        <v>315</v>
      </c>
      <c r="N291" s="1" t="s">
        <v>315</v>
      </c>
      <c r="O291" s="9"/>
      <c r="P291" s="14">
        <f>Tabela1316[[#This Row],[Valor_recibo]]</f>
        <v>0</v>
      </c>
      <c r="Q291" s="16"/>
      <c r="R291" s="1" t="e">
        <f>VLOOKUP(#REF!,[2]Aprovados!A:A,1,0)</f>
        <v>#REF!</v>
      </c>
      <c r="S291" s="236"/>
      <c r="T291" s="235"/>
      <c r="U291" s="235"/>
      <c r="V291" s="294"/>
      <c r="W291" s="301" t="s">
        <v>315</v>
      </c>
      <c r="X291" s="302"/>
      <c r="Y291" s="303"/>
      <c r="Z291" s="304"/>
    </row>
    <row r="292" spans="1:26" ht="15.75">
      <c r="A292" s="6"/>
      <c r="B292" s="7"/>
      <c r="C292" s="6"/>
      <c r="D292" s="6"/>
      <c r="E292" s="6"/>
      <c r="F292" s="6"/>
      <c r="G292" s="6"/>
      <c r="H292" s="1"/>
      <c r="I292" s="9"/>
      <c r="J292" s="9"/>
      <c r="K292" s="11"/>
      <c r="L292" s="1"/>
      <c r="M292" s="205" t="s">
        <v>315</v>
      </c>
      <c r="N292" s="1" t="s">
        <v>315</v>
      </c>
      <c r="O292" s="9"/>
      <c r="P292" s="14">
        <f>Tabela1316[[#This Row],[Valor_recibo]]</f>
        <v>0</v>
      </c>
      <c r="Q292" s="16"/>
      <c r="R292" s="1" t="e">
        <f>VLOOKUP(#REF!,[2]Aprovados!A:A,1,0)</f>
        <v>#REF!</v>
      </c>
      <c r="S292" s="236"/>
      <c r="T292" s="235"/>
      <c r="U292" s="235"/>
      <c r="V292" s="294"/>
      <c r="W292" s="301" t="s">
        <v>315</v>
      </c>
      <c r="X292" s="302"/>
      <c r="Y292" s="303"/>
      <c r="Z292" s="304"/>
    </row>
    <row r="293" spans="1:26" ht="15.75">
      <c r="A293" s="6"/>
      <c r="B293" s="7"/>
      <c r="C293" s="6"/>
      <c r="D293" s="6"/>
      <c r="E293" s="6"/>
      <c r="F293" s="6"/>
      <c r="G293" s="6"/>
      <c r="H293" s="1"/>
      <c r="I293" s="9"/>
      <c r="J293" s="9"/>
      <c r="K293" s="11"/>
      <c r="L293" s="1"/>
      <c r="M293" s="205" t="s">
        <v>315</v>
      </c>
      <c r="N293" s="1" t="s">
        <v>315</v>
      </c>
      <c r="O293" s="9"/>
      <c r="P293" s="14">
        <f>Tabela1316[[#This Row],[Valor_recibo]]</f>
        <v>0</v>
      </c>
      <c r="Q293" s="16"/>
      <c r="R293" s="1" t="e">
        <f>VLOOKUP(#REF!,[2]Aprovados!A:A,1,0)</f>
        <v>#REF!</v>
      </c>
      <c r="S293" s="236"/>
      <c r="T293" s="235"/>
      <c r="U293" s="235"/>
      <c r="V293" s="294"/>
      <c r="W293" s="301" t="s">
        <v>315</v>
      </c>
      <c r="X293" s="302"/>
      <c r="Y293" s="303"/>
      <c r="Z293" s="304"/>
    </row>
    <row r="294" spans="1:26" ht="15.75">
      <c r="A294" s="6"/>
      <c r="B294" s="7"/>
      <c r="C294" s="6"/>
      <c r="D294" s="6"/>
      <c r="E294" s="6"/>
      <c r="F294" s="6"/>
      <c r="G294" s="6"/>
      <c r="H294" s="1"/>
      <c r="I294" s="9"/>
      <c r="J294" s="9"/>
      <c r="K294" s="11"/>
      <c r="L294" s="1"/>
      <c r="M294" s="205" t="s">
        <v>315</v>
      </c>
      <c r="N294" s="1" t="s">
        <v>315</v>
      </c>
      <c r="O294" s="9"/>
      <c r="P294" s="14">
        <f>Tabela1316[[#This Row],[Valor_recibo]]</f>
        <v>0</v>
      </c>
      <c r="Q294" s="16"/>
      <c r="R294" s="1" t="e">
        <f>VLOOKUP(#REF!,[2]Aprovados!A:A,1,0)</f>
        <v>#REF!</v>
      </c>
      <c r="S294" s="236"/>
      <c r="T294" s="235"/>
      <c r="U294" s="235"/>
      <c r="V294" s="294"/>
      <c r="W294" s="301" t="s">
        <v>315</v>
      </c>
      <c r="X294" s="302"/>
      <c r="Y294" s="303"/>
      <c r="Z294" s="304"/>
    </row>
    <row r="295" spans="1:26" ht="15.75">
      <c r="A295" s="6"/>
      <c r="B295" s="7"/>
      <c r="C295" s="6"/>
      <c r="D295" s="6"/>
      <c r="E295" s="6"/>
      <c r="F295" s="6"/>
      <c r="G295" s="6"/>
      <c r="H295" s="1"/>
      <c r="I295" s="9"/>
      <c r="J295" s="9"/>
      <c r="K295" s="11"/>
      <c r="L295" s="1"/>
      <c r="M295" s="205" t="s">
        <v>315</v>
      </c>
      <c r="N295" s="1" t="s">
        <v>315</v>
      </c>
      <c r="O295" s="9"/>
      <c r="P295" s="14">
        <f>Tabela1316[[#This Row],[Valor_recibo]]</f>
        <v>0</v>
      </c>
      <c r="Q295" s="16"/>
      <c r="R295" s="1" t="e">
        <f>VLOOKUP(#REF!,[2]Aprovados!A:A,1,0)</f>
        <v>#REF!</v>
      </c>
      <c r="S295" s="236"/>
      <c r="T295" s="235"/>
      <c r="U295" s="235"/>
      <c r="V295" s="294"/>
      <c r="W295" s="301" t="s">
        <v>315</v>
      </c>
      <c r="X295" s="302"/>
      <c r="Y295" s="303"/>
      <c r="Z295" s="304"/>
    </row>
    <row r="296" spans="1:26" ht="15.75">
      <c r="A296" s="6"/>
      <c r="B296" s="7"/>
      <c r="C296" s="6"/>
      <c r="D296" s="6"/>
      <c r="E296" s="6"/>
      <c r="F296" s="6"/>
      <c r="G296" s="6"/>
      <c r="H296" s="1"/>
      <c r="I296" s="9"/>
      <c r="J296" s="9"/>
      <c r="K296" s="11"/>
      <c r="L296" s="1"/>
      <c r="M296" s="205" t="s">
        <v>315</v>
      </c>
      <c r="N296" s="1" t="s">
        <v>315</v>
      </c>
      <c r="O296" s="9"/>
      <c r="P296" s="14">
        <f>Tabela1316[[#This Row],[Valor_recibo]]</f>
        <v>0</v>
      </c>
      <c r="Q296" s="16"/>
      <c r="R296" s="1" t="e">
        <f>VLOOKUP(#REF!,[2]Aprovados!A:A,1,0)</f>
        <v>#REF!</v>
      </c>
      <c r="S296" s="236"/>
      <c r="T296" s="235"/>
      <c r="U296" s="235"/>
      <c r="V296" s="294"/>
      <c r="W296" s="301" t="s">
        <v>315</v>
      </c>
      <c r="X296" s="302"/>
      <c r="Y296" s="303"/>
      <c r="Z296" s="304"/>
    </row>
    <row r="297" spans="1:26" ht="15.75">
      <c r="A297" s="6"/>
      <c r="B297" s="7"/>
      <c r="C297" s="6"/>
      <c r="D297" s="6"/>
      <c r="E297" s="6"/>
      <c r="F297" s="6"/>
      <c r="G297" s="6"/>
      <c r="H297" s="1"/>
      <c r="I297" s="9"/>
      <c r="J297" s="9"/>
      <c r="K297" s="11"/>
      <c r="L297" s="1"/>
      <c r="M297" s="205" t="s">
        <v>315</v>
      </c>
      <c r="N297" s="1" t="s">
        <v>315</v>
      </c>
      <c r="O297" s="9"/>
      <c r="P297" s="14">
        <f>Tabela1316[[#This Row],[Valor_recibo]]</f>
        <v>0</v>
      </c>
      <c r="Q297" s="16"/>
      <c r="R297" s="1" t="e">
        <f>VLOOKUP(#REF!,[2]Aprovados!A:A,1,0)</f>
        <v>#REF!</v>
      </c>
      <c r="S297" s="236"/>
      <c r="T297" s="235"/>
      <c r="U297" s="235"/>
      <c r="V297" s="294"/>
      <c r="W297" s="301" t="s">
        <v>315</v>
      </c>
      <c r="X297" s="302"/>
      <c r="Y297" s="303"/>
      <c r="Z297" s="304"/>
    </row>
    <row r="298" spans="1:26" ht="15.75">
      <c r="A298" s="6"/>
      <c r="B298" s="7"/>
      <c r="C298" s="6"/>
      <c r="D298" s="6"/>
      <c r="E298" s="6"/>
      <c r="F298" s="6"/>
      <c r="G298" s="6"/>
      <c r="H298" s="1"/>
      <c r="I298" s="9"/>
      <c r="J298" s="9"/>
      <c r="K298" s="11"/>
      <c r="L298" s="1"/>
      <c r="M298" s="205" t="s">
        <v>315</v>
      </c>
      <c r="N298" s="1" t="s">
        <v>315</v>
      </c>
      <c r="O298" s="9"/>
      <c r="P298" s="14">
        <f>Tabela1316[[#This Row],[Valor_recibo]]</f>
        <v>0</v>
      </c>
      <c r="Q298" s="16"/>
      <c r="R298" s="1" t="e">
        <f>VLOOKUP(#REF!,[2]Aprovados!A:A,1,0)</f>
        <v>#REF!</v>
      </c>
      <c r="S298" s="236"/>
      <c r="T298" s="235"/>
      <c r="U298" s="235"/>
      <c r="V298" s="294"/>
      <c r="W298" s="301" t="s">
        <v>315</v>
      </c>
      <c r="X298" s="302"/>
      <c r="Y298" s="303"/>
      <c r="Z298" s="304"/>
    </row>
    <row r="299" spans="1:26" ht="15.75">
      <c r="A299" s="6"/>
      <c r="B299" s="7"/>
      <c r="C299" s="6"/>
      <c r="D299" s="6"/>
      <c r="E299" s="6"/>
      <c r="F299" s="6"/>
      <c r="G299" s="6"/>
      <c r="H299" s="1"/>
      <c r="I299" s="9"/>
      <c r="J299" s="9"/>
      <c r="K299" s="11"/>
      <c r="L299" s="1"/>
      <c r="M299" s="205" t="s">
        <v>315</v>
      </c>
      <c r="N299" s="1" t="s">
        <v>315</v>
      </c>
      <c r="O299" s="9"/>
      <c r="P299" s="14">
        <f>Tabela1316[[#This Row],[Valor_recibo]]</f>
        <v>0</v>
      </c>
      <c r="Q299" s="16"/>
      <c r="R299" s="1" t="e">
        <f>VLOOKUP(#REF!,[2]Aprovados!A:A,1,0)</f>
        <v>#REF!</v>
      </c>
      <c r="S299" s="236"/>
      <c r="T299" s="235"/>
      <c r="U299" s="235"/>
      <c r="V299" s="294"/>
      <c r="W299" s="301" t="s">
        <v>315</v>
      </c>
      <c r="X299" s="302"/>
      <c r="Y299" s="303"/>
      <c r="Z299" s="304"/>
    </row>
    <row r="300" spans="1:26" ht="15.75">
      <c r="A300" s="6"/>
      <c r="B300" s="7"/>
      <c r="C300" s="6"/>
      <c r="D300" s="6"/>
      <c r="E300" s="6"/>
      <c r="F300" s="6"/>
      <c r="G300" s="6"/>
      <c r="H300" s="1"/>
      <c r="I300" s="9"/>
      <c r="J300" s="9"/>
      <c r="K300" s="11"/>
      <c r="L300" s="1"/>
      <c r="M300" s="205" t="s">
        <v>315</v>
      </c>
      <c r="N300" s="1" t="s">
        <v>315</v>
      </c>
      <c r="O300" s="9"/>
      <c r="P300" s="14">
        <f>Tabela1316[[#This Row],[Valor_recibo]]</f>
        <v>0</v>
      </c>
      <c r="Q300" s="16"/>
      <c r="R300" s="1" t="e">
        <f>VLOOKUP(#REF!,[2]Aprovados!A:A,1,0)</f>
        <v>#REF!</v>
      </c>
      <c r="S300" s="236"/>
      <c r="T300" s="235"/>
      <c r="U300" s="235"/>
      <c r="V300" s="294"/>
      <c r="W300" s="301" t="s">
        <v>315</v>
      </c>
      <c r="X300" s="302"/>
      <c r="Y300" s="303"/>
      <c r="Z300" s="304"/>
    </row>
    <row r="301" spans="1:26" ht="15.75">
      <c r="A301" s="6"/>
      <c r="B301" s="7"/>
      <c r="C301" s="6"/>
      <c r="D301" s="6"/>
      <c r="E301" s="6"/>
      <c r="F301" s="6"/>
      <c r="G301" s="6"/>
      <c r="H301" s="1"/>
      <c r="I301" s="9"/>
      <c r="J301" s="9"/>
      <c r="K301" s="11"/>
      <c r="L301" s="1"/>
      <c r="M301" s="205" t="s">
        <v>315</v>
      </c>
      <c r="N301" s="1" t="s">
        <v>315</v>
      </c>
      <c r="O301" s="9"/>
      <c r="P301" s="14">
        <f>Tabela1316[[#This Row],[Valor_recibo]]</f>
        <v>0</v>
      </c>
      <c r="Q301" s="16"/>
      <c r="R301" s="1" t="e">
        <f>VLOOKUP(#REF!,[2]Aprovados!A:A,1,0)</f>
        <v>#REF!</v>
      </c>
      <c r="S301" s="236"/>
      <c r="T301" s="235"/>
      <c r="U301" s="235"/>
      <c r="V301" s="294"/>
      <c r="W301" s="301" t="s">
        <v>315</v>
      </c>
      <c r="X301" s="302"/>
      <c r="Y301" s="303"/>
      <c r="Z301" s="304"/>
    </row>
    <row r="302" spans="1:26" ht="15.75">
      <c r="A302" s="6"/>
      <c r="B302" s="7"/>
      <c r="C302" s="6"/>
      <c r="D302" s="6"/>
      <c r="E302" s="6"/>
      <c r="F302" s="6"/>
      <c r="G302" s="6"/>
      <c r="H302" s="1"/>
      <c r="I302" s="9"/>
      <c r="J302" s="9"/>
      <c r="K302" s="11"/>
      <c r="L302" s="1"/>
      <c r="M302" s="205" t="s">
        <v>315</v>
      </c>
      <c r="N302" s="1" t="s">
        <v>315</v>
      </c>
      <c r="O302" s="9"/>
      <c r="P302" s="14">
        <f>Tabela1316[[#This Row],[Valor_recibo]]</f>
        <v>0</v>
      </c>
      <c r="Q302" s="16"/>
      <c r="R302" s="1" t="e">
        <f>VLOOKUP(#REF!,[2]Aprovados!A:A,1,0)</f>
        <v>#REF!</v>
      </c>
      <c r="S302" s="236"/>
      <c r="T302" s="235"/>
      <c r="U302" s="235"/>
      <c r="V302" s="294"/>
      <c r="W302" s="301" t="s">
        <v>315</v>
      </c>
      <c r="X302" s="302"/>
      <c r="Y302" s="303"/>
      <c r="Z302" s="304"/>
    </row>
    <row r="303" spans="1:26" ht="15.75">
      <c r="A303" s="6"/>
      <c r="B303" s="7"/>
      <c r="C303" s="6"/>
      <c r="D303" s="6"/>
      <c r="E303" s="6"/>
      <c r="F303" s="6"/>
      <c r="G303" s="6"/>
      <c r="H303" s="1"/>
      <c r="I303" s="9"/>
      <c r="J303" s="9"/>
      <c r="K303" s="11"/>
      <c r="L303" s="1"/>
      <c r="M303" s="205" t="s">
        <v>315</v>
      </c>
      <c r="N303" s="1" t="s">
        <v>315</v>
      </c>
      <c r="O303" s="9"/>
      <c r="P303" s="14">
        <f>Tabela1316[[#This Row],[Valor_recibo]]</f>
        <v>0</v>
      </c>
      <c r="Q303" s="16"/>
      <c r="R303" s="1" t="e">
        <f>VLOOKUP(#REF!,[2]Aprovados!A:A,1,0)</f>
        <v>#REF!</v>
      </c>
      <c r="S303" s="236"/>
      <c r="T303" s="235"/>
      <c r="U303" s="235"/>
      <c r="V303" s="294"/>
      <c r="W303" s="301" t="s">
        <v>315</v>
      </c>
      <c r="X303" s="302"/>
      <c r="Y303" s="303"/>
      <c r="Z303" s="304"/>
    </row>
    <row r="304" spans="1:26" ht="15.75">
      <c r="A304" s="6"/>
      <c r="B304" s="7"/>
      <c r="C304" s="6"/>
      <c r="D304" s="6"/>
      <c r="E304" s="6"/>
      <c r="F304" s="6"/>
      <c r="G304" s="6"/>
      <c r="H304" s="1"/>
      <c r="I304" s="9"/>
      <c r="J304" s="9"/>
      <c r="K304" s="11"/>
      <c r="L304" s="1"/>
      <c r="M304" s="205" t="s">
        <v>315</v>
      </c>
      <c r="N304" s="1" t="s">
        <v>315</v>
      </c>
      <c r="O304" s="9"/>
      <c r="P304" s="14">
        <f>Tabela1316[[#This Row],[Valor_recibo]]</f>
        <v>0</v>
      </c>
      <c r="Q304" s="16"/>
      <c r="R304" s="1" t="e">
        <f>VLOOKUP(#REF!,[2]Aprovados!A:A,1,0)</f>
        <v>#REF!</v>
      </c>
      <c r="S304" s="236"/>
      <c r="T304" s="235"/>
      <c r="U304" s="235"/>
      <c r="V304" s="294"/>
      <c r="W304" s="301" t="s">
        <v>315</v>
      </c>
      <c r="X304" s="302"/>
      <c r="Y304" s="303"/>
      <c r="Z304" s="304"/>
    </row>
    <row r="305" spans="1:26" ht="15.75">
      <c r="A305" s="6"/>
      <c r="B305" s="7"/>
      <c r="C305" s="6"/>
      <c r="D305" s="6"/>
      <c r="E305" s="6"/>
      <c r="F305" s="6"/>
      <c r="G305" s="6"/>
      <c r="H305" s="1"/>
      <c r="I305" s="9"/>
      <c r="J305" s="9"/>
      <c r="K305" s="11"/>
      <c r="L305" s="1"/>
      <c r="M305" s="205" t="s">
        <v>315</v>
      </c>
      <c r="N305" s="1" t="s">
        <v>315</v>
      </c>
      <c r="O305" s="9"/>
      <c r="P305" s="14">
        <f>Tabela1316[[#This Row],[Valor_recibo]]</f>
        <v>0</v>
      </c>
      <c r="Q305" s="16"/>
      <c r="R305" s="1" t="e">
        <f>VLOOKUP(#REF!,[2]Aprovados!A:A,1,0)</f>
        <v>#REF!</v>
      </c>
      <c r="S305" s="236"/>
      <c r="T305" s="235"/>
      <c r="U305" s="235"/>
      <c r="V305" s="294"/>
      <c r="W305" s="301" t="s">
        <v>315</v>
      </c>
      <c r="X305" s="302"/>
      <c r="Y305" s="303"/>
      <c r="Z305" s="304"/>
    </row>
    <row r="306" spans="1:26" ht="15.75">
      <c r="A306" s="6"/>
      <c r="B306" s="7"/>
      <c r="C306" s="6"/>
      <c r="D306" s="6"/>
      <c r="E306" s="6"/>
      <c r="F306" s="6"/>
      <c r="G306" s="6"/>
      <c r="H306" s="1"/>
      <c r="I306" s="9"/>
      <c r="J306" s="9"/>
      <c r="K306" s="11"/>
      <c r="L306" s="1"/>
      <c r="M306" s="205" t="s">
        <v>315</v>
      </c>
      <c r="N306" s="1" t="s">
        <v>315</v>
      </c>
      <c r="O306" s="9"/>
      <c r="P306" s="14">
        <f>Tabela1316[[#This Row],[Valor_recibo]]</f>
        <v>0</v>
      </c>
      <c r="Q306" s="16"/>
      <c r="R306" s="1" t="e">
        <f>VLOOKUP(#REF!,[2]Aprovados!A:A,1,0)</f>
        <v>#REF!</v>
      </c>
      <c r="S306" s="236"/>
      <c r="T306" s="235"/>
      <c r="U306" s="235"/>
      <c r="V306" s="294"/>
      <c r="W306" s="301" t="s">
        <v>315</v>
      </c>
      <c r="X306" s="302"/>
      <c r="Y306" s="303"/>
      <c r="Z306" s="304"/>
    </row>
    <row r="307" spans="1:26" ht="15.75">
      <c r="A307" s="6"/>
      <c r="B307" s="7"/>
      <c r="C307" s="6"/>
      <c r="D307" s="6"/>
      <c r="E307" s="6"/>
      <c r="F307" s="6"/>
      <c r="G307" s="6"/>
      <c r="H307" s="1"/>
      <c r="I307" s="9"/>
      <c r="J307" s="9"/>
      <c r="K307" s="11"/>
      <c r="L307" s="1"/>
      <c r="M307" s="205" t="s">
        <v>315</v>
      </c>
      <c r="N307" s="1" t="s">
        <v>315</v>
      </c>
      <c r="O307" s="9"/>
      <c r="P307" s="14">
        <f>Tabela1316[[#This Row],[Valor_recibo]]</f>
        <v>0</v>
      </c>
      <c r="Q307" s="16"/>
      <c r="R307" s="1" t="e">
        <f>VLOOKUP(#REF!,[2]Aprovados!A:A,1,0)</f>
        <v>#REF!</v>
      </c>
      <c r="S307" s="236"/>
      <c r="T307" s="235"/>
      <c r="U307" s="235"/>
      <c r="V307" s="294"/>
      <c r="W307" s="301" t="s">
        <v>315</v>
      </c>
      <c r="X307" s="302"/>
      <c r="Y307" s="303"/>
      <c r="Z307" s="304"/>
    </row>
    <row r="308" spans="1:26" ht="15.75">
      <c r="A308" s="6"/>
      <c r="B308" s="7"/>
      <c r="C308" s="6"/>
      <c r="D308" s="6"/>
      <c r="E308" s="6"/>
      <c r="F308" s="6"/>
      <c r="G308" s="6"/>
      <c r="H308" s="1"/>
      <c r="I308" s="9"/>
      <c r="J308" s="9"/>
      <c r="K308" s="11"/>
      <c r="L308" s="1"/>
      <c r="M308" s="205" t="s">
        <v>315</v>
      </c>
      <c r="N308" s="1" t="s">
        <v>315</v>
      </c>
      <c r="O308" s="9"/>
      <c r="P308" s="14">
        <f>Tabela1316[[#This Row],[Valor_recibo]]</f>
        <v>0</v>
      </c>
      <c r="Q308" s="16"/>
      <c r="R308" s="1" t="e">
        <f>VLOOKUP(#REF!,[2]Aprovados!A:A,1,0)</f>
        <v>#REF!</v>
      </c>
      <c r="S308" s="236"/>
      <c r="T308" s="235"/>
      <c r="U308" s="235"/>
      <c r="V308" s="294"/>
      <c r="W308" s="301" t="s">
        <v>315</v>
      </c>
      <c r="X308" s="302"/>
      <c r="Y308" s="303"/>
      <c r="Z308" s="304"/>
    </row>
    <row r="309" spans="1:26" ht="15.75">
      <c r="A309" s="6"/>
      <c r="B309" s="7"/>
      <c r="C309" s="6"/>
      <c r="D309" s="6"/>
      <c r="E309" s="6"/>
      <c r="F309" s="6"/>
      <c r="G309" s="6"/>
      <c r="H309" s="1"/>
      <c r="I309" s="9"/>
      <c r="J309" s="9"/>
      <c r="K309" s="11"/>
      <c r="L309" s="1"/>
      <c r="M309" s="205" t="s">
        <v>315</v>
      </c>
      <c r="N309" s="1" t="s">
        <v>315</v>
      </c>
      <c r="O309" s="9"/>
      <c r="P309" s="14">
        <f>Tabela1316[[#This Row],[Valor_recibo]]</f>
        <v>0</v>
      </c>
      <c r="Q309" s="16"/>
      <c r="R309" s="1" t="e">
        <f>VLOOKUP(#REF!,[2]Aprovados!A:A,1,0)</f>
        <v>#REF!</v>
      </c>
      <c r="S309" s="236"/>
      <c r="T309" s="235"/>
      <c r="U309" s="235"/>
      <c r="V309" s="294"/>
      <c r="W309" s="301" t="s">
        <v>315</v>
      </c>
      <c r="X309" s="302"/>
      <c r="Y309" s="303"/>
      <c r="Z309" s="304"/>
    </row>
    <row r="310" spans="1:26" ht="15.75">
      <c r="A310" s="6"/>
      <c r="B310" s="7"/>
      <c r="C310" s="6"/>
      <c r="D310" s="6"/>
      <c r="E310" s="6"/>
      <c r="F310" s="6"/>
      <c r="G310" s="6"/>
      <c r="H310" s="1"/>
      <c r="I310" s="9"/>
      <c r="J310" s="9"/>
      <c r="K310" s="11"/>
      <c r="L310" s="1"/>
      <c r="M310" s="205" t="s">
        <v>315</v>
      </c>
      <c r="N310" s="1" t="s">
        <v>315</v>
      </c>
      <c r="O310" s="9"/>
      <c r="P310" s="14">
        <f>Tabela1316[[#This Row],[Valor_recibo]]</f>
        <v>0</v>
      </c>
      <c r="Q310" s="16"/>
      <c r="R310" s="1" t="e">
        <f>VLOOKUP(#REF!,[2]Aprovados!A:A,1,0)</f>
        <v>#REF!</v>
      </c>
      <c r="S310" s="236"/>
      <c r="T310" s="235"/>
      <c r="U310" s="235"/>
      <c r="V310" s="294"/>
      <c r="W310" s="301" t="s">
        <v>315</v>
      </c>
      <c r="X310" s="302"/>
      <c r="Y310" s="303"/>
      <c r="Z310" s="304"/>
    </row>
    <row r="311" spans="1:26" ht="15.75">
      <c r="A311" s="6"/>
      <c r="B311" s="7"/>
      <c r="C311" s="6"/>
      <c r="D311" s="6"/>
      <c r="E311" s="6"/>
      <c r="F311" s="6"/>
      <c r="G311" s="6"/>
      <c r="H311" s="1"/>
      <c r="I311" s="9"/>
      <c r="J311" s="9"/>
      <c r="K311" s="11"/>
      <c r="L311" s="1"/>
      <c r="M311" s="205" t="s">
        <v>315</v>
      </c>
      <c r="N311" s="1" t="s">
        <v>315</v>
      </c>
      <c r="O311" s="9"/>
      <c r="P311" s="14">
        <f>Tabela1316[[#This Row],[Valor_recibo]]</f>
        <v>0</v>
      </c>
      <c r="Q311" s="16"/>
      <c r="R311" s="1" t="e">
        <f>VLOOKUP(#REF!,[2]Aprovados!A:A,1,0)</f>
        <v>#REF!</v>
      </c>
      <c r="S311" s="236"/>
      <c r="T311" s="235"/>
      <c r="U311" s="235"/>
      <c r="V311" s="294"/>
      <c r="W311" s="301" t="s">
        <v>315</v>
      </c>
      <c r="X311" s="302"/>
      <c r="Y311" s="303"/>
      <c r="Z311" s="304"/>
    </row>
    <row r="312" spans="1:26" ht="15.75">
      <c r="A312" s="6"/>
      <c r="B312" s="7"/>
      <c r="C312" s="6"/>
      <c r="D312" s="6"/>
      <c r="E312" s="6"/>
      <c r="F312" s="6"/>
      <c r="G312" s="6"/>
      <c r="H312" s="1"/>
      <c r="I312" s="9"/>
      <c r="J312" s="9"/>
      <c r="K312" s="11"/>
      <c r="L312" s="1"/>
      <c r="M312" s="205" t="s">
        <v>315</v>
      </c>
      <c r="N312" s="1" t="s">
        <v>315</v>
      </c>
      <c r="O312" s="9"/>
      <c r="P312" s="14">
        <f>Tabela1316[[#This Row],[Valor_recibo]]</f>
        <v>0</v>
      </c>
      <c r="Q312" s="16"/>
      <c r="R312" s="1" t="e">
        <f>VLOOKUP(#REF!,[2]Aprovados!A:A,1,0)</f>
        <v>#REF!</v>
      </c>
      <c r="S312" s="236"/>
      <c r="T312" s="235"/>
      <c r="U312" s="235"/>
      <c r="V312" s="294"/>
      <c r="W312" s="301" t="s">
        <v>315</v>
      </c>
      <c r="X312" s="302"/>
      <c r="Y312" s="303"/>
      <c r="Z312" s="304"/>
    </row>
    <row r="313" spans="1:26" ht="15.75">
      <c r="A313" s="6"/>
      <c r="B313" s="7"/>
      <c r="C313" s="6"/>
      <c r="D313" s="6"/>
      <c r="E313" s="6"/>
      <c r="F313" s="6"/>
      <c r="G313" s="6"/>
      <c r="H313" s="1"/>
      <c r="I313" s="9"/>
      <c r="J313" s="9"/>
      <c r="K313" s="11"/>
      <c r="L313" s="1"/>
      <c r="M313" s="205" t="s">
        <v>315</v>
      </c>
      <c r="N313" s="1" t="s">
        <v>315</v>
      </c>
      <c r="O313" s="9"/>
      <c r="P313" s="14">
        <f>Tabela1316[[#This Row],[Valor_recibo]]</f>
        <v>0</v>
      </c>
      <c r="Q313" s="16"/>
      <c r="R313" s="1" t="e">
        <f>VLOOKUP(#REF!,[2]Aprovados!A:A,1,0)</f>
        <v>#REF!</v>
      </c>
      <c r="S313" s="236"/>
      <c r="T313" s="235"/>
      <c r="U313" s="235"/>
      <c r="V313" s="294"/>
      <c r="W313" s="301" t="s">
        <v>315</v>
      </c>
      <c r="X313" s="302"/>
      <c r="Y313" s="303"/>
      <c r="Z313" s="304"/>
    </row>
    <row r="314" spans="1:26" ht="15.75">
      <c r="A314" s="6"/>
      <c r="B314" s="7"/>
      <c r="C314" s="6"/>
      <c r="D314" s="6"/>
      <c r="E314" s="6"/>
      <c r="F314" s="6"/>
      <c r="G314" s="6"/>
      <c r="H314" s="1"/>
      <c r="I314" s="9"/>
      <c r="J314" s="9"/>
      <c r="K314" s="11"/>
      <c r="L314" s="1"/>
      <c r="M314" s="205" t="s">
        <v>315</v>
      </c>
      <c r="N314" s="1" t="s">
        <v>315</v>
      </c>
      <c r="O314" s="9"/>
      <c r="P314" s="14">
        <f>Tabela1316[[#This Row],[Valor_recibo]]</f>
        <v>0</v>
      </c>
      <c r="Q314" s="16"/>
      <c r="R314" s="1" t="e">
        <f>VLOOKUP(#REF!,[2]Aprovados!A:A,1,0)</f>
        <v>#REF!</v>
      </c>
      <c r="S314" s="236"/>
      <c r="T314" s="235"/>
      <c r="U314" s="235"/>
      <c r="V314" s="294"/>
      <c r="W314" s="301" t="s">
        <v>315</v>
      </c>
      <c r="X314" s="302"/>
      <c r="Y314" s="303"/>
      <c r="Z314" s="304"/>
    </row>
    <row r="315" spans="1:26" ht="15.75">
      <c r="A315" s="6"/>
      <c r="B315" s="7"/>
      <c r="C315" s="6"/>
      <c r="D315" s="6"/>
      <c r="E315" s="6"/>
      <c r="F315" s="6"/>
      <c r="G315" s="6"/>
      <c r="H315" s="1"/>
      <c r="I315" s="9"/>
      <c r="J315" s="9"/>
      <c r="K315" s="11"/>
      <c r="L315" s="1"/>
      <c r="M315" s="205" t="s">
        <v>315</v>
      </c>
      <c r="N315" s="1" t="s">
        <v>315</v>
      </c>
      <c r="O315" s="9"/>
      <c r="P315" s="14">
        <f>Tabela1316[[#This Row],[Valor_recibo]]</f>
        <v>0</v>
      </c>
      <c r="Q315" s="16"/>
      <c r="R315" s="1" t="e">
        <f>VLOOKUP(#REF!,[2]Aprovados!A:A,1,0)</f>
        <v>#REF!</v>
      </c>
      <c r="S315" s="236"/>
      <c r="T315" s="235"/>
      <c r="U315" s="235"/>
      <c r="V315" s="294"/>
      <c r="W315" s="301" t="s">
        <v>315</v>
      </c>
      <c r="X315" s="302"/>
      <c r="Y315" s="303"/>
      <c r="Z315" s="304"/>
    </row>
    <row r="316" spans="1:26" ht="15.75">
      <c r="A316" s="6"/>
      <c r="B316" s="7"/>
      <c r="C316" s="6"/>
      <c r="D316" s="6"/>
      <c r="E316" s="6"/>
      <c r="F316" s="6"/>
      <c r="G316" s="6"/>
      <c r="H316" s="1"/>
      <c r="I316" s="9"/>
      <c r="J316" s="9"/>
      <c r="K316" s="11"/>
      <c r="L316" s="1"/>
      <c r="M316" s="205" t="s">
        <v>315</v>
      </c>
      <c r="N316" s="1" t="s">
        <v>315</v>
      </c>
      <c r="O316" s="9"/>
      <c r="P316" s="14">
        <f>Tabela1316[[#This Row],[Valor_recibo]]</f>
        <v>0</v>
      </c>
      <c r="Q316" s="16"/>
      <c r="R316" s="1" t="e">
        <f>VLOOKUP(#REF!,[2]Aprovados!A:A,1,0)</f>
        <v>#REF!</v>
      </c>
      <c r="S316" s="236"/>
      <c r="T316" s="235"/>
      <c r="U316" s="235"/>
      <c r="V316" s="294"/>
      <c r="W316" s="301" t="s">
        <v>315</v>
      </c>
      <c r="X316" s="302"/>
      <c r="Y316" s="303"/>
      <c r="Z316" s="304"/>
    </row>
    <row r="317" spans="1:26" ht="15.75">
      <c r="A317" s="6"/>
      <c r="B317" s="7"/>
      <c r="C317" s="6"/>
      <c r="D317" s="6"/>
      <c r="E317" s="6"/>
      <c r="F317" s="6"/>
      <c r="G317" s="6"/>
      <c r="H317" s="1"/>
      <c r="I317" s="9"/>
      <c r="J317" s="9"/>
      <c r="K317" s="11"/>
      <c r="L317" s="1"/>
      <c r="M317" s="205" t="s">
        <v>315</v>
      </c>
      <c r="N317" s="1" t="s">
        <v>315</v>
      </c>
      <c r="O317" s="9"/>
      <c r="P317" s="14">
        <f>Tabela1316[[#This Row],[Valor_recibo]]</f>
        <v>0</v>
      </c>
      <c r="Q317" s="16"/>
      <c r="R317" s="1" t="e">
        <f>VLOOKUP(#REF!,[2]Aprovados!A:A,1,0)</f>
        <v>#REF!</v>
      </c>
      <c r="S317" s="236"/>
      <c r="T317" s="235"/>
      <c r="U317" s="235"/>
      <c r="V317" s="294"/>
      <c r="W317" s="301" t="s">
        <v>315</v>
      </c>
      <c r="X317" s="302"/>
      <c r="Y317" s="303"/>
      <c r="Z317" s="304"/>
    </row>
    <row r="318" spans="1:26" ht="15.75">
      <c r="A318" s="6"/>
      <c r="B318" s="7"/>
      <c r="C318" s="6"/>
      <c r="D318" s="6"/>
      <c r="E318" s="6"/>
      <c r="F318" s="6"/>
      <c r="G318" s="6"/>
      <c r="H318" s="1"/>
      <c r="I318" s="9"/>
      <c r="J318" s="9"/>
      <c r="K318" s="11"/>
      <c r="L318" s="1"/>
      <c r="M318" s="205" t="s">
        <v>315</v>
      </c>
      <c r="N318" s="1" t="s">
        <v>315</v>
      </c>
      <c r="O318" s="9"/>
      <c r="P318" s="14">
        <f>Tabela1316[[#This Row],[Valor_recibo]]</f>
        <v>0</v>
      </c>
      <c r="Q318" s="16"/>
      <c r="R318" s="1" t="e">
        <f>VLOOKUP(#REF!,[2]Aprovados!A:A,1,0)</f>
        <v>#REF!</v>
      </c>
      <c r="S318" s="236"/>
      <c r="T318" s="235"/>
      <c r="U318" s="235"/>
      <c r="V318" s="294"/>
      <c r="W318" s="301" t="s">
        <v>315</v>
      </c>
      <c r="X318" s="302"/>
      <c r="Y318" s="303"/>
      <c r="Z318" s="304"/>
    </row>
    <row r="319" spans="1:26" ht="15.75">
      <c r="A319" s="6"/>
      <c r="B319" s="7"/>
      <c r="C319" s="6"/>
      <c r="D319" s="6"/>
      <c r="E319" s="6"/>
      <c r="F319" s="6"/>
      <c r="G319" s="6"/>
      <c r="H319" s="1"/>
      <c r="I319" s="9"/>
      <c r="J319" s="9"/>
      <c r="K319" s="11"/>
      <c r="L319" s="1"/>
      <c r="M319" s="205" t="s">
        <v>315</v>
      </c>
      <c r="N319" s="1" t="s">
        <v>315</v>
      </c>
      <c r="O319" s="9"/>
      <c r="P319" s="14">
        <f>Tabela1316[[#This Row],[Valor_recibo]]</f>
        <v>0</v>
      </c>
      <c r="Q319" s="16"/>
      <c r="R319" s="1" t="e">
        <f>VLOOKUP(#REF!,[2]Aprovados!A:A,1,0)</f>
        <v>#REF!</v>
      </c>
      <c r="S319" s="236"/>
      <c r="T319" s="235"/>
      <c r="U319" s="235"/>
      <c r="V319" s="294"/>
      <c r="W319" s="301" t="s">
        <v>315</v>
      </c>
      <c r="X319" s="302"/>
      <c r="Y319" s="303"/>
      <c r="Z319" s="304"/>
    </row>
    <row r="320" spans="1:26" ht="15.75">
      <c r="A320" s="6"/>
      <c r="B320" s="7"/>
      <c r="C320" s="6"/>
      <c r="D320" s="6"/>
      <c r="E320" s="6"/>
      <c r="F320" s="6"/>
      <c r="G320" s="6"/>
      <c r="H320" s="1"/>
      <c r="I320" s="9"/>
      <c r="J320" s="9"/>
      <c r="K320" s="11"/>
      <c r="L320" s="1"/>
      <c r="M320" s="205" t="s">
        <v>315</v>
      </c>
      <c r="N320" s="1" t="s">
        <v>315</v>
      </c>
      <c r="O320" s="9"/>
      <c r="P320" s="14">
        <f>Tabela1316[[#This Row],[Valor_recibo]]</f>
        <v>0</v>
      </c>
      <c r="Q320" s="16"/>
      <c r="R320" s="1" t="e">
        <f>VLOOKUP(#REF!,[2]Aprovados!A:A,1,0)</f>
        <v>#REF!</v>
      </c>
      <c r="S320" s="236"/>
      <c r="T320" s="235"/>
      <c r="U320" s="235"/>
      <c r="V320" s="294"/>
      <c r="W320" s="301" t="s">
        <v>315</v>
      </c>
      <c r="X320" s="302"/>
      <c r="Y320" s="303"/>
      <c r="Z320" s="304"/>
    </row>
    <row r="321" spans="1:26" ht="15.75">
      <c r="A321" s="6"/>
      <c r="B321" s="7"/>
      <c r="C321" s="6"/>
      <c r="D321" s="6"/>
      <c r="E321" s="6"/>
      <c r="F321" s="6"/>
      <c r="G321" s="6"/>
      <c r="H321" s="1"/>
      <c r="I321" s="9"/>
      <c r="J321" s="9"/>
      <c r="K321" s="11"/>
      <c r="L321" s="1"/>
      <c r="M321" s="205" t="s">
        <v>315</v>
      </c>
      <c r="N321" s="1" t="s">
        <v>315</v>
      </c>
      <c r="O321" s="9"/>
      <c r="P321" s="14">
        <f>Tabela1316[[#This Row],[Valor_recibo]]</f>
        <v>0</v>
      </c>
      <c r="Q321" s="16"/>
      <c r="R321" s="1" t="e">
        <f>VLOOKUP(#REF!,[2]Aprovados!A:A,1,0)</f>
        <v>#REF!</v>
      </c>
      <c r="S321" s="236"/>
      <c r="T321" s="235"/>
      <c r="U321" s="235"/>
      <c r="V321" s="294"/>
      <c r="W321" s="301" t="s">
        <v>315</v>
      </c>
      <c r="X321" s="302"/>
      <c r="Y321" s="303"/>
      <c r="Z321" s="304"/>
    </row>
    <row r="322" spans="1:26" ht="15.75">
      <c r="A322" s="6"/>
      <c r="B322" s="7"/>
      <c r="C322" s="6"/>
      <c r="D322" s="6"/>
      <c r="E322" s="6"/>
      <c r="F322" s="6"/>
      <c r="G322" s="6"/>
      <c r="H322" s="1"/>
      <c r="I322" s="9"/>
      <c r="J322" s="9"/>
      <c r="K322" s="11"/>
      <c r="L322" s="1"/>
      <c r="M322" s="205" t="s">
        <v>315</v>
      </c>
      <c r="N322" s="1" t="s">
        <v>315</v>
      </c>
      <c r="O322" s="9"/>
      <c r="P322" s="14">
        <f>Tabela1316[[#This Row],[Valor_recibo]]</f>
        <v>0</v>
      </c>
      <c r="Q322" s="16"/>
      <c r="R322" s="1" t="e">
        <f>VLOOKUP(#REF!,[2]Aprovados!A:A,1,0)</f>
        <v>#REF!</v>
      </c>
      <c r="S322" s="236"/>
      <c r="T322" s="235"/>
      <c r="U322" s="235"/>
      <c r="V322" s="294"/>
      <c r="W322" s="301" t="s">
        <v>315</v>
      </c>
      <c r="X322" s="302"/>
      <c r="Y322" s="303"/>
      <c r="Z322" s="304"/>
    </row>
    <row r="323" spans="1:26" ht="15.75">
      <c r="A323" s="6"/>
      <c r="B323" s="7"/>
      <c r="C323" s="6"/>
      <c r="D323" s="6"/>
      <c r="E323" s="6"/>
      <c r="F323" s="6"/>
      <c r="G323" s="6"/>
      <c r="H323" s="1"/>
      <c r="I323" s="9"/>
      <c r="J323" s="9"/>
      <c r="K323" s="11"/>
      <c r="L323" s="1"/>
      <c r="M323" s="205" t="s">
        <v>315</v>
      </c>
      <c r="N323" s="1" t="s">
        <v>315</v>
      </c>
      <c r="O323" s="9"/>
      <c r="P323" s="14">
        <f>Tabela1316[[#This Row],[Valor_recibo]]</f>
        <v>0</v>
      </c>
      <c r="Q323" s="16"/>
      <c r="R323" s="1" t="e">
        <f>VLOOKUP(#REF!,[2]Aprovados!A:A,1,0)</f>
        <v>#REF!</v>
      </c>
      <c r="S323" s="236"/>
      <c r="T323" s="235"/>
      <c r="U323" s="235"/>
      <c r="V323" s="294"/>
      <c r="W323" s="301" t="s">
        <v>315</v>
      </c>
      <c r="X323" s="302"/>
      <c r="Y323" s="303"/>
      <c r="Z323" s="304"/>
    </row>
    <row r="324" spans="1:26" ht="15.75">
      <c r="A324" s="6"/>
      <c r="B324" s="7"/>
      <c r="C324" s="6"/>
      <c r="D324" s="6"/>
      <c r="E324" s="6"/>
      <c r="F324" s="6"/>
      <c r="G324" s="6"/>
      <c r="H324" s="1"/>
      <c r="I324" s="9"/>
      <c r="J324" s="9"/>
      <c r="K324" s="11"/>
      <c r="L324" s="1"/>
      <c r="M324" s="205" t="s">
        <v>315</v>
      </c>
      <c r="N324" s="1" t="s">
        <v>315</v>
      </c>
      <c r="O324" s="9"/>
      <c r="P324" s="14">
        <f>Tabela1316[[#This Row],[Valor_recibo]]</f>
        <v>0</v>
      </c>
      <c r="Q324" s="16"/>
      <c r="R324" s="1" t="e">
        <f>VLOOKUP(#REF!,[2]Aprovados!A:A,1,0)</f>
        <v>#REF!</v>
      </c>
      <c r="S324" s="236"/>
      <c r="T324" s="235"/>
      <c r="U324" s="235"/>
      <c r="V324" s="294"/>
      <c r="W324" s="301" t="s">
        <v>315</v>
      </c>
      <c r="X324" s="302"/>
      <c r="Y324" s="303"/>
      <c r="Z324" s="304"/>
    </row>
    <row r="325" spans="1:26" ht="15.75">
      <c r="A325" s="6"/>
      <c r="B325" s="7"/>
      <c r="C325" s="6"/>
      <c r="D325" s="6"/>
      <c r="E325" s="6"/>
      <c r="F325" s="6"/>
      <c r="G325" s="6"/>
      <c r="H325" s="1"/>
      <c r="I325" s="9"/>
      <c r="J325" s="9"/>
      <c r="K325" s="11"/>
      <c r="L325" s="1"/>
      <c r="M325" s="205" t="s">
        <v>315</v>
      </c>
      <c r="N325" s="1" t="s">
        <v>315</v>
      </c>
      <c r="O325" s="9"/>
      <c r="P325" s="14">
        <f>Tabela1316[[#This Row],[Valor_recibo]]</f>
        <v>0</v>
      </c>
      <c r="Q325" s="16"/>
      <c r="R325" s="1" t="e">
        <f>VLOOKUP(#REF!,[2]Aprovados!A:A,1,0)</f>
        <v>#REF!</v>
      </c>
      <c r="S325" s="236"/>
      <c r="T325" s="235"/>
      <c r="U325" s="235"/>
      <c r="V325" s="294"/>
      <c r="W325" s="301" t="s">
        <v>315</v>
      </c>
      <c r="X325" s="302"/>
      <c r="Y325" s="303"/>
      <c r="Z325" s="304"/>
    </row>
    <row r="326" spans="1:26" ht="15.75">
      <c r="A326" s="6"/>
      <c r="B326" s="7"/>
      <c r="C326" s="6"/>
      <c r="D326" s="6"/>
      <c r="E326" s="6"/>
      <c r="F326" s="6"/>
      <c r="G326" s="6"/>
      <c r="H326" s="1"/>
      <c r="I326" s="9"/>
      <c r="J326" s="9"/>
      <c r="K326" s="11"/>
      <c r="L326" s="1"/>
      <c r="M326" s="205" t="s">
        <v>315</v>
      </c>
      <c r="N326" s="1" t="s">
        <v>315</v>
      </c>
      <c r="O326" s="9"/>
      <c r="P326" s="14">
        <f>Tabela1316[[#This Row],[Valor_recibo]]</f>
        <v>0</v>
      </c>
      <c r="Q326" s="16"/>
      <c r="R326" s="1" t="e">
        <f>VLOOKUP(#REF!,[2]Aprovados!A:A,1,0)</f>
        <v>#REF!</v>
      </c>
      <c r="S326" s="236"/>
      <c r="T326" s="235"/>
      <c r="U326" s="235"/>
      <c r="V326" s="294"/>
      <c r="W326" s="301" t="s">
        <v>315</v>
      </c>
      <c r="X326" s="302"/>
      <c r="Y326" s="303"/>
      <c r="Z326" s="304"/>
    </row>
    <row r="327" spans="1:26" ht="15.75">
      <c r="A327" s="6"/>
      <c r="B327" s="7"/>
      <c r="C327" s="6"/>
      <c r="D327" s="6"/>
      <c r="E327" s="6"/>
      <c r="F327" s="6"/>
      <c r="G327" s="6"/>
      <c r="H327" s="1"/>
      <c r="I327" s="9"/>
      <c r="J327" s="9"/>
      <c r="K327" s="11"/>
      <c r="L327" s="1"/>
      <c r="M327" s="205" t="s">
        <v>315</v>
      </c>
      <c r="N327" s="1" t="s">
        <v>315</v>
      </c>
      <c r="O327" s="9"/>
      <c r="P327" s="14">
        <f>Tabela1316[[#This Row],[Valor_recibo]]</f>
        <v>0</v>
      </c>
      <c r="Q327" s="16"/>
      <c r="R327" s="1" t="e">
        <f>VLOOKUP(#REF!,[2]Aprovados!A:A,1,0)</f>
        <v>#REF!</v>
      </c>
      <c r="S327" s="236"/>
      <c r="T327" s="235"/>
      <c r="U327" s="235"/>
      <c r="V327" s="294"/>
      <c r="W327" s="301" t="s">
        <v>315</v>
      </c>
      <c r="X327" s="302"/>
      <c r="Y327" s="303"/>
      <c r="Z327" s="304"/>
    </row>
    <row r="328" spans="1:26" ht="15.75">
      <c r="A328" s="6"/>
      <c r="B328" s="7"/>
      <c r="C328" s="6"/>
      <c r="D328" s="6"/>
      <c r="E328" s="6"/>
      <c r="F328" s="6"/>
      <c r="G328" s="6"/>
      <c r="H328" s="1"/>
      <c r="I328" s="9"/>
      <c r="J328" s="9"/>
      <c r="K328" s="11"/>
      <c r="L328" s="1"/>
      <c r="M328" s="205" t="s">
        <v>315</v>
      </c>
      <c r="N328" s="1" t="s">
        <v>315</v>
      </c>
      <c r="O328" s="9"/>
      <c r="P328" s="14">
        <f>Tabela1316[[#This Row],[Valor_recibo]]</f>
        <v>0</v>
      </c>
      <c r="Q328" s="16"/>
      <c r="R328" s="1" t="e">
        <f>VLOOKUP(#REF!,[2]Aprovados!A:A,1,0)</f>
        <v>#REF!</v>
      </c>
      <c r="S328" s="236"/>
      <c r="T328" s="235"/>
      <c r="U328" s="235"/>
      <c r="V328" s="294"/>
      <c r="W328" s="301" t="s">
        <v>315</v>
      </c>
      <c r="X328" s="302"/>
      <c r="Y328" s="303"/>
      <c r="Z328" s="304"/>
    </row>
    <row r="329" spans="1:26" ht="15.75">
      <c r="A329" s="6"/>
      <c r="B329" s="7"/>
      <c r="C329" s="6"/>
      <c r="D329" s="6"/>
      <c r="E329" s="6"/>
      <c r="F329" s="6"/>
      <c r="G329" s="6"/>
      <c r="H329" s="1"/>
      <c r="I329" s="9"/>
      <c r="J329" s="9"/>
      <c r="K329" s="11"/>
      <c r="L329" s="1"/>
      <c r="M329" s="205" t="s">
        <v>315</v>
      </c>
      <c r="N329" s="1" t="s">
        <v>315</v>
      </c>
      <c r="O329" s="9"/>
      <c r="P329" s="14">
        <f>Tabela1316[[#This Row],[Valor_recibo]]</f>
        <v>0</v>
      </c>
      <c r="Q329" s="16"/>
      <c r="R329" s="1" t="e">
        <f>VLOOKUP(#REF!,[2]Aprovados!A:A,1,0)</f>
        <v>#REF!</v>
      </c>
      <c r="S329" s="236"/>
      <c r="T329" s="235"/>
      <c r="U329" s="235"/>
      <c r="V329" s="294"/>
      <c r="W329" s="301" t="s">
        <v>315</v>
      </c>
      <c r="X329" s="302"/>
      <c r="Y329" s="303"/>
      <c r="Z329" s="304"/>
    </row>
    <row r="330" spans="1:26" ht="15.75">
      <c r="A330" s="6"/>
      <c r="B330" s="7"/>
      <c r="C330" s="6"/>
      <c r="D330" s="6"/>
      <c r="E330" s="6"/>
      <c r="F330" s="6"/>
      <c r="G330" s="6"/>
      <c r="H330" s="1"/>
      <c r="I330" s="9"/>
      <c r="J330" s="9"/>
      <c r="K330" s="11"/>
      <c r="L330" s="1"/>
      <c r="M330" s="205" t="s">
        <v>315</v>
      </c>
      <c r="N330" s="1" t="s">
        <v>315</v>
      </c>
      <c r="O330" s="9"/>
      <c r="P330" s="14">
        <f>Tabela1316[[#This Row],[Valor_recibo]]</f>
        <v>0</v>
      </c>
      <c r="Q330" s="16"/>
      <c r="R330" s="1" t="e">
        <f>VLOOKUP(#REF!,[2]Aprovados!A:A,1,0)</f>
        <v>#REF!</v>
      </c>
      <c r="S330" s="236"/>
      <c r="T330" s="235"/>
      <c r="U330" s="235"/>
      <c r="V330" s="294"/>
      <c r="W330" s="301" t="s">
        <v>315</v>
      </c>
      <c r="X330" s="302"/>
      <c r="Y330" s="303"/>
      <c r="Z330" s="304"/>
    </row>
    <row r="331" spans="1:26" ht="15.75">
      <c r="A331" s="6"/>
      <c r="B331" s="7"/>
      <c r="C331" s="6"/>
      <c r="D331" s="6"/>
      <c r="E331" s="6"/>
      <c r="F331" s="6"/>
      <c r="G331" s="6"/>
      <c r="H331" s="1"/>
      <c r="I331" s="9"/>
      <c r="J331" s="9"/>
      <c r="K331" s="11"/>
      <c r="L331" s="1"/>
      <c r="M331" s="205" t="s">
        <v>315</v>
      </c>
      <c r="N331" s="1" t="s">
        <v>315</v>
      </c>
      <c r="O331" s="9"/>
      <c r="P331" s="14">
        <f>Tabela1316[[#This Row],[Valor_recibo]]</f>
        <v>0</v>
      </c>
      <c r="Q331" s="16"/>
      <c r="R331" s="1" t="e">
        <f>VLOOKUP(#REF!,[2]Aprovados!A:A,1,0)</f>
        <v>#REF!</v>
      </c>
      <c r="S331" s="236"/>
      <c r="T331" s="235"/>
      <c r="U331" s="235"/>
      <c r="V331" s="294"/>
      <c r="W331" s="301" t="s">
        <v>315</v>
      </c>
      <c r="X331" s="302"/>
      <c r="Y331" s="303"/>
      <c r="Z331" s="304"/>
    </row>
    <row r="332" spans="1:26" ht="15.75">
      <c r="A332" s="6"/>
      <c r="B332" s="7"/>
      <c r="C332" s="6"/>
      <c r="D332" s="6"/>
      <c r="E332" s="6"/>
      <c r="F332" s="6"/>
      <c r="G332" s="6"/>
      <c r="H332" s="1"/>
      <c r="I332" s="9"/>
      <c r="J332" s="9"/>
      <c r="K332" s="11"/>
      <c r="L332" s="1"/>
      <c r="M332" s="205" t="s">
        <v>315</v>
      </c>
      <c r="N332" s="1" t="s">
        <v>315</v>
      </c>
      <c r="O332" s="9"/>
      <c r="P332" s="14">
        <f>Tabela1316[[#This Row],[Valor_recibo]]</f>
        <v>0</v>
      </c>
      <c r="Q332" s="16"/>
      <c r="R332" s="1" t="e">
        <f>VLOOKUP(#REF!,[2]Aprovados!A:A,1,0)</f>
        <v>#REF!</v>
      </c>
      <c r="S332" s="236"/>
      <c r="T332" s="235"/>
      <c r="U332" s="235"/>
      <c r="V332" s="294"/>
      <c r="W332" s="301" t="s">
        <v>315</v>
      </c>
      <c r="X332" s="302"/>
      <c r="Y332" s="303"/>
      <c r="Z332" s="304"/>
    </row>
    <row r="333" spans="1:26" ht="15.75">
      <c r="A333" s="6"/>
      <c r="B333" s="7"/>
      <c r="C333" s="6"/>
      <c r="D333" s="6"/>
      <c r="E333" s="6"/>
      <c r="F333" s="6"/>
      <c r="G333" s="6"/>
      <c r="H333" s="1"/>
      <c r="I333" s="9"/>
      <c r="J333" s="9"/>
      <c r="K333" s="11"/>
      <c r="L333" s="1"/>
      <c r="M333" s="205" t="s">
        <v>315</v>
      </c>
      <c r="N333" s="1" t="s">
        <v>315</v>
      </c>
      <c r="O333" s="9"/>
      <c r="P333" s="14">
        <f>Tabela1316[[#This Row],[Valor_recibo]]</f>
        <v>0</v>
      </c>
      <c r="Q333" s="16"/>
      <c r="R333" s="1" t="e">
        <f>VLOOKUP(#REF!,[2]Aprovados!A:A,1,0)</f>
        <v>#REF!</v>
      </c>
      <c r="S333" s="236"/>
      <c r="T333" s="235"/>
      <c r="U333" s="235"/>
      <c r="V333" s="294"/>
      <c r="W333" s="301" t="s">
        <v>315</v>
      </c>
      <c r="X333" s="302"/>
      <c r="Y333" s="303"/>
      <c r="Z333" s="304"/>
    </row>
    <row r="334" spans="1:26" ht="15.75">
      <c r="A334" s="6"/>
      <c r="B334" s="7"/>
      <c r="C334" s="6"/>
      <c r="D334" s="6"/>
      <c r="E334" s="6"/>
      <c r="F334" s="6"/>
      <c r="G334" s="6"/>
      <c r="H334" s="1"/>
      <c r="I334" s="9"/>
      <c r="J334" s="9"/>
      <c r="K334" s="11"/>
      <c r="L334" s="1"/>
      <c r="M334" s="205" t="s">
        <v>315</v>
      </c>
      <c r="N334" s="1" t="s">
        <v>315</v>
      </c>
      <c r="O334" s="9"/>
      <c r="P334" s="14">
        <f>Tabela1316[[#This Row],[Valor_recibo]]</f>
        <v>0</v>
      </c>
      <c r="Q334" s="16"/>
      <c r="R334" s="1" t="e">
        <f>VLOOKUP(#REF!,[2]Aprovados!A:A,1,0)</f>
        <v>#REF!</v>
      </c>
      <c r="S334" s="236"/>
      <c r="T334" s="235"/>
      <c r="U334" s="235"/>
      <c r="V334" s="294"/>
      <c r="W334" s="301" t="s">
        <v>315</v>
      </c>
      <c r="X334" s="302"/>
      <c r="Y334" s="303"/>
      <c r="Z334" s="304"/>
    </row>
    <row r="335" spans="1:26" ht="15.75">
      <c r="A335" s="6"/>
      <c r="B335" s="7"/>
      <c r="C335" s="6"/>
      <c r="D335" s="6"/>
      <c r="E335" s="6"/>
      <c r="F335" s="6"/>
      <c r="G335" s="6"/>
      <c r="H335" s="1"/>
      <c r="I335" s="9"/>
      <c r="J335" s="9"/>
      <c r="K335" s="11"/>
      <c r="L335" s="1"/>
      <c r="M335" s="205" t="s">
        <v>315</v>
      </c>
      <c r="N335" s="1" t="s">
        <v>315</v>
      </c>
      <c r="O335" s="9"/>
      <c r="P335" s="14">
        <f>Tabela1316[[#This Row],[Valor_recibo]]</f>
        <v>0</v>
      </c>
      <c r="Q335" s="16"/>
      <c r="R335" s="1" t="e">
        <f>VLOOKUP(#REF!,[2]Aprovados!A:A,1,0)</f>
        <v>#REF!</v>
      </c>
      <c r="S335" s="236"/>
      <c r="T335" s="235"/>
      <c r="U335" s="235"/>
      <c r="V335" s="294"/>
      <c r="W335" s="301" t="s">
        <v>315</v>
      </c>
      <c r="X335" s="302"/>
      <c r="Y335" s="303"/>
      <c r="Z335" s="304"/>
    </row>
    <row r="336" spans="1:26" ht="15.75">
      <c r="A336" s="6"/>
      <c r="B336" s="7"/>
      <c r="C336" s="6"/>
      <c r="D336" s="6"/>
      <c r="E336" s="6"/>
      <c r="F336" s="6"/>
      <c r="G336" s="6"/>
      <c r="H336" s="1"/>
      <c r="I336" s="9"/>
      <c r="J336" s="9"/>
      <c r="K336" s="11"/>
      <c r="L336" s="1"/>
      <c r="M336" s="205" t="s">
        <v>315</v>
      </c>
      <c r="N336" s="1" t="s">
        <v>315</v>
      </c>
      <c r="O336" s="9"/>
      <c r="P336" s="14">
        <f>Tabela1316[[#This Row],[Valor_recibo]]</f>
        <v>0</v>
      </c>
      <c r="Q336" s="16"/>
      <c r="R336" s="1" t="e">
        <f>VLOOKUP(#REF!,[2]Aprovados!A:A,1,0)</f>
        <v>#REF!</v>
      </c>
      <c r="S336" s="236"/>
      <c r="T336" s="235"/>
      <c r="U336" s="235"/>
      <c r="V336" s="294"/>
      <c r="W336" s="301" t="s">
        <v>315</v>
      </c>
      <c r="X336" s="302"/>
      <c r="Y336" s="303"/>
      <c r="Z336" s="304"/>
    </row>
    <row r="337" spans="1:26" ht="15.75">
      <c r="A337" s="6"/>
      <c r="B337" s="7"/>
      <c r="C337" s="6"/>
      <c r="D337" s="6"/>
      <c r="E337" s="6"/>
      <c r="F337" s="6"/>
      <c r="G337" s="6"/>
      <c r="H337" s="1"/>
      <c r="I337" s="9"/>
      <c r="J337" s="9"/>
      <c r="K337" s="11"/>
      <c r="L337" s="1"/>
      <c r="M337" s="205" t="s">
        <v>315</v>
      </c>
      <c r="N337" s="1" t="s">
        <v>315</v>
      </c>
      <c r="O337" s="9"/>
      <c r="P337" s="14">
        <f>Tabela1316[[#This Row],[Valor_recibo]]</f>
        <v>0</v>
      </c>
      <c r="Q337" s="16"/>
      <c r="R337" s="1" t="e">
        <f>VLOOKUP(#REF!,[2]Aprovados!A:A,1,0)</f>
        <v>#REF!</v>
      </c>
      <c r="S337" s="236"/>
      <c r="T337" s="235"/>
      <c r="U337" s="235"/>
      <c r="V337" s="294"/>
      <c r="W337" s="301" t="s">
        <v>315</v>
      </c>
      <c r="X337" s="302"/>
      <c r="Y337" s="303"/>
      <c r="Z337" s="304"/>
    </row>
    <row r="338" spans="1:26" ht="15.75">
      <c r="A338" s="6"/>
      <c r="B338" s="7"/>
      <c r="C338" s="6"/>
      <c r="D338" s="6"/>
      <c r="E338" s="6"/>
      <c r="F338" s="6"/>
      <c r="G338" s="6"/>
      <c r="H338" s="1"/>
      <c r="I338" s="9"/>
      <c r="J338" s="9"/>
      <c r="K338" s="11"/>
      <c r="L338" s="1"/>
      <c r="M338" s="205" t="s">
        <v>315</v>
      </c>
      <c r="N338" s="1" t="s">
        <v>315</v>
      </c>
      <c r="O338" s="9"/>
      <c r="P338" s="14">
        <f>Tabela1316[[#This Row],[Valor_recibo]]</f>
        <v>0</v>
      </c>
      <c r="Q338" s="16"/>
      <c r="R338" s="1" t="e">
        <f>VLOOKUP(#REF!,[2]Aprovados!A:A,1,0)</f>
        <v>#REF!</v>
      </c>
      <c r="S338" s="236"/>
      <c r="T338" s="235"/>
      <c r="U338" s="235"/>
      <c r="V338" s="294"/>
      <c r="W338" s="301" t="s">
        <v>315</v>
      </c>
      <c r="X338" s="302"/>
      <c r="Y338" s="303"/>
      <c r="Z338" s="304"/>
    </row>
    <row r="339" spans="1:26" ht="15.75">
      <c r="A339" s="6"/>
      <c r="B339" s="7"/>
      <c r="C339" s="6"/>
      <c r="D339" s="6"/>
      <c r="E339" s="6"/>
      <c r="F339" s="6"/>
      <c r="G339" s="6"/>
      <c r="H339" s="1"/>
      <c r="I339" s="9"/>
      <c r="J339" s="9"/>
      <c r="K339" s="11"/>
      <c r="L339" s="1"/>
      <c r="M339" s="205" t="s">
        <v>315</v>
      </c>
      <c r="N339" s="1" t="s">
        <v>315</v>
      </c>
      <c r="O339" s="9"/>
      <c r="P339" s="14">
        <f>Tabela1316[[#This Row],[Valor_recibo]]</f>
        <v>0</v>
      </c>
      <c r="Q339" s="16"/>
      <c r="R339" s="1" t="e">
        <f>VLOOKUP(#REF!,[2]Aprovados!A:A,1,0)</f>
        <v>#REF!</v>
      </c>
      <c r="S339" s="236"/>
      <c r="T339" s="235"/>
      <c r="U339" s="235"/>
      <c r="V339" s="294"/>
      <c r="W339" s="301" t="s">
        <v>315</v>
      </c>
      <c r="X339" s="302"/>
      <c r="Y339" s="303"/>
      <c r="Z339" s="304"/>
    </row>
    <row r="340" spans="1:26" ht="15.75">
      <c r="A340" s="6"/>
      <c r="B340" s="7"/>
      <c r="C340" s="6"/>
      <c r="D340" s="6"/>
      <c r="E340" s="6"/>
      <c r="F340" s="6"/>
      <c r="G340" s="6"/>
      <c r="H340" s="1"/>
      <c r="I340" s="9"/>
      <c r="J340" s="9"/>
      <c r="K340" s="11"/>
      <c r="L340" s="1"/>
      <c r="M340" s="205" t="s">
        <v>315</v>
      </c>
      <c r="N340" s="1" t="s">
        <v>315</v>
      </c>
      <c r="O340" s="9"/>
      <c r="P340" s="14">
        <f>Tabela1316[[#This Row],[Valor_recibo]]</f>
        <v>0</v>
      </c>
      <c r="Q340" s="16"/>
      <c r="R340" s="1" t="e">
        <f>VLOOKUP(#REF!,[2]Aprovados!A:A,1,0)</f>
        <v>#REF!</v>
      </c>
      <c r="S340" s="236"/>
      <c r="T340" s="235"/>
      <c r="U340" s="235"/>
      <c r="V340" s="294"/>
      <c r="W340" s="301" t="s">
        <v>315</v>
      </c>
      <c r="X340" s="302"/>
      <c r="Y340" s="303"/>
      <c r="Z340" s="304"/>
    </row>
    <row r="341" spans="1:26" ht="15.75">
      <c r="A341" s="6"/>
      <c r="B341" s="7"/>
      <c r="C341" s="6"/>
      <c r="D341" s="6"/>
      <c r="E341" s="6"/>
      <c r="F341" s="6"/>
      <c r="G341" s="6"/>
      <c r="H341" s="1"/>
      <c r="I341" s="9"/>
      <c r="J341" s="9"/>
      <c r="K341" s="11"/>
      <c r="L341" s="1"/>
      <c r="M341" s="205" t="s">
        <v>315</v>
      </c>
      <c r="N341" s="1" t="s">
        <v>315</v>
      </c>
      <c r="O341" s="9"/>
      <c r="P341" s="14">
        <f>Tabela1316[[#This Row],[Valor_recibo]]</f>
        <v>0</v>
      </c>
      <c r="Q341" s="16"/>
      <c r="R341" s="1" t="e">
        <f>VLOOKUP(#REF!,[2]Aprovados!A:A,1,0)</f>
        <v>#REF!</v>
      </c>
      <c r="S341" s="236"/>
      <c r="T341" s="235"/>
      <c r="U341" s="235"/>
      <c r="V341" s="294"/>
      <c r="W341" s="301" t="s">
        <v>315</v>
      </c>
      <c r="X341" s="302"/>
      <c r="Y341" s="303"/>
      <c r="Z341" s="304"/>
    </row>
    <row r="342" spans="1:26" ht="15.75">
      <c r="A342" s="6"/>
      <c r="B342" s="7"/>
      <c r="C342" s="6"/>
      <c r="D342" s="6"/>
      <c r="E342" s="6"/>
      <c r="F342" s="6"/>
      <c r="G342" s="6"/>
      <c r="H342" s="1"/>
      <c r="I342" s="9"/>
      <c r="J342" s="9"/>
      <c r="K342" s="11"/>
      <c r="L342" s="1"/>
      <c r="M342" s="205" t="s">
        <v>315</v>
      </c>
      <c r="N342" s="1" t="s">
        <v>315</v>
      </c>
      <c r="O342" s="9"/>
      <c r="P342" s="14">
        <f>Tabela1316[[#This Row],[Valor_recibo]]</f>
        <v>0</v>
      </c>
      <c r="Q342" s="16"/>
      <c r="R342" s="1" t="e">
        <f>VLOOKUP(#REF!,[2]Aprovados!A:A,1,0)</f>
        <v>#REF!</v>
      </c>
      <c r="S342" s="236"/>
      <c r="T342" s="235"/>
      <c r="U342" s="235"/>
      <c r="V342" s="294"/>
      <c r="W342" s="301" t="s">
        <v>315</v>
      </c>
      <c r="X342" s="302"/>
      <c r="Y342" s="303"/>
      <c r="Z342" s="304"/>
    </row>
    <row r="343" spans="1:26" ht="15.75">
      <c r="A343" s="6"/>
      <c r="B343" s="7"/>
      <c r="C343" s="6"/>
      <c r="D343" s="6"/>
      <c r="E343" s="6"/>
      <c r="F343" s="6"/>
      <c r="G343" s="6"/>
      <c r="H343" s="1"/>
      <c r="I343" s="9"/>
      <c r="J343" s="9"/>
      <c r="K343" s="11"/>
      <c r="L343" s="1"/>
      <c r="M343" s="205" t="s">
        <v>315</v>
      </c>
      <c r="N343" s="1" t="s">
        <v>315</v>
      </c>
      <c r="O343" s="9"/>
      <c r="P343" s="14">
        <f>Tabela1316[[#This Row],[Valor_recibo]]</f>
        <v>0</v>
      </c>
      <c r="Q343" s="16"/>
      <c r="R343" s="1" t="e">
        <f>VLOOKUP(#REF!,[2]Aprovados!A:A,1,0)</f>
        <v>#REF!</v>
      </c>
      <c r="S343" s="236"/>
      <c r="T343" s="235"/>
      <c r="U343" s="235"/>
      <c r="V343" s="294"/>
      <c r="W343" s="301" t="s">
        <v>315</v>
      </c>
      <c r="X343" s="302"/>
      <c r="Y343" s="303"/>
      <c r="Z343" s="304"/>
    </row>
    <row r="344" spans="1:26" ht="15.75">
      <c r="A344" s="6"/>
      <c r="B344" s="7"/>
      <c r="C344" s="6"/>
      <c r="D344" s="6"/>
      <c r="E344" s="6"/>
      <c r="F344" s="6"/>
      <c r="G344" s="6"/>
      <c r="H344" s="1"/>
      <c r="I344" s="9"/>
      <c r="J344" s="9"/>
      <c r="K344" s="11"/>
      <c r="L344" s="1"/>
      <c r="M344" s="205" t="s">
        <v>315</v>
      </c>
      <c r="N344" s="1" t="s">
        <v>315</v>
      </c>
      <c r="O344" s="9"/>
      <c r="P344" s="14">
        <f>Tabela1316[[#This Row],[Valor_recibo]]</f>
        <v>0</v>
      </c>
      <c r="Q344" s="16"/>
      <c r="R344" s="1" t="e">
        <f>VLOOKUP(#REF!,[2]Aprovados!A:A,1,0)</f>
        <v>#REF!</v>
      </c>
      <c r="S344" s="236"/>
      <c r="T344" s="235"/>
      <c r="U344" s="235"/>
      <c r="V344" s="294"/>
      <c r="W344" s="301" t="s">
        <v>315</v>
      </c>
      <c r="X344" s="302"/>
      <c r="Y344" s="303"/>
      <c r="Z344" s="304"/>
    </row>
    <row r="345" spans="1:26" ht="15.75">
      <c r="A345" s="6"/>
      <c r="B345" s="7"/>
      <c r="C345" s="6"/>
      <c r="D345" s="6"/>
      <c r="E345" s="6"/>
      <c r="F345" s="6"/>
      <c r="G345" s="6"/>
      <c r="H345" s="1"/>
      <c r="I345" s="9"/>
      <c r="J345" s="9"/>
      <c r="K345" s="11"/>
      <c r="L345" s="1"/>
      <c r="M345" s="205" t="s">
        <v>315</v>
      </c>
      <c r="N345" s="1" t="s">
        <v>315</v>
      </c>
      <c r="O345" s="9"/>
      <c r="P345" s="14">
        <f>Tabela1316[[#This Row],[Valor_recibo]]</f>
        <v>0</v>
      </c>
      <c r="Q345" s="16"/>
      <c r="R345" s="1" t="e">
        <f>VLOOKUP(#REF!,[2]Aprovados!A:A,1,0)</f>
        <v>#REF!</v>
      </c>
      <c r="S345" s="236"/>
      <c r="T345" s="235"/>
      <c r="U345" s="235"/>
      <c r="V345" s="294"/>
      <c r="W345" s="301" t="s">
        <v>315</v>
      </c>
      <c r="X345" s="302"/>
      <c r="Y345" s="303"/>
      <c r="Z345" s="304"/>
    </row>
    <row r="346" spans="1:26" ht="15.75">
      <c r="A346" s="6"/>
      <c r="B346" s="7"/>
      <c r="C346" s="6"/>
      <c r="D346" s="6"/>
      <c r="E346" s="6"/>
      <c r="F346" s="6"/>
      <c r="G346" s="6"/>
      <c r="H346" s="1"/>
      <c r="I346" s="9"/>
      <c r="J346" s="9"/>
      <c r="K346" s="11"/>
      <c r="L346" s="1"/>
      <c r="M346" s="205" t="s">
        <v>315</v>
      </c>
      <c r="N346" s="1" t="s">
        <v>315</v>
      </c>
      <c r="O346" s="9"/>
      <c r="P346" s="14">
        <f>Tabela1316[[#This Row],[Valor_recibo]]</f>
        <v>0</v>
      </c>
      <c r="Q346" s="16"/>
      <c r="R346" s="1" t="e">
        <f>VLOOKUP(#REF!,[2]Aprovados!A:A,1,0)</f>
        <v>#REF!</v>
      </c>
      <c r="S346" s="236"/>
      <c r="T346" s="235"/>
      <c r="U346" s="235"/>
      <c r="V346" s="294"/>
      <c r="W346" s="301" t="s">
        <v>315</v>
      </c>
      <c r="X346" s="302"/>
      <c r="Y346" s="303"/>
      <c r="Z346" s="304"/>
    </row>
    <row r="347" spans="1:26" ht="15.75">
      <c r="A347" s="6"/>
      <c r="B347" s="7"/>
      <c r="C347" s="6"/>
      <c r="D347" s="6"/>
      <c r="E347" s="6"/>
      <c r="F347" s="6"/>
      <c r="G347" s="6"/>
      <c r="H347" s="1"/>
      <c r="I347" s="9"/>
      <c r="J347" s="9"/>
      <c r="K347" s="11"/>
      <c r="L347" s="1"/>
      <c r="M347" s="205" t="s">
        <v>315</v>
      </c>
      <c r="N347" s="1" t="s">
        <v>315</v>
      </c>
      <c r="O347" s="9"/>
      <c r="P347" s="14">
        <f>Tabela1316[[#This Row],[Valor_recibo]]</f>
        <v>0</v>
      </c>
      <c r="Q347" s="16"/>
      <c r="R347" s="1" t="e">
        <f>VLOOKUP(#REF!,[2]Aprovados!A:A,1,0)</f>
        <v>#REF!</v>
      </c>
      <c r="S347" s="236"/>
      <c r="T347" s="235"/>
      <c r="U347" s="235"/>
      <c r="V347" s="294"/>
      <c r="W347" s="301" t="s">
        <v>315</v>
      </c>
      <c r="X347" s="302"/>
      <c r="Y347" s="303"/>
      <c r="Z347" s="304"/>
    </row>
    <row r="348" spans="1:26" ht="15.75">
      <c r="A348" s="6"/>
      <c r="B348" s="7"/>
      <c r="C348" s="6"/>
      <c r="D348" s="6"/>
      <c r="E348" s="6"/>
      <c r="F348" s="6"/>
      <c r="G348" s="6"/>
      <c r="H348" s="1"/>
      <c r="I348" s="9"/>
      <c r="J348" s="9"/>
      <c r="K348" s="11"/>
      <c r="L348" s="1"/>
      <c r="M348" s="205" t="s">
        <v>315</v>
      </c>
      <c r="N348" s="1" t="s">
        <v>315</v>
      </c>
      <c r="O348" s="9"/>
      <c r="P348" s="14">
        <f>Tabela1316[[#This Row],[Valor_recibo]]</f>
        <v>0</v>
      </c>
      <c r="Q348" s="16"/>
      <c r="R348" s="1" t="e">
        <f>VLOOKUP(#REF!,[2]Aprovados!A:A,1,0)</f>
        <v>#REF!</v>
      </c>
      <c r="S348" s="236"/>
      <c r="T348" s="235"/>
      <c r="U348" s="235"/>
      <c r="V348" s="294"/>
      <c r="W348" s="301" t="s">
        <v>315</v>
      </c>
      <c r="X348" s="302"/>
      <c r="Y348" s="303"/>
      <c r="Z348" s="304"/>
    </row>
    <row r="349" spans="1:26" ht="15.75">
      <c r="A349" s="6"/>
      <c r="B349" s="7"/>
      <c r="C349" s="6"/>
      <c r="D349" s="6"/>
      <c r="E349" s="6"/>
      <c r="F349" s="6"/>
      <c r="G349" s="6"/>
      <c r="H349" s="1"/>
      <c r="I349" s="9"/>
      <c r="J349" s="9"/>
      <c r="K349" s="11"/>
      <c r="L349" s="1"/>
      <c r="M349" s="205" t="s">
        <v>315</v>
      </c>
      <c r="N349" s="1" t="s">
        <v>315</v>
      </c>
      <c r="O349" s="9"/>
      <c r="P349" s="14">
        <f>Tabela1316[[#This Row],[Valor_recibo]]</f>
        <v>0</v>
      </c>
      <c r="Q349" s="16"/>
      <c r="R349" s="1" t="e">
        <f>VLOOKUP(#REF!,[2]Aprovados!A:A,1,0)</f>
        <v>#REF!</v>
      </c>
      <c r="S349" s="236"/>
      <c r="T349" s="235"/>
      <c r="U349" s="235"/>
      <c r="V349" s="294"/>
      <c r="W349" s="301" t="s">
        <v>315</v>
      </c>
      <c r="X349" s="302"/>
      <c r="Y349" s="303"/>
      <c r="Z349" s="304"/>
    </row>
    <row r="350" spans="1:26" ht="15.75">
      <c r="A350" s="6"/>
      <c r="B350" s="7"/>
      <c r="C350" s="6"/>
      <c r="D350" s="6"/>
      <c r="E350" s="6"/>
      <c r="F350" s="6"/>
      <c r="G350" s="6"/>
      <c r="H350" s="1"/>
      <c r="I350" s="9"/>
      <c r="J350" s="9"/>
      <c r="K350" s="11"/>
      <c r="L350" s="1"/>
      <c r="M350" s="205" t="s">
        <v>315</v>
      </c>
      <c r="N350" s="1" t="s">
        <v>315</v>
      </c>
      <c r="O350" s="9"/>
      <c r="P350" s="14">
        <f>Tabela1316[[#This Row],[Valor_recibo]]</f>
        <v>0</v>
      </c>
      <c r="Q350" s="16"/>
      <c r="R350" s="1" t="e">
        <f>VLOOKUP(#REF!,[2]Aprovados!A:A,1,0)</f>
        <v>#REF!</v>
      </c>
      <c r="S350" s="236"/>
      <c r="T350" s="235"/>
      <c r="U350" s="235"/>
      <c r="V350" s="294"/>
      <c r="W350" s="301" t="s">
        <v>315</v>
      </c>
      <c r="X350" s="302"/>
      <c r="Y350" s="303"/>
      <c r="Z350" s="304"/>
    </row>
    <row r="351" spans="1:26" ht="15.75">
      <c r="A351" s="6"/>
      <c r="B351" s="7"/>
      <c r="C351" s="6"/>
      <c r="D351" s="6"/>
      <c r="E351" s="6"/>
      <c r="F351" s="6"/>
      <c r="G351" s="6"/>
      <c r="H351" s="1"/>
      <c r="I351" s="9"/>
      <c r="J351" s="9"/>
      <c r="K351" s="11"/>
      <c r="L351" s="1"/>
      <c r="M351" s="205" t="s">
        <v>315</v>
      </c>
      <c r="N351" s="1" t="s">
        <v>315</v>
      </c>
      <c r="O351" s="9"/>
      <c r="P351" s="14">
        <f>Tabela1316[[#This Row],[Valor_recibo]]</f>
        <v>0</v>
      </c>
      <c r="Q351" s="16"/>
      <c r="R351" s="1" t="e">
        <f>VLOOKUP(#REF!,[2]Aprovados!A:A,1,0)</f>
        <v>#REF!</v>
      </c>
      <c r="S351" s="236"/>
      <c r="T351" s="235"/>
      <c r="U351" s="235"/>
      <c r="V351" s="294"/>
      <c r="W351" s="301" t="s">
        <v>315</v>
      </c>
      <c r="X351" s="302"/>
      <c r="Y351" s="303"/>
      <c r="Z351" s="304"/>
    </row>
    <row r="352" spans="1:26" ht="15.75">
      <c r="A352" s="6"/>
      <c r="B352" s="7"/>
      <c r="C352" s="6"/>
      <c r="D352" s="6"/>
      <c r="E352" s="6"/>
      <c r="F352" s="6"/>
      <c r="G352" s="6"/>
      <c r="H352" s="1"/>
      <c r="I352" s="9"/>
      <c r="J352" s="9"/>
      <c r="K352" s="11"/>
      <c r="L352" s="1"/>
      <c r="M352" s="205" t="s">
        <v>315</v>
      </c>
      <c r="N352" s="1" t="s">
        <v>315</v>
      </c>
      <c r="O352" s="9"/>
      <c r="P352" s="14">
        <f>Tabela1316[[#This Row],[Valor_recibo]]</f>
        <v>0</v>
      </c>
      <c r="Q352" s="16"/>
      <c r="R352" s="1" t="e">
        <f>VLOOKUP(#REF!,[2]Aprovados!A:A,1,0)</f>
        <v>#REF!</v>
      </c>
      <c r="S352" s="236"/>
      <c r="T352" s="235"/>
      <c r="U352" s="235"/>
      <c r="V352" s="294"/>
      <c r="W352" s="301" t="s">
        <v>315</v>
      </c>
      <c r="X352" s="302"/>
      <c r="Y352" s="303"/>
      <c r="Z352" s="304"/>
    </row>
    <row r="353" spans="1:26" ht="15.75">
      <c r="A353" s="6"/>
      <c r="B353" s="7"/>
      <c r="C353" s="6"/>
      <c r="D353" s="6"/>
      <c r="E353" s="6"/>
      <c r="F353" s="6"/>
      <c r="G353" s="6"/>
      <c r="H353" s="1"/>
      <c r="I353" s="9"/>
      <c r="J353" s="9"/>
      <c r="K353" s="11"/>
      <c r="L353" s="1"/>
      <c r="M353" s="205" t="s">
        <v>315</v>
      </c>
      <c r="N353" s="1" t="s">
        <v>315</v>
      </c>
      <c r="O353" s="9"/>
      <c r="P353" s="14">
        <f>Tabela1316[[#This Row],[Valor_recibo]]</f>
        <v>0</v>
      </c>
      <c r="Q353" s="16"/>
      <c r="R353" s="1" t="e">
        <f>VLOOKUP(#REF!,[2]Aprovados!A:A,1,0)</f>
        <v>#REF!</v>
      </c>
      <c r="S353" s="236"/>
      <c r="T353" s="235"/>
      <c r="U353" s="235"/>
      <c r="V353" s="294"/>
      <c r="W353" s="301" t="s">
        <v>315</v>
      </c>
      <c r="X353" s="302"/>
      <c r="Y353" s="303"/>
      <c r="Z353" s="304"/>
    </row>
    <row r="354" spans="1:26" ht="15.75">
      <c r="A354" s="6"/>
      <c r="B354" s="7"/>
      <c r="C354" s="6"/>
      <c r="D354" s="6"/>
      <c r="E354" s="6"/>
      <c r="F354" s="6"/>
      <c r="G354" s="6"/>
      <c r="H354" s="1"/>
      <c r="I354" s="9"/>
      <c r="J354" s="9"/>
      <c r="K354" s="11"/>
      <c r="L354" s="1"/>
      <c r="M354" s="205" t="s">
        <v>315</v>
      </c>
      <c r="N354" s="1" t="s">
        <v>315</v>
      </c>
      <c r="O354" s="9"/>
      <c r="P354" s="14">
        <f>Tabela1316[[#This Row],[Valor_recibo]]</f>
        <v>0</v>
      </c>
      <c r="Q354" s="16"/>
      <c r="R354" s="1" t="e">
        <f>VLOOKUP(#REF!,[2]Aprovados!A:A,1,0)</f>
        <v>#REF!</v>
      </c>
      <c r="S354" s="236"/>
      <c r="T354" s="235"/>
      <c r="U354" s="235"/>
      <c r="V354" s="294"/>
      <c r="W354" s="301" t="s">
        <v>315</v>
      </c>
      <c r="X354" s="302"/>
      <c r="Y354" s="303"/>
      <c r="Z354" s="304"/>
    </row>
    <row r="355" spans="1:26" ht="15.75">
      <c r="A355" s="6"/>
      <c r="B355" s="7"/>
      <c r="C355" s="6"/>
      <c r="D355" s="6"/>
      <c r="E355" s="6"/>
      <c r="F355" s="6"/>
      <c r="G355" s="6"/>
      <c r="H355" s="1"/>
      <c r="I355" s="9"/>
      <c r="J355" s="9"/>
      <c r="K355" s="11"/>
      <c r="L355" s="1"/>
      <c r="M355" s="205" t="s">
        <v>315</v>
      </c>
      <c r="N355" s="1" t="s">
        <v>315</v>
      </c>
      <c r="O355" s="9"/>
      <c r="P355" s="14">
        <f>Tabela1316[[#This Row],[Valor_recibo]]</f>
        <v>0</v>
      </c>
      <c r="Q355" s="16"/>
      <c r="R355" s="1" t="e">
        <f>VLOOKUP(#REF!,[2]Aprovados!A:A,1,0)</f>
        <v>#REF!</v>
      </c>
      <c r="S355" s="236"/>
      <c r="T355" s="235"/>
      <c r="U355" s="235"/>
      <c r="V355" s="294"/>
      <c r="W355" s="301" t="s">
        <v>315</v>
      </c>
      <c r="X355" s="302"/>
      <c r="Y355" s="303"/>
      <c r="Z355" s="304"/>
    </row>
    <row r="356" spans="1:26" ht="15.75">
      <c r="A356" s="6"/>
      <c r="B356" s="7"/>
      <c r="C356" s="6"/>
      <c r="D356" s="6"/>
      <c r="E356" s="6"/>
      <c r="F356" s="6"/>
      <c r="G356" s="6"/>
      <c r="H356" s="1"/>
      <c r="I356" s="9"/>
      <c r="J356" s="9"/>
      <c r="K356" s="11"/>
      <c r="L356" s="1"/>
      <c r="M356" s="205" t="s">
        <v>315</v>
      </c>
      <c r="N356" s="1" t="s">
        <v>315</v>
      </c>
      <c r="O356" s="9"/>
      <c r="P356" s="14">
        <f>Tabela1316[[#This Row],[Valor_recibo]]</f>
        <v>0</v>
      </c>
      <c r="Q356" s="16"/>
      <c r="R356" s="1" t="e">
        <f>VLOOKUP(#REF!,[2]Aprovados!A:A,1,0)</f>
        <v>#REF!</v>
      </c>
      <c r="S356" s="236"/>
      <c r="T356" s="235"/>
      <c r="U356" s="235"/>
      <c r="V356" s="294"/>
      <c r="W356" s="301" t="s">
        <v>315</v>
      </c>
      <c r="X356" s="302"/>
      <c r="Y356" s="303"/>
      <c r="Z356" s="304"/>
    </row>
    <row r="357" spans="1:26" ht="15.75">
      <c r="A357" s="6"/>
      <c r="B357" s="7"/>
      <c r="C357" s="6"/>
      <c r="D357" s="6"/>
      <c r="E357" s="6"/>
      <c r="F357" s="6"/>
      <c r="G357" s="6"/>
      <c r="H357" s="1"/>
      <c r="I357" s="9"/>
      <c r="J357" s="9"/>
      <c r="K357" s="11"/>
      <c r="L357" s="1"/>
      <c r="M357" s="205" t="s">
        <v>315</v>
      </c>
      <c r="N357" s="1" t="s">
        <v>315</v>
      </c>
      <c r="O357" s="9"/>
      <c r="P357" s="14">
        <f>Tabela1316[[#This Row],[Valor_recibo]]</f>
        <v>0</v>
      </c>
      <c r="Q357" s="16"/>
      <c r="R357" s="1" t="e">
        <f>VLOOKUP(#REF!,[2]Aprovados!A:A,1,0)</f>
        <v>#REF!</v>
      </c>
      <c r="S357" s="236"/>
      <c r="T357" s="235"/>
      <c r="U357" s="235"/>
      <c r="V357" s="294"/>
      <c r="W357" s="301" t="s">
        <v>315</v>
      </c>
      <c r="X357" s="302"/>
      <c r="Y357" s="303"/>
      <c r="Z357" s="304"/>
    </row>
    <row r="358" spans="1:26" ht="15.75">
      <c r="A358" s="6"/>
      <c r="B358" s="7"/>
      <c r="C358" s="6"/>
      <c r="D358" s="6"/>
      <c r="E358" s="6"/>
      <c r="F358" s="6"/>
      <c r="G358" s="6"/>
      <c r="H358" s="1"/>
      <c r="I358" s="9"/>
      <c r="J358" s="9"/>
      <c r="K358" s="11"/>
      <c r="L358" s="1"/>
      <c r="M358" s="205" t="s">
        <v>315</v>
      </c>
      <c r="N358" s="1" t="s">
        <v>315</v>
      </c>
      <c r="O358" s="9"/>
      <c r="P358" s="14">
        <f>Tabela1316[[#This Row],[Valor_recibo]]</f>
        <v>0</v>
      </c>
      <c r="Q358" s="16"/>
      <c r="R358" s="1" t="e">
        <f>VLOOKUP(#REF!,[2]Aprovados!A:A,1,0)</f>
        <v>#REF!</v>
      </c>
      <c r="S358" s="236"/>
      <c r="T358" s="235"/>
      <c r="U358" s="235"/>
      <c r="V358" s="294"/>
      <c r="W358" s="301" t="s">
        <v>315</v>
      </c>
      <c r="X358" s="302"/>
      <c r="Y358" s="303"/>
      <c r="Z358" s="304"/>
    </row>
    <row r="359" spans="1:26" ht="15.75">
      <c r="A359" s="6"/>
      <c r="B359" s="7"/>
      <c r="C359" s="6"/>
      <c r="D359" s="6"/>
      <c r="E359" s="6"/>
      <c r="F359" s="6"/>
      <c r="G359" s="6"/>
      <c r="H359" s="1"/>
      <c r="I359" s="9"/>
      <c r="J359" s="9"/>
      <c r="K359" s="11"/>
      <c r="L359" s="1"/>
      <c r="M359" s="205" t="s">
        <v>315</v>
      </c>
      <c r="N359" s="1" t="s">
        <v>315</v>
      </c>
      <c r="O359" s="9"/>
      <c r="P359" s="14">
        <f>Tabela1316[[#This Row],[Valor_recibo]]</f>
        <v>0</v>
      </c>
      <c r="Q359" s="16"/>
      <c r="R359" s="1" t="e">
        <f>VLOOKUP(#REF!,[2]Aprovados!A:A,1,0)</f>
        <v>#REF!</v>
      </c>
      <c r="S359" s="236"/>
      <c r="T359" s="235"/>
      <c r="U359" s="235"/>
      <c r="V359" s="294"/>
      <c r="W359" s="301" t="s">
        <v>315</v>
      </c>
      <c r="X359" s="302"/>
      <c r="Y359" s="303"/>
      <c r="Z359" s="304"/>
    </row>
    <row r="360" spans="1:26" ht="15.75">
      <c r="A360" s="6"/>
      <c r="B360" s="7"/>
      <c r="C360" s="6"/>
      <c r="D360" s="6"/>
      <c r="E360" s="6"/>
      <c r="F360" s="6"/>
      <c r="G360" s="6"/>
      <c r="H360" s="1"/>
      <c r="I360" s="9"/>
      <c r="J360" s="9"/>
      <c r="K360" s="11"/>
      <c r="L360" s="1"/>
      <c r="M360" s="205" t="s">
        <v>315</v>
      </c>
      <c r="N360" s="1" t="s">
        <v>315</v>
      </c>
      <c r="O360" s="9"/>
      <c r="P360" s="14">
        <f>Tabela1316[[#This Row],[Valor_recibo]]</f>
        <v>0</v>
      </c>
      <c r="Q360" s="16"/>
      <c r="R360" s="1" t="e">
        <f>VLOOKUP(#REF!,[2]Aprovados!A:A,1,0)</f>
        <v>#REF!</v>
      </c>
      <c r="S360" s="236"/>
      <c r="T360" s="235"/>
      <c r="U360" s="235"/>
      <c r="V360" s="294"/>
      <c r="W360" s="301" t="s">
        <v>315</v>
      </c>
      <c r="X360" s="302"/>
      <c r="Y360" s="303"/>
      <c r="Z360" s="304"/>
    </row>
    <row r="361" spans="1:26" ht="15.75">
      <c r="A361" s="6"/>
      <c r="B361" s="7"/>
      <c r="C361" s="6"/>
      <c r="D361" s="6"/>
      <c r="E361" s="6"/>
      <c r="F361" s="6"/>
      <c r="G361" s="6"/>
      <c r="H361" s="1"/>
      <c r="I361" s="9"/>
      <c r="J361" s="9"/>
      <c r="K361" s="11"/>
      <c r="L361" s="1"/>
      <c r="M361" s="205" t="s">
        <v>315</v>
      </c>
      <c r="N361" s="1" t="s">
        <v>315</v>
      </c>
      <c r="O361" s="9"/>
      <c r="P361" s="14">
        <f>Tabela1316[[#This Row],[Valor_recibo]]</f>
        <v>0</v>
      </c>
      <c r="Q361" s="16"/>
      <c r="R361" s="1" t="e">
        <f>VLOOKUP(#REF!,[2]Aprovados!A:A,1,0)</f>
        <v>#REF!</v>
      </c>
      <c r="S361" s="236"/>
      <c r="T361" s="235"/>
      <c r="U361" s="235"/>
      <c r="V361" s="294"/>
      <c r="W361" s="301" t="s">
        <v>315</v>
      </c>
      <c r="X361" s="302"/>
      <c r="Y361" s="303"/>
      <c r="Z361" s="304"/>
    </row>
    <row r="362" spans="1:26" ht="15.75">
      <c r="A362" s="6"/>
      <c r="B362" s="7"/>
      <c r="C362" s="6"/>
      <c r="D362" s="6"/>
      <c r="E362" s="6"/>
      <c r="F362" s="6"/>
      <c r="G362" s="6"/>
      <c r="H362" s="1"/>
      <c r="I362" s="9"/>
      <c r="J362" s="9"/>
      <c r="K362" s="11"/>
      <c r="L362" s="1"/>
      <c r="M362" s="205" t="s">
        <v>315</v>
      </c>
      <c r="N362" s="1" t="s">
        <v>315</v>
      </c>
      <c r="O362" s="9"/>
      <c r="P362" s="14">
        <f>Tabela1316[[#This Row],[Valor_recibo]]</f>
        <v>0</v>
      </c>
      <c r="Q362" s="16"/>
      <c r="R362" s="1" t="e">
        <f>VLOOKUP(#REF!,[2]Aprovados!A:A,1,0)</f>
        <v>#REF!</v>
      </c>
      <c r="S362" s="236"/>
      <c r="T362" s="235"/>
      <c r="U362" s="235"/>
      <c r="V362" s="294"/>
      <c r="W362" s="301" t="s">
        <v>315</v>
      </c>
      <c r="X362" s="302"/>
      <c r="Y362" s="303"/>
      <c r="Z362" s="304"/>
    </row>
    <row r="363" spans="1:26" ht="15.75">
      <c r="A363" s="6"/>
      <c r="B363" s="7"/>
      <c r="C363" s="6"/>
      <c r="D363" s="6"/>
      <c r="E363" s="6"/>
      <c r="F363" s="6"/>
      <c r="G363" s="6"/>
      <c r="H363" s="1"/>
      <c r="I363" s="9"/>
      <c r="J363" s="9"/>
      <c r="K363" s="11"/>
      <c r="L363" s="1"/>
      <c r="M363" s="205" t="s">
        <v>315</v>
      </c>
      <c r="N363" s="1" t="s">
        <v>315</v>
      </c>
      <c r="O363" s="9"/>
      <c r="P363" s="14">
        <f>Tabela1316[[#This Row],[Valor_recibo]]</f>
        <v>0</v>
      </c>
      <c r="Q363" s="16"/>
      <c r="R363" s="1" t="e">
        <f>VLOOKUP(#REF!,[2]Aprovados!A:A,1,0)</f>
        <v>#REF!</v>
      </c>
      <c r="S363" s="236"/>
      <c r="T363" s="235"/>
      <c r="U363" s="235"/>
      <c r="V363" s="294"/>
      <c r="W363" s="301" t="s">
        <v>315</v>
      </c>
      <c r="X363" s="302"/>
      <c r="Y363" s="303"/>
      <c r="Z363" s="304"/>
    </row>
    <row r="364" spans="1:26" ht="15.75">
      <c r="A364" s="6"/>
      <c r="B364" s="7"/>
      <c r="C364" s="6"/>
      <c r="D364" s="6"/>
      <c r="E364" s="6"/>
      <c r="F364" s="6"/>
      <c r="G364" s="6"/>
      <c r="H364" s="1"/>
      <c r="I364" s="9"/>
      <c r="J364" s="9"/>
      <c r="K364" s="11"/>
      <c r="L364" s="1"/>
      <c r="M364" s="205" t="s">
        <v>315</v>
      </c>
      <c r="N364" s="1" t="s">
        <v>315</v>
      </c>
      <c r="O364" s="9"/>
      <c r="P364" s="14">
        <f>Tabela1316[[#This Row],[Valor_recibo]]</f>
        <v>0</v>
      </c>
      <c r="Q364" s="16"/>
      <c r="R364" s="1" t="e">
        <f>VLOOKUP(#REF!,[2]Aprovados!A:A,1,0)</f>
        <v>#REF!</v>
      </c>
      <c r="S364" s="236"/>
      <c r="T364" s="235"/>
      <c r="U364" s="235"/>
      <c r="V364" s="294"/>
      <c r="W364" s="301" t="s">
        <v>315</v>
      </c>
      <c r="X364" s="302"/>
      <c r="Y364" s="303"/>
      <c r="Z364" s="304"/>
    </row>
    <row r="365" spans="1:26" ht="15.75">
      <c r="A365" s="6"/>
      <c r="B365" s="7"/>
      <c r="C365" s="6"/>
      <c r="D365" s="6"/>
      <c r="E365" s="6"/>
      <c r="F365" s="6"/>
      <c r="G365" s="6"/>
      <c r="H365" s="1"/>
      <c r="I365" s="9"/>
      <c r="J365" s="9"/>
      <c r="K365" s="11"/>
      <c r="L365" s="1"/>
      <c r="M365" s="205" t="s">
        <v>315</v>
      </c>
      <c r="N365" s="1" t="s">
        <v>315</v>
      </c>
      <c r="O365" s="9"/>
      <c r="P365" s="14">
        <f>Tabela1316[[#This Row],[Valor_recibo]]</f>
        <v>0</v>
      </c>
      <c r="Q365" s="16"/>
      <c r="R365" s="1" t="e">
        <f>VLOOKUP(#REF!,[2]Aprovados!A:A,1,0)</f>
        <v>#REF!</v>
      </c>
      <c r="S365" s="236"/>
      <c r="T365" s="235"/>
      <c r="U365" s="235"/>
      <c r="V365" s="294"/>
      <c r="W365" s="301" t="s">
        <v>315</v>
      </c>
      <c r="X365" s="302"/>
      <c r="Y365" s="303"/>
      <c r="Z365" s="304"/>
    </row>
    <row r="366" spans="1:26" ht="15.75">
      <c r="A366" s="6"/>
      <c r="B366" s="7"/>
      <c r="C366" s="6"/>
      <c r="D366" s="6"/>
      <c r="E366" s="6"/>
      <c r="F366" s="6"/>
      <c r="G366" s="6"/>
      <c r="H366" s="1"/>
      <c r="I366" s="9"/>
      <c r="J366" s="9"/>
      <c r="K366" s="11"/>
      <c r="L366" s="1"/>
      <c r="M366" s="205" t="s">
        <v>315</v>
      </c>
      <c r="N366" s="1" t="s">
        <v>315</v>
      </c>
      <c r="O366" s="9"/>
      <c r="P366" s="14">
        <f>Tabela1316[[#This Row],[Valor_recibo]]</f>
        <v>0</v>
      </c>
      <c r="Q366" s="16"/>
      <c r="R366" s="1" t="e">
        <f>VLOOKUP(#REF!,[2]Aprovados!A:A,1,0)</f>
        <v>#REF!</v>
      </c>
      <c r="S366" s="236"/>
      <c r="T366" s="235"/>
      <c r="U366" s="235"/>
      <c r="V366" s="294"/>
      <c r="W366" s="301" t="s">
        <v>315</v>
      </c>
      <c r="X366" s="302"/>
      <c r="Y366" s="303"/>
      <c r="Z366" s="304"/>
    </row>
    <row r="367" spans="1:26" ht="15.75">
      <c r="A367" s="6"/>
      <c r="B367" s="7"/>
      <c r="C367" s="6"/>
      <c r="D367" s="6"/>
      <c r="E367" s="6"/>
      <c r="F367" s="6"/>
      <c r="G367" s="6"/>
      <c r="H367" s="1"/>
      <c r="I367" s="9"/>
      <c r="J367" s="9"/>
      <c r="K367" s="11"/>
      <c r="L367" s="1"/>
      <c r="M367" s="205" t="s">
        <v>315</v>
      </c>
      <c r="N367" s="1" t="s">
        <v>315</v>
      </c>
      <c r="O367" s="9"/>
      <c r="P367" s="14">
        <f>Tabela1316[[#This Row],[Valor_recibo]]</f>
        <v>0</v>
      </c>
      <c r="Q367" s="16"/>
      <c r="R367" s="1" t="e">
        <f>VLOOKUP(#REF!,[2]Aprovados!A:A,1,0)</f>
        <v>#REF!</v>
      </c>
      <c r="S367" s="236"/>
      <c r="T367" s="235"/>
      <c r="U367" s="235"/>
      <c r="V367" s="294"/>
      <c r="W367" s="301" t="s">
        <v>315</v>
      </c>
      <c r="X367" s="302"/>
      <c r="Y367" s="303"/>
      <c r="Z367" s="304"/>
    </row>
    <row r="368" spans="1:26" ht="15.75">
      <c r="A368" s="6"/>
      <c r="B368" s="7"/>
      <c r="C368" s="6"/>
      <c r="D368" s="6"/>
      <c r="E368" s="6"/>
      <c r="F368" s="6"/>
      <c r="G368" s="6"/>
      <c r="H368" s="1"/>
      <c r="I368" s="9"/>
      <c r="J368" s="9"/>
      <c r="K368" s="11"/>
      <c r="L368" s="1"/>
      <c r="M368" s="205" t="s">
        <v>315</v>
      </c>
      <c r="N368" s="1" t="s">
        <v>315</v>
      </c>
      <c r="O368" s="9"/>
      <c r="P368" s="14">
        <f>Tabela1316[[#This Row],[Valor_recibo]]</f>
        <v>0</v>
      </c>
      <c r="Q368" s="16"/>
      <c r="R368" s="1" t="e">
        <f>VLOOKUP(#REF!,[2]Aprovados!A:A,1,0)</f>
        <v>#REF!</v>
      </c>
      <c r="S368" s="236"/>
      <c r="T368" s="235"/>
      <c r="U368" s="235"/>
      <c r="V368" s="294"/>
      <c r="W368" s="301" t="s">
        <v>315</v>
      </c>
      <c r="X368" s="302"/>
      <c r="Y368" s="303"/>
      <c r="Z368" s="304"/>
    </row>
    <row r="369" spans="1:26" ht="15.75">
      <c r="A369" s="6"/>
      <c r="B369" s="7"/>
      <c r="C369" s="6"/>
      <c r="D369" s="6"/>
      <c r="E369" s="6"/>
      <c r="F369" s="6"/>
      <c r="G369" s="6"/>
      <c r="H369" s="1"/>
      <c r="I369" s="9"/>
      <c r="J369" s="9"/>
      <c r="K369" s="11"/>
      <c r="L369" s="1"/>
      <c r="M369" s="205" t="s">
        <v>315</v>
      </c>
      <c r="N369" s="1" t="s">
        <v>315</v>
      </c>
      <c r="O369" s="9"/>
      <c r="P369" s="14">
        <f>Tabela1316[[#This Row],[Valor_recibo]]</f>
        <v>0</v>
      </c>
      <c r="Q369" s="16"/>
      <c r="R369" s="1" t="e">
        <f>VLOOKUP(#REF!,[2]Aprovados!A:A,1,0)</f>
        <v>#REF!</v>
      </c>
      <c r="S369" s="236"/>
      <c r="T369" s="235"/>
      <c r="U369" s="235"/>
      <c r="V369" s="294"/>
      <c r="W369" s="301" t="s">
        <v>315</v>
      </c>
      <c r="X369" s="302"/>
      <c r="Y369" s="303"/>
      <c r="Z369" s="304"/>
    </row>
    <row r="370" spans="1:26" ht="15.75">
      <c r="A370" s="6"/>
      <c r="B370" s="7"/>
      <c r="C370" s="6"/>
      <c r="D370" s="6"/>
      <c r="E370" s="6"/>
      <c r="F370" s="6"/>
      <c r="G370" s="6"/>
      <c r="H370" s="1"/>
      <c r="I370" s="9"/>
      <c r="J370" s="9"/>
      <c r="K370" s="11"/>
      <c r="L370" s="1"/>
      <c r="M370" s="205" t="s">
        <v>315</v>
      </c>
      <c r="N370" s="1" t="s">
        <v>315</v>
      </c>
      <c r="O370" s="9"/>
      <c r="P370" s="14">
        <f>Tabela1316[[#This Row],[Valor_recibo]]</f>
        <v>0</v>
      </c>
      <c r="Q370" s="16"/>
      <c r="R370" s="1" t="e">
        <f>VLOOKUP(#REF!,[2]Aprovados!A:A,1,0)</f>
        <v>#REF!</v>
      </c>
      <c r="S370" s="236"/>
      <c r="T370" s="235"/>
      <c r="U370" s="235"/>
      <c r="V370" s="294"/>
      <c r="W370" s="301" t="s">
        <v>315</v>
      </c>
      <c r="X370" s="302"/>
      <c r="Y370" s="303"/>
      <c r="Z370" s="304"/>
    </row>
    <row r="371" spans="1:26" ht="15.75">
      <c r="A371" s="6"/>
      <c r="B371" s="7"/>
      <c r="C371" s="6"/>
      <c r="D371" s="6"/>
      <c r="E371" s="6"/>
      <c r="F371" s="6"/>
      <c r="G371" s="6"/>
      <c r="H371" s="1"/>
      <c r="I371" s="9"/>
      <c r="J371" s="9"/>
      <c r="K371" s="11"/>
      <c r="L371" s="1"/>
      <c r="M371" s="205" t="s">
        <v>315</v>
      </c>
      <c r="N371" s="1" t="s">
        <v>315</v>
      </c>
      <c r="O371" s="9"/>
      <c r="P371" s="14">
        <f>Tabela1316[[#This Row],[Valor_recibo]]</f>
        <v>0</v>
      </c>
      <c r="Q371" s="16"/>
      <c r="R371" s="1" t="e">
        <f>VLOOKUP(#REF!,[2]Aprovados!A:A,1,0)</f>
        <v>#REF!</v>
      </c>
      <c r="S371" s="236"/>
      <c r="T371" s="235"/>
      <c r="U371" s="235"/>
      <c r="V371" s="294"/>
      <c r="W371" s="301" t="s">
        <v>315</v>
      </c>
      <c r="X371" s="302"/>
      <c r="Y371" s="303"/>
      <c r="Z371" s="304"/>
    </row>
    <row r="372" spans="1:26" ht="15.75">
      <c r="A372" s="6"/>
      <c r="B372" s="7"/>
      <c r="C372" s="6"/>
      <c r="D372" s="6"/>
      <c r="E372" s="6"/>
      <c r="F372" s="6"/>
      <c r="G372" s="6"/>
      <c r="H372" s="1"/>
      <c r="I372" s="9"/>
      <c r="J372" s="9"/>
      <c r="K372" s="11"/>
      <c r="L372" s="1"/>
      <c r="M372" s="205" t="s">
        <v>315</v>
      </c>
      <c r="N372" s="1" t="s">
        <v>315</v>
      </c>
      <c r="O372" s="9"/>
      <c r="P372" s="14">
        <f>Tabela1316[[#This Row],[Valor_recibo]]</f>
        <v>0</v>
      </c>
      <c r="Q372" s="16"/>
      <c r="R372" s="1" t="e">
        <f>VLOOKUP(#REF!,[2]Aprovados!A:A,1,0)</f>
        <v>#REF!</v>
      </c>
      <c r="S372" s="236"/>
      <c r="T372" s="235"/>
      <c r="U372" s="235"/>
      <c r="V372" s="294"/>
      <c r="W372" s="301" t="s">
        <v>315</v>
      </c>
      <c r="X372" s="302"/>
      <c r="Y372" s="303"/>
      <c r="Z372" s="304"/>
    </row>
    <row r="373" spans="1:26" ht="15.75">
      <c r="A373" s="6"/>
      <c r="B373" s="7"/>
      <c r="C373" s="6"/>
      <c r="D373" s="6"/>
      <c r="E373" s="6"/>
      <c r="F373" s="6"/>
      <c r="G373" s="6"/>
      <c r="H373" s="1"/>
      <c r="I373" s="9"/>
      <c r="J373" s="9"/>
      <c r="K373" s="11"/>
      <c r="L373" s="1"/>
      <c r="M373" s="205" t="s">
        <v>315</v>
      </c>
      <c r="N373" s="1" t="s">
        <v>315</v>
      </c>
      <c r="O373" s="9"/>
      <c r="P373" s="14">
        <f>Tabela1316[[#This Row],[Valor_recibo]]</f>
        <v>0</v>
      </c>
      <c r="Q373" s="16"/>
      <c r="R373" s="1" t="e">
        <f>VLOOKUP(#REF!,[2]Aprovados!A:A,1,0)</f>
        <v>#REF!</v>
      </c>
      <c r="S373" s="236"/>
      <c r="T373" s="235"/>
      <c r="U373" s="235"/>
      <c r="V373" s="294"/>
      <c r="W373" s="301" t="s">
        <v>315</v>
      </c>
      <c r="X373" s="302"/>
      <c r="Y373" s="303"/>
      <c r="Z373" s="304"/>
    </row>
    <row r="374" spans="1:26" ht="15.75">
      <c r="A374" s="6"/>
      <c r="B374" s="7"/>
      <c r="C374" s="6"/>
      <c r="D374" s="6"/>
      <c r="E374" s="6"/>
      <c r="F374" s="6"/>
      <c r="G374" s="6"/>
      <c r="H374" s="1"/>
      <c r="I374" s="9"/>
      <c r="J374" s="9"/>
      <c r="K374" s="11"/>
      <c r="L374" s="1"/>
      <c r="M374" s="205" t="s">
        <v>315</v>
      </c>
      <c r="N374" s="1" t="s">
        <v>315</v>
      </c>
      <c r="O374" s="9"/>
      <c r="P374" s="14">
        <f>Tabela1316[[#This Row],[Valor_recibo]]</f>
        <v>0</v>
      </c>
      <c r="Q374" s="16"/>
      <c r="R374" s="1" t="e">
        <f>VLOOKUP(#REF!,[2]Aprovados!A:A,1,0)</f>
        <v>#REF!</v>
      </c>
      <c r="S374" s="236"/>
      <c r="T374" s="235"/>
      <c r="U374" s="235"/>
      <c r="V374" s="294"/>
      <c r="W374" s="301" t="s">
        <v>315</v>
      </c>
      <c r="X374" s="302"/>
      <c r="Y374" s="303"/>
      <c r="Z374" s="304"/>
    </row>
    <row r="375" spans="1:26" ht="15.75">
      <c r="A375" s="6"/>
      <c r="B375" s="7"/>
      <c r="C375" s="6"/>
      <c r="D375" s="6"/>
      <c r="E375" s="6"/>
      <c r="F375" s="6"/>
      <c r="G375" s="6"/>
      <c r="H375" s="1"/>
      <c r="I375" s="9"/>
      <c r="J375" s="9"/>
      <c r="K375" s="11"/>
      <c r="L375" s="1"/>
      <c r="M375" s="205" t="s">
        <v>315</v>
      </c>
      <c r="N375" s="1" t="s">
        <v>315</v>
      </c>
      <c r="O375" s="9"/>
      <c r="P375" s="14">
        <f>Tabela1316[[#This Row],[Valor_recibo]]</f>
        <v>0</v>
      </c>
      <c r="Q375" s="16"/>
      <c r="R375" s="1" t="e">
        <f>VLOOKUP(#REF!,[2]Aprovados!A:A,1,0)</f>
        <v>#REF!</v>
      </c>
      <c r="S375" s="236"/>
      <c r="T375" s="235"/>
      <c r="U375" s="235"/>
      <c r="V375" s="294"/>
      <c r="W375" s="301" t="s">
        <v>315</v>
      </c>
      <c r="X375" s="302"/>
      <c r="Y375" s="303"/>
      <c r="Z375" s="304"/>
    </row>
    <row r="376" spans="1:26" ht="15.75">
      <c r="A376" s="6"/>
      <c r="B376" s="7"/>
      <c r="C376" s="6"/>
      <c r="D376" s="6"/>
      <c r="E376" s="6"/>
      <c r="F376" s="6"/>
      <c r="G376" s="6"/>
      <c r="H376" s="1"/>
      <c r="I376" s="9"/>
      <c r="J376" s="9"/>
      <c r="K376" s="11"/>
      <c r="L376" s="1"/>
      <c r="M376" s="205" t="s">
        <v>315</v>
      </c>
      <c r="N376" s="1" t="s">
        <v>315</v>
      </c>
      <c r="O376" s="9"/>
      <c r="P376" s="14">
        <f>Tabela1316[[#This Row],[Valor_recibo]]</f>
        <v>0</v>
      </c>
      <c r="Q376" s="16"/>
      <c r="R376" s="1" t="e">
        <f>VLOOKUP(#REF!,[2]Aprovados!A:A,1,0)</f>
        <v>#REF!</v>
      </c>
      <c r="S376" s="236"/>
      <c r="T376" s="235"/>
      <c r="U376" s="235"/>
      <c r="V376" s="294"/>
      <c r="W376" s="301" t="s">
        <v>315</v>
      </c>
      <c r="X376" s="302"/>
      <c r="Y376" s="303"/>
      <c r="Z376" s="304"/>
    </row>
    <row r="377" spans="1:26" ht="15.75">
      <c r="A377" s="6"/>
      <c r="B377" s="7"/>
      <c r="C377" s="6"/>
      <c r="D377" s="6"/>
      <c r="E377" s="6"/>
      <c r="F377" s="6"/>
      <c r="G377" s="6"/>
      <c r="H377" s="1"/>
      <c r="I377" s="9"/>
      <c r="J377" s="9"/>
      <c r="K377" s="11"/>
      <c r="L377" s="1"/>
      <c r="M377" s="205" t="s">
        <v>315</v>
      </c>
      <c r="N377" s="1" t="s">
        <v>315</v>
      </c>
      <c r="O377" s="9"/>
      <c r="P377" s="14">
        <f>Tabela1316[[#This Row],[Valor_recibo]]</f>
        <v>0</v>
      </c>
      <c r="Q377" s="16"/>
      <c r="R377" s="1" t="e">
        <f>VLOOKUP(#REF!,[2]Aprovados!A:A,1,0)</f>
        <v>#REF!</v>
      </c>
      <c r="S377" s="236"/>
      <c r="T377" s="235"/>
      <c r="U377" s="235"/>
      <c r="V377" s="294"/>
      <c r="W377" s="301" t="s">
        <v>315</v>
      </c>
      <c r="X377" s="302"/>
      <c r="Y377" s="303"/>
      <c r="Z377" s="304"/>
    </row>
    <row r="378" spans="1:26" ht="15.75">
      <c r="A378" s="6"/>
      <c r="B378" s="7"/>
      <c r="C378" s="6"/>
      <c r="D378" s="6"/>
      <c r="E378" s="6"/>
      <c r="F378" s="6"/>
      <c r="G378" s="6"/>
      <c r="H378" s="1"/>
      <c r="I378" s="9"/>
      <c r="J378" s="9"/>
      <c r="K378" s="11"/>
      <c r="L378" s="1"/>
      <c r="M378" s="205" t="s">
        <v>315</v>
      </c>
      <c r="N378" s="1" t="s">
        <v>315</v>
      </c>
      <c r="O378" s="9"/>
      <c r="P378" s="14">
        <f>Tabela1316[[#This Row],[Valor_recibo]]</f>
        <v>0</v>
      </c>
      <c r="Q378" s="16"/>
      <c r="R378" s="1" t="e">
        <f>VLOOKUP(#REF!,[2]Aprovados!A:A,1,0)</f>
        <v>#REF!</v>
      </c>
      <c r="S378" s="236"/>
      <c r="T378" s="235"/>
      <c r="U378" s="235"/>
      <c r="V378" s="294"/>
      <c r="W378" s="301" t="s">
        <v>315</v>
      </c>
      <c r="X378" s="302"/>
      <c r="Y378" s="303"/>
      <c r="Z378" s="304"/>
    </row>
    <row r="379" spans="1:26" ht="15.75">
      <c r="A379" s="6"/>
      <c r="B379" s="7"/>
      <c r="C379" s="6"/>
      <c r="D379" s="6"/>
      <c r="E379" s="6"/>
      <c r="F379" s="6"/>
      <c r="G379" s="6"/>
      <c r="H379" s="1"/>
      <c r="I379" s="9"/>
      <c r="J379" s="9"/>
      <c r="K379" s="11"/>
      <c r="L379" s="1"/>
      <c r="M379" s="205" t="s">
        <v>315</v>
      </c>
      <c r="N379" s="1" t="s">
        <v>315</v>
      </c>
      <c r="O379" s="9"/>
      <c r="P379" s="14">
        <f>Tabela1316[[#This Row],[Valor_recibo]]</f>
        <v>0</v>
      </c>
      <c r="Q379" s="16"/>
      <c r="R379" s="1" t="e">
        <f>VLOOKUP(#REF!,[2]Aprovados!A:A,1,0)</f>
        <v>#REF!</v>
      </c>
      <c r="S379" s="236"/>
      <c r="T379" s="235"/>
      <c r="U379" s="235"/>
      <c r="V379" s="294"/>
      <c r="W379" s="301" t="s">
        <v>315</v>
      </c>
      <c r="X379" s="302"/>
      <c r="Y379" s="303"/>
      <c r="Z379" s="304"/>
    </row>
    <row r="380" spans="1:26" ht="15.75">
      <c r="A380" s="6"/>
      <c r="B380" s="7"/>
      <c r="C380" s="6"/>
      <c r="D380" s="6"/>
      <c r="E380" s="6"/>
      <c r="F380" s="6"/>
      <c r="G380" s="6"/>
      <c r="H380" s="1"/>
      <c r="I380" s="9"/>
      <c r="J380" s="9"/>
      <c r="K380" s="11"/>
      <c r="L380" s="1"/>
      <c r="M380" s="205" t="s">
        <v>315</v>
      </c>
      <c r="N380" s="1" t="s">
        <v>315</v>
      </c>
      <c r="O380" s="9"/>
      <c r="P380" s="14">
        <f>Tabela1316[[#This Row],[Valor_recibo]]</f>
        <v>0</v>
      </c>
      <c r="Q380" s="16"/>
      <c r="R380" s="1" t="e">
        <f>VLOOKUP(#REF!,[2]Aprovados!A:A,1,0)</f>
        <v>#REF!</v>
      </c>
      <c r="S380" s="236"/>
      <c r="T380" s="235"/>
      <c r="U380" s="235"/>
      <c r="V380" s="294"/>
      <c r="W380" s="301" t="s">
        <v>315</v>
      </c>
      <c r="X380" s="302"/>
      <c r="Y380" s="303"/>
      <c r="Z380" s="304"/>
    </row>
    <row r="381" spans="1:26" ht="15.75">
      <c r="A381" s="6"/>
      <c r="B381" s="7"/>
      <c r="C381" s="6"/>
      <c r="D381" s="6"/>
      <c r="E381" s="6"/>
      <c r="F381" s="6"/>
      <c r="G381" s="6"/>
      <c r="H381" s="1"/>
      <c r="I381" s="9"/>
      <c r="J381" s="9"/>
      <c r="K381" s="11"/>
      <c r="L381" s="1"/>
      <c r="M381" s="205" t="s">
        <v>315</v>
      </c>
      <c r="N381" s="1" t="s">
        <v>315</v>
      </c>
      <c r="O381" s="9"/>
      <c r="P381" s="14">
        <f>Tabela1316[[#This Row],[Valor_recibo]]</f>
        <v>0</v>
      </c>
      <c r="Q381" s="16"/>
      <c r="R381" s="1" t="e">
        <f>VLOOKUP(#REF!,[2]Aprovados!A:A,1,0)</f>
        <v>#REF!</v>
      </c>
      <c r="S381" s="236"/>
      <c r="T381" s="235"/>
      <c r="U381" s="235"/>
      <c r="V381" s="294"/>
      <c r="W381" s="301" t="s">
        <v>315</v>
      </c>
      <c r="X381" s="302"/>
      <c r="Y381" s="303"/>
      <c r="Z381" s="304"/>
    </row>
    <row r="382" spans="1:26" ht="15.75">
      <c r="A382" s="6"/>
      <c r="B382" s="7"/>
      <c r="C382" s="6"/>
      <c r="D382" s="6"/>
      <c r="E382" s="6"/>
      <c r="F382" s="6"/>
      <c r="G382" s="6"/>
      <c r="H382" s="1"/>
      <c r="I382" s="9"/>
      <c r="J382" s="9"/>
      <c r="K382" s="11"/>
      <c r="L382" s="1"/>
      <c r="M382" s="205" t="s">
        <v>315</v>
      </c>
      <c r="N382" s="1" t="s">
        <v>315</v>
      </c>
      <c r="O382" s="9"/>
      <c r="P382" s="14">
        <f>Tabela1316[[#This Row],[Valor_recibo]]</f>
        <v>0</v>
      </c>
      <c r="Q382" s="16"/>
      <c r="R382" s="1" t="e">
        <f>VLOOKUP(#REF!,[2]Aprovados!A:A,1,0)</f>
        <v>#REF!</v>
      </c>
      <c r="S382" s="236"/>
      <c r="T382" s="235"/>
      <c r="U382" s="235"/>
      <c r="V382" s="294"/>
      <c r="W382" s="301" t="s">
        <v>315</v>
      </c>
      <c r="X382" s="302"/>
      <c r="Y382" s="303"/>
      <c r="Z382" s="304"/>
    </row>
    <row r="383" spans="1:26" ht="15.75">
      <c r="A383" s="6"/>
      <c r="B383" s="7"/>
      <c r="C383" s="6"/>
      <c r="D383" s="6"/>
      <c r="E383" s="6"/>
      <c r="F383" s="6"/>
      <c r="G383" s="6"/>
      <c r="H383" s="1"/>
      <c r="I383" s="9"/>
      <c r="J383" s="9"/>
      <c r="K383" s="11"/>
      <c r="L383" s="1"/>
      <c r="M383" s="205" t="s">
        <v>315</v>
      </c>
      <c r="N383" s="1" t="s">
        <v>315</v>
      </c>
      <c r="O383" s="9"/>
      <c r="P383" s="14">
        <f>Tabela1316[[#This Row],[Valor_recibo]]</f>
        <v>0</v>
      </c>
      <c r="Q383" s="16"/>
      <c r="R383" s="1" t="e">
        <f>VLOOKUP(#REF!,[2]Aprovados!A:A,1,0)</f>
        <v>#REF!</v>
      </c>
      <c r="S383" s="236"/>
      <c r="T383" s="235"/>
      <c r="U383" s="235"/>
      <c r="V383" s="294"/>
      <c r="W383" s="301" t="s">
        <v>315</v>
      </c>
      <c r="X383" s="302"/>
      <c r="Y383" s="303"/>
      <c r="Z383" s="304"/>
    </row>
    <row r="384" spans="1:26" ht="15.75">
      <c r="A384" s="6"/>
      <c r="B384" s="7"/>
      <c r="C384" s="6"/>
      <c r="D384" s="6"/>
      <c r="E384" s="6"/>
      <c r="F384" s="6"/>
      <c r="G384" s="6"/>
      <c r="H384" s="1"/>
      <c r="I384" s="9"/>
      <c r="J384" s="9"/>
      <c r="K384" s="11"/>
      <c r="L384" s="1"/>
      <c r="M384" s="205" t="s">
        <v>315</v>
      </c>
      <c r="N384" s="1" t="s">
        <v>315</v>
      </c>
      <c r="O384" s="9"/>
      <c r="P384" s="14">
        <f>Tabela1316[[#This Row],[Valor_recibo]]</f>
        <v>0</v>
      </c>
      <c r="Q384" s="16"/>
      <c r="R384" s="1" t="e">
        <f>VLOOKUP(#REF!,[2]Aprovados!A:A,1,0)</f>
        <v>#REF!</v>
      </c>
      <c r="S384" s="236"/>
      <c r="T384" s="235"/>
      <c r="U384" s="235"/>
      <c r="V384" s="294"/>
      <c r="W384" s="301" t="s">
        <v>315</v>
      </c>
      <c r="X384" s="302"/>
      <c r="Y384" s="303"/>
      <c r="Z384" s="304"/>
    </row>
    <row r="385" spans="1:26" ht="15.75">
      <c r="A385" s="6"/>
      <c r="B385" s="7"/>
      <c r="C385" s="6"/>
      <c r="D385" s="6"/>
      <c r="E385" s="6"/>
      <c r="F385" s="6"/>
      <c r="G385" s="6"/>
      <c r="H385" s="1"/>
      <c r="I385" s="9"/>
      <c r="J385" s="9"/>
      <c r="K385" s="11"/>
      <c r="L385" s="1"/>
      <c r="M385" s="205" t="s">
        <v>315</v>
      </c>
      <c r="N385" s="1" t="s">
        <v>315</v>
      </c>
      <c r="O385" s="9"/>
      <c r="P385" s="14">
        <f>Tabela1316[[#This Row],[Valor_recibo]]</f>
        <v>0</v>
      </c>
      <c r="Q385" s="16"/>
      <c r="R385" s="1" t="e">
        <f>VLOOKUP(#REF!,[2]Aprovados!A:A,1,0)</f>
        <v>#REF!</v>
      </c>
      <c r="S385" s="236"/>
      <c r="T385" s="235"/>
      <c r="U385" s="235"/>
      <c r="V385" s="294"/>
      <c r="W385" s="301" t="s">
        <v>315</v>
      </c>
      <c r="X385" s="302"/>
      <c r="Y385" s="303"/>
      <c r="Z385" s="304"/>
    </row>
    <row r="386" spans="1:26" ht="15.75">
      <c r="A386" s="6"/>
      <c r="B386" s="7"/>
      <c r="C386" s="6"/>
      <c r="D386" s="6"/>
      <c r="E386" s="6"/>
      <c r="F386" s="6"/>
      <c r="G386" s="6"/>
      <c r="H386" s="1"/>
      <c r="I386" s="9"/>
      <c r="J386" s="9"/>
      <c r="K386" s="11"/>
      <c r="L386" s="1"/>
      <c r="M386" s="205" t="s">
        <v>315</v>
      </c>
      <c r="N386" s="1" t="s">
        <v>315</v>
      </c>
      <c r="O386" s="9"/>
      <c r="P386" s="14">
        <f>Tabela1316[[#This Row],[Valor_recibo]]</f>
        <v>0</v>
      </c>
      <c r="Q386" s="16"/>
      <c r="R386" s="1" t="e">
        <f>VLOOKUP(#REF!,[2]Aprovados!A:A,1,0)</f>
        <v>#REF!</v>
      </c>
      <c r="S386" s="236"/>
      <c r="T386" s="235"/>
      <c r="U386" s="235"/>
      <c r="V386" s="294"/>
      <c r="W386" s="301" t="s">
        <v>315</v>
      </c>
      <c r="X386" s="302"/>
      <c r="Y386" s="303"/>
      <c r="Z386" s="304"/>
    </row>
    <row r="387" spans="1:26" ht="15.75">
      <c r="A387" s="6"/>
      <c r="B387" s="7"/>
      <c r="C387" s="6"/>
      <c r="D387" s="6"/>
      <c r="E387" s="6"/>
      <c r="F387" s="6"/>
      <c r="G387" s="6"/>
      <c r="H387" s="1"/>
      <c r="I387" s="9"/>
      <c r="J387" s="9"/>
      <c r="K387" s="11"/>
      <c r="L387" s="1"/>
      <c r="M387" s="205" t="s">
        <v>315</v>
      </c>
      <c r="N387" s="1" t="s">
        <v>315</v>
      </c>
      <c r="O387" s="9"/>
      <c r="P387" s="14">
        <f>Tabela1316[[#This Row],[Valor_recibo]]</f>
        <v>0</v>
      </c>
      <c r="Q387" s="16"/>
      <c r="R387" s="1" t="e">
        <f>VLOOKUP(#REF!,[2]Aprovados!A:A,1,0)</f>
        <v>#REF!</v>
      </c>
      <c r="S387" s="236"/>
      <c r="T387" s="235"/>
      <c r="U387" s="235"/>
      <c r="V387" s="294"/>
      <c r="W387" s="301" t="s">
        <v>315</v>
      </c>
      <c r="X387" s="302"/>
      <c r="Y387" s="303"/>
      <c r="Z387" s="304"/>
    </row>
    <row r="388" spans="1:26" ht="15.75">
      <c r="A388" s="6"/>
      <c r="B388" s="7"/>
      <c r="C388" s="6"/>
      <c r="D388" s="6"/>
      <c r="E388" s="6"/>
      <c r="F388" s="6"/>
      <c r="G388" s="6"/>
      <c r="H388" s="1"/>
      <c r="I388" s="9"/>
      <c r="J388" s="9"/>
      <c r="K388" s="11"/>
      <c r="L388" s="1"/>
      <c r="M388" s="205" t="s">
        <v>315</v>
      </c>
      <c r="N388" s="1" t="s">
        <v>315</v>
      </c>
      <c r="O388" s="9"/>
      <c r="P388" s="14">
        <f>Tabela1316[[#This Row],[Valor_recibo]]</f>
        <v>0</v>
      </c>
      <c r="Q388" s="16"/>
      <c r="R388" s="1" t="e">
        <f>VLOOKUP(#REF!,[2]Aprovados!A:A,1,0)</f>
        <v>#REF!</v>
      </c>
      <c r="S388" s="236"/>
      <c r="T388" s="235"/>
      <c r="U388" s="235"/>
      <c r="V388" s="294"/>
      <c r="W388" s="301" t="s">
        <v>315</v>
      </c>
      <c r="X388" s="302"/>
      <c r="Y388" s="303"/>
      <c r="Z388" s="304"/>
    </row>
    <row r="389" spans="1:26" ht="15.75">
      <c r="A389" s="6"/>
      <c r="B389" s="7"/>
      <c r="C389" s="6"/>
      <c r="D389" s="6"/>
      <c r="E389" s="6"/>
      <c r="F389" s="6"/>
      <c r="G389" s="6"/>
      <c r="H389" s="1"/>
      <c r="I389" s="9"/>
      <c r="J389" s="9"/>
      <c r="K389" s="11"/>
      <c r="L389" s="1"/>
      <c r="M389" s="205" t="s">
        <v>315</v>
      </c>
      <c r="N389" s="1" t="s">
        <v>315</v>
      </c>
      <c r="O389" s="9"/>
      <c r="P389" s="14">
        <f>Tabela1316[[#This Row],[Valor_recibo]]</f>
        <v>0</v>
      </c>
      <c r="Q389" s="16"/>
      <c r="R389" s="1" t="e">
        <f>VLOOKUP(#REF!,[2]Aprovados!A:A,1,0)</f>
        <v>#REF!</v>
      </c>
      <c r="S389" s="236"/>
      <c r="T389" s="235"/>
      <c r="U389" s="235"/>
      <c r="V389" s="294"/>
      <c r="W389" s="301" t="s">
        <v>315</v>
      </c>
      <c r="X389" s="302"/>
      <c r="Y389" s="303"/>
      <c r="Z389" s="304"/>
    </row>
    <row r="390" spans="1:26" ht="15.75">
      <c r="A390" s="6"/>
      <c r="B390" s="7"/>
      <c r="C390" s="6"/>
      <c r="D390" s="6"/>
      <c r="E390" s="6"/>
      <c r="F390" s="6"/>
      <c r="G390" s="6"/>
      <c r="H390" s="1"/>
      <c r="I390" s="9"/>
      <c r="J390" s="9"/>
      <c r="K390" s="11"/>
      <c r="L390" s="1"/>
      <c r="M390" s="205" t="s">
        <v>315</v>
      </c>
      <c r="N390" s="1" t="s">
        <v>315</v>
      </c>
      <c r="O390" s="9"/>
      <c r="P390" s="14">
        <f>Tabela1316[[#This Row],[Valor_recibo]]</f>
        <v>0</v>
      </c>
      <c r="Q390" s="16"/>
      <c r="R390" s="1" t="e">
        <f>VLOOKUP(#REF!,[2]Aprovados!A:A,1,0)</f>
        <v>#REF!</v>
      </c>
      <c r="S390" s="236"/>
      <c r="T390" s="235"/>
      <c r="U390" s="235"/>
      <c r="V390" s="294"/>
      <c r="W390" s="301" t="s">
        <v>315</v>
      </c>
      <c r="X390" s="302"/>
      <c r="Y390" s="303"/>
      <c r="Z390" s="304"/>
    </row>
    <row r="391" spans="1:26" ht="15.75">
      <c r="A391" s="6"/>
      <c r="B391" s="7"/>
      <c r="C391" s="6"/>
      <c r="D391" s="6"/>
      <c r="E391" s="6"/>
      <c r="F391" s="6"/>
      <c r="G391" s="6"/>
      <c r="H391" s="1"/>
      <c r="I391" s="9"/>
      <c r="J391" s="9"/>
      <c r="K391" s="11"/>
      <c r="L391" s="1"/>
      <c r="M391" s="205" t="s">
        <v>315</v>
      </c>
      <c r="N391" s="1" t="s">
        <v>315</v>
      </c>
      <c r="O391" s="9"/>
      <c r="P391" s="14">
        <f>Tabela1316[[#This Row],[Valor_recibo]]</f>
        <v>0</v>
      </c>
      <c r="Q391" s="16"/>
      <c r="R391" s="1" t="e">
        <f>VLOOKUP(#REF!,[2]Aprovados!A:A,1,0)</f>
        <v>#REF!</v>
      </c>
      <c r="S391" s="236"/>
      <c r="T391" s="235"/>
      <c r="U391" s="235"/>
      <c r="V391" s="294"/>
      <c r="W391" s="301" t="s">
        <v>315</v>
      </c>
      <c r="X391" s="302"/>
      <c r="Y391" s="303"/>
      <c r="Z391" s="304"/>
    </row>
    <row r="392" spans="1:26" ht="15.75">
      <c r="A392" s="6"/>
      <c r="B392" s="7"/>
      <c r="C392" s="6"/>
      <c r="D392" s="6"/>
      <c r="E392" s="6"/>
      <c r="F392" s="6"/>
      <c r="G392" s="6"/>
      <c r="H392" s="1"/>
      <c r="I392" s="9"/>
      <c r="J392" s="9"/>
      <c r="K392" s="11"/>
      <c r="L392" s="1"/>
      <c r="M392" s="205" t="s">
        <v>315</v>
      </c>
      <c r="N392" s="1" t="s">
        <v>315</v>
      </c>
      <c r="O392" s="9"/>
      <c r="P392" s="14">
        <f>Tabela1316[[#This Row],[Valor_recibo]]</f>
        <v>0</v>
      </c>
      <c r="Q392" s="16"/>
      <c r="R392" s="1" t="e">
        <f>VLOOKUP(#REF!,[2]Aprovados!A:A,1,0)</f>
        <v>#REF!</v>
      </c>
      <c r="S392" s="236"/>
      <c r="T392" s="235"/>
      <c r="U392" s="235"/>
      <c r="V392" s="294"/>
      <c r="W392" s="301" t="s">
        <v>315</v>
      </c>
      <c r="X392" s="302"/>
      <c r="Y392" s="303"/>
      <c r="Z392" s="304"/>
    </row>
    <row r="393" spans="1:26" ht="15.75">
      <c r="A393" s="6"/>
      <c r="B393" s="7"/>
      <c r="C393" s="6"/>
      <c r="D393" s="6"/>
      <c r="E393" s="6"/>
      <c r="F393" s="6"/>
      <c r="G393" s="6"/>
      <c r="H393" s="1"/>
      <c r="I393" s="9"/>
      <c r="J393" s="9"/>
      <c r="K393" s="11"/>
      <c r="L393" s="1"/>
      <c r="M393" s="205" t="s">
        <v>315</v>
      </c>
      <c r="N393" s="1" t="s">
        <v>315</v>
      </c>
      <c r="O393" s="9"/>
      <c r="P393" s="14">
        <f>Tabela1316[[#This Row],[Valor_recibo]]</f>
        <v>0</v>
      </c>
      <c r="Q393" s="16"/>
      <c r="R393" s="1" t="e">
        <f>VLOOKUP(#REF!,[2]Aprovados!A:A,1,0)</f>
        <v>#REF!</v>
      </c>
      <c r="S393" s="236"/>
      <c r="T393" s="235"/>
      <c r="U393" s="235"/>
      <c r="V393" s="294"/>
      <c r="W393" s="301" t="s">
        <v>315</v>
      </c>
      <c r="X393" s="302"/>
      <c r="Y393" s="303"/>
      <c r="Z393" s="304"/>
    </row>
    <row r="394" spans="1:26" ht="15.75">
      <c r="A394" s="6"/>
      <c r="B394" s="7"/>
      <c r="C394" s="6"/>
      <c r="D394" s="6"/>
      <c r="E394" s="6"/>
      <c r="F394" s="6"/>
      <c r="G394" s="6"/>
      <c r="H394" s="1"/>
      <c r="I394" s="9"/>
      <c r="J394" s="9"/>
      <c r="K394" s="11"/>
      <c r="L394" s="1"/>
      <c r="M394" s="205" t="s">
        <v>315</v>
      </c>
      <c r="N394" s="1" t="s">
        <v>315</v>
      </c>
      <c r="O394" s="9"/>
      <c r="P394" s="14">
        <f>Tabela1316[[#This Row],[Valor_recibo]]</f>
        <v>0</v>
      </c>
      <c r="Q394" s="16"/>
      <c r="R394" s="1" t="e">
        <f>VLOOKUP(#REF!,[2]Aprovados!A:A,1,0)</f>
        <v>#REF!</v>
      </c>
      <c r="S394" s="236"/>
      <c r="T394" s="235"/>
      <c r="U394" s="235"/>
      <c r="V394" s="294"/>
      <c r="W394" s="301" t="s">
        <v>315</v>
      </c>
      <c r="X394" s="302"/>
      <c r="Y394" s="303"/>
      <c r="Z394" s="304"/>
    </row>
    <row r="395" spans="1:26" ht="15.75">
      <c r="A395" s="6"/>
      <c r="B395" s="7"/>
      <c r="C395" s="6"/>
      <c r="D395" s="6"/>
      <c r="E395" s="6"/>
      <c r="F395" s="6"/>
      <c r="G395" s="6"/>
      <c r="H395" s="1"/>
      <c r="I395" s="9"/>
      <c r="J395" s="9"/>
      <c r="K395" s="11"/>
      <c r="L395" s="1"/>
      <c r="M395" s="205" t="s">
        <v>315</v>
      </c>
      <c r="N395" s="1" t="s">
        <v>315</v>
      </c>
      <c r="O395" s="9"/>
      <c r="P395" s="14">
        <f>Tabela1316[[#This Row],[Valor_recibo]]</f>
        <v>0</v>
      </c>
      <c r="Q395" s="16"/>
      <c r="R395" s="1" t="e">
        <f>VLOOKUP(#REF!,[2]Aprovados!A:A,1,0)</f>
        <v>#REF!</v>
      </c>
      <c r="S395" s="236"/>
      <c r="T395" s="235"/>
      <c r="U395" s="235"/>
      <c r="V395" s="294"/>
      <c r="W395" s="301" t="s">
        <v>315</v>
      </c>
      <c r="X395" s="302"/>
      <c r="Y395" s="303"/>
      <c r="Z395" s="304"/>
    </row>
    <row r="396" spans="1:26" ht="15.75">
      <c r="A396" s="6"/>
      <c r="B396" s="7"/>
      <c r="C396" s="6"/>
      <c r="D396" s="6"/>
      <c r="E396" s="6"/>
      <c r="F396" s="6"/>
      <c r="G396" s="6"/>
      <c r="H396" s="1"/>
      <c r="I396" s="9"/>
      <c r="J396" s="9"/>
      <c r="K396" s="11"/>
      <c r="L396" s="1"/>
      <c r="M396" s="205" t="s">
        <v>315</v>
      </c>
      <c r="N396" s="1" t="s">
        <v>315</v>
      </c>
      <c r="O396" s="9"/>
      <c r="P396" s="14">
        <f>Tabela1316[[#This Row],[Valor_recibo]]</f>
        <v>0</v>
      </c>
      <c r="Q396" s="16"/>
      <c r="R396" s="1" t="e">
        <f>VLOOKUP(#REF!,[2]Aprovados!A:A,1,0)</f>
        <v>#REF!</v>
      </c>
      <c r="S396" s="236"/>
      <c r="T396" s="235"/>
      <c r="U396" s="235"/>
      <c r="V396" s="294"/>
      <c r="W396" s="301" t="s">
        <v>315</v>
      </c>
      <c r="X396" s="302"/>
      <c r="Y396" s="303"/>
      <c r="Z396" s="304"/>
    </row>
    <row r="397" spans="1:26" ht="15.75">
      <c r="A397" s="6"/>
      <c r="B397" s="7"/>
      <c r="C397" s="6"/>
      <c r="D397" s="6"/>
      <c r="E397" s="6"/>
      <c r="F397" s="6"/>
      <c r="G397" s="6"/>
      <c r="H397" s="1"/>
      <c r="I397" s="9"/>
      <c r="J397" s="9"/>
      <c r="K397" s="11"/>
      <c r="L397" s="1"/>
      <c r="M397" s="205" t="s">
        <v>315</v>
      </c>
      <c r="N397" s="1" t="s">
        <v>315</v>
      </c>
      <c r="O397" s="9"/>
      <c r="P397" s="14">
        <f>Tabela1316[[#This Row],[Valor_recibo]]</f>
        <v>0</v>
      </c>
      <c r="Q397" s="16"/>
      <c r="R397" s="1" t="e">
        <f>VLOOKUP(#REF!,[2]Aprovados!A:A,1,0)</f>
        <v>#REF!</v>
      </c>
      <c r="S397" s="236"/>
      <c r="T397" s="235"/>
      <c r="U397" s="235"/>
      <c r="V397" s="294"/>
      <c r="W397" s="301" t="s">
        <v>315</v>
      </c>
      <c r="X397" s="302"/>
      <c r="Y397" s="303"/>
      <c r="Z397" s="304"/>
    </row>
    <row r="398" spans="1:26" ht="15.75">
      <c r="A398" s="6"/>
      <c r="B398" s="7"/>
      <c r="C398" s="6"/>
      <c r="D398" s="6"/>
      <c r="E398" s="6"/>
      <c r="F398" s="6"/>
      <c r="G398" s="6"/>
      <c r="H398" s="1"/>
      <c r="I398" s="9"/>
      <c r="J398" s="9"/>
      <c r="K398" s="11"/>
      <c r="L398" s="1"/>
      <c r="M398" s="205" t="s">
        <v>315</v>
      </c>
      <c r="N398" s="1" t="s">
        <v>315</v>
      </c>
      <c r="O398" s="9"/>
      <c r="P398" s="14">
        <f>Tabela1316[[#This Row],[Valor_recibo]]</f>
        <v>0</v>
      </c>
      <c r="Q398" s="16"/>
      <c r="R398" s="1" t="e">
        <f>VLOOKUP(#REF!,[2]Aprovados!A:A,1,0)</f>
        <v>#REF!</v>
      </c>
      <c r="S398" s="236"/>
      <c r="T398" s="235"/>
      <c r="U398" s="235"/>
      <c r="V398" s="294"/>
      <c r="W398" s="301" t="s">
        <v>315</v>
      </c>
      <c r="X398" s="302"/>
      <c r="Y398" s="303"/>
      <c r="Z398" s="304"/>
    </row>
    <row r="399" spans="1:26" ht="15.75">
      <c r="A399" s="6"/>
      <c r="B399" s="7"/>
      <c r="C399" s="6"/>
      <c r="D399" s="6"/>
      <c r="E399" s="6"/>
      <c r="F399" s="6"/>
      <c r="G399" s="6"/>
      <c r="H399" s="1"/>
      <c r="I399" s="9"/>
      <c r="J399" s="9"/>
      <c r="K399" s="11"/>
      <c r="L399" s="1"/>
      <c r="M399" s="205" t="s">
        <v>315</v>
      </c>
      <c r="N399" s="1" t="s">
        <v>315</v>
      </c>
      <c r="O399" s="9"/>
      <c r="P399" s="14">
        <f>Tabela1316[[#This Row],[Valor_recibo]]</f>
        <v>0</v>
      </c>
      <c r="Q399" s="16"/>
      <c r="R399" s="1" t="e">
        <f>VLOOKUP(#REF!,[2]Aprovados!A:A,1,0)</f>
        <v>#REF!</v>
      </c>
      <c r="S399" s="236"/>
      <c r="T399" s="235"/>
      <c r="U399" s="235"/>
      <c r="V399" s="294"/>
      <c r="W399" s="301" t="s">
        <v>315</v>
      </c>
      <c r="X399" s="302"/>
      <c r="Y399" s="303"/>
      <c r="Z399" s="304"/>
    </row>
    <row r="400" spans="1:26" ht="15.75">
      <c r="A400" s="6"/>
      <c r="B400" s="7"/>
      <c r="C400" s="6"/>
      <c r="D400" s="6"/>
      <c r="E400" s="6"/>
      <c r="F400" s="6"/>
      <c r="G400" s="6"/>
      <c r="H400" s="1"/>
      <c r="I400" s="9"/>
      <c r="J400" s="9"/>
      <c r="K400" s="11"/>
      <c r="L400" s="1"/>
      <c r="M400" s="205" t="s">
        <v>315</v>
      </c>
      <c r="N400" s="1" t="s">
        <v>315</v>
      </c>
      <c r="O400" s="9"/>
      <c r="P400" s="14">
        <f>Tabela1316[[#This Row],[Valor_recibo]]</f>
        <v>0</v>
      </c>
      <c r="Q400" s="16"/>
      <c r="R400" s="1" t="e">
        <f>VLOOKUP(#REF!,[2]Aprovados!A:A,1,0)</f>
        <v>#REF!</v>
      </c>
      <c r="S400" s="236"/>
      <c r="T400" s="235"/>
      <c r="U400" s="235"/>
      <c r="V400" s="294"/>
      <c r="W400" s="301" t="s">
        <v>315</v>
      </c>
      <c r="X400" s="302"/>
      <c r="Y400" s="303"/>
      <c r="Z400" s="304"/>
    </row>
    <row r="401" spans="1:26" ht="15.75">
      <c r="A401" s="6"/>
      <c r="B401" s="7"/>
      <c r="C401" s="6"/>
      <c r="D401" s="6"/>
      <c r="E401" s="6"/>
      <c r="F401" s="6"/>
      <c r="G401" s="6"/>
      <c r="H401" s="1"/>
      <c r="I401" s="9"/>
      <c r="J401" s="9"/>
      <c r="K401" s="11"/>
      <c r="L401" s="1"/>
      <c r="M401" s="205" t="s">
        <v>315</v>
      </c>
      <c r="N401" s="1" t="s">
        <v>315</v>
      </c>
      <c r="O401" s="9"/>
      <c r="P401" s="14">
        <f>Tabela1316[[#This Row],[Valor_recibo]]</f>
        <v>0</v>
      </c>
      <c r="Q401" s="16"/>
      <c r="R401" s="1" t="e">
        <f>VLOOKUP(#REF!,[2]Aprovados!A:A,1,0)</f>
        <v>#REF!</v>
      </c>
      <c r="S401" s="236"/>
      <c r="T401" s="235"/>
      <c r="U401" s="235"/>
      <c r="V401" s="294"/>
      <c r="W401" s="301" t="s">
        <v>315</v>
      </c>
      <c r="X401" s="302"/>
      <c r="Y401" s="303"/>
      <c r="Z401" s="304"/>
    </row>
    <row r="402" spans="1:26" ht="15.75">
      <c r="A402" s="6"/>
      <c r="B402" s="7"/>
      <c r="C402" s="6"/>
      <c r="D402" s="6"/>
      <c r="E402" s="6"/>
      <c r="F402" s="6"/>
      <c r="G402" s="6"/>
      <c r="H402" s="1"/>
      <c r="I402" s="9"/>
      <c r="J402" s="9"/>
      <c r="K402" s="11"/>
      <c r="L402" s="1"/>
      <c r="M402" s="205" t="s">
        <v>315</v>
      </c>
      <c r="N402" s="1" t="s">
        <v>315</v>
      </c>
      <c r="O402" s="9"/>
      <c r="P402" s="14">
        <f>Tabela1316[[#This Row],[Valor_recibo]]</f>
        <v>0</v>
      </c>
      <c r="Q402" s="16"/>
      <c r="R402" s="1" t="e">
        <f>VLOOKUP(#REF!,[2]Aprovados!A:A,1,0)</f>
        <v>#REF!</v>
      </c>
      <c r="S402" s="236"/>
      <c r="T402" s="235"/>
      <c r="U402" s="235"/>
      <c r="V402" s="294"/>
      <c r="W402" s="301" t="s">
        <v>315</v>
      </c>
      <c r="X402" s="302"/>
      <c r="Y402" s="303"/>
      <c r="Z402" s="304"/>
    </row>
    <row r="403" spans="1:26" ht="15.75">
      <c r="A403" s="6"/>
      <c r="B403" s="7"/>
      <c r="C403" s="6"/>
      <c r="D403" s="6"/>
      <c r="E403" s="6"/>
      <c r="F403" s="6"/>
      <c r="G403" s="6"/>
      <c r="H403" s="1"/>
      <c r="I403" s="9"/>
      <c r="J403" s="9"/>
      <c r="K403" s="11"/>
      <c r="L403" s="1"/>
      <c r="M403" s="205" t="s">
        <v>315</v>
      </c>
      <c r="N403" s="1" t="s">
        <v>315</v>
      </c>
      <c r="O403" s="9"/>
      <c r="P403" s="14">
        <f>Tabela1316[[#This Row],[Valor_recibo]]</f>
        <v>0</v>
      </c>
      <c r="Q403" s="16"/>
      <c r="R403" s="1" t="e">
        <f>VLOOKUP(#REF!,[2]Aprovados!A:A,1,0)</f>
        <v>#REF!</v>
      </c>
      <c r="S403" s="236"/>
      <c r="T403" s="235"/>
      <c r="U403" s="235"/>
      <c r="V403" s="294"/>
      <c r="W403" s="301" t="s">
        <v>315</v>
      </c>
      <c r="X403" s="302"/>
      <c r="Y403" s="303"/>
      <c r="Z403" s="304"/>
    </row>
    <row r="404" spans="1:26" ht="15.75">
      <c r="A404" s="6"/>
      <c r="B404" s="7"/>
      <c r="C404" s="6"/>
      <c r="D404" s="6"/>
      <c r="E404" s="6"/>
      <c r="F404" s="6"/>
      <c r="G404" s="6"/>
      <c r="H404" s="1"/>
      <c r="I404" s="9"/>
      <c r="J404" s="9"/>
      <c r="K404" s="11"/>
      <c r="L404" s="1"/>
      <c r="M404" s="205" t="s">
        <v>315</v>
      </c>
      <c r="N404" s="1" t="s">
        <v>315</v>
      </c>
      <c r="O404" s="9"/>
      <c r="P404" s="14">
        <f>Tabela1316[[#This Row],[Valor_recibo]]</f>
        <v>0</v>
      </c>
      <c r="Q404" s="16"/>
      <c r="R404" s="1" t="e">
        <f>VLOOKUP(#REF!,[2]Aprovados!A:A,1,0)</f>
        <v>#REF!</v>
      </c>
      <c r="S404" s="236"/>
      <c r="T404" s="235"/>
      <c r="U404" s="235"/>
      <c r="V404" s="294"/>
      <c r="W404" s="301" t="s">
        <v>315</v>
      </c>
      <c r="X404" s="302"/>
      <c r="Y404" s="303"/>
      <c r="Z404" s="304"/>
    </row>
    <row r="405" spans="1:26" ht="15.75">
      <c r="A405" s="6"/>
      <c r="B405" s="7"/>
      <c r="C405" s="6"/>
      <c r="D405" s="6"/>
      <c r="E405" s="6"/>
      <c r="F405" s="6"/>
      <c r="G405" s="6"/>
      <c r="H405" s="1"/>
      <c r="I405" s="9"/>
      <c r="J405" s="9"/>
      <c r="K405" s="11"/>
      <c r="L405" s="1"/>
      <c r="M405" s="205" t="s">
        <v>315</v>
      </c>
      <c r="N405" s="1" t="s">
        <v>315</v>
      </c>
      <c r="O405" s="9"/>
      <c r="P405" s="14">
        <f>Tabela1316[[#This Row],[Valor_recibo]]</f>
        <v>0</v>
      </c>
      <c r="Q405" s="16"/>
      <c r="R405" s="1" t="e">
        <f>VLOOKUP(#REF!,[2]Aprovados!A:A,1,0)</f>
        <v>#REF!</v>
      </c>
      <c r="S405" s="236"/>
      <c r="T405" s="235"/>
      <c r="U405" s="235"/>
      <c r="V405" s="294"/>
      <c r="W405" s="301" t="s">
        <v>315</v>
      </c>
      <c r="X405" s="302"/>
      <c r="Y405" s="303"/>
      <c r="Z405" s="304"/>
    </row>
    <row r="406" spans="1:26" ht="15.75">
      <c r="A406" s="6"/>
      <c r="B406" s="7"/>
      <c r="C406" s="6"/>
      <c r="D406" s="6"/>
      <c r="E406" s="6"/>
      <c r="F406" s="6"/>
      <c r="G406" s="6"/>
      <c r="H406" s="1"/>
      <c r="I406" s="9"/>
      <c r="J406" s="9"/>
      <c r="K406" s="11"/>
      <c r="L406" s="1"/>
      <c r="M406" s="205" t="s">
        <v>315</v>
      </c>
      <c r="N406" s="1" t="s">
        <v>315</v>
      </c>
      <c r="O406" s="9"/>
      <c r="P406" s="14">
        <f>Tabela1316[[#This Row],[Valor_recibo]]</f>
        <v>0</v>
      </c>
      <c r="Q406" s="16"/>
      <c r="R406" s="1" t="e">
        <f>VLOOKUP(#REF!,[2]Aprovados!A:A,1,0)</f>
        <v>#REF!</v>
      </c>
      <c r="S406" s="236"/>
      <c r="T406" s="235"/>
      <c r="U406" s="235"/>
      <c r="V406" s="294"/>
      <c r="W406" s="301" t="s">
        <v>315</v>
      </c>
      <c r="X406" s="302"/>
      <c r="Y406" s="303"/>
      <c r="Z406" s="304"/>
    </row>
    <row r="407" spans="1:26" ht="15.75">
      <c r="A407" s="6"/>
      <c r="B407" s="7"/>
      <c r="C407" s="6"/>
      <c r="D407" s="6"/>
      <c r="E407" s="6"/>
      <c r="F407" s="6"/>
      <c r="G407" s="6"/>
      <c r="H407" s="1"/>
      <c r="I407" s="9"/>
      <c r="J407" s="9"/>
      <c r="K407" s="11"/>
      <c r="L407" s="1"/>
      <c r="M407" s="205" t="s">
        <v>315</v>
      </c>
      <c r="N407" s="1" t="s">
        <v>315</v>
      </c>
      <c r="O407" s="9"/>
      <c r="P407" s="14">
        <f>Tabela1316[[#This Row],[Valor_recibo]]</f>
        <v>0</v>
      </c>
      <c r="Q407" s="16"/>
      <c r="R407" s="1" t="e">
        <f>VLOOKUP(#REF!,[2]Aprovados!A:A,1,0)</f>
        <v>#REF!</v>
      </c>
      <c r="S407" s="236"/>
      <c r="T407" s="235"/>
      <c r="U407" s="235"/>
      <c r="V407" s="294"/>
      <c r="W407" s="301" t="s">
        <v>315</v>
      </c>
      <c r="X407" s="302"/>
      <c r="Y407" s="303"/>
      <c r="Z407" s="304"/>
    </row>
    <row r="408" spans="1:26" ht="15.75">
      <c r="A408" s="6"/>
      <c r="B408" s="7"/>
      <c r="C408" s="6"/>
      <c r="D408" s="6"/>
      <c r="E408" s="6"/>
      <c r="F408" s="6"/>
      <c r="G408" s="6"/>
      <c r="H408" s="1"/>
      <c r="I408" s="9"/>
      <c r="J408" s="9"/>
      <c r="K408" s="11"/>
      <c r="L408" s="1"/>
      <c r="M408" s="205" t="s">
        <v>315</v>
      </c>
      <c r="N408" s="1" t="s">
        <v>315</v>
      </c>
      <c r="O408" s="9"/>
      <c r="P408" s="14">
        <f>Tabela1316[[#This Row],[Valor_recibo]]</f>
        <v>0</v>
      </c>
      <c r="Q408" s="16"/>
      <c r="R408" s="1" t="e">
        <f>VLOOKUP(#REF!,[2]Aprovados!A:A,1,0)</f>
        <v>#REF!</v>
      </c>
      <c r="S408" s="236"/>
      <c r="T408" s="235"/>
      <c r="U408" s="235"/>
      <c r="V408" s="294"/>
      <c r="W408" s="301" t="s">
        <v>315</v>
      </c>
      <c r="X408" s="302"/>
      <c r="Y408" s="303"/>
      <c r="Z408" s="304"/>
    </row>
    <row r="409" spans="1:26" ht="15.75">
      <c r="A409" s="6"/>
      <c r="B409" s="7"/>
      <c r="C409" s="6"/>
      <c r="D409" s="6"/>
      <c r="E409" s="6"/>
      <c r="F409" s="6"/>
      <c r="G409" s="6"/>
      <c r="H409" s="1"/>
      <c r="I409" s="9"/>
      <c r="J409" s="9"/>
      <c r="K409" s="11"/>
      <c r="L409" s="1"/>
      <c r="M409" s="205" t="s">
        <v>315</v>
      </c>
      <c r="N409" s="1" t="s">
        <v>315</v>
      </c>
      <c r="O409" s="9"/>
      <c r="P409" s="14">
        <f>Tabela1316[[#This Row],[Valor_recibo]]</f>
        <v>0</v>
      </c>
      <c r="Q409" s="16"/>
      <c r="R409" s="1" t="e">
        <f>VLOOKUP(#REF!,[2]Aprovados!A:A,1,0)</f>
        <v>#REF!</v>
      </c>
      <c r="S409" s="236"/>
      <c r="T409" s="235"/>
      <c r="U409" s="235"/>
      <c r="V409" s="294"/>
      <c r="W409" s="301" t="s">
        <v>315</v>
      </c>
      <c r="X409" s="302"/>
      <c r="Y409" s="303"/>
      <c r="Z409" s="304"/>
    </row>
    <row r="410" spans="1:26" ht="15.75">
      <c r="A410" s="6"/>
      <c r="B410" s="7"/>
      <c r="C410" s="6"/>
      <c r="D410" s="6"/>
      <c r="E410" s="6"/>
      <c r="F410" s="6"/>
      <c r="G410" s="6"/>
      <c r="H410" s="1"/>
      <c r="I410" s="9"/>
      <c r="J410" s="9"/>
      <c r="K410" s="11"/>
      <c r="L410" s="1"/>
      <c r="M410" s="205" t="s">
        <v>315</v>
      </c>
      <c r="N410" s="1" t="s">
        <v>315</v>
      </c>
      <c r="O410" s="9"/>
      <c r="P410" s="14">
        <f>Tabela1316[[#This Row],[Valor_recibo]]</f>
        <v>0</v>
      </c>
      <c r="Q410" s="16"/>
      <c r="R410" s="1" t="e">
        <f>VLOOKUP(#REF!,[2]Aprovados!A:A,1,0)</f>
        <v>#REF!</v>
      </c>
      <c r="S410" s="236"/>
      <c r="T410" s="235"/>
      <c r="U410" s="235"/>
      <c r="V410" s="294"/>
      <c r="W410" s="301" t="s">
        <v>315</v>
      </c>
      <c r="X410" s="302"/>
      <c r="Y410" s="303"/>
      <c r="Z410" s="304"/>
    </row>
    <row r="411" spans="1:26" ht="15.75">
      <c r="A411" s="6"/>
      <c r="B411" s="7"/>
      <c r="C411" s="6"/>
      <c r="D411" s="6"/>
      <c r="E411" s="6"/>
      <c r="F411" s="6"/>
      <c r="G411" s="6"/>
      <c r="H411" s="1"/>
      <c r="I411" s="9"/>
      <c r="J411" s="9"/>
      <c r="K411" s="11"/>
      <c r="L411" s="1"/>
      <c r="M411" s="205" t="s">
        <v>315</v>
      </c>
      <c r="N411" s="1" t="s">
        <v>315</v>
      </c>
      <c r="O411" s="9"/>
      <c r="P411" s="14">
        <f>Tabela1316[[#This Row],[Valor_recibo]]</f>
        <v>0</v>
      </c>
      <c r="Q411" s="16"/>
      <c r="R411" s="1" t="e">
        <f>VLOOKUP(#REF!,[2]Aprovados!A:A,1,0)</f>
        <v>#REF!</v>
      </c>
      <c r="S411" s="236"/>
      <c r="T411" s="235"/>
      <c r="U411" s="235"/>
      <c r="V411" s="294"/>
      <c r="W411" s="301" t="s">
        <v>315</v>
      </c>
      <c r="X411" s="302"/>
      <c r="Y411" s="303"/>
      <c r="Z411" s="304"/>
    </row>
    <row r="412" spans="1:26" ht="15.75">
      <c r="A412" s="6"/>
      <c r="B412" s="7"/>
      <c r="C412" s="6"/>
      <c r="D412" s="6"/>
      <c r="E412" s="6"/>
      <c r="F412" s="6"/>
      <c r="G412" s="6"/>
      <c r="H412" s="1"/>
      <c r="I412" s="9"/>
      <c r="J412" s="9"/>
      <c r="K412" s="11"/>
      <c r="L412" s="1"/>
      <c r="M412" s="205" t="s">
        <v>315</v>
      </c>
      <c r="N412" s="1" t="s">
        <v>315</v>
      </c>
      <c r="O412" s="9"/>
      <c r="P412" s="14">
        <f>Tabela1316[[#This Row],[Valor_recibo]]</f>
        <v>0</v>
      </c>
      <c r="Q412" s="16"/>
      <c r="R412" s="1" t="e">
        <f>VLOOKUP(#REF!,[2]Aprovados!A:A,1,0)</f>
        <v>#REF!</v>
      </c>
      <c r="S412" s="236"/>
      <c r="T412" s="235"/>
      <c r="U412" s="235"/>
      <c r="V412" s="294"/>
      <c r="W412" s="301" t="s">
        <v>315</v>
      </c>
      <c r="X412" s="302"/>
      <c r="Y412" s="303"/>
      <c r="Z412" s="304"/>
    </row>
    <row r="413" spans="1:26" ht="15.75">
      <c r="A413" s="6"/>
      <c r="B413" s="7"/>
      <c r="C413" s="6"/>
      <c r="D413" s="6"/>
      <c r="E413" s="6"/>
      <c r="F413" s="6"/>
      <c r="G413" s="6"/>
      <c r="H413" s="1"/>
      <c r="I413" s="9"/>
      <c r="J413" s="9"/>
      <c r="K413" s="11"/>
      <c r="L413" s="1"/>
      <c r="M413" s="205" t="s">
        <v>315</v>
      </c>
      <c r="N413" s="1" t="s">
        <v>315</v>
      </c>
      <c r="O413" s="9"/>
      <c r="P413" s="14">
        <f>Tabela1316[[#This Row],[Valor_recibo]]</f>
        <v>0</v>
      </c>
      <c r="Q413" s="16"/>
      <c r="R413" s="1" t="e">
        <f>VLOOKUP(#REF!,[2]Aprovados!A:A,1,0)</f>
        <v>#REF!</v>
      </c>
      <c r="S413" s="236"/>
      <c r="T413" s="235"/>
      <c r="U413" s="235"/>
      <c r="V413" s="294"/>
      <c r="W413" s="301" t="s">
        <v>315</v>
      </c>
      <c r="X413" s="302"/>
      <c r="Y413" s="303"/>
      <c r="Z413" s="304"/>
    </row>
    <row r="414" spans="1:26" ht="15.75">
      <c r="A414" s="6"/>
      <c r="B414" s="7"/>
      <c r="C414" s="6"/>
      <c r="D414" s="6"/>
      <c r="E414" s="6"/>
      <c r="F414" s="6"/>
      <c r="G414" s="6"/>
      <c r="H414" s="1"/>
      <c r="I414" s="9"/>
      <c r="J414" s="9"/>
      <c r="K414" s="11"/>
      <c r="L414" s="1"/>
      <c r="M414" s="205" t="s">
        <v>315</v>
      </c>
      <c r="N414" s="1" t="s">
        <v>315</v>
      </c>
      <c r="O414" s="9"/>
      <c r="P414" s="14">
        <f>Tabela1316[[#This Row],[Valor_recibo]]</f>
        <v>0</v>
      </c>
      <c r="Q414" s="16"/>
      <c r="R414" s="1" t="e">
        <f>VLOOKUP(#REF!,[2]Aprovados!A:A,1,0)</f>
        <v>#REF!</v>
      </c>
      <c r="S414" s="236"/>
      <c r="T414" s="235"/>
      <c r="U414" s="235"/>
      <c r="V414" s="294"/>
      <c r="W414" s="301" t="s">
        <v>315</v>
      </c>
      <c r="X414" s="302"/>
      <c r="Y414" s="303"/>
      <c r="Z414" s="304"/>
    </row>
    <row r="415" spans="1:26" ht="15.75">
      <c r="A415" s="6"/>
      <c r="B415" s="7"/>
      <c r="C415" s="6"/>
      <c r="D415" s="6"/>
      <c r="E415" s="6"/>
      <c r="F415" s="6"/>
      <c r="G415" s="6"/>
      <c r="H415" s="1"/>
      <c r="I415" s="9"/>
      <c r="J415" s="9"/>
      <c r="K415" s="11"/>
      <c r="L415" s="1"/>
      <c r="M415" s="205" t="s">
        <v>315</v>
      </c>
      <c r="N415" s="1" t="s">
        <v>315</v>
      </c>
      <c r="O415" s="9"/>
      <c r="P415" s="14">
        <f>Tabela1316[[#This Row],[Valor_recibo]]</f>
        <v>0</v>
      </c>
      <c r="Q415" s="16"/>
      <c r="R415" s="1" t="e">
        <f>VLOOKUP(#REF!,[2]Aprovados!A:A,1,0)</f>
        <v>#REF!</v>
      </c>
      <c r="S415" s="236"/>
      <c r="T415" s="235"/>
      <c r="U415" s="235"/>
      <c r="V415" s="294"/>
      <c r="W415" s="301" t="s">
        <v>315</v>
      </c>
      <c r="X415" s="302"/>
      <c r="Y415" s="303"/>
      <c r="Z415" s="304"/>
    </row>
    <row r="416" spans="1:26" ht="15.75">
      <c r="A416" s="6"/>
      <c r="B416" s="7"/>
      <c r="C416" s="6"/>
      <c r="D416" s="6"/>
      <c r="E416" s="6"/>
      <c r="F416" s="6"/>
      <c r="G416" s="6"/>
      <c r="H416" s="1"/>
      <c r="I416" s="9"/>
      <c r="J416" s="9"/>
      <c r="K416" s="11"/>
      <c r="L416" s="1"/>
      <c r="M416" s="205" t="s">
        <v>315</v>
      </c>
      <c r="N416" s="1" t="s">
        <v>315</v>
      </c>
      <c r="O416" s="9"/>
      <c r="P416" s="14">
        <f>Tabela1316[[#This Row],[Valor_recibo]]</f>
        <v>0</v>
      </c>
      <c r="Q416" s="16"/>
      <c r="R416" s="1" t="e">
        <f>VLOOKUP(#REF!,[2]Aprovados!A:A,1,0)</f>
        <v>#REF!</v>
      </c>
      <c r="S416" s="236"/>
      <c r="T416" s="235"/>
      <c r="U416" s="235"/>
      <c r="V416" s="294"/>
      <c r="W416" s="301" t="s">
        <v>315</v>
      </c>
      <c r="X416" s="302"/>
      <c r="Y416" s="303"/>
      <c r="Z416" s="304"/>
    </row>
    <row r="417" spans="1:26" ht="15.75">
      <c r="A417" s="6"/>
      <c r="B417" s="7"/>
      <c r="C417" s="6"/>
      <c r="D417" s="6"/>
      <c r="E417" s="6"/>
      <c r="F417" s="6"/>
      <c r="G417" s="6"/>
      <c r="H417" s="1"/>
      <c r="I417" s="9"/>
      <c r="J417" s="9"/>
      <c r="K417" s="11"/>
      <c r="L417" s="1"/>
      <c r="M417" s="205" t="s">
        <v>315</v>
      </c>
      <c r="N417" s="1" t="s">
        <v>315</v>
      </c>
      <c r="O417" s="9"/>
      <c r="P417" s="14">
        <f>Tabela1316[[#This Row],[Valor_recibo]]</f>
        <v>0</v>
      </c>
      <c r="Q417" s="16"/>
      <c r="R417" s="1" t="e">
        <f>VLOOKUP(#REF!,[2]Aprovados!A:A,1,0)</f>
        <v>#REF!</v>
      </c>
      <c r="S417" s="236"/>
      <c r="T417" s="235"/>
      <c r="U417" s="235"/>
      <c r="V417" s="294"/>
      <c r="W417" s="301" t="s">
        <v>315</v>
      </c>
      <c r="X417" s="302"/>
      <c r="Y417" s="303"/>
      <c r="Z417" s="304"/>
    </row>
    <row r="418" spans="1:26" ht="15.75">
      <c r="A418" s="6"/>
      <c r="B418" s="7"/>
      <c r="C418" s="6"/>
      <c r="D418" s="6"/>
      <c r="E418" s="6"/>
      <c r="F418" s="6"/>
      <c r="G418" s="6"/>
      <c r="H418" s="1"/>
      <c r="I418" s="9"/>
      <c r="J418" s="9"/>
      <c r="K418" s="11"/>
      <c r="L418" s="1"/>
      <c r="M418" s="205" t="s">
        <v>315</v>
      </c>
      <c r="N418" s="1" t="s">
        <v>315</v>
      </c>
      <c r="O418" s="9"/>
      <c r="P418" s="14">
        <f>Tabela1316[[#This Row],[Valor_recibo]]</f>
        <v>0</v>
      </c>
      <c r="Q418" s="16"/>
      <c r="R418" s="1" t="e">
        <f>VLOOKUP(#REF!,[2]Aprovados!A:A,1,0)</f>
        <v>#REF!</v>
      </c>
      <c r="S418" s="236"/>
      <c r="T418" s="235"/>
      <c r="U418" s="235"/>
      <c r="V418" s="294"/>
      <c r="W418" s="301" t="s">
        <v>315</v>
      </c>
      <c r="X418" s="302"/>
      <c r="Y418" s="303"/>
      <c r="Z418" s="304"/>
    </row>
    <row r="419" spans="1:26" ht="15.75">
      <c r="A419" s="6"/>
      <c r="B419" s="7"/>
      <c r="C419" s="6"/>
      <c r="D419" s="6"/>
      <c r="E419" s="6"/>
      <c r="F419" s="6"/>
      <c r="G419" s="6"/>
      <c r="H419" s="1"/>
      <c r="I419" s="9"/>
      <c r="J419" s="9"/>
      <c r="K419" s="11"/>
      <c r="L419" s="1"/>
      <c r="M419" s="205" t="s">
        <v>315</v>
      </c>
      <c r="N419" s="1" t="s">
        <v>315</v>
      </c>
      <c r="O419" s="9"/>
      <c r="P419" s="14">
        <f>Tabela1316[[#This Row],[Valor_recibo]]</f>
        <v>0</v>
      </c>
      <c r="Q419" s="16"/>
      <c r="R419" s="1" t="e">
        <f>VLOOKUP(#REF!,[2]Aprovados!A:A,1,0)</f>
        <v>#REF!</v>
      </c>
      <c r="S419" s="236"/>
      <c r="T419" s="235"/>
      <c r="U419" s="235"/>
      <c r="V419" s="294"/>
      <c r="W419" s="301" t="s">
        <v>315</v>
      </c>
      <c r="X419" s="302"/>
      <c r="Y419" s="303"/>
      <c r="Z419" s="304"/>
    </row>
    <row r="420" spans="1:26" ht="15.75">
      <c r="A420" s="6"/>
      <c r="B420" s="7"/>
      <c r="C420" s="6"/>
      <c r="D420" s="6"/>
      <c r="E420" s="6"/>
      <c r="F420" s="6"/>
      <c r="G420" s="6"/>
      <c r="H420" s="1"/>
      <c r="I420" s="9"/>
      <c r="J420" s="9"/>
      <c r="K420" s="11"/>
      <c r="L420" s="1"/>
      <c r="M420" s="205" t="s">
        <v>315</v>
      </c>
      <c r="N420" s="1" t="s">
        <v>315</v>
      </c>
      <c r="O420" s="9"/>
      <c r="P420" s="14">
        <f>Tabela1316[[#This Row],[Valor_recibo]]</f>
        <v>0</v>
      </c>
      <c r="Q420" s="16"/>
      <c r="R420" s="1" t="e">
        <f>VLOOKUP(#REF!,[2]Aprovados!A:A,1,0)</f>
        <v>#REF!</v>
      </c>
      <c r="S420" s="236"/>
      <c r="T420" s="235"/>
      <c r="U420" s="235"/>
      <c r="V420" s="294"/>
      <c r="W420" s="301" t="s">
        <v>315</v>
      </c>
      <c r="X420" s="302"/>
      <c r="Y420" s="303"/>
      <c r="Z420" s="304"/>
    </row>
    <row r="421" spans="1:26" ht="15.75">
      <c r="A421" s="6"/>
      <c r="B421" s="7"/>
      <c r="C421" s="6"/>
      <c r="D421" s="6"/>
      <c r="E421" s="6"/>
      <c r="F421" s="6"/>
      <c r="G421" s="6"/>
      <c r="H421" s="1"/>
      <c r="I421" s="9"/>
      <c r="J421" s="9"/>
      <c r="K421" s="11"/>
      <c r="L421" s="1"/>
      <c r="M421" s="205" t="s">
        <v>315</v>
      </c>
      <c r="N421" s="1" t="s">
        <v>315</v>
      </c>
      <c r="O421" s="9"/>
      <c r="P421" s="14">
        <f>Tabela1316[[#This Row],[Valor_recibo]]</f>
        <v>0</v>
      </c>
      <c r="Q421" s="16"/>
      <c r="R421" s="1" t="e">
        <f>VLOOKUP(#REF!,[2]Aprovados!A:A,1,0)</f>
        <v>#REF!</v>
      </c>
      <c r="S421" s="236"/>
      <c r="T421" s="235"/>
      <c r="U421" s="235"/>
      <c r="V421" s="294"/>
      <c r="W421" s="301" t="s">
        <v>315</v>
      </c>
      <c r="X421" s="302"/>
      <c r="Y421" s="303"/>
      <c r="Z421" s="304"/>
    </row>
    <row r="422" spans="1:26" ht="15.75">
      <c r="A422" s="6"/>
      <c r="B422" s="7"/>
      <c r="C422" s="6"/>
      <c r="D422" s="6"/>
      <c r="E422" s="6"/>
      <c r="F422" s="6"/>
      <c r="G422" s="6"/>
      <c r="H422" s="1"/>
      <c r="I422" s="9"/>
      <c r="J422" s="9"/>
      <c r="K422" s="11"/>
      <c r="L422" s="1"/>
      <c r="M422" s="205" t="s">
        <v>315</v>
      </c>
      <c r="N422" s="1" t="s">
        <v>315</v>
      </c>
      <c r="O422" s="9"/>
      <c r="P422" s="14">
        <f>Tabela1316[[#This Row],[Valor_recibo]]</f>
        <v>0</v>
      </c>
      <c r="Q422" s="16"/>
      <c r="R422" s="1" t="e">
        <f>VLOOKUP(#REF!,[2]Aprovados!A:A,1,0)</f>
        <v>#REF!</v>
      </c>
      <c r="S422" s="236"/>
      <c r="T422" s="235"/>
      <c r="U422" s="235"/>
      <c r="V422" s="294"/>
      <c r="W422" s="301" t="s">
        <v>315</v>
      </c>
      <c r="X422" s="302"/>
      <c r="Y422" s="303"/>
      <c r="Z422" s="304"/>
    </row>
    <row r="423" spans="1:26" ht="15.75">
      <c r="A423" s="6"/>
      <c r="B423" s="7"/>
      <c r="C423" s="6"/>
      <c r="D423" s="6"/>
      <c r="E423" s="6"/>
      <c r="F423" s="6"/>
      <c r="G423" s="6"/>
      <c r="H423" s="1"/>
      <c r="I423" s="9"/>
      <c r="J423" s="9"/>
      <c r="K423" s="11"/>
      <c r="L423" s="1"/>
      <c r="M423" s="205" t="s">
        <v>315</v>
      </c>
      <c r="N423" s="1" t="s">
        <v>315</v>
      </c>
      <c r="O423" s="9"/>
      <c r="P423" s="14">
        <f>Tabela1316[[#This Row],[Valor_recibo]]</f>
        <v>0</v>
      </c>
      <c r="Q423" s="16"/>
      <c r="R423" s="1" t="e">
        <f>VLOOKUP(#REF!,[2]Aprovados!A:A,1,0)</f>
        <v>#REF!</v>
      </c>
      <c r="S423" s="236"/>
      <c r="T423" s="235"/>
      <c r="U423" s="235"/>
      <c r="V423" s="294"/>
      <c r="W423" s="301" t="s">
        <v>315</v>
      </c>
      <c r="X423" s="302"/>
      <c r="Y423" s="303"/>
      <c r="Z423" s="304"/>
    </row>
    <row r="424" spans="1:26" ht="15.75">
      <c r="A424" s="6"/>
      <c r="B424" s="7"/>
      <c r="C424" s="6"/>
      <c r="D424" s="6"/>
      <c r="E424" s="6"/>
      <c r="F424" s="6"/>
      <c r="G424" s="6"/>
      <c r="H424" s="1"/>
      <c r="I424" s="9"/>
      <c r="J424" s="9"/>
      <c r="K424" s="11"/>
      <c r="L424" s="1"/>
      <c r="M424" s="205" t="s">
        <v>315</v>
      </c>
      <c r="N424" s="1" t="s">
        <v>315</v>
      </c>
      <c r="O424" s="9"/>
      <c r="P424" s="14">
        <f>Tabela1316[[#This Row],[Valor_recibo]]</f>
        <v>0</v>
      </c>
      <c r="Q424" s="16"/>
      <c r="R424" s="1" t="e">
        <f>VLOOKUP(#REF!,[2]Aprovados!A:A,1,0)</f>
        <v>#REF!</v>
      </c>
      <c r="S424" s="236"/>
      <c r="T424" s="235"/>
      <c r="U424" s="235"/>
      <c r="V424" s="294"/>
      <c r="W424" s="301" t="s">
        <v>315</v>
      </c>
      <c r="X424" s="302"/>
      <c r="Y424" s="303"/>
      <c r="Z424" s="304"/>
    </row>
    <row r="425" spans="1:26" ht="15.75">
      <c r="A425" s="6"/>
      <c r="B425" s="7"/>
      <c r="C425" s="6"/>
      <c r="D425" s="6"/>
      <c r="E425" s="6"/>
      <c r="F425" s="6"/>
      <c r="G425" s="6"/>
      <c r="H425" s="1"/>
      <c r="I425" s="9"/>
      <c r="J425" s="9"/>
      <c r="K425" s="11"/>
      <c r="L425" s="1"/>
      <c r="M425" s="205" t="s">
        <v>315</v>
      </c>
      <c r="N425" s="1" t="s">
        <v>315</v>
      </c>
      <c r="O425" s="9"/>
      <c r="P425" s="14">
        <f>Tabela1316[[#This Row],[Valor_recibo]]</f>
        <v>0</v>
      </c>
      <c r="Q425" s="16"/>
      <c r="R425" s="1" t="e">
        <f>VLOOKUP(#REF!,[2]Aprovados!A:A,1,0)</f>
        <v>#REF!</v>
      </c>
      <c r="S425" s="236"/>
      <c r="T425" s="235"/>
      <c r="U425" s="235"/>
      <c r="V425" s="294"/>
      <c r="W425" s="301" t="s">
        <v>315</v>
      </c>
      <c r="X425" s="302"/>
      <c r="Y425" s="303"/>
      <c r="Z425" s="304"/>
    </row>
    <row r="426" spans="1:26" ht="15.75">
      <c r="A426" s="6"/>
      <c r="B426" s="7"/>
      <c r="C426" s="6"/>
      <c r="D426" s="6"/>
      <c r="E426" s="6"/>
      <c r="F426" s="6"/>
      <c r="G426" s="6"/>
      <c r="H426" s="1"/>
      <c r="I426" s="9"/>
      <c r="J426" s="9"/>
      <c r="K426" s="11"/>
      <c r="L426" s="1"/>
      <c r="M426" s="205" t="s">
        <v>315</v>
      </c>
      <c r="N426" s="1" t="s">
        <v>315</v>
      </c>
      <c r="O426" s="9"/>
      <c r="P426" s="14">
        <f>Tabela1316[[#This Row],[Valor_recibo]]</f>
        <v>0</v>
      </c>
      <c r="Q426" s="16"/>
      <c r="R426" s="1" t="e">
        <f>VLOOKUP(#REF!,[2]Aprovados!A:A,1,0)</f>
        <v>#REF!</v>
      </c>
      <c r="S426" s="236"/>
      <c r="T426" s="235"/>
      <c r="U426" s="235"/>
      <c r="V426" s="294"/>
      <c r="W426" s="301" t="s">
        <v>315</v>
      </c>
      <c r="X426" s="302"/>
      <c r="Y426" s="303"/>
      <c r="Z426" s="304"/>
    </row>
    <row r="427" spans="1:26" ht="15.75">
      <c r="A427" s="6"/>
      <c r="B427" s="7"/>
      <c r="C427" s="6"/>
      <c r="D427" s="6"/>
      <c r="E427" s="6"/>
      <c r="F427" s="6"/>
      <c r="G427" s="6"/>
      <c r="H427" s="1"/>
      <c r="I427" s="9"/>
      <c r="J427" s="9"/>
      <c r="K427" s="11"/>
      <c r="L427" s="1"/>
      <c r="M427" s="205" t="s">
        <v>315</v>
      </c>
      <c r="N427" s="1" t="s">
        <v>315</v>
      </c>
      <c r="O427" s="9"/>
      <c r="P427" s="14">
        <f>Tabela1316[[#This Row],[Valor_recibo]]</f>
        <v>0</v>
      </c>
      <c r="Q427" s="16"/>
      <c r="R427" s="1" t="e">
        <f>VLOOKUP(#REF!,[2]Aprovados!A:A,1,0)</f>
        <v>#REF!</v>
      </c>
      <c r="S427" s="236"/>
      <c r="T427" s="235"/>
      <c r="U427" s="235"/>
      <c r="V427" s="294"/>
      <c r="W427" s="301" t="s">
        <v>315</v>
      </c>
      <c r="X427" s="302"/>
      <c r="Y427" s="303"/>
      <c r="Z427" s="304"/>
    </row>
    <row r="428" spans="1:26" ht="15.75">
      <c r="A428" s="6"/>
      <c r="B428" s="7"/>
      <c r="C428" s="6"/>
      <c r="D428" s="6"/>
      <c r="E428" s="6"/>
      <c r="F428" s="6"/>
      <c r="G428" s="6"/>
      <c r="H428" s="1"/>
      <c r="I428" s="9"/>
      <c r="J428" s="9"/>
      <c r="K428" s="11"/>
      <c r="L428" s="1"/>
      <c r="M428" s="205" t="s">
        <v>315</v>
      </c>
      <c r="N428" s="1" t="s">
        <v>315</v>
      </c>
      <c r="O428" s="9"/>
      <c r="P428" s="14">
        <f>Tabela1316[[#This Row],[Valor_recibo]]</f>
        <v>0</v>
      </c>
      <c r="Q428" s="16"/>
      <c r="R428" s="1" t="e">
        <f>VLOOKUP(#REF!,[2]Aprovados!A:A,1,0)</f>
        <v>#REF!</v>
      </c>
      <c r="S428" s="236"/>
      <c r="T428" s="235"/>
      <c r="U428" s="235"/>
      <c r="V428" s="294"/>
      <c r="W428" s="301" t="s">
        <v>315</v>
      </c>
      <c r="X428" s="302"/>
      <c r="Y428" s="303"/>
      <c r="Z428" s="304"/>
    </row>
    <row r="429" spans="1:26" ht="15.75">
      <c r="A429" s="6"/>
      <c r="B429" s="7"/>
      <c r="C429" s="6"/>
      <c r="D429" s="6"/>
      <c r="E429" s="6"/>
      <c r="F429" s="6"/>
      <c r="G429" s="6"/>
      <c r="H429" s="1"/>
      <c r="I429" s="9"/>
      <c r="J429" s="9"/>
      <c r="K429" s="11"/>
      <c r="L429" s="1"/>
      <c r="M429" s="205" t="s">
        <v>315</v>
      </c>
      <c r="N429" s="1" t="s">
        <v>315</v>
      </c>
      <c r="O429" s="9"/>
      <c r="P429" s="14">
        <f>Tabela1316[[#This Row],[Valor_recibo]]</f>
        <v>0</v>
      </c>
      <c r="Q429" s="16"/>
      <c r="R429" s="1" t="e">
        <f>VLOOKUP(#REF!,[2]Aprovados!A:A,1,0)</f>
        <v>#REF!</v>
      </c>
      <c r="S429" s="236"/>
      <c r="T429" s="235"/>
      <c r="U429" s="235"/>
      <c r="V429" s="294"/>
      <c r="W429" s="301" t="s">
        <v>315</v>
      </c>
      <c r="X429" s="302"/>
      <c r="Y429" s="303"/>
      <c r="Z429" s="304"/>
    </row>
    <row r="430" spans="1:26" ht="15.75">
      <c r="A430" s="6"/>
      <c r="B430" s="7"/>
      <c r="C430" s="6"/>
      <c r="D430" s="6"/>
      <c r="E430" s="6"/>
      <c r="F430" s="6"/>
      <c r="G430" s="6"/>
      <c r="H430" s="1"/>
      <c r="I430" s="9"/>
      <c r="J430" s="9"/>
      <c r="K430" s="11"/>
      <c r="L430" s="1"/>
      <c r="M430" s="205" t="s">
        <v>315</v>
      </c>
      <c r="N430" s="1" t="s">
        <v>315</v>
      </c>
      <c r="O430" s="9"/>
      <c r="P430" s="14">
        <f>Tabela1316[[#This Row],[Valor_recibo]]</f>
        <v>0</v>
      </c>
      <c r="Q430" s="16"/>
      <c r="R430" s="1" t="e">
        <f>VLOOKUP(#REF!,[2]Aprovados!A:A,1,0)</f>
        <v>#REF!</v>
      </c>
      <c r="S430" s="236"/>
      <c r="T430" s="235"/>
      <c r="U430" s="235"/>
      <c r="V430" s="294"/>
      <c r="W430" s="301" t="s">
        <v>315</v>
      </c>
      <c r="X430" s="302"/>
      <c r="Y430" s="303"/>
      <c r="Z430" s="304"/>
    </row>
    <row r="431" spans="1:26" ht="15.75">
      <c r="A431" s="6"/>
      <c r="B431" s="7"/>
      <c r="C431" s="6"/>
      <c r="D431" s="6"/>
      <c r="E431" s="6"/>
      <c r="F431" s="6"/>
      <c r="G431" s="6"/>
      <c r="H431" s="1"/>
      <c r="I431" s="9"/>
      <c r="J431" s="9"/>
      <c r="K431" s="11"/>
      <c r="L431" s="1"/>
      <c r="M431" s="205" t="s">
        <v>315</v>
      </c>
      <c r="N431" s="1" t="s">
        <v>315</v>
      </c>
      <c r="O431" s="9"/>
      <c r="P431" s="14">
        <f>Tabela1316[[#This Row],[Valor_recibo]]</f>
        <v>0</v>
      </c>
      <c r="Q431" s="16"/>
      <c r="R431" s="1" t="e">
        <f>VLOOKUP(#REF!,[2]Aprovados!A:A,1,0)</f>
        <v>#REF!</v>
      </c>
      <c r="S431" s="236"/>
      <c r="T431" s="235"/>
      <c r="U431" s="235"/>
      <c r="V431" s="294"/>
      <c r="W431" s="301" t="s">
        <v>315</v>
      </c>
      <c r="X431" s="302"/>
      <c r="Y431" s="303"/>
      <c r="Z431" s="304"/>
    </row>
    <row r="432" spans="1:26" ht="15.75">
      <c r="A432" s="6"/>
      <c r="B432" s="7"/>
      <c r="C432" s="6"/>
      <c r="D432" s="6"/>
      <c r="E432" s="6"/>
      <c r="F432" s="6"/>
      <c r="G432" s="6"/>
      <c r="H432" s="1"/>
      <c r="I432" s="9"/>
      <c r="J432" s="9"/>
      <c r="K432" s="11"/>
      <c r="L432" s="1"/>
      <c r="M432" s="205" t="s">
        <v>315</v>
      </c>
      <c r="N432" s="1" t="s">
        <v>315</v>
      </c>
      <c r="O432" s="9"/>
      <c r="P432" s="14">
        <f>Tabela1316[[#This Row],[Valor_recibo]]</f>
        <v>0</v>
      </c>
      <c r="Q432" s="16"/>
      <c r="R432" s="1" t="e">
        <f>VLOOKUP(#REF!,[2]Aprovados!A:A,1,0)</f>
        <v>#REF!</v>
      </c>
      <c r="S432" s="236"/>
      <c r="T432" s="235"/>
      <c r="U432" s="235"/>
      <c r="V432" s="294"/>
      <c r="W432" s="301" t="s">
        <v>315</v>
      </c>
      <c r="X432" s="302"/>
      <c r="Y432" s="303"/>
      <c r="Z432" s="304"/>
    </row>
    <row r="433" spans="1:26" ht="15.75">
      <c r="A433" s="6"/>
      <c r="B433" s="7"/>
      <c r="C433" s="6"/>
      <c r="D433" s="6"/>
      <c r="E433" s="6"/>
      <c r="F433" s="6"/>
      <c r="G433" s="6"/>
      <c r="H433" s="1"/>
      <c r="I433" s="9"/>
      <c r="J433" s="9"/>
      <c r="K433" s="11"/>
      <c r="L433" s="1"/>
      <c r="M433" s="205" t="s">
        <v>315</v>
      </c>
      <c r="N433" s="1" t="s">
        <v>315</v>
      </c>
      <c r="O433" s="9"/>
      <c r="P433" s="14">
        <f>Tabela1316[[#This Row],[Valor_recibo]]</f>
        <v>0</v>
      </c>
      <c r="Q433" s="16"/>
      <c r="R433" s="1" t="e">
        <f>VLOOKUP(#REF!,[2]Aprovados!A:A,1,0)</f>
        <v>#REF!</v>
      </c>
      <c r="S433" s="236"/>
      <c r="T433" s="235"/>
      <c r="U433" s="235"/>
      <c r="V433" s="294"/>
      <c r="W433" s="301" t="s">
        <v>315</v>
      </c>
      <c r="X433" s="302"/>
      <c r="Y433" s="303"/>
      <c r="Z433" s="304"/>
    </row>
    <row r="434" spans="1:26" ht="15.75">
      <c r="A434" s="6"/>
      <c r="B434" s="7"/>
      <c r="C434" s="6"/>
      <c r="D434" s="6"/>
      <c r="E434" s="6"/>
      <c r="F434" s="6"/>
      <c r="G434" s="6"/>
      <c r="H434" s="1"/>
      <c r="I434" s="9"/>
      <c r="J434" s="9"/>
      <c r="K434" s="11"/>
      <c r="L434" s="1"/>
      <c r="M434" s="205" t="s">
        <v>315</v>
      </c>
      <c r="N434" s="1" t="s">
        <v>315</v>
      </c>
      <c r="O434" s="9"/>
      <c r="P434" s="14">
        <f>Tabela1316[[#This Row],[Valor_recibo]]</f>
        <v>0</v>
      </c>
      <c r="Q434" s="16"/>
      <c r="R434" s="1" t="e">
        <f>VLOOKUP(#REF!,[2]Aprovados!A:A,1,0)</f>
        <v>#REF!</v>
      </c>
      <c r="S434" s="236"/>
      <c r="T434" s="235"/>
      <c r="U434" s="235"/>
      <c r="V434" s="294"/>
      <c r="W434" s="301" t="s">
        <v>315</v>
      </c>
      <c r="X434" s="302"/>
      <c r="Y434" s="303"/>
      <c r="Z434" s="304"/>
    </row>
    <row r="435" spans="1:26" ht="15.75">
      <c r="A435" s="6"/>
      <c r="B435" s="7"/>
      <c r="C435" s="6"/>
      <c r="D435" s="6"/>
      <c r="E435" s="6"/>
      <c r="F435" s="6"/>
      <c r="G435" s="6"/>
      <c r="H435" s="1"/>
      <c r="I435" s="9"/>
      <c r="J435" s="9"/>
      <c r="K435" s="11"/>
      <c r="L435" s="1"/>
      <c r="M435" s="205" t="s">
        <v>315</v>
      </c>
      <c r="N435" s="1" t="s">
        <v>315</v>
      </c>
      <c r="O435" s="9"/>
      <c r="P435" s="14">
        <f>Tabela1316[[#This Row],[Valor_recibo]]</f>
        <v>0</v>
      </c>
      <c r="Q435" s="16"/>
      <c r="R435" s="1" t="e">
        <f>VLOOKUP(#REF!,[2]Aprovados!A:A,1,0)</f>
        <v>#REF!</v>
      </c>
      <c r="S435" s="236"/>
      <c r="T435" s="235"/>
      <c r="U435" s="235"/>
      <c r="V435" s="294"/>
      <c r="W435" s="301" t="s">
        <v>315</v>
      </c>
      <c r="X435" s="302"/>
      <c r="Y435" s="303"/>
      <c r="Z435" s="304"/>
    </row>
    <row r="436" spans="1:26" ht="15.75">
      <c r="A436" s="6"/>
      <c r="B436" s="7"/>
      <c r="C436" s="6"/>
      <c r="D436" s="6"/>
      <c r="E436" s="6"/>
      <c r="F436" s="6"/>
      <c r="G436" s="6"/>
      <c r="H436" s="1"/>
      <c r="I436" s="9"/>
      <c r="J436" s="9"/>
      <c r="K436" s="11"/>
      <c r="L436" s="1"/>
      <c r="M436" s="205" t="s">
        <v>315</v>
      </c>
      <c r="N436" s="1" t="s">
        <v>315</v>
      </c>
      <c r="O436" s="9"/>
      <c r="P436" s="14">
        <f>Tabela1316[[#This Row],[Valor_recibo]]</f>
        <v>0</v>
      </c>
      <c r="Q436" s="16"/>
      <c r="R436" s="1" t="e">
        <f>VLOOKUP(#REF!,[2]Aprovados!A:A,1,0)</f>
        <v>#REF!</v>
      </c>
      <c r="S436" s="236"/>
      <c r="T436" s="235"/>
      <c r="U436" s="235"/>
      <c r="V436" s="294"/>
      <c r="W436" s="301" t="s">
        <v>315</v>
      </c>
      <c r="X436" s="302"/>
      <c r="Y436" s="303"/>
      <c r="Z436" s="304"/>
    </row>
    <row r="437" spans="1:26" ht="15.75">
      <c r="A437" s="6"/>
      <c r="B437" s="7"/>
      <c r="C437" s="6"/>
      <c r="D437" s="6"/>
      <c r="E437" s="6"/>
      <c r="F437" s="6"/>
      <c r="G437" s="6"/>
      <c r="H437" s="1"/>
      <c r="I437" s="9"/>
      <c r="J437" s="9"/>
      <c r="K437" s="11"/>
      <c r="L437" s="1"/>
      <c r="M437" s="205" t="s">
        <v>315</v>
      </c>
      <c r="N437" s="1" t="s">
        <v>315</v>
      </c>
      <c r="O437" s="9"/>
      <c r="P437" s="14">
        <f>Tabela1316[[#This Row],[Valor_recibo]]</f>
        <v>0</v>
      </c>
      <c r="Q437" s="16"/>
      <c r="R437" s="1" t="e">
        <f>VLOOKUP(#REF!,[2]Aprovados!A:A,1,0)</f>
        <v>#REF!</v>
      </c>
      <c r="S437" s="236"/>
      <c r="T437" s="235"/>
      <c r="U437" s="235"/>
      <c r="V437" s="294"/>
      <c r="W437" s="301" t="s">
        <v>315</v>
      </c>
      <c r="X437" s="302"/>
      <c r="Y437" s="303"/>
      <c r="Z437" s="304"/>
    </row>
    <row r="438" spans="1:26" ht="15.75">
      <c r="A438" s="6"/>
      <c r="B438" s="7"/>
      <c r="C438" s="6"/>
      <c r="D438" s="6"/>
      <c r="E438" s="6"/>
      <c r="F438" s="6"/>
      <c r="G438" s="6"/>
      <c r="H438" s="1"/>
      <c r="I438" s="9"/>
      <c r="J438" s="9"/>
      <c r="K438" s="11"/>
      <c r="L438" s="1"/>
      <c r="M438" s="205" t="s">
        <v>315</v>
      </c>
      <c r="N438" s="1" t="s">
        <v>315</v>
      </c>
      <c r="O438" s="9"/>
      <c r="P438" s="14">
        <f>Tabela1316[[#This Row],[Valor_recibo]]</f>
        <v>0</v>
      </c>
      <c r="Q438" s="16"/>
      <c r="R438" s="1" t="e">
        <f>VLOOKUP(#REF!,[2]Aprovados!A:A,1,0)</f>
        <v>#REF!</v>
      </c>
      <c r="S438" s="236"/>
      <c r="T438" s="235"/>
      <c r="U438" s="235"/>
      <c r="V438" s="294"/>
      <c r="W438" s="301" t="s">
        <v>315</v>
      </c>
      <c r="X438" s="302"/>
      <c r="Y438" s="303"/>
      <c r="Z438" s="304"/>
    </row>
    <row r="439" spans="1:26" ht="15.75">
      <c r="A439" s="6"/>
      <c r="B439" s="7"/>
      <c r="C439" s="6"/>
      <c r="D439" s="6"/>
      <c r="E439" s="6"/>
      <c r="F439" s="6"/>
      <c r="G439" s="6"/>
      <c r="H439" s="1"/>
      <c r="I439" s="9"/>
      <c r="J439" s="9"/>
      <c r="K439" s="11"/>
      <c r="L439" s="1"/>
      <c r="M439" s="205" t="s">
        <v>315</v>
      </c>
      <c r="N439" s="1" t="s">
        <v>315</v>
      </c>
      <c r="O439" s="9"/>
      <c r="P439" s="14">
        <f>Tabela1316[[#This Row],[Valor_recibo]]</f>
        <v>0</v>
      </c>
      <c r="Q439" s="16"/>
      <c r="R439" s="1" t="e">
        <f>VLOOKUP(#REF!,[2]Aprovados!A:A,1,0)</f>
        <v>#REF!</v>
      </c>
      <c r="S439" s="236"/>
      <c r="T439" s="235"/>
      <c r="U439" s="235"/>
      <c r="V439" s="294"/>
      <c r="W439" s="301" t="s">
        <v>315</v>
      </c>
      <c r="X439" s="302"/>
      <c r="Y439" s="303"/>
      <c r="Z439" s="304"/>
    </row>
    <row r="440" spans="1:26" ht="15.75">
      <c r="A440" s="6"/>
      <c r="B440" s="7"/>
      <c r="C440" s="6"/>
      <c r="D440" s="6"/>
      <c r="E440" s="6"/>
      <c r="F440" s="6"/>
      <c r="G440" s="6"/>
      <c r="H440" s="1"/>
      <c r="I440" s="9"/>
      <c r="J440" s="9"/>
      <c r="K440" s="11"/>
      <c r="L440" s="1"/>
      <c r="M440" s="205" t="s">
        <v>315</v>
      </c>
      <c r="N440" s="1" t="s">
        <v>315</v>
      </c>
      <c r="O440" s="9"/>
      <c r="P440" s="14">
        <f>Tabela1316[[#This Row],[Valor_recibo]]</f>
        <v>0</v>
      </c>
      <c r="Q440" s="16"/>
      <c r="R440" s="1" t="e">
        <f>VLOOKUP(#REF!,[2]Aprovados!A:A,1,0)</f>
        <v>#REF!</v>
      </c>
      <c r="S440" s="236"/>
      <c r="T440" s="235"/>
      <c r="U440" s="235"/>
      <c r="V440" s="294"/>
      <c r="W440" s="301" t="s">
        <v>315</v>
      </c>
      <c r="X440" s="302"/>
      <c r="Y440" s="303"/>
      <c r="Z440" s="304"/>
    </row>
    <row r="441" spans="1:26" ht="15.75">
      <c r="A441" s="6"/>
      <c r="B441" s="7"/>
      <c r="C441" s="6"/>
      <c r="D441" s="6"/>
      <c r="E441" s="6"/>
      <c r="F441" s="6"/>
      <c r="G441" s="6"/>
      <c r="H441" s="1"/>
      <c r="I441" s="9"/>
      <c r="J441" s="9"/>
      <c r="K441" s="11"/>
      <c r="L441" s="1"/>
      <c r="M441" s="205" t="s">
        <v>315</v>
      </c>
      <c r="N441" s="1" t="s">
        <v>315</v>
      </c>
      <c r="O441" s="9"/>
      <c r="P441" s="14">
        <f>Tabela1316[[#This Row],[Valor_recibo]]</f>
        <v>0</v>
      </c>
      <c r="Q441" s="16"/>
      <c r="R441" s="1" t="e">
        <f>VLOOKUP(#REF!,[2]Aprovados!A:A,1,0)</f>
        <v>#REF!</v>
      </c>
      <c r="S441" s="236"/>
      <c r="T441" s="235"/>
      <c r="U441" s="235"/>
      <c r="V441" s="294"/>
      <c r="W441" s="301" t="s">
        <v>315</v>
      </c>
      <c r="X441" s="302"/>
      <c r="Y441" s="303"/>
      <c r="Z441" s="304"/>
    </row>
    <row r="442" spans="1:26" ht="15.75">
      <c r="A442" s="6"/>
      <c r="B442" s="7"/>
      <c r="C442" s="6"/>
      <c r="D442" s="6"/>
      <c r="E442" s="6"/>
      <c r="F442" s="6"/>
      <c r="G442" s="6"/>
      <c r="H442" s="1"/>
      <c r="I442" s="9"/>
      <c r="J442" s="9"/>
      <c r="K442" s="11"/>
      <c r="L442" s="1"/>
      <c r="M442" s="205" t="s">
        <v>315</v>
      </c>
      <c r="N442" s="1" t="s">
        <v>315</v>
      </c>
      <c r="O442" s="9"/>
      <c r="P442" s="14">
        <f>Tabela1316[[#This Row],[Valor_recibo]]</f>
        <v>0</v>
      </c>
      <c r="Q442" s="16"/>
      <c r="R442" s="1" t="e">
        <f>VLOOKUP(#REF!,[2]Aprovados!A:A,1,0)</f>
        <v>#REF!</v>
      </c>
      <c r="S442" s="236"/>
      <c r="T442" s="235"/>
      <c r="U442" s="235"/>
      <c r="V442" s="294"/>
      <c r="W442" s="301" t="s">
        <v>315</v>
      </c>
      <c r="X442" s="302"/>
      <c r="Y442" s="303"/>
      <c r="Z442" s="304"/>
    </row>
    <row r="443" spans="1:26" ht="15.75">
      <c r="A443" s="6"/>
      <c r="B443" s="7"/>
      <c r="C443" s="6"/>
      <c r="D443" s="6"/>
      <c r="E443" s="6"/>
      <c r="F443" s="6"/>
      <c r="G443" s="6"/>
      <c r="H443" s="1"/>
      <c r="I443" s="9"/>
      <c r="J443" s="9"/>
      <c r="K443" s="11"/>
      <c r="L443" s="1"/>
      <c r="M443" s="205" t="s">
        <v>315</v>
      </c>
      <c r="N443" s="1" t="s">
        <v>315</v>
      </c>
      <c r="O443" s="9"/>
      <c r="P443" s="14">
        <f>Tabela1316[[#This Row],[Valor_recibo]]</f>
        <v>0</v>
      </c>
      <c r="Q443" s="16"/>
      <c r="R443" s="1" t="e">
        <f>VLOOKUP(#REF!,[2]Aprovados!A:A,1,0)</f>
        <v>#REF!</v>
      </c>
      <c r="S443" s="236"/>
      <c r="T443" s="235"/>
      <c r="U443" s="235"/>
      <c r="V443" s="294"/>
      <c r="W443" s="301" t="s">
        <v>315</v>
      </c>
      <c r="X443" s="302"/>
      <c r="Y443" s="303"/>
      <c r="Z443" s="304"/>
    </row>
    <row r="444" spans="1:26" ht="15.75">
      <c r="A444" s="6"/>
      <c r="B444" s="7"/>
      <c r="C444" s="6"/>
      <c r="D444" s="6"/>
      <c r="E444" s="6"/>
      <c r="F444" s="6"/>
      <c r="G444" s="6"/>
      <c r="H444" s="1"/>
      <c r="I444" s="9"/>
      <c r="J444" s="9"/>
      <c r="K444" s="11"/>
      <c r="L444" s="1"/>
      <c r="M444" s="205" t="s">
        <v>315</v>
      </c>
      <c r="N444" s="1" t="s">
        <v>315</v>
      </c>
      <c r="O444" s="9"/>
      <c r="P444" s="14">
        <f>Tabela1316[[#This Row],[Valor_recibo]]</f>
        <v>0</v>
      </c>
      <c r="Q444" s="16"/>
      <c r="R444" s="1" t="e">
        <f>VLOOKUP(#REF!,[2]Aprovados!A:A,1,0)</f>
        <v>#REF!</v>
      </c>
      <c r="S444" s="236"/>
      <c r="T444" s="235"/>
      <c r="U444" s="235"/>
      <c r="V444" s="294"/>
      <c r="W444" s="301" t="s">
        <v>315</v>
      </c>
      <c r="X444" s="302"/>
      <c r="Y444" s="303"/>
      <c r="Z444" s="304"/>
    </row>
    <row r="445" spans="1:26" ht="15.75">
      <c r="A445" s="6"/>
      <c r="B445" s="7"/>
      <c r="C445" s="6"/>
      <c r="D445" s="6"/>
      <c r="E445" s="6"/>
      <c r="F445" s="6"/>
      <c r="G445" s="6"/>
      <c r="H445" s="1"/>
      <c r="I445" s="9"/>
      <c r="J445" s="9"/>
      <c r="K445" s="11"/>
      <c r="L445" s="1"/>
      <c r="M445" s="205" t="s">
        <v>315</v>
      </c>
      <c r="N445" s="1" t="s">
        <v>315</v>
      </c>
      <c r="O445" s="9"/>
      <c r="P445" s="14">
        <f>Tabela1316[[#This Row],[Valor_recibo]]</f>
        <v>0</v>
      </c>
      <c r="Q445" s="16"/>
      <c r="R445" s="1" t="e">
        <f>VLOOKUP(#REF!,[2]Aprovados!A:A,1,0)</f>
        <v>#REF!</v>
      </c>
      <c r="S445" s="236"/>
      <c r="T445" s="235"/>
      <c r="U445" s="235"/>
      <c r="V445" s="294"/>
      <c r="W445" s="301" t="s">
        <v>315</v>
      </c>
      <c r="X445" s="302"/>
      <c r="Y445" s="303"/>
      <c r="Z445" s="304"/>
    </row>
    <row r="446" spans="1:26" ht="15.75">
      <c r="A446" s="6"/>
      <c r="B446" s="7"/>
      <c r="C446" s="6"/>
      <c r="D446" s="6"/>
      <c r="E446" s="6"/>
      <c r="F446" s="6"/>
      <c r="G446" s="6"/>
      <c r="H446" s="1"/>
      <c r="I446" s="9"/>
      <c r="J446" s="9"/>
      <c r="K446" s="11"/>
      <c r="L446" s="1"/>
      <c r="M446" s="205" t="s">
        <v>315</v>
      </c>
      <c r="N446" s="1" t="s">
        <v>315</v>
      </c>
      <c r="O446" s="9"/>
      <c r="P446" s="14">
        <f>Tabela1316[[#This Row],[Valor_recibo]]</f>
        <v>0</v>
      </c>
      <c r="Q446" s="16"/>
      <c r="R446" s="1" t="e">
        <f>VLOOKUP(#REF!,[2]Aprovados!A:A,1,0)</f>
        <v>#REF!</v>
      </c>
      <c r="S446" s="236"/>
      <c r="T446" s="235"/>
      <c r="U446" s="235"/>
      <c r="V446" s="294"/>
      <c r="W446" s="301" t="s">
        <v>315</v>
      </c>
      <c r="X446" s="302"/>
      <c r="Y446" s="303"/>
      <c r="Z446" s="304"/>
    </row>
    <row r="447" spans="1:26" ht="15.75">
      <c r="A447" s="6"/>
      <c r="B447" s="7"/>
      <c r="C447" s="6"/>
      <c r="D447" s="6"/>
      <c r="E447" s="6"/>
      <c r="F447" s="6"/>
      <c r="G447" s="6"/>
      <c r="H447" s="1"/>
      <c r="I447" s="9"/>
      <c r="J447" s="9"/>
      <c r="K447" s="11"/>
      <c r="L447" s="1"/>
      <c r="M447" s="205" t="s">
        <v>315</v>
      </c>
      <c r="N447" s="1" t="s">
        <v>315</v>
      </c>
      <c r="O447" s="9"/>
      <c r="P447" s="14">
        <f>Tabela1316[[#This Row],[Valor_recibo]]</f>
        <v>0</v>
      </c>
      <c r="Q447" s="16"/>
      <c r="R447" s="1" t="e">
        <f>VLOOKUP(#REF!,[2]Aprovados!A:A,1,0)</f>
        <v>#REF!</v>
      </c>
      <c r="S447" s="236"/>
      <c r="T447" s="235"/>
      <c r="U447" s="235"/>
      <c r="V447" s="294"/>
      <c r="W447" s="301" t="s">
        <v>315</v>
      </c>
      <c r="X447" s="302"/>
      <c r="Y447" s="303"/>
      <c r="Z447" s="304"/>
    </row>
    <row r="448" spans="1:26" ht="15.75">
      <c r="A448" s="6"/>
      <c r="B448" s="7"/>
      <c r="C448" s="6"/>
      <c r="D448" s="6"/>
      <c r="E448" s="6"/>
      <c r="F448" s="6"/>
      <c r="G448" s="6"/>
      <c r="H448" s="1"/>
      <c r="I448" s="9"/>
      <c r="J448" s="9"/>
      <c r="K448" s="11"/>
      <c r="L448" s="1"/>
      <c r="M448" s="205" t="s">
        <v>315</v>
      </c>
      <c r="N448" s="1" t="s">
        <v>315</v>
      </c>
      <c r="O448" s="9"/>
      <c r="P448" s="14">
        <f>Tabela1316[[#This Row],[Valor_recibo]]</f>
        <v>0</v>
      </c>
      <c r="Q448" s="16"/>
      <c r="R448" s="1" t="e">
        <f>VLOOKUP(#REF!,[2]Aprovados!A:A,1,0)</f>
        <v>#REF!</v>
      </c>
      <c r="S448" s="236"/>
      <c r="T448" s="235"/>
      <c r="U448" s="235"/>
      <c r="V448" s="294"/>
      <c r="W448" s="301" t="s">
        <v>315</v>
      </c>
      <c r="X448" s="302"/>
      <c r="Y448" s="303"/>
      <c r="Z448" s="304"/>
    </row>
    <row r="449" spans="1:26" ht="15.75">
      <c r="A449" s="6"/>
      <c r="B449" s="7"/>
      <c r="C449" s="6"/>
      <c r="D449" s="6"/>
      <c r="E449" s="6"/>
      <c r="F449" s="6"/>
      <c r="G449" s="6"/>
      <c r="H449" s="1"/>
      <c r="I449" s="9"/>
      <c r="J449" s="9"/>
      <c r="K449" s="11"/>
      <c r="L449" s="1"/>
      <c r="M449" s="205" t="s">
        <v>315</v>
      </c>
      <c r="N449" s="1" t="s">
        <v>315</v>
      </c>
      <c r="O449" s="9"/>
      <c r="P449" s="14">
        <f>Tabela1316[[#This Row],[Valor_recibo]]</f>
        <v>0</v>
      </c>
      <c r="Q449" s="16"/>
      <c r="R449" s="1" t="e">
        <f>VLOOKUP(#REF!,[2]Aprovados!A:A,1,0)</f>
        <v>#REF!</v>
      </c>
      <c r="S449" s="236"/>
      <c r="T449" s="235"/>
      <c r="U449" s="235"/>
      <c r="V449" s="294"/>
      <c r="W449" s="301" t="s">
        <v>315</v>
      </c>
      <c r="X449" s="302"/>
      <c r="Y449" s="303"/>
      <c r="Z449" s="304"/>
    </row>
    <row r="450" spans="1:26" ht="15.75">
      <c r="A450" s="6"/>
      <c r="B450" s="7"/>
      <c r="C450" s="6"/>
      <c r="D450" s="6"/>
      <c r="E450" s="6"/>
      <c r="F450" s="6"/>
      <c r="G450" s="6"/>
      <c r="H450" s="1"/>
      <c r="I450" s="9"/>
      <c r="J450" s="9"/>
      <c r="K450" s="11"/>
      <c r="L450" s="1"/>
      <c r="M450" s="205" t="s">
        <v>315</v>
      </c>
      <c r="N450" s="1" t="s">
        <v>315</v>
      </c>
      <c r="O450" s="9"/>
      <c r="P450" s="14">
        <f>Tabela1316[[#This Row],[Valor_recibo]]</f>
        <v>0</v>
      </c>
      <c r="Q450" s="16"/>
      <c r="R450" s="1" t="e">
        <f>VLOOKUP(#REF!,[2]Aprovados!A:A,1,0)</f>
        <v>#REF!</v>
      </c>
      <c r="S450" s="236"/>
      <c r="T450" s="235"/>
      <c r="U450" s="235"/>
      <c r="V450" s="294"/>
      <c r="W450" s="301" t="s">
        <v>315</v>
      </c>
      <c r="X450" s="302"/>
      <c r="Y450" s="303"/>
      <c r="Z450" s="304"/>
    </row>
    <row r="451" spans="1:26" ht="15.75">
      <c r="A451" s="6"/>
      <c r="B451" s="7"/>
      <c r="C451" s="6"/>
      <c r="D451" s="6"/>
      <c r="E451" s="6"/>
      <c r="F451" s="6"/>
      <c r="G451" s="6"/>
      <c r="H451" s="1"/>
      <c r="I451" s="9"/>
      <c r="J451" s="9"/>
      <c r="K451" s="11"/>
      <c r="L451" s="1"/>
      <c r="M451" s="205" t="s">
        <v>315</v>
      </c>
      <c r="N451" s="1" t="s">
        <v>315</v>
      </c>
      <c r="O451" s="9"/>
      <c r="P451" s="14">
        <f>Tabela1316[[#This Row],[Valor_recibo]]</f>
        <v>0</v>
      </c>
      <c r="Q451" s="16"/>
      <c r="R451" s="1" t="e">
        <f>VLOOKUP(#REF!,[2]Aprovados!A:A,1,0)</f>
        <v>#REF!</v>
      </c>
      <c r="S451" s="236"/>
      <c r="T451" s="235"/>
      <c r="U451" s="235"/>
      <c r="V451" s="294"/>
      <c r="W451" s="301" t="s">
        <v>315</v>
      </c>
      <c r="X451" s="302"/>
      <c r="Y451" s="303"/>
      <c r="Z451" s="304"/>
    </row>
    <row r="452" spans="1:26" ht="15.75">
      <c r="A452" s="6"/>
      <c r="B452" s="7"/>
      <c r="C452" s="6"/>
      <c r="D452" s="6"/>
      <c r="E452" s="6"/>
      <c r="F452" s="6"/>
      <c r="G452" s="6"/>
      <c r="H452" s="1"/>
      <c r="I452" s="9"/>
      <c r="J452" s="9"/>
      <c r="K452" s="11"/>
      <c r="L452" s="1"/>
      <c r="M452" s="205" t="s">
        <v>315</v>
      </c>
      <c r="N452" s="1" t="s">
        <v>315</v>
      </c>
      <c r="O452" s="9"/>
      <c r="P452" s="14">
        <f>Tabela1316[[#This Row],[Valor_recibo]]</f>
        <v>0</v>
      </c>
      <c r="Q452" s="16"/>
      <c r="R452" s="1" t="e">
        <f>VLOOKUP(#REF!,[2]Aprovados!A:A,1,0)</f>
        <v>#REF!</v>
      </c>
      <c r="S452" s="236"/>
      <c r="T452" s="235"/>
      <c r="U452" s="235"/>
      <c r="V452" s="294"/>
      <c r="W452" s="301" t="s">
        <v>315</v>
      </c>
      <c r="X452" s="302"/>
      <c r="Y452" s="303"/>
      <c r="Z452" s="304"/>
    </row>
    <row r="453" spans="1:26" ht="15.75">
      <c r="A453" s="6"/>
      <c r="B453" s="7"/>
      <c r="C453" s="6"/>
      <c r="D453" s="6"/>
      <c r="E453" s="6"/>
      <c r="F453" s="6"/>
      <c r="G453" s="6"/>
      <c r="H453" s="1"/>
      <c r="I453" s="9"/>
      <c r="J453" s="9"/>
      <c r="K453" s="11"/>
      <c r="L453" s="1"/>
      <c r="M453" s="205" t="s">
        <v>315</v>
      </c>
      <c r="N453" s="1" t="s">
        <v>315</v>
      </c>
      <c r="O453" s="9"/>
      <c r="P453" s="14">
        <f>Tabela1316[[#This Row],[Valor_recibo]]</f>
        <v>0</v>
      </c>
      <c r="Q453" s="16"/>
      <c r="R453" s="1" t="e">
        <f>VLOOKUP(#REF!,[2]Aprovados!A:A,1,0)</f>
        <v>#REF!</v>
      </c>
      <c r="S453" s="236"/>
      <c r="T453" s="235"/>
      <c r="U453" s="235"/>
      <c r="V453" s="294"/>
      <c r="W453" s="301" t="s">
        <v>315</v>
      </c>
      <c r="X453" s="302"/>
      <c r="Y453" s="303"/>
      <c r="Z453" s="304"/>
    </row>
    <row r="454" spans="1:26" ht="15.75">
      <c r="A454" s="6"/>
      <c r="B454" s="7"/>
      <c r="C454" s="6"/>
      <c r="D454" s="6"/>
      <c r="E454" s="6"/>
      <c r="F454" s="6"/>
      <c r="G454" s="6"/>
      <c r="H454" s="1"/>
      <c r="I454" s="9"/>
      <c r="J454" s="9"/>
      <c r="K454" s="11"/>
      <c r="L454" s="1"/>
      <c r="M454" s="205" t="s">
        <v>315</v>
      </c>
      <c r="N454" s="1" t="s">
        <v>315</v>
      </c>
      <c r="O454" s="9"/>
      <c r="P454" s="14">
        <f>Tabela1316[[#This Row],[Valor_recibo]]</f>
        <v>0</v>
      </c>
      <c r="Q454" s="16"/>
      <c r="R454" s="1" t="e">
        <f>VLOOKUP(#REF!,[2]Aprovados!A:A,1,0)</f>
        <v>#REF!</v>
      </c>
      <c r="S454" s="236"/>
      <c r="T454" s="235"/>
      <c r="U454" s="235"/>
      <c r="V454" s="294"/>
      <c r="W454" s="301" t="s">
        <v>315</v>
      </c>
      <c r="X454" s="302"/>
      <c r="Y454" s="303"/>
      <c r="Z454" s="304"/>
    </row>
    <row r="455" spans="1:26" ht="15.75">
      <c r="A455" s="6"/>
      <c r="B455" s="7"/>
      <c r="C455" s="6"/>
      <c r="D455" s="6"/>
      <c r="E455" s="6"/>
      <c r="F455" s="6"/>
      <c r="G455" s="6"/>
      <c r="H455" s="1"/>
      <c r="I455" s="9"/>
      <c r="J455" s="9"/>
      <c r="K455" s="11"/>
      <c r="L455" s="1"/>
      <c r="M455" s="205" t="s">
        <v>315</v>
      </c>
      <c r="N455" s="1" t="s">
        <v>315</v>
      </c>
      <c r="O455" s="9"/>
      <c r="P455" s="14">
        <f>Tabela1316[[#This Row],[Valor_recibo]]</f>
        <v>0</v>
      </c>
      <c r="Q455" s="16"/>
      <c r="R455" s="1" t="e">
        <f>VLOOKUP(#REF!,[2]Aprovados!A:A,1,0)</f>
        <v>#REF!</v>
      </c>
      <c r="S455" s="236"/>
      <c r="T455" s="235"/>
      <c r="U455" s="235"/>
      <c r="V455" s="294"/>
      <c r="W455" s="301" t="s">
        <v>315</v>
      </c>
      <c r="X455" s="302"/>
      <c r="Y455" s="303"/>
      <c r="Z455" s="304"/>
    </row>
    <row r="456" spans="1:26" ht="15.75">
      <c r="A456" s="6"/>
      <c r="B456" s="7"/>
      <c r="C456" s="6"/>
      <c r="D456" s="6"/>
      <c r="E456" s="6"/>
      <c r="F456" s="6"/>
      <c r="G456" s="6"/>
      <c r="H456" s="1"/>
      <c r="I456" s="9"/>
      <c r="J456" s="9"/>
      <c r="K456" s="11"/>
      <c r="L456" s="1"/>
      <c r="M456" s="205" t="s">
        <v>315</v>
      </c>
      <c r="N456" s="1" t="s">
        <v>315</v>
      </c>
      <c r="O456" s="9"/>
      <c r="P456" s="14">
        <f>Tabela1316[[#This Row],[Valor_recibo]]</f>
        <v>0</v>
      </c>
      <c r="Q456" s="16"/>
      <c r="R456" s="1" t="e">
        <f>VLOOKUP(#REF!,[2]Aprovados!A:A,1,0)</f>
        <v>#REF!</v>
      </c>
      <c r="S456" s="236"/>
      <c r="T456" s="235"/>
      <c r="U456" s="235"/>
      <c r="V456" s="294"/>
      <c r="W456" s="301" t="s">
        <v>315</v>
      </c>
      <c r="X456" s="302"/>
      <c r="Y456" s="303"/>
      <c r="Z456" s="304"/>
    </row>
    <row r="457" spans="1:26" ht="15.75">
      <c r="A457" s="6"/>
      <c r="B457" s="7"/>
      <c r="C457" s="6"/>
      <c r="D457" s="6"/>
      <c r="E457" s="6"/>
      <c r="F457" s="6"/>
      <c r="G457" s="6"/>
      <c r="H457" s="1"/>
      <c r="I457" s="9"/>
      <c r="J457" s="9"/>
      <c r="K457" s="11"/>
      <c r="L457" s="1"/>
      <c r="M457" s="205" t="s">
        <v>315</v>
      </c>
      <c r="N457" s="1" t="s">
        <v>315</v>
      </c>
      <c r="O457" s="9"/>
      <c r="P457" s="14">
        <f>Tabela1316[[#This Row],[Valor_recibo]]</f>
        <v>0</v>
      </c>
      <c r="Q457" s="16"/>
      <c r="R457" s="1" t="e">
        <f>VLOOKUP(#REF!,[2]Aprovados!A:A,1,0)</f>
        <v>#REF!</v>
      </c>
      <c r="S457" s="236"/>
      <c r="T457" s="235"/>
      <c r="U457" s="235"/>
      <c r="V457" s="294"/>
      <c r="W457" s="301" t="s">
        <v>315</v>
      </c>
      <c r="X457" s="302"/>
      <c r="Y457" s="303"/>
      <c r="Z457" s="304"/>
    </row>
    <row r="458" spans="1:26" ht="15.75">
      <c r="A458" s="6"/>
      <c r="B458" s="7"/>
      <c r="C458" s="6"/>
      <c r="D458" s="6"/>
      <c r="E458" s="6"/>
      <c r="F458" s="6"/>
      <c r="G458" s="6"/>
      <c r="H458" s="1"/>
      <c r="I458" s="9"/>
      <c r="J458" s="9"/>
      <c r="K458" s="11"/>
      <c r="L458" s="1"/>
      <c r="M458" s="205" t="s">
        <v>315</v>
      </c>
      <c r="N458" s="1" t="s">
        <v>315</v>
      </c>
      <c r="O458" s="9"/>
      <c r="P458" s="14">
        <f>Tabela1316[[#This Row],[Valor_recibo]]</f>
        <v>0</v>
      </c>
      <c r="Q458" s="16"/>
      <c r="R458" s="1" t="e">
        <f>VLOOKUP(#REF!,[2]Aprovados!A:A,1,0)</f>
        <v>#REF!</v>
      </c>
      <c r="S458" s="236"/>
      <c r="T458" s="235"/>
      <c r="U458" s="235"/>
      <c r="V458" s="294"/>
      <c r="W458" s="301" t="s">
        <v>315</v>
      </c>
      <c r="X458" s="302"/>
      <c r="Y458" s="303"/>
      <c r="Z458" s="304"/>
    </row>
    <row r="459" spans="1:26" ht="15.75">
      <c r="A459" s="6"/>
      <c r="B459" s="7"/>
      <c r="C459" s="6"/>
      <c r="D459" s="6"/>
      <c r="E459" s="6"/>
      <c r="F459" s="6"/>
      <c r="G459" s="6"/>
      <c r="H459" s="1"/>
      <c r="I459" s="9"/>
      <c r="J459" s="9"/>
      <c r="K459" s="11"/>
      <c r="L459" s="1"/>
      <c r="M459" s="205" t="s">
        <v>315</v>
      </c>
      <c r="N459" s="1" t="s">
        <v>315</v>
      </c>
      <c r="O459" s="9"/>
      <c r="P459" s="14">
        <f>Tabela1316[[#This Row],[Valor_recibo]]</f>
        <v>0</v>
      </c>
      <c r="Q459" s="16"/>
      <c r="R459" s="1" t="e">
        <f>VLOOKUP(#REF!,[2]Aprovados!A:A,1,0)</f>
        <v>#REF!</v>
      </c>
      <c r="S459" s="236"/>
      <c r="T459" s="235"/>
      <c r="U459" s="235"/>
      <c r="V459" s="294"/>
      <c r="W459" s="301" t="s">
        <v>315</v>
      </c>
      <c r="X459" s="302"/>
      <c r="Y459" s="303"/>
      <c r="Z459" s="304"/>
    </row>
    <row r="460" spans="1:26" ht="15.75">
      <c r="A460" s="6"/>
      <c r="B460" s="7"/>
      <c r="C460" s="6"/>
      <c r="D460" s="6"/>
      <c r="E460" s="6"/>
      <c r="F460" s="6"/>
      <c r="G460" s="6"/>
      <c r="H460" s="1"/>
      <c r="I460" s="9"/>
      <c r="J460" s="9"/>
      <c r="K460" s="11"/>
      <c r="L460" s="1"/>
      <c r="M460" s="205" t="s">
        <v>315</v>
      </c>
      <c r="N460" s="1" t="s">
        <v>315</v>
      </c>
      <c r="O460" s="9"/>
      <c r="P460" s="14">
        <f>Tabela1316[[#This Row],[Valor_recibo]]</f>
        <v>0</v>
      </c>
      <c r="Q460" s="16"/>
      <c r="R460" s="1" t="e">
        <f>VLOOKUP(#REF!,[2]Aprovados!A:A,1,0)</f>
        <v>#REF!</v>
      </c>
      <c r="S460" s="236"/>
      <c r="T460" s="235"/>
      <c r="U460" s="235"/>
      <c r="V460" s="294"/>
      <c r="W460" s="301" t="s">
        <v>315</v>
      </c>
      <c r="X460" s="302"/>
      <c r="Y460" s="303"/>
      <c r="Z460" s="304"/>
    </row>
    <row r="461" spans="1:26" ht="15.75">
      <c r="A461" s="6"/>
      <c r="B461" s="7"/>
      <c r="C461" s="6"/>
      <c r="D461" s="6"/>
      <c r="E461" s="6"/>
      <c r="F461" s="6"/>
      <c r="G461" s="6"/>
      <c r="H461" s="1"/>
      <c r="I461" s="9"/>
      <c r="J461" s="9"/>
      <c r="K461" s="11"/>
      <c r="L461" s="1"/>
      <c r="M461" s="205" t="s">
        <v>315</v>
      </c>
      <c r="N461" s="1" t="s">
        <v>315</v>
      </c>
      <c r="O461" s="9"/>
      <c r="P461" s="14">
        <f>Tabela1316[[#This Row],[Valor_recibo]]</f>
        <v>0</v>
      </c>
      <c r="Q461" s="16"/>
      <c r="R461" s="1" t="e">
        <f>VLOOKUP(#REF!,[2]Aprovados!A:A,1,0)</f>
        <v>#REF!</v>
      </c>
      <c r="S461" s="236"/>
      <c r="T461" s="235"/>
      <c r="U461" s="235"/>
      <c r="V461" s="294"/>
      <c r="W461" s="301" t="s">
        <v>315</v>
      </c>
      <c r="X461" s="302"/>
      <c r="Y461" s="303"/>
      <c r="Z461" s="304"/>
    </row>
    <row r="462" spans="1:26" ht="15.75">
      <c r="A462" s="6"/>
      <c r="B462" s="7"/>
      <c r="C462" s="6"/>
      <c r="D462" s="6"/>
      <c r="E462" s="6"/>
      <c r="F462" s="6"/>
      <c r="G462" s="6"/>
      <c r="H462" s="1"/>
      <c r="I462" s="9"/>
      <c r="J462" s="9"/>
      <c r="K462" s="11"/>
      <c r="L462" s="1"/>
      <c r="M462" s="205" t="s">
        <v>315</v>
      </c>
      <c r="N462" s="1" t="s">
        <v>315</v>
      </c>
      <c r="O462" s="9"/>
      <c r="P462" s="14">
        <f>Tabela1316[[#This Row],[Valor_recibo]]</f>
        <v>0</v>
      </c>
      <c r="Q462" s="16"/>
      <c r="R462" s="1" t="e">
        <f>VLOOKUP(#REF!,[2]Aprovados!A:A,1,0)</f>
        <v>#REF!</v>
      </c>
      <c r="S462" s="236"/>
      <c r="T462" s="235"/>
      <c r="U462" s="235"/>
      <c r="V462" s="294"/>
      <c r="W462" s="301" t="s">
        <v>315</v>
      </c>
      <c r="X462" s="302"/>
      <c r="Y462" s="303"/>
      <c r="Z462" s="304"/>
    </row>
    <row r="463" spans="1:26" ht="15.75">
      <c r="A463" s="6"/>
      <c r="B463" s="7"/>
      <c r="C463" s="6"/>
      <c r="D463" s="6"/>
      <c r="E463" s="6"/>
      <c r="F463" s="6"/>
      <c r="G463" s="6"/>
      <c r="H463" s="1"/>
      <c r="I463" s="9"/>
      <c r="J463" s="9"/>
      <c r="K463" s="11"/>
      <c r="L463" s="1"/>
      <c r="M463" s="205" t="s">
        <v>315</v>
      </c>
      <c r="N463" s="1" t="s">
        <v>315</v>
      </c>
      <c r="O463" s="9"/>
      <c r="P463" s="14">
        <f>Tabela1316[[#This Row],[Valor_recibo]]</f>
        <v>0</v>
      </c>
      <c r="Q463" s="16"/>
      <c r="R463" s="1" t="e">
        <f>VLOOKUP(#REF!,[2]Aprovados!A:A,1,0)</f>
        <v>#REF!</v>
      </c>
      <c r="S463" s="236"/>
      <c r="T463" s="235"/>
      <c r="U463" s="235"/>
      <c r="V463" s="294"/>
      <c r="W463" s="301" t="s">
        <v>315</v>
      </c>
      <c r="X463" s="302"/>
      <c r="Y463" s="303"/>
      <c r="Z463" s="304"/>
    </row>
    <row r="464" spans="1:26" ht="15.75">
      <c r="A464" s="6"/>
      <c r="B464" s="7"/>
      <c r="C464" s="6"/>
      <c r="D464" s="6"/>
      <c r="E464" s="6"/>
      <c r="F464" s="6"/>
      <c r="G464" s="6"/>
      <c r="H464" s="1"/>
      <c r="I464" s="9"/>
      <c r="J464" s="9"/>
      <c r="K464" s="11"/>
      <c r="L464" s="1"/>
      <c r="M464" s="205" t="s">
        <v>315</v>
      </c>
      <c r="N464" s="1" t="s">
        <v>315</v>
      </c>
      <c r="O464" s="9"/>
      <c r="P464" s="14">
        <f>Tabela1316[[#This Row],[Valor_recibo]]</f>
        <v>0</v>
      </c>
      <c r="Q464" s="16"/>
      <c r="R464" s="1" t="e">
        <f>VLOOKUP(#REF!,[2]Aprovados!A:A,1,0)</f>
        <v>#REF!</v>
      </c>
      <c r="S464" s="236"/>
      <c r="T464" s="235"/>
      <c r="U464" s="235"/>
      <c r="V464" s="294"/>
      <c r="W464" s="301" t="s">
        <v>315</v>
      </c>
      <c r="X464" s="302"/>
      <c r="Y464" s="303"/>
      <c r="Z464" s="304"/>
    </row>
    <row r="465" spans="1:26" ht="15.75">
      <c r="A465" s="6"/>
      <c r="B465" s="7"/>
      <c r="C465" s="6"/>
      <c r="D465" s="6"/>
      <c r="E465" s="6"/>
      <c r="F465" s="6"/>
      <c r="G465" s="6"/>
      <c r="H465" s="1"/>
      <c r="I465" s="9"/>
      <c r="J465" s="9"/>
      <c r="K465" s="11"/>
      <c r="L465" s="1"/>
      <c r="M465" s="205" t="s">
        <v>315</v>
      </c>
      <c r="N465" s="1" t="s">
        <v>315</v>
      </c>
      <c r="O465" s="9"/>
      <c r="P465" s="14">
        <f>Tabela1316[[#This Row],[Valor_recibo]]</f>
        <v>0</v>
      </c>
      <c r="Q465" s="16"/>
      <c r="R465" s="1" t="e">
        <f>VLOOKUP(#REF!,[2]Aprovados!A:A,1,0)</f>
        <v>#REF!</v>
      </c>
      <c r="S465" s="236"/>
      <c r="T465" s="235"/>
      <c r="U465" s="235"/>
      <c r="V465" s="294"/>
      <c r="W465" s="301" t="s">
        <v>315</v>
      </c>
      <c r="X465" s="302"/>
      <c r="Y465" s="303"/>
      <c r="Z465" s="304"/>
    </row>
    <row r="466" spans="1:26" ht="15.75">
      <c r="A466" s="6"/>
      <c r="B466" s="7"/>
      <c r="C466" s="6"/>
      <c r="D466" s="6"/>
      <c r="E466" s="6"/>
      <c r="F466" s="6"/>
      <c r="G466" s="6"/>
      <c r="H466" s="1"/>
      <c r="I466" s="9"/>
      <c r="J466" s="9"/>
      <c r="K466" s="11"/>
      <c r="L466" s="1"/>
      <c r="M466" s="205" t="s">
        <v>315</v>
      </c>
      <c r="N466" s="1" t="s">
        <v>315</v>
      </c>
      <c r="O466" s="9"/>
      <c r="P466" s="14">
        <f>Tabela1316[[#This Row],[Valor_recibo]]</f>
        <v>0</v>
      </c>
      <c r="Q466" s="16"/>
      <c r="R466" s="1" t="e">
        <f>VLOOKUP(#REF!,[2]Aprovados!A:A,1,0)</f>
        <v>#REF!</v>
      </c>
      <c r="S466" s="236"/>
      <c r="T466" s="235"/>
      <c r="U466" s="235"/>
      <c r="V466" s="294"/>
      <c r="W466" s="301" t="s">
        <v>315</v>
      </c>
      <c r="X466" s="302"/>
      <c r="Y466" s="303"/>
      <c r="Z466" s="304"/>
    </row>
    <row r="467" spans="1:26" ht="15.75">
      <c r="A467" s="6"/>
      <c r="B467" s="7"/>
      <c r="C467" s="6"/>
      <c r="D467" s="6"/>
      <c r="E467" s="6"/>
      <c r="F467" s="6"/>
      <c r="G467" s="6"/>
      <c r="H467" s="1"/>
      <c r="I467" s="9"/>
      <c r="J467" s="9"/>
      <c r="K467" s="11"/>
      <c r="L467" s="1"/>
      <c r="M467" s="205" t="s">
        <v>315</v>
      </c>
      <c r="N467" s="1" t="s">
        <v>315</v>
      </c>
      <c r="O467" s="9"/>
      <c r="P467" s="14">
        <f>Tabela1316[[#This Row],[Valor_recibo]]</f>
        <v>0</v>
      </c>
      <c r="Q467" s="16"/>
      <c r="R467" s="1" t="e">
        <f>VLOOKUP(#REF!,[2]Aprovados!A:A,1,0)</f>
        <v>#REF!</v>
      </c>
      <c r="S467" s="236"/>
      <c r="T467" s="235"/>
      <c r="U467" s="235"/>
      <c r="V467" s="294"/>
      <c r="W467" s="301" t="s">
        <v>315</v>
      </c>
      <c r="X467" s="302"/>
      <c r="Y467" s="303"/>
      <c r="Z467" s="304"/>
    </row>
    <row r="468" spans="1:26" ht="15.75">
      <c r="A468" s="6"/>
      <c r="B468" s="7"/>
      <c r="C468" s="6"/>
      <c r="D468" s="6"/>
      <c r="E468" s="6"/>
      <c r="F468" s="6"/>
      <c r="G468" s="6"/>
      <c r="H468" s="1"/>
      <c r="I468" s="9"/>
      <c r="J468" s="9"/>
      <c r="K468" s="11"/>
      <c r="L468" s="1"/>
      <c r="M468" s="205" t="s">
        <v>315</v>
      </c>
      <c r="N468" s="1" t="s">
        <v>315</v>
      </c>
      <c r="O468" s="9"/>
      <c r="P468" s="14">
        <f>Tabela1316[[#This Row],[Valor_recibo]]</f>
        <v>0</v>
      </c>
      <c r="Q468" s="16"/>
      <c r="R468" s="1" t="e">
        <f>VLOOKUP(#REF!,[2]Aprovados!A:A,1,0)</f>
        <v>#REF!</v>
      </c>
      <c r="S468" s="236"/>
      <c r="T468" s="235"/>
      <c r="U468" s="235"/>
      <c r="V468" s="294"/>
      <c r="W468" s="301" t="s">
        <v>315</v>
      </c>
      <c r="X468" s="302"/>
      <c r="Y468" s="303"/>
      <c r="Z468" s="304"/>
    </row>
    <row r="469" spans="1:26" ht="15.75">
      <c r="A469" s="6"/>
      <c r="B469" s="7"/>
      <c r="C469" s="6"/>
      <c r="D469" s="6"/>
      <c r="E469" s="6"/>
      <c r="F469" s="6"/>
      <c r="G469" s="6"/>
      <c r="H469" s="1"/>
      <c r="I469" s="9"/>
      <c r="J469" s="9"/>
      <c r="K469" s="11"/>
      <c r="L469" s="1"/>
      <c r="M469" s="205" t="s">
        <v>315</v>
      </c>
      <c r="N469" s="1" t="s">
        <v>315</v>
      </c>
      <c r="O469" s="9"/>
      <c r="P469" s="14">
        <f>Tabela1316[[#This Row],[Valor_recibo]]</f>
        <v>0</v>
      </c>
      <c r="Q469" s="16"/>
      <c r="R469" s="1" t="e">
        <f>VLOOKUP(#REF!,[2]Aprovados!A:A,1,0)</f>
        <v>#REF!</v>
      </c>
      <c r="S469" s="236"/>
      <c r="T469" s="235"/>
      <c r="U469" s="235"/>
      <c r="V469" s="294"/>
      <c r="W469" s="301" t="s">
        <v>315</v>
      </c>
      <c r="X469" s="302"/>
      <c r="Y469" s="303"/>
      <c r="Z469" s="304"/>
    </row>
    <row r="470" spans="1:26" ht="15.75">
      <c r="A470" s="6"/>
      <c r="B470" s="7"/>
      <c r="C470" s="6"/>
      <c r="D470" s="6"/>
      <c r="E470" s="6"/>
      <c r="F470" s="6"/>
      <c r="G470" s="6"/>
      <c r="H470" s="1"/>
      <c r="I470" s="9"/>
      <c r="J470" s="9"/>
      <c r="K470" s="11"/>
      <c r="L470" s="1"/>
      <c r="M470" s="205" t="s">
        <v>315</v>
      </c>
      <c r="N470" s="1" t="s">
        <v>315</v>
      </c>
      <c r="O470" s="9"/>
      <c r="P470" s="14">
        <f>Tabela1316[[#This Row],[Valor_recibo]]</f>
        <v>0</v>
      </c>
      <c r="Q470" s="16"/>
      <c r="R470" s="1" t="e">
        <f>VLOOKUP(#REF!,[2]Aprovados!A:A,1,0)</f>
        <v>#REF!</v>
      </c>
      <c r="S470" s="236"/>
      <c r="T470" s="235"/>
      <c r="U470" s="235"/>
      <c r="V470" s="294"/>
      <c r="W470" s="301" t="s">
        <v>315</v>
      </c>
      <c r="X470" s="302"/>
      <c r="Y470" s="303"/>
      <c r="Z470" s="304"/>
    </row>
    <row r="471" spans="1:26" ht="15.75">
      <c r="A471" s="6"/>
      <c r="B471" s="7"/>
      <c r="C471" s="6"/>
      <c r="D471" s="6"/>
      <c r="E471" s="6"/>
      <c r="F471" s="6"/>
      <c r="G471" s="6"/>
      <c r="H471" s="1"/>
      <c r="I471" s="9"/>
      <c r="J471" s="9"/>
      <c r="K471" s="11"/>
      <c r="L471" s="1"/>
      <c r="M471" s="205" t="s">
        <v>315</v>
      </c>
      <c r="N471" s="1" t="s">
        <v>315</v>
      </c>
      <c r="O471" s="9"/>
      <c r="P471" s="14">
        <f>Tabela1316[[#This Row],[Valor_recibo]]</f>
        <v>0</v>
      </c>
      <c r="Q471" s="16"/>
      <c r="R471" s="1" t="e">
        <f>VLOOKUP(#REF!,[2]Aprovados!A:A,1,0)</f>
        <v>#REF!</v>
      </c>
      <c r="S471" s="236"/>
      <c r="T471" s="235"/>
      <c r="U471" s="235"/>
      <c r="V471" s="294"/>
      <c r="W471" s="301" t="s">
        <v>315</v>
      </c>
      <c r="X471" s="302"/>
      <c r="Y471" s="303"/>
      <c r="Z471" s="304"/>
    </row>
    <row r="472" spans="1:26" ht="15.75">
      <c r="A472" s="6"/>
      <c r="B472" s="7"/>
      <c r="C472" s="6"/>
      <c r="D472" s="6"/>
      <c r="E472" s="6"/>
      <c r="F472" s="6"/>
      <c r="G472" s="6"/>
      <c r="H472" s="1"/>
      <c r="I472" s="9"/>
      <c r="J472" s="9"/>
      <c r="K472" s="11"/>
      <c r="L472" s="1"/>
      <c r="M472" s="205" t="s">
        <v>315</v>
      </c>
      <c r="N472" s="1" t="s">
        <v>315</v>
      </c>
      <c r="O472" s="9"/>
      <c r="P472" s="14">
        <f>Tabela1316[[#This Row],[Valor_recibo]]</f>
        <v>0</v>
      </c>
      <c r="Q472" s="16"/>
      <c r="R472" s="1" t="e">
        <f>VLOOKUP(#REF!,[2]Aprovados!A:A,1,0)</f>
        <v>#REF!</v>
      </c>
      <c r="S472" s="236"/>
      <c r="T472" s="235"/>
      <c r="U472" s="235"/>
      <c r="V472" s="294"/>
      <c r="W472" s="301" t="s">
        <v>315</v>
      </c>
      <c r="X472" s="302"/>
      <c r="Y472" s="303"/>
      <c r="Z472" s="304"/>
    </row>
    <row r="473" spans="1:26" ht="15.75">
      <c r="A473" s="6"/>
      <c r="B473" s="7"/>
      <c r="C473" s="6"/>
      <c r="D473" s="6"/>
      <c r="E473" s="6"/>
      <c r="F473" s="6"/>
      <c r="G473" s="6"/>
      <c r="H473" s="1"/>
      <c r="I473" s="9"/>
      <c r="J473" s="9"/>
      <c r="K473" s="11"/>
      <c r="L473" s="1"/>
      <c r="M473" s="205" t="s">
        <v>315</v>
      </c>
      <c r="N473" s="1" t="s">
        <v>315</v>
      </c>
      <c r="O473" s="9"/>
      <c r="P473" s="14">
        <f>Tabela1316[[#This Row],[Valor_recibo]]</f>
        <v>0</v>
      </c>
      <c r="Q473" s="16"/>
      <c r="R473" s="1" t="e">
        <f>VLOOKUP(#REF!,[2]Aprovados!A:A,1,0)</f>
        <v>#REF!</v>
      </c>
      <c r="S473" s="236"/>
      <c r="T473" s="235"/>
      <c r="U473" s="235"/>
      <c r="V473" s="294"/>
      <c r="W473" s="301" t="s">
        <v>315</v>
      </c>
      <c r="X473" s="302"/>
      <c r="Y473" s="303"/>
      <c r="Z473" s="304"/>
    </row>
    <row r="474" spans="1:26" ht="15.75">
      <c r="A474" s="6"/>
      <c r="B474" s="7"/>
      <c r="C474" s="6"/>
      <c r="D474" s="6"/>
      <c r="E474" s="6"/>
      <c r="F474" s="6"/>
      <c r="G474" s="6"/>
      <c r="H474" s="1"/>
      <c r="I474" s="9"/>
      <c r="J474" s="9"/>
      <c r="K474" s="11"/>
      <c r="L474" s="1"/>
      <c r="M474" s="205" t="s">
        <v>315</v>
      </c>
      <c r="N474" s="1" t="s">
        <v>315</v>
      </c>
      <c r="O474" s="9"/>
      <c r="P474" s="14">
        <f>Tabela1316[[#This Row],[Valor_recibo]]</f>
        <v>0</v>
      </c>
      <c r="Q474" s="16"/>
      <c r="R474" s="1" t="e">
        <f>VLOOKUP(#REF!,[2]Aprovados!A:A,1,0)</f>
        <v>#REF!</v>
      </c>
      <c r="S474" s="236"/>
      <c r="T474" s="235"/>
      <c r="U474" s="235"/>
      <c r="V474" s="294"/>
      <c r="W474" s="301" t="s">
        <v>315</v>
      </c>
      <c r="X474" s="302"/>
      <c r="Y474" s="303"/>
      <c r="Z474" s="304"/>
    </row>
    <row r="475" spans="1:26" ht="15.75">
      <c r="A475" s="6"/>
      <c r="B475" s="7"/>
      <c r="C475" s="6"/>
      <c r="D475" s="6"/>
      <c r="E475" s="6"/>
      <c r="F475" s="6"/>
      <c r="G475" s="6"/>
      <c r="H475" s="1"/>
      <c r="I475" s="9"/>
      <c r="J475" s="9"/>
      <c r="K475" s="11"/>
      <c r="L475" s="1"/>
      <c r="M475" s="205" t="s">
        <v>315</v>
      </c>
      <c r="N475" s="1" t="s">
        <v>315</v>
      </c>
      <c r="O475" s="9"/>
      <c r="P475" s="14">
        <f>Tabela1316[[#This Row],[Valor_recibo]]</f>
        <v>0</v>
      </c>
      <c r="Q475" s="16"/>
      <c r="R475" s="1" t="e">
        <f>VLOOKUP(#REF!,[2]Aprovados!A:A,1,0)</f>
        <v>#REF!</v>
      </c>
      <c r="S475" s="236"/>
      <c r="T475" s="235"/>
      <c r="U475" s="235"/>
      <c r="V475" s="294"/>
      <c r="W475" s="301" t="s">
        <v>315</v>
      </c>
      <c r="X475" s="302"/>
      <c r="Y475" s="303"/>
      <c r="Z475" s="304"/>
    </row>
    <row r="476" spans="1:26" ht="15.75">
      <c r="A476" s="6"/>
      <c r="B476" s="7"/>
      <c r="C476" s="6"/>
      <c r="D476" s="6"/>
      <c r="E476" s="6"/>
      <c r="F476" s="6"/>
      <c r="G476" s="6"/>
      <c r="H476" s="1"/>
      <c r="I476" s="9"/>
      <c r="J476" s="9"/>
      <c r="K476" s="11"/>
      <c r="L476" s="1"/>
      <c r="M476" s="205" t="s">
        <v>315</v>
      </c>
      <c r="N476" s="1" t="s">
        <v>315</v>
      </c>
      <c r="O476" s="9"/>
      <c r="P476" s="14">
        <f>Tabela1316[[#This Row],[Valor_recibo]]</f>
        <v>0</v>
      </c>
      <c r="Q476" s="16"/>
      <c r="R476" s="1" t="e">
        <f>VLOOKUP(#REF!,[2]Aprovados!A:A,1,0)</f>
        <v>#REF!</v>
      </c>
      <c r="S476" s="236"/>
      <c r="T476" s="235"/>
      <c r="U476" s="235"/>
      <c r="V476" s="294"/>
      <c r="W476" s="301" t="s">
        <v>315</v>
      </c>
      <c r="X476" s="302"/>
      <c r="Y476" s="303"/>
      <c r="Z476" s="304"/>
    </row>
    <row r="477" spans="1:26" ht="15.75">
      <c r="A477" s="6"/>
      <c r="B477" s="7"/>
      <c r="C477" s="6"/>
      <c r="D477" s="6"/>
      <c r="E477" s="6"/>
      <c r="F477" s="6"/>
      <c r="G477" s="6"/>
      <c r="H477" s="1"/>
      <c r="I477" s="9"/>
      <c r="J477" s="9"/>
      <c r="K477" s="11"/>
      <c r="L477" s="1"/>
      <c r="M477" s="205" t="s">
        <v>315</v>
      </c>
      <c r="N477" s="1" t="s">
        <v>315</v>
      </c>
      <c r="O477" s="9"/>
      <c r="P477" s="14">
        <f>Tabela1316[[#This Row],[Valor_recibo]]</f>
        <v>0</v>
      </c>
      <c r="Q477" s="16"/>
      <c r="R477" s="1" t="e">
        <f>VLOOKUP(#REF!,[2]Aprovados!A:A,1,0)</f>
        <v>#REF!</v>
      </c>
      <c r="S477" s="236"/>
      <c r="T477" s="235"/>
      <c r="U477" s="235"/>
      <c r="V477" s="294"/>
      <c r="W477" s="301" t="s">
        <v>315</v>
      </c>
      <c r="X477" s="302"/>
      <c r="Y477" s="303"/>
      <c r="Z477" s="304"/>
    </row>
    <row r="478" spans="1:26" ht="15.75">
      <c r="A478" s="6"/>
      <c r="B478" s="7"/>
      <c r="C478" s="6"/>
      <c r="D478" s="6"/>
      <c r="E478" s="6"/>
      <c r="F478" s="6"/>
      <c r="G478" s="6"/>
      <c r="H478" s="1"/>
      <c r="I478" s="9"/>
      <c r="J478" s="9"/>
      <c r="K478" s="11"/>
      <c r="L478" s="1"/>
      <c r="M478" s="205" t="s">
        <v>315</v>
      </c>
      <c r="N478" s="1" t="s">
        <v>315</v>
      </c>
      <c r="O478" s="9"/>
      <c r="P478" s="14">
        <f>Tabela1316[[#This Row],[Valor_recibo]]</f>
        <v>0</v>
      </c>
      <c r="Q478" s="16"/>
      <c r="R478" s="1" t="e">
        <f>VLOOKUP(#REF!,[2]Aprovados!A:A,1,0)</f>
        <v>#REF!</v>
      </c>
      <c r="S478" s="236"/>
      <c r="T478" s="235"/>
      <c r="U478" s="235"/>
      <c r="V478" s="294"/>
      <c r="W478" s="301" t="s">
        <v>315</v>
      </c>
      <c r="X478" s="302"/>
      <c r="Y478" s="303"/>
      <c r="Z478" s="304"/>
    </row>
    <row r="479" spans="1:26" ht="15.75">
      <c r="A479" s="6"/>
      <c r="B479" s="7"/>
      <c r="C479" s="6"/>
      <c r="D479" s="6"/>
      <c r="E479" s="6"/>
      <c r="F479" s="6"/>
      <c r="G479" s="6"/>
      <c r="H479" s="1"/>
      <c r="I479" s="9"/>
      <c r="J479" s="9"/>
      <c r="K479" s="11"/>
      <c r="L479" s="1"/>
      <c r="M479" s="205" t="s">
        <v>315</v>
      </c>
      <c r="N479" s="1" t="s">
        <v>315</v>
      </c>
      <c r="O479" s="9"/>
      <c r="P479" s="14">
        <f>Tabela1316[[#This Row],[Valor_recibo]]</f>
        <v>0</v>
      </c>
      <c r="Q479" s="16"/>
      <c r="R479" s="1" t="e">
        <f>VLOOKUP(#REF!,[2]Aprovados!A:A,1,0)</f>
        <v>#REF!</v>
      </c>
      <c r="S479" s="236"/>
      <c r="T479" s="235"/>
      <c r="U479" s="235"/>
      <c r="V479" s="294"/>
      <c r="W479" s="301" t="s">
        <v>315</v>
      </c>
      <c r="X479" s="302"/>
      <c r="Y479" s="303"/>
      <c r="Z479" s="304"/>
    </row>
    <row r="480" spans="1:26" ht="15.75">
      <c r="A480" s="6"/>
      <c r="B480" s="7"/>
      <c r="C480" s="6"/>
      <c r="D480" s="6"/>
      <c r="E480" s="6"/>
      <c r="F480" s="6"/>
      <c r="G480" s="6"/>
      <c r="H480" s="1"/>
      <c r="I480" s="9"/>
      <c r="J480" s="9"/>
      <c r="K480" s="11"/>
      <c r="L480" s="1"/>
      <c r="M480" s="205" t="s">
        <v>315</v>
      </c>
      <c r="N480" s="1" t="s">
        <v>315</v>
      </c>
      <c r="O480" s="9"/>
      <c r="P480" s="14">
        <f>Tabela1316[[#This Row],[Valor_recibo]]</f>
        <v>0</v>
      </c>
      <c r="Q480" s="16"/>
      <c r="R480" s="1" t="e">
        <f>VLOOKUP(#REF!,[2]Aprovados!A:A,1,0)</f>
        <v>#REF!</v>
      </c>
      <c r="S480" s="236"/>
      <c r="T480" s="235"/>
      <c r="U480" s="235"/>
      <c r="V480" s="294"/>
      <c r="W480" s="301" t="s">
        <v>315</v>
      </c>
      <c r="X480" s="302"/>
      <c r="Y480" s="303"/>
      <c r="Z480" s="304"/>
    </row>
    <row r="481" spans="1:26" ht="15.75">
      <c r="A481" s="6"/>
      <c r="B481" s="7"/>
      <c r="C481" s="6"/>
      <c r="D481" s="6"/>
      <c r="E481" s="6"/>
      <c r="F481" s="6"/>
      <c r="G481" s="6"/>
      <c r="H481" s="1"/>
      <c r="I481" s="9"/>
      <c r="J481" s="9"/>
      <c r="K481" s="11"/>
      <c r="L481" s="1"/>
      <c r="M481" s="205" t="s">
        <v>315</v>
      </c>
      <c r="N481" s="1" t="s">
        <v>315</v>
      </c>
      <c r="O481" s="9"/>
      <c r="P481" s="14">
        <f>Tabela1316[[#This Row],[Valor_recibo]]</f>
        <v>0</v>
      </c>
      <c r="Q481" s="16"/>
      <c r="R481" s="1" t="e">
        <f>VLOOKUP(#REF!,[2]Aprovados!A:A,1,0)</f>
        <v>#REF!</v>
      </c>
      <c r="S481" s="236"/>
      <c r="T481" s="235"/>
      <c r="U481" s="235"/>
      <c r="V481" s="294"/>
      <c r="W481" s="301" t="s">
        <v>315</v>
      </c>
      <c r="X481" s="302"/>
      <c r="Y481" s="303"/>
      <c r="Z481" s="304"/>
    </row>
    <row r="482" spans="1:26" ht="15.75">
      <c r="A482" s="6"/>
      <c r="B482" s="7"/>
      <c r="C482" s="6"/>
      <c r="D482" s="6"/>
      <c r="E482" s="6"/>
      <c r="F482" s="6"/>
      <c r="G482" s="6"/>
      <c r="H482" s="1"/>
      <c r="I482" s="9"/>
      <c r="J482" s="9"/>
      <c r="K482" s="11"/>
      <c r="L482" s="1"/>
      <c r="M482" s="205" t="s">
        <v>315</v>
      </c>
      <c r="N482" s="1" t="s">
        <v>315</v>
      </c>
      <c r="O482" s="9"/>
      <c r="P482" s="14">
        <f>Tabela1316[[#This Row],[Valor_recibo]]</f>
        <v>0</v>
      </c>
      <c r="Q482" s="16"/>
      <c r="R482" s="1" t="e">
        <f>VLOOKUP(#REF!,[2]Aprovados!A:A,1,0)</f>
        <v>#REF!</v>
      </c>
      <c r="S482" s="236"/>
      <c r="T482" s="235"/>
      <c r="U482" s="235"/>
      <c r="V482" s="294"/>
      <c r="W482" s="301" t="s">
        <v>315</v>
      </c>
      <c r="X482" s="302"/>
      <c r="Y482" s="303"/>
      <c r="Z482" s="304"/>
    </row>
    <row r="483" spans="1:26" ht="15.75">
      <c r="A483" s="6"/>
      <c r="B483" s="7"/>
      <c r="C483" s="6"/>
      <c r="D483" s="6"/>
      <c r="E483" s="6"/>
      <c r="F483" s="6"/>
      <c r="G483" s="6"/>
      <c r="H483" s="1"/>
      <c r="I483" s="9"/>
      <c r="J483" s="9"/>
      <c r="K483" s="11"/>
      <c r="L483" s="1"/>
      <c r="M483" s="205" t="s">
        <v>315</v>
      </c>
      <c r="N483" s="1" t="s">
        <v>315</v>
      </c>
      <c r="O483" s="9"/>
      <c r="P483" s="14">
        <f>Tabela1316[[#This Row],[Valor_recibo]]</f>
        <v>0</v>
      </c>
      <c r="Q483" s="16"/>
      <c r="R483" s="1" t="e">
        <f>VLOOKUP(#REF!,[2]Aprovados!A:A,1,0)</f>
        <v>#REF!</v>
      </c>
      <c r="S483" s="236"/>
      <c r="T483" s="235"/>
      <c r="U483" s="235"/>
      <c r="V483" s="294"/>
      <c r="W483" s="301" t="s">
        <v>315</v>
      </c>
      <c r="X483" s="302"/>
      <c r="Y483" s="303"/>
      <c r="Z483" s="304"/>
    </row>
    <row r="484" spans="1:26" ht="15.75">
      <c r="A484" s="6"/>
      <c r="B484" s="7"/>
      <c r="C484" s="6"/>
      <c r="D484" s="6"/>
      <c r="E484" s="6"/>
      <c r="F484" s="6"/>
      <c r="G484" s="6"/>
      <c r="H484" s="1"/>
      <c r="I484" s="9"/>
      <c r="J484" s="9"/>
      <c r="K484" s="11"/>
      <c r="L484" s="1"/>
      <c r="M484" s="205" t="s">
        <v>315</v>
      </c>
      <c r="N484" s="1" t="s">
        <v>315</v>
      </c>
      <c r="O484" s="9"/>
      <c r="P484" s="14">
        <f>Tabela1316[[#This Row],[Valor_recibo]]</f>
        <v>0</v>
      </c>
      <c r="Q484" s="16"/>
      <c r="R484" s="1" t="e">
        <f>VLOOKUP(#REF!,[2]Aprovados!A:A,1,0)</f>
        <v>#REF!</v>
      </c>
      <c r="S484" s="236"/>
      <c r="T484" s="235"/>
      <c r="U484" s="235"/>
      <c r="V484" s="294"/>
      <c r="W484" s="301" t="s">
        <v>315</v>
      </c>
      <c r="X484" s="302"/>
      <c r="Y484" s="303"/>
      <c r="Z484" s="304"/>
    </row>
    <row r="485" spans="1:26" ht="15.75">
      <c r="A485" s="6"/>
      <c r="B485" s="7"/>
      <c r="C485" s="6"/>
      <c r="D485" s="6"/>
      <c r="E485" s="6"/>
      <c r="F485" s="6"/>
      <c r="G485" s="6"/>
      <c r="H485" s="1"/>
      <c r="I485" s="9"/>
      <c r="J485" s="9"/>
      <c r="K485" s="11"/>
      <c r="L485" s="1"/>
      <c r="M485" s="205" t="s">
        <v>315</v>
      </c>
      <c r="N485" s="1" t="s">
        <v>315</v>
      </c>
      <c r="O485" s="9"/>
      <c r="P485" s="14">
        <f>Tabela1316[[#This Row],[Valor_recibo]]</f>
        <v>0</v>
      </c>
      <c r="Q485" s="16"/>
      <c r="R485" s="1" t="e">
        <f>VLOOKUP(#REF!,[2]Aprovados!A:A,1,0)</f>
        <v>#REF!</v>
      </c>
      <c r="S485" s="236"/>
      <c r="T485" s="235"/>
      <c r="U485" s="235"/>
      <c r="V485" s="294"/>
      <c r="W485" s="301" t="s">
        <v>315</v>
      </c>
      <c r="X485" s="302"/>
      <c r="Y485" s="303"/>
      <c r="Z485" s="304"/>
    </row>
    <row r="486" spans="1:26" ht="15.75">
      <c r="A486" s="6"/>
      <c r="B486" s="7"/>
      <c r="C486" s="6"/>
      <c r="D486" s="6"/>
      <c r="E486" s="6"/>
      <c r="F486" s="6"/>
      <c r="G486" s="6"/>
      <c r="H486" s="1"/>
      <c r="I486" s="9"/>
      <c r="J486" s="9"/>
      <c r="K486" s="11"/>
      <c r="L486" s="1"/>
      <c r="M486" s="205" t="s">
        <v>315</v>
      </c>
      <c r="N486" s="1" t="s">
        <v>315</v>
      </c>
      <c r="O486" s="9"/>
      <c r="P486" s="14">
        <f>Tabela1316[[#This Row],[Valor_recibo]]</f>
        <v>0</v>
      </c>
      <c r="Q486" s="16"/>
      <c r="R486" s="1" t="e">
        <f>VLOOKUP(#REF!,[2]Aprovados!A:A,1,0)</f>
        <v>#REF!</v>
      </c>
      <c r="S486" s="236"/>
      <c r="T486" s="235"/>
      <c r="U486" s="235"/>
      <c r="V486" s="294"/>
      <c r="W486" s="301" t="s">
        <v>315</v>
      </c>
      <c r="X486" s="302"/>
      <c r="Y486" s="303"/>
      <c r="Z486" s="304"/>
    </row>
    <row r="487" spans="1:26" ht="15.75">
      <c r="A487" s="6"/>
      <c r="B487" s="7"/>
      <c r="C487" s="6"/>
      <c r="D487" s="6"/>
      <c r="E487" s="6"/>
      <c r="F487" s="6"/>
      <c r="G487" s="6"/>
      <c r="H487" s="1"/>
      <c r="I487" s="9"/>
      <c r="J487" s="9"/>
      <c r="K487" s="11"/>
      <c r="L487" s="1"/>
      <c r="M487" s="205" t="s">
        <v>315</v>
      </c>
      <c r="N487" s="1" t="s">
        <v>315</v>
      </c>
      <c r="O487" s="9"/>
      <c r="P487" s="14">
        <f>Tabela1316[[#This Row],[Valor_recibo]]</f>
        <v>0</v>
      </c>
      <c r="Q487" s="16"/>
      <c r="R487" s="1" t="e">
        <f>VLOOKUP(#REF!,[2]Aprovados!A:A,1,0)</f>
        <v>#REF!</v>
      </c>
      <c r="S487" s="236"/>
      <c r="T487" s="235"/>
      <c r="U487" s="235"/>
      <c r="V487" s="294"/>
      <c r="W487" s="301" t="s">
        <v>315</v>
      </c>
      <c r="X487" s="302"/>
      <c r="Y487" s="303"/>
      <c r="Z487" s="304"/>
    </row>
    <row r="488" spans="1:26" ht="15.75">
      <c r="A488" s="6"/>
      <c r="B488" s="7"/>
      <c r="C488" s="6"/>
      <c r="D488" s="6"/>
      <c r="E488" s="6"/>
      <c r="F488" s="6"/>
      <c r="G488" s="6"/>
      <c r="H488" s="1"/>
      <c r="I488" s="9"/>
      <c r="J488" s="9"/>
      <c r="K488" s="11"/>
      <c r="L488" s="1"/>
      <c r="M488" s="205" t="s">
        <v>315</v>
      </c>
      <c r="N488" s="1" t="s">
        <v>315</v>
      </c>
      <c r="O488" s="9"/>
      <c r="P488" s="14">
        <f>Tabela1316[[#This Row],[Valor_recibo]]</f>
        <v>0</v>
      </c>
      <c r="Q488" s="16"/>
      <c r="R488" s="1" t="e">
        <f>VLOOKUP(#REF!,[2]Aprovados!A:A,1,0)</f>
        <v>#REF!</v>
      </c>
      <c r="S488" s="236"/>
      <c r="T488" s="235"/>
      <c r="U488" s="235"/>
      <c r="V488" s="294"/>
      <c r="W488" s="301" t="s">
        <v>315</v>
      </c>
      <c r="X488" s="302"/>
      <c r="Y488" s="303"/>
      <c r="Z488" s="304"/>
    </row>
    <row r="489" spans="1:26" ht="15.75">
      <c r="A489" s="6"/>
      <c r="B489" s="7"/>
      <c r="C489" s="6"/>
      <c r="D489" s="6"/>
      <c r="E489" s="6"/>
      <c r="F489" s="6"/>
      <c r="G489" s="6"/>
      <c r="H489" s="1"/>
      <c r="I489" s="9"/>
      <c r="J489" s="9"/>
      <c r="K489" s="11"/>
      <c r="L489" s="1"/>
      <c r="M489" s="205" t="s">
        <v>315</v>
      </c>
      <c r="N489" s="1" t="s">
        <v>315</v>
      </c>
      <c r="O489" s="9"/>
      <c r="P489" s="14">
        <f>Tabela1316[[#This Row],[Valor_recibo]]</f>
        <v>0</v>
      </c>
      <c r="Q489" s="16"/>
      <c r="R489" s="1" t="e">
        <f>VLOOKUP(#REF!,[2]Aprovados!A:A,1,0)</f>
        <v>#REF!</v>
      </c>
      <c r="S489" s="236"/>
      <c r="T489" s="235"/>
      <c r="U489" s="235"/>
      <c r="V489" s="294"/>
      <c r="W489" s="301" t="s">
        <v>315</v>
      </c>
      <c r="X489" s="302"/>
      <c r="Y489" s="303"/>
      <c r="Z489" s="304"/>
    </row>
    <row r="490" spans="1:26" ht="15.75">
      <c r="A490" s="6"/>
      <c r="B490" s="7"/>
      <c r="C490" s="6"/>
      <c r="D490" s="6"/>
      <c r="E490" s="6"/>
      <c r="F490" s="6"/>
      <c r="G490" s="6"/>
      <c r="H490" s="1"/>
      <c r="I490" s="9"/>
      <c r="J490" s="9"/>
      <c r="K490" s="11"/>
      <c r="L490" s="1"/>
      <c r="M490" s="205" t="s">
        <v>315</v>
      </c>
      <c r="N490" s="1" t="s">
        <v>315</v>
      </c>
      <c r="O490" s="9"/>
      <c r="P490" s="14">
        <f>Tabela1316[[#This Row],[Valor_recibo]]</f>
        <v>0</v>
      </c>
      <c r="Q490" s="16"/>
      <c r="R490" s="1" t="e">
        <f>VLOOKUP(#REF!,[2]Aprovados!A:A,1,0)</f>
        <v>#REF!</v>
      </c>
      <c r="S490" s="236"/>
      <c r="T490" s="235"/>
      <c r="U490" s="235"/>
      <c r="V490" s="294"/>
      <c r="W490" s="301" t="s">
        <v>315</v>
      </c>
      <c r="X490" s="302"/>
      <c r="Y490" s="303"/>
      <c r="Z490" s="304"/>
    </row>
    <row r="491" spans="1:26" ht="15.75">
      <c r="A491" s="6"/>
      <c r="B491" s="7"/>
      <c r="C491" s="6"/>
      <c r="D491" s="6"/>
      <c r="E491" s="6"/>
      <c r="F491" s="6"/>
      <c r="G491" s="6"/>
      <c r="H491" s="1"/>
      <c r="I491" s="9"/>
      <c r="J491" s="9"/>
      <c r="K491" s="11"/>
      <c r="L491" s="1"/>
      <c r="M491" s="205" t="s">
        <v>315</v>
      </c>
      <c r="N491" s="1" t="s">
        <v>315</v>
      </c>
      <c r="O491" s="9"/>
      <c r="P491" s="14">
        <f>Tabela1316[[#This Row],[Valor_recibo]]</f>
        <v>0</v>
      </c>
      <c r="Q491" s="16"/>
      <c r="R491" s="1" t="e">
        <f>VLOOKUP(#REF!,[2]Aprovados!A:A,1,0)</f>
        <v>#REF!</v>
      </c>
      <c r="S491" s="236"/>
      <c r="T491" s="235"/>
      <c r="U491" s="235"/>
      <c r="V491" s="294"/>
      <c r="W491" s="301" t="s">
        <v>315</v>
      </c>
      <c r="X491" s="302"/>
      <c r="Y491" s="303"/>
      <c r="Z491" s="304"/>
    </row>
    <row r="492" spans="1:26" ht="15.75">
      <c r="A492" s="6"/>
      <c r="B492" s="7"/>
      <c r="C492" s="6"/>
      <c r="D492" s="6"/>
      <c r="E492" s="6"/>
      <c r="F492" s="6"/>
      <c r="G492" s="6"/>
      <c r="H492" s="1"/>
      <c r="I492" s="9"/>
      <c r="J492" s="9"/>
      <c r="K492" s="11"/>
      <c r="L492" s="1"/>
      <c r="M492" s="205" t="s">
        <v>315</v>
      </c>
      <c r="N492" s="1" t="s">
        <v>315</v>
      </c>
      <c r="O492" s="9"/>
      <c r="P492" s="14">
        <f>Tabela1316[[#This Row],[Valor_recibo]]</f>
        <v>0</v>
      </c>
      <c r="Q492" s="16"/>
      <c r="R492" s="1" t="e">
        <f>VLOOKUP(#REF!,[2]Aprovados!A:A,1,0)</f>
        <v>#REF!</v>
      </c>
      <c r="S492" s="236"/>
      <c r="T492" s="235"/>
      <c r="U492" s="235"/>
      <c r="V492" s="294"/>
      <c r="W492" s="301" t="s">
        <v>315</v>
      </c>
      <c r="X492" s="302"/>
      <c r="Y492" s="303"/>
      <c r="Z492" s="304"/>
    </row>
    <row r="493" spans="1:26" ht="15.75">
      <c r="A493" s="6"/>
      <c r="B493" s="7"/>
      <c r="C493" s="6"/>
      <c r="D493" s="6"/>
      <c r="E493" s="6"/>
      <c r="F493" s="6"/>
      <c r="G493" s="6"/>
      <c r="H493" s="1"/>
      <c r="I493" s="9"/>
      <c r="J493" s="9"/>
      <c r="K493" s="11"/>
      <c r="L493" s="1"/>
      <c r="M493" s="205" t="s">
        <v>315</v>
      </c>
      <c r="N493" s="1" t="s">
        <v>315</v>
      </c>
      <c r="O493" s="9"/>
      <c r="P493" s="14">
        <f>Tabela1316[[#This Row],[Valor_recibo]]</f>
        <v>0</v>
      </c>
      <c r="Q493" s="16"/>
      <c r="R493" s="1" t="e">
        <f>VLOOKUP(#REF!,[2]Aprovados!A:A,1,0)</f>
        <v>#REF!</v>
      </c>
      <c r="S493" s="236"/>
      <c r="T493" s="235"/>
      <c r="U493" s="235"/>
      <c r="V493" s="294"/>
      <c r="W493" s="301" t="s">
        <v>315</v>
      </c>
      <c r="X493" s="302"/>
      <c r="Y493" s="303"/>
      <c r="Z493" s="304"/>
    </row>
    <row r="494" spans="1:26" ht="15.75">
      <c r="A494" s="6"/>
      <c r="B494" s="7"/>
      <c r="C494" s="6"/>
      <c r="D494" s="6"/>
      <c r="E494" s="6"/>
      <c r="F494" s="6"/>
      <c r="G494" s="6"/>
      <c r="H494" s="1"/>
      <c r="I494" s="9"/>
      <c r="J494" s="9"/>
      <c r="K494" s="11"/>
      <c r="L494" s="1"/>
      <c r="M494" s="205" t="s">
        <v>315</v>
      </c>
      <c r="N494" s="1" t="s">
        <v>315</v>
      </c>
      <c r="O494" s="9"/>
      <c r="P494" s="14">
        <f>Tabela1316[[#This Row],[Valor_recibo]]</f>
        <v>0</v>
      </c>
      <c r="Q494" s="16"/>
      <c r="R494" s="1" t="e">
        <f>VLOOKUP(#REF!,[2]Aprovados!A:A,1,0)</f>
        <v>#REF!</v>
      </c>
      <c r="S494" s="236"/>
      <c r="T494" s="235"/>
      <c r="U494" s="235"/>
      <c r="V494" s="294"/>
      <c r="W494" s="301" t="s">
        <v>315</v>
      </c>
      <c r="X494" s="302"/>
      <c r="Y494" s="303"/>
      <c r="Z494" s="304"/>
    </row>
    <row r="495" spans="1:26" ht="15.75">
      <c r="A495" s="6"/>
      <c r="B495" s="7"/>
      <c r="C495" s="6"/>
      <c r="D495" s="6"/>
      <c r="E495" s="6"/>
      <c r="F495" s="6"/>
      <c r="G495" s="6"/>
      <c r="H495" s="1"/>
      <c r="I495" s="9"/>
      <c r="J495" s="9"/>
      <c r="K495" s="11"/>
      <c r="L495" s="1"/>
      <c r="M495" s="205" t="s">
        <v>315</v>
      </c>
      <c r="N495" s="1" t="s">
        <v>315</v>
      </c>
      <c r="O495" s="9"/>
      <c r="P495" s="14">
        <f>Tabela1316[[#This Row],[Valor_recibo]]</f>
        <v>0</v>
      </c>
      <c r="Q495" s="16"/>
      <c r="R495" s="1" t="e">
        <f>VLOOKUP(#REF!,[2]Aprovados!A:A,1,0)</f>
        <v>#REF!</v>
      </c>
      <c r="S495" s="236"/>
      <c r="T495" s="235"/>
      <c r="U495" s="235"/>
      <c r="V495" s="294"/>
      <c r="W495" s="301" t="s">
        <v>315</v>
      </c>
      <c r="X495" s="302"/>
      <c r="Y495" s="303"/>
      <c r="Z495" s="304"/>
    </row>
    <row r="496" spans="1:26" ht="15.75">
      <c r="A496" s="6"/>
      <c r="B496" s="7"/>
      <c r="C496" s="6"/>
      <c r="D496" s="6"/>
      <c r="E496" s="6"/>
      <c r="F496" s="6"/>
      <c r="G496" s="6"/>
      <c r="H496" s="1"/>
      <c r="I496" s="9"/>
      <c r="J496" s="9"/>
      <c r="K496" s="11"/>
      <c r="L496" s="1"/>
      <c r="M496" s="205" t="s">
        <v>315</v>
      </c>
      <c r="N496" s="1" t="s">
        <v>315</v>
      </c>
      <c r="O496" s="9"/>
      <c r="P496" s="14">
        <f>Tabela1316[[#This Row],[Valor_recibo]]</f>
        <v>0</v>
      </c>
      <c r="Q496" s="16"/>
      <c r="R496" s="1" t="e">
        <f>VLOOKUP(#REF!,[2]Aprovados!A:A,1,0)</f>
        <v>#REF!</v>
      </c>
      <c r="S496" s="236"/>
      <c r="T496" s="235"/>
      <c r="U496" s="235"/>
      <c r="V496" s="294"/>
      <c r="W496" s="301" t="s">
        <v>315</v>
      </c>
      <c r="X496" s="302"/>
      <c r="Y496" s="303"/>
      <c r="Z496" s="304"/>
    </row>
    <row r="497" spans="1:26" ht="15.75">
      <c r="A497" s="6"/>
      <c r="B497" s="7"/>
      <c r="C497" s="6"/>
      <c r="D497" s="6"/>
      <c r="E497" s="6"/>
      <c r="F497" s="6"/>
      <c r="G497" s="6"/>
      <c r="H497" s="1"/>
      <c r="I497" s="9"/>
      <c r="J497" s="9"/>
      <c r="K497" s="11"/>
      <c r="L497" s="1"/>
      <c r="M497" s="205" t="s">
        <v>315</v>
      </c>
      <c r="N497" s="1" t="s">
        <v>315</v>
      </c>
      <c r="O497" s="9"/>
      <c r="P497" s="14">
        <f>Tabela1316[[#This Row],[Valor_recibo]]</f>
        <v>0</v>
      </c>
      <c r="Q497" s="16"/>
      <c r="R497" s="1" t="e">
        <f>VLOOKUP(#REF!,[2]Aprovados!A:A,1,0)</f>
        <v>#REF!</v>
      </c>
      <c r="S497" s="236"/>
      <c r="T497" s="235"/>
      <c r="U497" s="235"/>
      <c r="V497" s="294"/>
      <c r="W497" s="301" t="s">
        <v>315</v>
      </c>
      <c r="X497" s="302"/>
      <c r="Y497" s="303"/>
      <c r="Z497" s="304"/>
    </row>
    <row r="498" spans="1:26" ht="15.75">
      <c r="A498" s="6"/>
      <c r="B498" s="7"/>
      <c r="C498" s="6"/>
      <c r="D498" s="6"/>
      <c r="E498" s="6"/>
      <c r="F498" s="6"/>
      <c r="G498" s="6"/>
      <c r="H498" s="1"/>
      <c r="I498" s="9"/>
      <c r="J498" s="9"/>
      <c r="K498" s="11"/>
      <c r="L498" s="1"/>
      <c r="M498" s="205" t="s">
        <v>315</v>
      </c>
      <c r="N498" s="1" t="s">
        <v>315</v>
      </c>
      <c r="O498" s="9"/>
      <c r="P498" s="14">
        <f>Tabela1316[[#This Row],[Valor_recibo]]</f>
        <v>0</v>
      </c>
      <c r="Q498" s="16"/>
      <c r="R498" s="1" t="e">
        <f>VLOOKUP(#REF!,[2]Aprovados!A:A,1,0)</f>
        <v>#REF!</v>
      </c>
      <c r="S498" s="236"/>
      <c r="T498" s="235"/>
      <c r="U498" s="235"/>
      <c r="V498" s="294"/>
      <c r="W498" s="301" t="s">
        <v>315</v>
      </c>
      <c r="X498" s="302"/>
      <c r="Y498" s="303"/>
      <c r="Z498" s="304"/>
    </row>
    <row r="499" spans="1:26" ht="15.75">
      <c r="A499" s="6"/>
      <c r="B499" s="7"/>
      <c r="C499" s="6"/>
      <c r="D499" s="6"/>
      <c r="E499" s="6"/>
      <c r="F499" s="6"/>
      <c r="G499" s="6"/>
      <c r="H499" s="1"/>
      <c r="I499" s="9"/>
      <c r="J499" s="9"/>
      <c r="K499" s="11"/>
      <c r="L499" s="1"/>
      <c r="M499" s="205" t="s">
        <v>315</v>
      </c>
      <c r="N499" s="1" t="s">
        <v>315</v>
      </c>
      <c r="O499" s="9"/>
      <c r="P499" s="14">
        <f>Tabela1316[[#This Row],[Valor_recibo]]</f>
        <v>0</v>
      </c>
      <c r="Q499" s="16"/>
      <c r="R499" s="1" t="e">
        <f>VLOOKUP(#REF!,[2]Aprovados!A:A,1,0)</f>
        <v>#REF!</v>
      </c>
      <c r="S499" s="236"/>
      <c r="T499" s="235"/>
      <c r="U499" s="235"/>
      <c r="V499" s="294"/>
      <c r="W499" s="301" t="s">
        <v>315</v>
      </c>
      <c r="X499" s="302"/>
      <c r="Y499" s="303"/>
      <c r="Z499" s="304"/>
    </row>
    <row r="500" spans="1:26" ht="15.75">
      <c r="A500" s="6"/>
      <c r="B500" s="7"/>
      <c r="C500" s="6"/>
      <c r="D500" s="6"/>
      <c r="E500" s="6"/>
      <c r="F500" s="6"/>
      <c r="G500" s="6"/>
      <c r="H500" s="1"/>
      <c r="I500" s="9"/>
      <c r="J500" s="9"/>
      <c r="K500" s="11"/>
      <c r="L500" s="1"/>
      <c r="M500" s="205" t="s">
        <v>315</v>
      </c>
      <c r="N500" s="1" t="s">
        <v>315</v>
      </c>
      <c r="O500" s="9"/>
      <c r="P500" s="14">
        <f>Tabela1316[[#This Row],[Valor_recibo]]</f>
        <v>0</v>
      </c>
      <c r="Q500" s="16"/>
      <c r="R500" s="1" t="e">
        <f>VLOOKUP(#REF!,[2]Aprovados!A:A,1,0)</f>
        <v>#REF!</v>
      </c>
      <c r="S500" s="236"/>
      <c r="T500" s="235"/>
      <c r="U500" s="235"/>
      <c r="V500" s="294"/>
      <c r="W500" s="301" t="s">
        <v>315</v>
      </c>
      <c r="X500" s="302"/>
      <c r="Y500" s="303"/>
      <c r="Z500" s="304"/>
    </row>
    <row r="501" spans="1:26" ht="15.75">
      <c r="A501" s="6"/>
      <c r="B501" s="7"/>
      <c r="C501" s="6"/>
      <c r="D501" s="6"/>
      <c r="E501" s="6"/>
      <c r="F501" s="6"/>
      <c r="G501" s="6"/>
      <c r="H501" s="1"/>
      <c r="I501" s="9"/>
      <c r="J501" s="9"/>
      <c r="K501" s="11"/>
      <c r="L501" s="1"/>
      <c r="M501" s="205" t="s">
        <v>315</v>
      </c>
      <c r="N501" s="1" t="s">
        <v>315</v>
      </c>
      <c r="O501" s="9"/>
      <c r="P501" s="14">
        <f>Tabela1316[[#This Row],[Valor_recibo]]</f>
        <v>0</v>
      </c>
      <c r="Q501" s="16"/>
      <c r="R501" s="1" t="e">
        <f>VLOOKUP(#REF!,[2]Aprovados!A:A,1,0)</f>
        <v>#REF!</v>
      </c>
      <c r="S501" s="236"/>
      <c r="T501" s="235"/>
      <c r="U501" s="235"/>
      <c r="V501" s="294"/>
      <c r="W501" s="301" t="s">
        <v>315</v>
      </c>
      <c r="X501" s="302"/>
      <c r="Y501" s="303"/>
      <c r="Z501" s="304"/>
    </row>
    <row r="502" spans="1:26" ht="15.75">
      <c r="A502" s="6"/>
      <c r="B502" s="7"/>
      <c r="C502" s="6"/>
      <c r="D502" s="6"/>
      <c r="E502" s="6"/>
      <c r="F502" s="6"/>
      <c r="G502" s="6"/>
      <c r="H502" s="1"/>
      <c r="I502" s="9"/>
      <c r="J502" s="9"/>
      <c r="K502" s="11"/>
      <c r="L502" s="1"/>
      <c r="M502" s="205" t="s">
        <v>315</v>
      </c>
      <c r="N502" s="1" t="s">
        <v>315</v>
      </c>
      <c r="O502" s="9"/>
      <c r="P502" s="14">
        <f>Tabela1316[[#This Row],[Valor_recibo]]</f>
        <v>0</v>
      </c>
      <c r="Q502" s="16"/>
      <c r="R502" s="1" t="e">
        <f>VLOOKUP(#REF!,[2]Aprovados!A:A,1,0)</f>
        <v>#REF!</v>
      </c>
      <c r="S502" s="236"/>
      <c r="T502" s="235"/>
      <c r="U502" s="235"/>
      <c r="V502" s="294"/>
      <c r="W502" s="301" t="s">
        <v>315</v>
      </c>
      <c r="X502" s="302"/>
      <c r="Y502" s="303"/>
      <c r="Z502" s="304"/>
    </row>
    <row r="503" spans="1:26" ht="15.75">
      <c r="A503" s="6"/>
      <c r="B503" s="7"/>
      <c r="C503" s="6"/>
      <c r="D503" s="6"/>
      <c r="E503" s="6"/>
      <c r="F503" s="6"/>
      <c r="G503" s="6"/>
      <c r="H503" s="1"/>
      <c r="I503" s="9"/>
      <c r="J503" s="9"/>
      <c r="K503" s="11"/>
      <c r="L503" s="1"/>
      <c r="M503" s="205" t="s">
        <v>315</v>
      </c>
      <c r="N503" s="1" t="s">
        <v>315</v>
      </c>
      <c r="O503" s="9"/>
      <c r="P503" s="14">
        <f>Tabela1316[[#This Row],[Valor_recibo]]</f>
        <v>0</v>
      </c>
      <c r="Q503" s="16"/>
      <c r="R503" s="1" t="e">
        <f>VLOOKUP(#REF!,[2]Aprovados!A:A,1,0)</f>
        <v>#REF!</v>
      </c>
      <c r="S503" s="236"/>
      <c r="T503" s="235"/>
      <c r="U503" s="235"/>
      <c r="V503" s="294"/>
      <c r="W503" s="301" t="s">
        <v>315</v>
      </c>
      <c r="X503" s="302"/>
      <c r="Y503" s="303"/>
      <c r="Z503" s="304"/>
    </row>
    <row r="504" spans="1:26" ht="15.75">
      <c r="A504" s="6"/>
      <c r="B504" s="7"/>
      <c r="C504" s="6"/>
      <c r="D504" s="6"/>
      <c r="E504" s="6"/>
      <c r="F504" s="6"/>
      <c r="G504" s="6"/>
      <c r="H504" s="1"/>
      <c r="I504" s="9"/>
      <c r="J504" s="9"/>
      <c r="K504" s="11"/>
      <c r="L504" s="1"/>
      <c r="M504" s="205" t="s">
        <v>315</v>
      </c>
      <c r="N504" s="1" t="s">
        <v>315</v>
      </c>
      <c r="O504" s="9"/>
      <c r="P504" s="14">
        <f>Tabela1316[[#This Row],[Valor_recibo]]</f>
        <v>0</v>
      </c>
      <c r="Q504" s="16"/>
      <c r="R504" s="1" t="e">
        <f>VLOOKUP(#REF!,[2]Aprovados!A:A,1,0)</f>
        <v>#REF!</v>
      </c>
      <c r="S504" s="236"/>
      <c r="T504" s="235"/>
      <c r="U504" s="235"/>
      <c r="V504" s="294"/>
      <c r="W504" s="301" t="s">
        <v>315</v>
      </c>
      <c r="X504" s="302"/>
      <c r="Y504" s="303"/>
      <c r="Z504" s="304"/>
    </row>
    <row r="505" spans="1:26" ht="15.75">
      <c r="A505" s="6"/>
      <c r="B505" s="7"/>
      <c r="C505" s="6"/>
      <c r="D505" s="6"/>
      <c r="E505" s="6"/>
      <c r="F505" s="6"/>
      <c r="G505" s="6"/>
      <c r="H505" s="1"/>
      <c r="I505" s="9"/>
      <c r="J505" s="9"/>
      <c r="K505" s="11"/>
      <c r="L505" s="1"/>
      <c r="M505" s="205" t="s">
        <v>315</v>
      </c>
      <c r="N505" s="1" t="s">
        <v>315</v>
      </c>
      <c r="O505" s="9"/>
      <c r="P505" s="14">
        <f>Tabela1316[[#This Row],[Valor_recibo]]</f>
        <v>0</v>
      </c>
      <c r="Q505" s="16"/>
      <c r="R505" s="1" t="e">
        <f>VLOOKUP(#REF!,[2]Aprovados!A:A,1,0)</f>
        <v>#REF!</v>
      </c>
      <c r="S505" s="236"/>
      <c r="T505" s="235"/>
      <c r="U505" s="235"/>
      <c r="V505" s="294"/>
      <c r="W505" s="301" t="s">
        <v>315</v>
      </c>
      <c r="X505" s="302"/>
      <c r="Y505" s="303"/>
      <c r="Z505" s="304"/>
    </row>
    <row r="506" spans="1:26" ht="15.75">
      <c r="A506" s="6"/>
      <c r="B506" s="7"/>
      <c r="C506" s="6"/>
      <c r="D506" s="6"/>
      <c r="E506" s="6"/>
      <c r="F506" s="6"/>
      <c r="G506" s="6"/>
      <c r="H506" s="1"/>
      <c r="I506" s="9"/>
      <c r="J506" s="9"/>
      <c r="K506" s="11"/>
      <c r="L506" s="1"/>
      <c r="M506" s="205" t="s">
        <v>315</v>
      </c>
      <c r="N506" s="1" t="s">
        <v>315</v>
      </c>
      <c r="O506" s="9"/>
      <c r="P506" s="14">
        <f>Tabela1316[[#This Row],[Valor_recibo]]</f>
        <v>0</v>
      </c>
      <c r="Q506" s="16"/>
      <c r="R506" s="1" t="e">
        <f>VLOOKUP(#REF!,[2]Aprovados!A:A,1,0)</f>
        <v>#REF!</v>
      </c>
      <c r="S506" s="236"/>
      <c r="T506" s="235"/>
      <c r="U506" s="235"/>
      <c r="V506" s="294"/>
      <c r="W506" s="301" t="s">
        <v>315</v>
      </c>
      <c r="X506" s="302"/>
      <c r="Y506" s="303"/>
      <c r="Z506" s="304"/>
    </row>
    <row r="507" spans="1:26" ht="15.75">
      <c r="A507" s="6"/>
      <c r="B507" s="7"/>
      <c r="C507" s="6"/>
      <c r="D507" s="6"/>
      <c r="E507" s="6"/>
      <c r="F507" s="6"/>
      <c r="G507" s="6"/>
      <c r="H507" s="1"/>
      <c r="I507" s="9"/>
      <c r="J507" s="9"/>
      <c r="K507" s="11"/>
      <c r="L507" s="1"/>
      <c r="M507" s="205" t="s">
        <v>315</v>
      </c>
      <c r="N507" s="1" t="s">
        <v>315</v>
      </c>
      <c r="O507" s="9"/>
      <c r="P507" s="14">
        <f>Tabela1316[[#This Row],[Valor_recibo]]</f>
        <v>0</v>
      </c>
      <c r="Q507" s="16"/>
      <c r="R507" s="1" t="e">
        <f>VLOOKUP(#REF!,[2]Aprovados!A:A,1,0)</f>
        <v>#REF!</v>
      </c>
      <c r="S507" s="236"/>
      <c r="T507" s="235"/>
      <c r="U507" s="235"/>
      <c r="V507" s="294"/>
      <c r="W507" s="301" t="s">
        <v>315</v>
      </c>
      <c r="X507" s="302"/>
      <c r="Y507" s="303"/>
      <c r="Z507" s="304"/>
    </row>
    <row r="508" spans="1:26" ht="15.75">
      <c r="A508" s="6"/>
      <c r="B508" s="7"/>
      <c r="C508" s="6"/>
      <c r="D508" s="6"/>
      <c r="E508" s="6"/>
      <c r="F508" s="6"/>
      <c r="G508" s="6"/>
      <c r="H508" s="1"/>
      <c r="I508" s="9"/>
      <c r="J508" s="9"/>
      <c r="K508" s="11"/>
      <c r="L508" s="1"/>
      <c r="M508" s="205" t="s">
        <v>315</v>
      </c>
      <c r="N508" s="1" t="s">
        <v>315</v>
      </c>
      <c r="O508" s="9"/>
      <c r="P508" s="14">
        <f>Tabela1316[[#This Row],[Valor_recibo]]</f>
        <v>0</v>
      </c>
      <c r="Q508" s="16"/>
      <c r="R508" s="1" t="e">
        <f>VLOOKUP(#REF!,[2]Aprovados!A:A,1,0)</f>
        <v>#REF!</v>
      </c>
      <c r="S508" s="236"/>
      <c r="T508" s="235"/>
      <c r="U508" s="235"/>
      <c r="V508" s="294"/>
      <c r="W508" s="301" t="s">
        <v>315</v>
      </c>
      <c r="X508" s="302"/>
      <c r="Y508" s="303"/>
      <c r="Z508" s="304"/>
    </row>
    <row r="509" spans="1:26" ht="15.75">
      <c r="A509" s="6"/>
      <c r="B509" s="7"/>
      <c r="C509" s="6"/>
      <c r="D509" s="6"/>
      <c r="E509" s="6"/>
      <c r="F509" s="6"/>
      <c r="G509" s="6"/>
      <c r="H509" s="1"/>
      <c r="I509" s="9"/>
      <c r="J509" s="9"/>
      <c r="K509" s="11"/>
      <c r="L509" s="1"/>
      <c r="M509" s="205" t="s">
        <v>315</v>
      </c>
      <c r="N509" s="1" t="s">
        <v>315</v>
      </c>
      <c r="O509" s="9"/>
      <c r="P509" s="14">
        <f>Tabela1316[[#This Row],[Valor_recibo]]</f>
        <v>0</v>
      </c>
      <c r="Q509" s="16"/>
      <c r="R509" s="1" t="e">
        <f>VLOOKUP(#REF!,[2]Aprovados!A:A,1,0)</f>
        <v>#REF!</v>
      </c>
      <c r="S509" s="236"/>
      <c r="T509" s="235"/>
      <c r="U509" s="235"/>
      <c r="V509" s="294"/>
      <c r="W509" s="301" t="s">
        <v>315</v>
      </c>
      <c r="X509" s="302"/>
      <c r="Y509" s="303"/>
      <c r="Z509" s="304"/>
    </row>
    <row r="510" spans="1:26" ht="15.75">
      <c r="A510" s="6"/>
      <c r="B510" s="7"/>
      <c r="C510" s="6"/>
      <c r="D510" s="6"/>
      <c r="E510" s="6"/>
      <c r="F510" s="6"/>
      <c r="G510" s="6"/>
      <c r="H510" s="1"/>
      <c r="I510" s="9"/>
      <c r="J510" s="9"/>
      <c r="K510" s="11"/>
      <c r="L510" s="1"/>
      <c r="M510" s="205" t="s">
        <v>315</v>
      </c>
      <c r="N510" s="1" t="s">
        <v>315</v>
      </c>
      <c r="O510" s="9"/>
      <c r="P510" s="14">
        <f>Tabela1316[[#This Row],[Valor_recibo]]</f>
        <v>0</v>
      </c>
      <c r="Q510" s="16"/>
      <c r="R510" s="1" t="e">
        <f>VLOOKUP(#REF!,[2]Aprovados!A:A,1,0)</f>
        <v>#REF!</v>
      </c>
      <c r="S510" s="236"/>
      <c r="T510" s="235"/>
      <c r="U510" s="235"/>
      <c r="V510" s="294"/>
      <c r="W510" s="301" t="s">
        <v>315</v>
      </c>
      <c r="X510" s="302"/>
      <c r="Y510" s="303"/>
      <c r="Z510" s="304"/>
    </row>
    <row r="511" spans="1:26" ht="15.75">
      <c r="A511" s="6"/>
      <c r="B511" s="7"/>
      <c r="C511" s="6"/>
      <c r="D511" s="6"/>
      <c r="E511" s="6"/>
      <c r="F511" s="6"/>
      <c r="G511" s="6"/>
      <c r="H511" s="1"/>
      <c r="I511" s="9"/>
      <c r="J511" s="9"/>
      <c r="K511" s="11"/>
      <c r="L511" s="1"/>
      <c r="M511" s="205" t="s">
        <v>315</v>
      </c>
      <c r="N511" s="1" t="s">
        <v>315</v>
      </c>
      <c r="O511" s="9"/>
      <c r="P511" s="14">
        <f>Tabela1316[[#This Row],[Valor_recibo]]</f>
        <v>0</v>
      </c>
      <c r="Q511" s="16"/>
      <c r="R511" s="1" t="e">
        <f>VLOOKUP(#REF!,[2]Aprovados!A:A,1,0)</f>
        <v>#REF!</v>
      </c>
      <c r="S511" s="236"/>
      <c r="T511" s="235"/>
      <c r="U511" s="235"/>
      <c r="V511" s="294"/>
      <c r="W511" s="301" t="s">
        <v>315</v>
      </c>
      <c r="X511" s="302"/>
      <c r="Y511" s="303"/>
      <c r="Z511" s="304"/>
    </row>
    <row r="512" spans="1:26" ht="15.75">
      <c r="A512" s="6"/>
      <c r="B512" s="7"/>
      <c r="C512" s="6"/>
      <c r="D512" s="6"/>
      <c r="E512" s="6"/>
      <c r="F512" s="6"/>
      <c r="G512" s="6"/>
      <c r="H512" s="1"/>
      <c r="I512" s="9"/>
      <c r="J512" s="9"/>
      <c r="K512" s="11"/>
      <c r="L512" s="1"/>
      <c r="M512" s="205" t="s">
        <v>315</v>
      </c>
      <c r="N512" s="1" t="s">
        <v>315</v>
      </c>
      <c r="O512" s="9"/>
      <c r="P512" s="14">
        <f>Tabela1316[[#This Row],[Valor_recibo]]</f>
        <v>0</v>
      </c>
      <c r="Q512" s="16"/>
      <c r="R512" s="1" t="e">
        <f>VLOOKUP(#REF!,[2]Aprovados!A:A,1,0)</f>
        <v>#REF!</v>
      </c>
      <c r="S512" s="236"/>
      <c r="T512" s="235"/>
      <c r="U512" s="235"/>
      <c r="V512" s="294"/>
      <c r="W512" s="301" t="s">
        <v>315</v>
      </c>
      <c r="X512" s="302"/>
      <c r="Y512" s="303"/>
      <c r="Z512" s="304"/>
    </row>
    <row r="513" spans="1:26" ht="15.75">
      <c r="A513" s="6"/>
      <c r="B513" s="7"/>
      <c r="C513" s="6"/>
      <c r="D513" s="6"/>
      <c r="E513" s="6"/>
      <c r="F513" s="6"/>
      <c r="G513" s="6"/>
      <c r="H513" s="1"/>
      <c r="I513" s="9"/>
      <c r="J513" s="9"/>
      <c r="K513" s="11"/>
      <c r="L513" s="1"/>
      <c r="M513" s="205" t="s">
        <v>315</v>
      </c>
      <c r="N513" s="1" t="s">
        <v>315</v>
      </c>
      <c r="O513" s="9"/>
      <c r="P513" s="14">
        <f>Tabela1316[[#This Row],[Valor_recibo]]</f>
        <v>0</v>
      </c>
      <c r="Q513" s="16"/>
      <c r="R513" s="1" t="e">
        <f>VLOOKUP(#REF!,[2]Aprovados!A:A,1,0)</f>
        <v>#REF!</v>
      </c>
      <c r="S513" s="236"/>
      <c r="T513" s="235"/>
      <c r="U513" s="235"/>
      <c r="V513" s="294"/>
      <c r="W513" s="301" t="s">
        <v>315</v>
      </c>
      <c r="X513" s="302"/>
      <c r="Y513" s="303"/>
      <c r="Z513" s="304"/>
    </row>
    <row r="514" spans="1:26" ht="15.75">
      <c r="A514" s="6"/>
      <c r="B514" s="7"/>
      <c r="C514" s="6"/>
      <c r="D514" s="6"/>
      <c r="E514" s="6"/>
      <c r="F514" s="6"/>
      <c r="G514" s="6"/>
      <c r="H514" s="1"/>
      <c r="I514" s="9"/>
      <c r="J514" s="9"/>
      <c r="K514" s="11"/>
      <c r="L514" s="1"/>
      <c r="M514" s="205" t="s">
        <v>315</v>
      </c>
      <c r="N514" s="1" t="s">
        <v>315</v>
      </c>
      <c r="O514" s="9"/>
      <c r="P514" s="14">
        <f>Tabela1316[[#This Row],[Valor_recibo]]</f>
        <v>0</v>
      </c>
      <c r="Q514" s="16"/>
      <c r="R514" s="1" t="e">
        <f>VLOOKUP(#REF!,[2]Aprovados!A:A,1,0)</f>
        <v>#REF!</v>
      </c>
      <c r="S514" s="236"/>
      <c r="T514" s="235"/>
      <c r="U514" s="235"/>
      <c r="V514" s="294"/>
      <c r="W514" s="301" t="s">
        <v>315</v>
      </c>
      <c r="X514" s="302"/>
      <c r="Y514" s="303"/>
      <c r="Z514" s="304"/>
    </row>
    <row r="515" spans="1:26" ht="15.75">
      <c r="A515" s="6"/>
      <c r="B515" s="7"/>
      <c r="C515" s="6"/>
      <c r="D515" s="6"/>
      <c r="E515" s="6"/>
      <c r="F515" s="6"/>
      <c r="G515" s="6"/>
      <c r="H515" s="1"/>
      <c r="I515" s="9"/>
      <c r="J515" s="9"/>
      <c r="K515" s="11"/>
      <c r="L515" s="1"/>
      <c r="M515" s="205" t="s">
        <v>315</v>
      </c>
      <c r="N515" s="1" t="s">
        <v>315</v>
      </c>
      <c r="O515" s="9"/>
      <c r="P515" s="14">
        <f>Tabela1316[[#This Row],[Valor_recibo]]</f>
        <v>0</v>
      </c>
      <c r="Q515" s="16"/>
      <c r="R515" s="1" t="e">
        <f>VLOOKUP(#REF!,[2]Aprovados!A:A,1,0)</f>
        <v>#REF!</v>
      </c>
      <c r="S515" s="236"/>
      <c r="T515" s="235"/>
      <c r="U515" s="235"/>
      <c r="V515" s="294"/>
      <c r="W515" s="301" t="s">
        <v>315</v>
      </c>
      <c r="X515" s="302"/>
      <c r="Y515" s="303"/>
      <c r="Z515" s="304"/>
    </row>
    <row r="516" spans="1:26" ht="15.75">
      <c r="A516" s="6"/>
      <c r="B516" s="7"/>
      <c r="C516" s="6"/>
      <c r="D516" s="6"/>
      <c r="E516" s="6"/>
      <c r="F516" s="6"/>
      <c r="G516" s="6"/>
      <c r="H516" s="1"/>
      <c r="I516" s="9"/>
      <c r="J516" s="9"/>
      <c r="K516" s="11"/>
      <c r="L516" s="1"/>
      <c r="M516" s="205" t="s">
        <v>315</v>
      </c>
      <c r="N516" s="1" t="s">
        <v>315</v>
      </c>
      <c r="O516" s="9"/>
      <c r="P516" s="14">
        <f>Tabela1316[[#This Row],[Valor_recibo]]</f>
        <v>0</v>
      </c>
      <c r="Q516" s="16"/>
      <c r="R516" s="1" t="e">
        <f>VLOOKUP(#REF!,[2]Aprovados!A:A,1,0)</f>
        <v>#REF!</v>
      </c>
      <c r="S516" s="236"/>
      <c r="T516" s="235"/>
      <c r="U516" s="235"/>
      <c r="V516" s="294"/>
      <c r="W516" s="301" t="s">
        <v>315</v>
      </c>
      <c r="X516" s="302"/>
      <c r="Y516" s="303"/>
      <c r="Z516" s="304"/>
    </row>
    <row r="517" spans="1:26" ht="15.75">
      <c r="A517" s="6"/>
      <c r="B517" s="7"/>
      <c r="C517" s="6"/>
      <c r="D517" s="6"/>
      <c r="E517" s="6"/>
      <c r="F517" s="6"/>
      <c r="G517" s="6"/>
      <c r="H517" s="1"/>
      <c r="I517" s="9"/>
      <c r="J517" s="9"/>
      <c r="K517" s="11"/>
      <c r="L517" s="1"/>
      <c r="M517" s="205" t="s">
        <v>315</v>
      </c>
      <c r="N517" s="1" t="s">
        <v>315</v>
      </c>
      <c r="O517" s="9"/>
      <c r="P517" s="14">
        <f>Tabela1316[[#This Row],[Valor_recibo]]</f>
        <v>0</v>
      </c>
      <c r="Q517" s="16"/>
      <c r="R517" s="1" t="e">
        <f>VLOOKUP(#REF!,[2]Aprovados!A:A,1,0)</f>
        <v>#REF!</v>
      </c>
      <c r="S517" s="236"/>
      <c r="T517" s="235"/>
      <c r="U517" s="235"/>
      <c r="V517" s="294"/>
      <c r="W517" s="301" t="s">
        <v>315</v>
      </c>
      <c r="X517" s="302"/>
      <c r="Y517" s="303"/>
      <c r="Z517" s="304"/>
    </row>
    <row r="518" spans="1:26" ht="15.75">
      <c r="A518" s="6"/>
      <c r="B518" s="7"/>
      <c r="C518" s="6"/>
      <c r="D518" s="6"/>
      <c r="E518" s="6"/>
      <c r="F518" s="6"/>
      <c r="G518" s="6"/>
      <c r="H518" s="1"/>
      <c r="I518" s="9"/>
      <c r="J518" s="9"/>
      <c r="K518" s="11"/>
      <c r="L518" s="1"/>
      <c r="M518" s="205" t="s">
        <v>315</v>
      </c>
      <c r="N518" s="1" t="s">
        <v>315</v>
      </c>
      <c r="O518" s="9"/>
      <c r="P518" s="14">
        <f>Tabela1316[[#This Row],[Valor_recibo]]</f>
        <v>0</v>
      </c>
      <c r="Q518" s="16"/>
      <c r="R518" s="1" t="e">
        <f>VLOOKUP(#REF!,[2]Aprovados!A:A,1,0)</f>
        <v>#REF!</v>
      </c>
      <c r="S518" s="236"/>
      <c r="T518" s="235"/>
      <c r="U518" s="235"/>
      <c r="V518" s="294"/>
      <c r="W518" s="301" t="s">
        <v>315</v>
      </c>
      <c r="X518" s="302"/>
      <c r="Y518" s="303"/>
      <c r="Z518" s="304"/>
    </row>
    <row r="519" spans="1:26" ht="15.75">
      <c r="A519" s="6"/>
      <c r="B519" s="7"/>
      <c r="C519" s="6"/>
      <c r="D519" s="6"/>
      <c r="E519" s="6"/>
      <c r="F519" s="6"/>
      <c r="G519" s="6"/>
      <c r="H519" s="1"/>
      <c r="I519" s="9"/>
      <c r="J519" s="9"/>
      <c r="K519" s="11"/>
      <c r="L519" s="1"/>
      <c r="M519" s="205" t="s">
        <v>315</v>
      </c>
      <c r="N519" s="1" t="s">
        <v>315</v>
      </c>
      <c r="O519" s="9"/>
      <c r="P519" s="14">
        <f>Tabela1316[[#This Row],[Valor_recibo]]</f>
        <v>0</v>
      </c>
      <c r="Q519" s="16"/>
      <c r="R519" s="1" t="e">
        <f>VLOOKUP(#REF!,[2]Aprovados!A:A,1,0)</f>
        <v>#REF!</v>
      </c>
      <c r="S519" s="236"/>
      <c r="T519" s="235"/>
      <c r="U519" s="235"/>
      <c r="V519" s="294"/>
      <c r="W519" s="301" t="s">
        <v>315</v>
      </c>
      <c r="X519" s="302"/>
      <c r="Y519" s="303"/>
      <c r="Z519" s="304"/>
    </row>
    <row r="520" spans="1:26" ht="15.75">
      <c r="A520" s="6"/>
      <c r="B520" s="7"/>
      <c r="C520" s="6"/>
      <c r="D520" s="6"/>
      <c r="E520" s="6"/>
      <c r="F520" s="6"/>
      <c r="G520" s="6"/>
      <c r="H520" s="1"/>
      <c r="I520" s="9"/>
      <c r="J520" s="9"/>
      <c r="K520" s="11"/>
      <c r="L520" s="1"/>
      <c r="M520" s="205" t="s">
        <v>315</v>
      </c>
      <c r="N520" s="1" t="s">
        <v>315</v>
      </c>
      <c r="O520" s="9"/>
      <c r="P520" s="14">
        <f>Tabela1316[[#This Row],[Valor_recibo]]</f>
        <v>0</v>
      </c>
      <c r="Q520" s="16"/>
      <c r="R520" s="1" t="e">
        <f>VLOOKUP(#REF!,[2]Aprovados!A:A,1,0)</f>
        <v>#REF!</v>
      </c>
      <c r="S520" s="236"/>
      <c r="T520" s="235"/>
      <c r="U520" s="235"/>
      <c r="V520" s="294"/>
      <c r="W520" s="301" t="s">
        <v>315</v>
      </c>
      <c r="X520" s="302"/>
      <c r="Y520" s="303"/>
      <c r="Z520" s="304"/>
    </row>
    <row r="521" spans="1:26" ht="15.75">
      <c r="A521" s="6"/>
      <c r="B521" s="7"/>
      <c r="C521" s="6"/>
      <c r="D521" s="6"/>
      <c r="E521" s="6"/>
      <c r="F521" s="6"/>
      <c r="G521" s="6"/>
      <c r="H521" s="1"/>
      <c r="I521" s="9"/>
      <c r="J521" s="9"/>
      <c r="K521" s="11"/>
      <c r="L521" s="1"/>
      <c r="M521" s="205" t="s">
        <v>315</v>
      </c>
      <c r="N521" s="1" t="s">
        <v>315</v>
      </c>
      <c r="O521" s="9"/>
      <c r="P521" s="14">
        <f>Tabela1316[[#This Row],[Valor_recibo]]</f>
        <v>0</v>
      </c>
      <c r="Q521" s="16"/>
      <c r="R521" s="1" t="e">
        <f>VLOOKUP(#REF!,[2]Aprovados!A:A,1,0)</f>
        <v>#REF!</v>
      </c>
      <c r="S521" s="236"/>
      <c r="T521" s="235"/>
      <c r="U521" s="235"/>
      <c r="V521" s="294"/>
      <c r="W521" s="301" t="s">
        <v>315</v>
      </c>
      <c r="X521" s="302"/>
      <c r="Y521" s="303"/>
      <c r="Z521" s="304"/>
    </row>
    <row r="522" spans="1:26" ht="15.75">
      <c r="A522" s="6"/>
      <c r="B522" s="7"/>
      <c r="C522" s="6"/>
      <c r="D522" s="6"/>
      <c r="E522" s="6"/>
      <c r="F522" s="6"/>
      <c r="G522" s="6"/>
      <c r="H522" s="1"/>
      <c r="I522" s="9"/>
      <c r="J522" s="9"/>
      <c r="K522" s="11"/>
      <c r="L522" s="1"/>
      <c r="M522" s="205" t="s">
        <v>315</v>
      </c>
      <c r="N522" s="1" t="s">
        <v>315</v>
      </c>
      <c r="O522" s="9"/>
      <c r="P522" s="14">
        <f>Tabela1316[[#This Row],[Valor_recibo]]</f>
        <v>0</v>
      </c>
      <c r="Q522" s="16"/>
      <c r="R522" s="1" t="e">
        <f>VLOOKUP(#REF!,[2]Aprovados!A:A,1,0)</f>
        <v>#REF!</v>
      </c>
      <c r="S522" s="236"/>
      <c r="T522" s="235"/>
      <c r="U522" s="235"/>
      <c r="V522" s="294"/>
      <c r="W522" s="301" t="s">
        <v>315</v>
      </c>
      <c r="X522" s="302"/>
      <c r="Y522" s="303"/>
      <c r="Z522" s="304"/>
    </row>
    <row r="523" spans="1:26" ht="15.75">
      <c r="A523" s="6"/>
      <c r="B523" s="7"/>
      <c r="C523" s="6"/>
      <c r="D523" s="6"/>
      <c r="E523" s="6"/>
      <c r="F523" s="6"/>
      <c r="G523" s="6"/>
      <c r="H523" s="1"/>
      <c r="I523" s="9"/>
      <c r="J523" s="9"/>
      <c r="K523" s="11"/>
      <c r="L523" s="1"/>
      <c r="M523" s="205" t="s">
        <v>315</v>
      </c>
      <c r="N523" s="1" t="s">
        <v>315</v>
      </c>
      <c r="O523" s="9"/>
      <c r="P523" s="14">
        <f>Tabela1316[[#This Row],[Valor_recibo]]</f>
        <v>0</v>
      </c>
      <c r="Q523" s="16"/>
      <c r="R523" s="1" t="e">
        <f>VLOOKUP(#REF!,[2]Aprovados!A:A,1,0)</f>
        <v>#REF!</v>
      </c>
      <c r="S523" s="236"/>
      <c r="T523" s="235"/>
      <c r="U523" s="235"/>
      <c r="V523" s="294"/>
      <c r="W523" s="301" t="s">
        <v>315</v>
      </c>
      <c r="X523" s="302"/>
      <c r="Y523" s="303"/>
      <c r="Z523" s="304"/>
    </row>
    <row r="524" spans="1:26" ht="15.75">
      <c r="A524" s="6"/>
      <c r="B524" s="7"/>
      <c r="C524" s="6"/>
      <c r="D524" s="6"/>
      <c r="E524" s="6"/>
      <c r="F524" s="6"/>
      <c r="G524" s="6"/>
      <c r="H524" s="1"/>
      <c r="I524" s="9"/>
      <c r="J524" s="9"/>
      <c r="K524" s="11"/>
      <c r="L524" s="1"/>
      <c r="M524" s="205" t="s">
        <v>315</v>
      </c>
      <c r="N524" s="1" t="s">
        <v>315</v>
      </c>
      <c r="O524" s="9"/>
      <c r="P524" s="14">
        <f>Tabela1316[[#This Row],[Valor_recibo]]</f>
        <v>0</v>
      </c>
      <c r="Q524" s="16"/>
      <c r="R524" s="1" t="e">
        <f>VLOOKUP(#REF!,[2]Aprovados!A:A,1,0)</f>
        <v>#REF!</v>
      </c>
      <c r="S524" s="236"/>
      <c r="T524" s="235"/>
      <c r="U524" s="235"/>
      <c r="V524" s="294"/>
      <c r="W524" s="301" t="s">
        <v>315</v>
      </c>
      <c r="X524" s="302"/>
      <c r="Y524" s="303"/>
      <c r="Z524" s="304"/>
    </row>
    <row r="525" spans="1:26" ht="15.75">
      <c r="A525" s="6"/>
      <c r="B525" s="7"/>
      <c r="C525" s="6"/>
      <c r="D525" s="6"/>
      <c r="E525" s="6"/>
      <c r="F525" s="6"/>
      <c r="G525" s="6"/>
      <c r="H525" s="1"/>
      <c r="I525" s="9"/>
      <c r="J525" s="9"/>
      <c r="K525" s="11"/>
      <c r="L525" s="1"/>
      <c r="M525" s="205" t="s">
        <v>315</v>
      </c>
      <c r="N525" s="1" t="s">
        <v>315</v>
      </c>
      <c r="O525" s="9"/>
      <c r="P525" s="14">
        <f>Tabela1316[[#This Row],[Valor_recibo]]</f>
        <v>0</v>
      </c>
      <c r="Q525" s="16"/>
      <c r="R525" s="1" t="e">
        <f>VLOOKUP(#REF!,[2]Aprovados!A:A,1,0)</f>
        <v>#REF!</v>
      </c>
      <c r="S525" s="236"/>
      <c r="T525" s="235"/>
      <c r="U525" s="235"/>
      <c r="V525" s="294"/>
      <c r="W525" s="301" t="s">
        <v>315</v>
      </c>
      <c r="X525" s="302"/>
      <c r="Y525" s="303"/>
      <c r="Z525" s="304"/>
    </row>
    <row r="526" spans="1:26" ht="15.75">
      <c r="A526" s="6"/>
      <c r="B526" s="7"/>
      <c r="C526" s="6"/>
      <c r="D526" s="6"/>
      <c r="E526" s="6"/>
      <c r="F526" s="6"/>
      <c r="G526" s="6"/>
      <c r="H526" s="1"/>
      <c r="I526" s="9"/>
      <c r="J526" s="9"/>
      <c r="K526" s="11"/>
      <c r="L526" s="1"/>
      <c r="M526" s="205" t="s">
        <v>315</v>
      </c>
      <c r="N526" s="1" t="s">
        <v>315</v>
      </c>
      <c r="O526" s="9"/>
      <c r="P526" s="14">
        <f>Tabela1316[[#This Row],[Valor_recibo]]</f>
        <v>0</v>
      </c>
      <c r="Q526" s="16"/>
      <c r="R526" s="1" t="e">
        <f>VLOOKUP(#REF!,[2]Aprovados!A:A,1,0)</f>
        <v>#REF!</v>
      </c>
      <c r="S526" s="236"/>
      <c r="T526" s="235"/>
      <c r="U526" s="235"/>
      <c r="V526" s="294"/>
      <c r="W526" s="301" t="s">
        <v>315</v>
      </c>
      <c r="X526" s="302"/>
      <c r="Y526" s="303"/>
      <c r="Z526" s="304"/>
    </row>
    <row r="527" spans="1:26" ht="15.75">
      <c r="A527" s="6"/>
      <c r="B527" s="7"/>
      <c r="C527" s="6"/>
      <c r="D527" s="6"/>
      <c r="E527" s="6"/>
      <c r="F527" s="6"/>
      <c r="G527" s="6"/>
      <c r="H527" s="1"/>
      <c r="I527" s="9"/>
      <c r="J527" s="9"/>
      <c r="K527" s="11"/>
      <c r="L527" s="1"/>
      <c r="M527" s="205" t="s">
        <v>315</v>
      </c>
      <c r="N527" s="1" t="s">
        <v>315</v>
      </c>
      <c r="O527" s="9"/>
      <c r="P527" s="14">
        <f>Tabela1316[[#This Row],[Valor_recibo]]</f>
        <v>0</v>
      </c>
      <c r="Q527" s="16"/>
      <c r="R527" s="1" t="e">
        <f>VLOOKUP(#REF!,[2]Aprovados!A:A,1,0)</f>
        <v>#REF!</v>
      </c>
      <c r="S527" s="236"/>
      <c r="T527" s="235"/>
      <c r="U527" s="235"/>
      <c r="V527" s="294"/>
      <c r="W527" s="301" t="s">
        <v>315</v>
      </c>
      <c r="X527" s="302"/>
      <c r="Y527" s="303"/>
      <c r="Z527" s="304"/>
    </row>
    <row r="528" spans="1:26" ht="15.75">
      <c r="A528" s="6"/>
      <c r="B528" s="7"/>
      <c r="C528" s="6"/>
      <c r="D528" s="6"/>
      <c r="E528" s="6"/>
      <c r="F528" s="6"/>
      <c r="G528" s="6"/>
      <c r="H528" s="1"/>
      <c r="I528" s="9"/>
      <c r="J528" s="9"/>
      <c r="K528" s="11"/>
      <c r="L528" s="1"/>
      <c r="M528" s="205" t="s">
        <v>315</v>
      </c>
      <c r="N528" s="1" t="s">
        <v>315</v>
      </c>
      <c r="O528" s="9"/>
      <c r="P528" s="14">
        <f>Tabela1316[[#This Row],[Valor_recibo]]</f>
        <v>0</v>
      </c>
      <c r="Q528" s="16"/>
      <c r="R528" s="1" t="e">
        <f>VLOOKUP(#REF!,[2]Aprovados!A:A,1,0)</f>
        <v>#REF!</v>
      </c>
      <c r="S528" s="236"/>
      <c r="T528" s="235"/>
      <c r="U528" s="235"/>
      <c r="V528" s="294"/>
      <c r="W528" s="301" t="s">
        <v>315</v>
      </c>
      <c r="X528" s="302"/>
      <c r="Y528" s="305"/>
      <c r="Z528" s="304"/>
    </row>
    <row r="529" spans="1:26" ht="15.75">
      <c r="A529" s="6"/>
      <c r="B529" s="7"/>
      <c r="C529" s="6"/>
      <c r="D529" s="6"/>
      <c r="E529" s="6"/>
      <c r="F529" s="6"/>
      <c r="G529" s="6"/>
      <c r="H529" s="1"/>
      <c r="I529" s="9"/>
      <c r="J529" s="9"/>
      <c r="K529" s="11"/>
      <c r="L529" s="1"/>
      <c r="M529" s="205" t="s">
        <v>315</v>
      </c>
      <c r="N529" s="1" t="s">
        <v>315</v>
      </c>
      <c r="O529" s="9"/>
      <c r="P529" s="14">
        <f>Tabela1316[[#This Row],[Valor_recibo]]</f>
        <v>0</v>
      </c>
      <c r="Q529" s="16"/>
      <c r="R529" s="1" t="e">
        <f>VLOOKUP(#REF!,[2]Aprovados!A:A,1,0)</f>
        <v>#REF!</v>
      </c>
      <c r="S529" s="236"/>
      <c r="T529" s="235"/>
      <c r="U529" s="235"/>
      <c r="V529" s="294"/>
      <c r="W529" s="301" t="s">
        <v>315</v>
      </c>
      <c r="X529" s="302"/>
      <c r="Y529" s="305"/>
      <c r="Z529" s="304"/>
    </row>
    <row r="530" spans="1:26" ht="15.75">
      <c r="A530" s="6"/>
      <c r="B530" s="7"/>
      <c r="C530" s="6"/>
      <c r="D530" s="6"/>
      <c r="E530" s="6"/>
      <c r="F530" s="6"/>
      <c r="G530" s="6"/>
      <c r="H530" s="1"/>
      <c r="I530" s="9"/>
      <c r="J530" s="9"/>
      <c r="K530" s="11"/>
      <c r="L530" s="1"/>
      <c r="M530" s="205" t="s">
        <v>315</v>
      </c>
      <c r="N530" s="1" t="s">
        <v>315</v>
      </c>
      <c r="O530" s="9"/>
      <c r="P530" s="14">
        <f>Tabela1316[[#This Row],[Valor_recibo]]</f>
        <v>0</v>
      </c>
      <c r="Q530" s="16"/>
      <c r="R530" s="1" t="e">
        <f>VLOOKUP(#REF!,[2]Aprovados!A:A,1,0)</f>
        <v>#REF!</v>
      </c>
      <c r="S530" s="236"/>
      <c r="T530" s="235"/>
      <c r="U530" s="235"/>
      <c r="V530" s="294"/>
      <c r="W530" s="301" t="s">
        <v>315</v>
      </c>
      <c r="X530" s="302"/>
      <c r="Y530" s="305"/>
      <c r="Z530" s="304"/>
    </row>
    <row r="531" spans="1:26" ht="15.75">
      <c r="A531" s="6"/>
      <c r="B531" s="7"/>
      <c r="C531" s="6"/>
      <c r="D531" s="6"/>
      <c r="E531" s="6"/>
      <c r="F531" s="6"/>
      <c r="G531" s="6"/>
      <c r="H531" s="1"/>
      <c r="I531" s="9"/>
      <c r="J531" s="9"/>
      <c r="K531" s="11"/>
      <c r="L531" s="1"/>
      <c r="M531" s="205" t="s">
        <v>315</v>
      </c>
      <c r="N531" s="1" t="s">
        <v>315</v>
      </c>
      <c r="O531" s="9"/>
      <c r="P531" s="14">
        <f>Tabela1316[[#This Row],[Valor_recibo]]</f>
        <v>0</v>
      </c>
      <c r="Q531" s="16"/>
      <c r="R531" s="1" t="e">
        <f>VLOOKUP(#REF!,[2]Aprovados!A:A,1,0)</f>
        <v>#REF!</v>
      </c>
      <c r="S531" s="236"/>
      <c r="T531" s="235"/>
      <c r="U531" s="235"/>
      <c r="V531" s="294"/>
      <c r="W531" s="301" t="s">
        <v>315</v>
      </c>
      <c r="X531" s="302"/>
      <c r="Y531" s="305"/>
      <c r="Z531" s="304"/>
    </row>
    <row r="532" spans="1:26" ht="15.75">
      <c r="A532" s="6"/>
      <c r="B532" s="7"/>
      <c r="C532" s="6"/>
      <c r="D532" s="6"/>
      <c r="E532" s="6"/>
      <c r="F532" s="6"/>
      <c r="G532" s="6"/>
      <c r="H532" s="1"/>
      <c r="I532" s="9"/>
      <c r="J532" s="9"/>
      <c r="K532" s="11"/>
      <c r="L532" s="1"/>
      <c r="M532" s="205" t="s">
        <v>315</v>
      </c>
      <c r="N532" s="1" t="s">
        <v>315</v>
      </c>
      <c r="O532" s="9"/>
      <c r="P532" s="14">
        <f>Tabela1316[[#This Row],[Valor_recibo]]</f>
        <v>0</v>
      </c>
      <c r="Q532" s="16"/>
      <c r="R532" s="1" t="e">
        <f>VLOOKUP(#REF!,[2]Aprovados!A:A,1,0)</f>
        <v>#REF!</v>
      </c>
      <c r="S532" s="236"/>
      <c r="T532" s="235"/>
      <c r="U532" s="235"/>
      <c r="V532" s="294"/>
      <c r="W532" s="301" t="s">
        <v>315</v>
      </c>
      <c r="X532" s="302"/>
      <c r="Y532" s="305"/>
      <c r="Z532" s="304"/>
    </row>
    <row r="533" spans="1:26" ht="15.75">
      <c r="A533" s="1"/>
      <c r="B533" s="7"/>
      <c r="C533" s="6"/>
      <c r="D533" s="6"/>
      <c r="E533" s="6"/>
      <c r="F533" s="6"/>
      <c r="G533" s="6"/>
      <c r="H533" s="1"/>
      <c r="I533" s="9"/>
      <c r="J533" s="9"/>
      <c r="K533" s="11"/>
      <c r="L533" s="1"/>
      <c r="M533" s="205" t="s">
        <v>315</v>
      </c>
      <c r="N533" s="1" t="s">
        <v>315</v>
      </c>
      <c r="O533" s="9"/>
      <c r="P533" s="14">
        <f>Tabela1316[[#This Row],[Valor_recibo]]</f>
        <v>0</v>
      </c>
      <c r="Q533" s="16"/>
      <c r="R533" s="1" t="e">
        <f>VLOOKUP(#REF!,[2]Aprovados!A:A,1,0)</f>
        <v>#REF!</v>
      </c>
      <c r="S533" s="236"/>
      <c r="T533" s="235"/>
      <c r="U533" s="235"/>
      <c r="V533" s="294"/>
      <c r="W533" s="301" t="s">
        <v>315</v>
      </c>
      <c r="X533" s="302"/>
      <c r="Y533" s="305"/>
      <c r="Z533" s="304"/>
    </row>
    <row r="534" spans="1:26" ht="15.75">
      <c r="A534" s="1"/>
      <c r="B534" s="7"/>
      <c r="C534" s="59"/>
      <c r="D534" s="59"/>
      <c r="E534" s="59"/>
      <c r="F534" s="6"/>
      <c r="G534" s="6"/>
      <c r="H534" s="1"/>
      <c r="I534" s="9"/>
      <c r="J534" s="9"/>
      <c r="K534" s="11"/>
      <c r="L534" s="1"/>
      <c r="M534" s="205" t="s">
        <v>315</v>
      </c>
      <c r="N534" s="1" t="s">
        <v>315</v>
      </c>
      <c r="O534" s="9"/>
      <c r="P534" s="14">
        <f>Tabela1316[[#This Row],[Valor_recibo]]</f>
        <v>0</v>
      </c>
      <c r="Q534" s="16"/>
      <c r="R534" s="1" t="e">
        <f>VLOOKUP(#REF!,[2]Aprovados!A:A,1,0)</f>
        <v>#REF!</v>
      </c>
      <c r="S534" s="236"/>
      <c r="T534" s="235"/>
      <c r="U534" s="235"/>
      <c r="V534" s="294"/>
      <c r="W534" s="301" t="s">
        <v>315</v>
      </c>
      <c r="X534" s="302"/>
      <c r="Y534" s="305"/>
      <c r="Z534" s="304"/>
    </row>
    <row r="535" spans="1:26" ht="15.75">
      <c r="A535" s="1"/>
      <c r="B535" s="7"/>
      <c r="C535" s="59"/>
      <c r="D535" s="59"/>
      <c r="E535" s="59"/>
      <c r="F535" s="6"/>
      <c r="G535" s="6"/>
      <c r="H535" s="1"/>
      <c r="I535" s="9"/>
      <c r="J535" s="9"/>
      <c r="K535" s="11"/>
      <c r="L535" s="1"/>
      <c r="M535" s="205" t="s">
        <v>315</v>
      </c>
      <c r="N535" s="1" t="s">
        <v>315</v>
      </c>
      <c r="O535" s="9"/>
      <c r="P535" s="14">
        <f>Tabela1316[[#This Row],[Valor_recibo]]</f>
        <v>0</v>
      </c>
      <c r="Q535" s="16"/>
      <c r="R535" s="1" t="e">
        <f>VLOOKUP(#REF!,[2]Aprovados!A:A,1,0)</f>
        <v>#REF!</v>
      </c>
      <c r="S535" s="236"/>
      <c r="T535" s="235"/>
      <c r="U535" s="235"/>
      <c r="V535" s="294"/>
      <c r="W535" s="301" t="s">
        <v>315</v>
      </c>
      <c r="X535" s="302"/>
      <c r="Y535" s="304"/>
      <c r="Z535" s="304"/>
    </row>
    <row r="536" spans="1:26" ht="15.75">
      <c r="A536" s="1"/>
      <c r="B536" s="7"/>
      <c r="C536" s="59"/>
      <c r="D536" s="59"/>
      <c r="E536" s="59"/>
      <c r="F536" s="6"/>
      <c r="G536" s="62"/>
      <c r="H536" s="1"/>
      <c r="I536" s="9"/>
      <c r="J536" s="9"/>
      <c r="K536" s="11"/>
      <c r="L536" s="1"/>
      <c r="M536" s="205" t="s">
        <v>315</v>
      </c>
      <c r="N536" s="1" t="s">
        <v>315</v>
      </c>
      <c r="O536" s="9"/>
      <c r="P536" s="14">
        <f>Tabela1316[[#This Row],[Valor_recibo]]</f>
        <v>0</v>
      </c>
      <c r="Q536" s="16"/>
      <c r="R536" s="1" t="e">
        <f>VLOOKUP(#REF!,[2]Aprovados!A:A,1,0)</f>
        <v>#REF!</v>
      </c>
      <c r="S536" s="236"/>
      <c r="T536" s="235"/>
      <c r="U536" s="235"/>
      <c r="V536" s="294"/>
      <c r="W536" s="301" t="s">
        <v>315</v>
      </c>
      <c r="X536" s="302"/>
      <c r="Y536" s="304"/>
      <c r="Z536" s="304"/>
    </row>
    <row r="537" spans="1:26" ht="15.75">
      <c r="A537" s="1"/>
      <c r="B537" s="7"/>
      <c r="C537" s="59"/>
      <c r="D537" s="59"/>
      <c r="E537" s="59"/>
      <c r="F537" s="6"/>
      <c r="G537" s="6"/>
      <c r="H537" s="1"/>
      <c r="I537" s="9"/>
      <c r="J537" s="9"/>
      <c r="K537" s="11"/>
      <c r="L537" s="1"/>
      <c r="M537" s="205" t="s">
        <v>315</v>
      </c>
      <c r="N537" s="1" t="s">
        <v>315</v>
      </c>
      <c r="O537" s="9"/>
      <c r="P537" s="14">
        <f>Tabela1316[[#This Row],[Valor_recibo]]</f>
        <v>0</v>
      </c>
      <c r="Q537" s="16"/>
      <c r="R537" s="1" t="e">
        <f>VLOOKUP(#REF!,[2]Aprovados!A:A,1,0)</f>
        <v>#REF!</v>
      </c>
      <c r="S537" s="236"/>
      <c r="T537" s="235"/>
      <c r="U537" s="235"/>
      <c r="V537" s="294"/>
      <c r="W537" s="301" t="s">
        <v>315</v>
      </c>
      <c r="X537" s="302"/>
      <c r="Y537" s="304"/>
      <c r="Z537" s="304"/>
    </row>
    <row r="538" spans="1:26" ht="15.75">
      <c r="A538" s="1"/>
      <c r="B538" s="7"/>
      <c r="C538" s="59"/>
      <c r="D538" s="59"/>
      <c r="E538" s="59"/>
      <c r="F538" s="6"/>
      <c r="G538" s="6"/>
      <c r="H538" s="1"/>
      <c r="I538" s="9"/>
      <c r="J538" s="9"/>
      <c r="K538" s="11"/>
      <c r="L538" s="1"/>
      <c r="M538" s="205" t="s">
        <v>315</v>
      </c>
      <c r="N538" s="1" t="s">
        <v>315</v>
      </c>
      <c r="O538" s="9"/>
      <c r="P538" s="14">
        <f>Tabela1316[[#This Row],[Valor_recibo]]</f>
        <v>0</v>
      </c>
      <c r="Q538" s="16"/>
      <c r="R538" s="1" t="e">
        <f>VLOOKUP(#REF!,[2]Aprovados!A:A,1,0)</f>
        <v>#REF!</v>
      </c>
      <c r="S538" s="236"/>
      <c r="T538" s="235"/>
      <c r="U538" s="235"/>
      <c r="V538" s="294"/>
      <c r="W538" s="301" t="s">
        <v>315</v>
      </c>
      <c r="X538" s="302"/>
      <c r="Y538" s="304"/>
      <c r="Z538" s="304"/>
    </row>
    <row r="539" spans="1:26" ht="15.75">
      <c r="A539" s="1"/>
      <c r="B539" s="7"/>
      <c r="C539" s="59"/>
      <c r="D539" s="59"/>
      <c r="E539" s="59"/>
      <c r="F539" s="6"/>
      <c r="G539" s="6"/>
      <c r="H539" s="1"/>
      <c r="I539" s="9"/>
      <c r="J539" s="9"/>
      <c r="K539" s="11"/>
      <c r="L539" s="1"/>
      <c r="M539" s="205" t="s">
        <v>315</v>
      </c>
      <c r="N539" s="1" t="s">
        <v>315</v>
      </c>
      <c r="O539" s="9"/>
      <c r="P539" s="14">
        <f>Tabela1316[[#This Row],[Valor_recibo]]</f>
        <v>0</v>
      </c>
      <c r="Q539" s="16"/>
      <c r="R539" s="1" t="e">
        <f>VLOOKUP(#REF!,[2]Aprovados!A:A,1,0)</f>
        <v>#REF!</v>
      </c>
      <c r="S539" s="236"/>
      <c r="T539" s="235"/>
      <c r="U539" s="235"/>
      <c r="V539" s="294"/>
      <c r="W539" s="301" t="s">
        <v>315</v>
      </c>
      <c r="X539" s="302"/>
      <c r="Y539" s="304"/>
      <c r="Z539" s="304"/>
    </row>
    <row r="540" spans="1:26" ht="15.75">
      <c r="A540" s="1"/>
      <c r="B540" s="7"/>
      <c r="C540" s="59"/>
      <c r="D540" s="59"/>
      <c r="E540" s="59"/>
      <c r="F540" s="6"/>
      <c r="G540" s="6"/>
      <c r="H540" s="1"/>
      <c r="I540" s="9"/>
      <c r="J540" s="9"/>
      <c r="K540" s="11"/>
      <c r="L540" s="1"/>
      <c r="M540" s="205" t="s">
        <v>315</v>
      </c>
      <c r="N540" s="1" t="s">
        <v>315</v>
      </c>
      <c r="O540" s="9"/>
      <c r="P540" s="14">
        <f>Tabela1316[[#This Row],[Valor_recibo]]</f>
        <v>0</v>
      </c>
      <c r="Q540" s="16"/>
      <c r="R540" s="1" t="e">
        <f>VLOOKUP(#REF!,[2]Aprovados!A:A,1,0)</f>
        <v>#REF!</v>
      </c>
      <c r="S540" s="236"/>
      <c r="T540" s="235"/>
      <c r="U540" s="235"/>
      <c r="V540" s="294"/>
      <c r="W540" s="301" t="s">
        <v>315</v>
      </c>
      <c r="X540" s="302"/>
      <c r="Y540" s="304"/>
      <c r="Z540" s="304"/>
    </row>
    <row r="541" spans="1:26" ht="15.75">
      <c r="A541" s="63"/>
      <c r="B541" s="9"/>
      <c r="F541" s="1"/>
      <c r="H541" s="1"/>
      <c r="I541" s="9"/>
      <c r="J541" s="9"/>
      <c r="K541" s="11"/>
      <c r="L541" s="1"/>
      <c r="M541" s="205" t="s">
        <v>315</v>
      </c>
      <c r="N541" s="1" t="s">
        <v>315</v>
      </c>
      <c r="O541" s="9"/>
      <c r="P541" s="14">
        <f>Tabela1316[[#This Row],[Valor_recibo]]</f>
        <v>0</v>
      </c>
      <c r="Q541" s="16"/>
      <c r="R541" s="1" t="e">
        <f>VLOOKUP(#REF!,[2]Aprovados!A:A,1,0)</f>
        <v>#REF!</v>
      </c>
      <c r="S541" s="236"/>
      <c r="T541" s="235"/>
      <c r="U541" s="235"/>
      <c r="V541" s="294"/>
      <c r="W541" s="301" t="s">
        <v>315</v>
      </c>
      <c r="X541" s="302"/>
      <c r="Y541" s="304"/>
      <c r="Z541" s="304"/>
    </row>
    <row r="542" spans="1:26" ht="15.75">
      <c r="A542" s="1"/>
      <c r="B542" s="7"/>
      <c r="C542" s="59"/>
      <c r="D542" s="59"/>
      <c r="E542" s="59"/>
      <c r="F542" s="6"/>
      <c r="G542" s="64"/>
      <c r="H542" s="1"/>
      <c r="I542" s="9"/>
      <c r="J542" s="9"/>
      <c r="K542" s="11"/>
      <c r="L542" s="1"/>
      <c r="M542" s="205" t="s">
        <v>315</v>
      </c>
      <c r="N542" s="1" t="s">
        <v>315</v>
      </c>
      <c r="O542" s="9"/>
      <c r="P542" s="14">
        <f>Tabela1316[[#This Row],[Valor_recibo]]</f>
        <v>0</v>
      </c>
      <c r="Q542" s="16"/>
      <c r="R542" s="1" t="e">
        <f>VLOOKUP(#REF!,[2]Aprovados!A:A,1,0)</f>
        <v>#REF!</v>
      </c>
      <c r="S542" s="236"/>
      <c r="T542" s="235"/>
      <c r="U542" s="235"/>
      <c r="V542" s="294"/>
      <c r="W542" s="301" t="s">
        <v>315</v>
      </c>
      <c r="X542" s="302"/>
      <c r="Y542" s="304"/>
      <c r="Z542" s="304"/>
    </row>
    <row r="543" spans="1:26" ht="15.75">
      <c r="A543" s="1"/>
      <c r="B543" s="7"/>
      <c r="C543" s="59"/>
      <c r="D543" s="59"/>
      <c r="E543" s="59"/>
      <c r="F543" s="6"/>
      <c r="G543" s="6"/>
      <c r="H543" s="1"/>
      <c r="I543" s="9"/>
      <c r="J543" s="9"/>
      <c r="K543" s="11"/>
      <c r="L543" s="1"/>
      <c r="M543" s="205" t="s">
        <v>315</v>
      </c>
      <c r="N543" s="1" t="s">
        <v>315</v>
      </c>
      <c r="O543" s="9"/>
      <c r="P543" s="14">
        <f>Tabela1316[[#This Row],[Valor_recibo]]</f>
        <v>0</v>
      </c>
      <c r="Q543" s="16"/>
      <c r="R543" s="1" t="e">
        <f>VLOOKUP(#REF!,[2]Aprovados!A:A,1,0)</f>
        <v>#REF!</v>
      </c>
      <c r="S543" s="236"/>
      <c r="T543" s="235"/>
      <c r="U543" s="235"/>
      <c r="V543" s="294"/>
      <c r="W543" s="301" t="s">
        <v>315</v>
      </c>
      <c r="X543" s="302"/>
      <c r="Y543" s="304"/>
      <c r="Z543" s="304"/>
    </row>
    <row r="544" spans="1:26" ht="15.75">
      <c r="A544" s="65"/>
      <c r="B544" s="9"/>
      <c r="F544" s="1"/>
      <c r="H544" s="1"/>
      <c r="I544" s="9"/>
      <c r="J544" s="9"/>
      <c r="K544" s="11"/>
      <c r="L544" s="1"/>
      <c r="M544" s="205" t="s">
        <v>315</v>
      </c>
      <c r="N544" s="1" t="s">
        <v>315</v>
      </c>
      <c r="O544" s="9"/>
      <c r="P544" s="14">
        <f>Tabela1316[[#This Row],[Valor_recibo]]</f>
        <v>0</v>
      </c>
      <c r="Q544" s="16"/>
      <c r="R544" s="1" t="e">
        <f>VLOOKUP(#REF!,[2]Aprovados!A:A,1,0)</f>
        <v>#REF!</v>
      </c>
      <c r="S544" s="236"/>
      <c r="T544" s="235"/>
      <c r="U544" s="235"/>
      <c r="V544" s="294"/>
      <c r="W544" s="301" t="s">
        <v>315</v>
      </c>
      <c r="X544" s="302"/>
      <c r="Y544" s="304"/>
      <c r="Z544" s="304"/>
    </row>
    <row r="545" spans="1:26" ht="15.75">
      <c r="A545" s="1"/>
      <c r="B545" s="7"/>
      <c r="C545" s="59"/>
      <c r="D545" s="59"/>
      <c r="E545" s="59"/>
      <c r="F545" s="6"/>
      <c r="G545" s="6"/>
      <c r="H545" s="1"/>
      <c r="I545" s="9"/>
      <c r="J545" s="9"/>
      <c r="K545" s="11"/>
      <c r="L545" s="1"/>
      <c r="M545" s="205" t="s">
        <v>315</v>
      </c>
      <c r="N545" s="1" t="s">
        <v>315</v>
      </c>
      <c r="O545" s="9"/>
      <c r="P545" s="14">
        <f>Tabela1316[[#This Row],[Valor_recibo]]</f>
        <v>0</v>
      </c>
      <c r="Q545" s="16"/>
      <c r="R545" s="1" t="e">
        <f>VLOOKUP(#REF!,[2]Aprovados!A:A,1,0)</f>
        <v>#REF!</v>
      </c>
      <c r="S545" s="236"/>
      <c r="T545" s="235"/>
      <c r="U545" s="235"/>
      <c r="V545" s="294"/>
      <c r="W545" s="301" t="s">
        <v>315</v>
      </c>
      <c r="X545" s="302"/>
      <c r="Y545" s="304"/>
      <c r="Z545" s="304"/>
    </row>
    <row r="546" spans="1:26" ht="15.75">
      <c r="A546" s="1"/>
      <c r="B546" s="7"/>
      <c r="C546" s="59"/>
      <c r="D546" s="59"/>
      <c r="E546" s="59"/>
      <c r="F546" s="59"/>
      <c r="G546" s="6"/>
      <c r="H546" s="1"/>
      <c r="I546" s="9"/>
      <c r="J546" s="9"/>
      <c r="K546" s="11"/>
      <c r="L546" s="1"/>
      <c r="M546" s="205" t="s">
        <v>315</v>
      </c>
      <c r="N546" s="1" t="s">
        <v>315</v>
      </c>
      <c r="O546" s="9"/>
      <c r="P546" s="14">
        <f>Tabela1316[[#This Row],[Valor_recibo]]</f>
        <v>0</v>
      </c>
      <c r="Q546" s="16"/>
      <c r="R546" s="1" t="e">
        <f>VLOOKUP(#REF!,[2]Aprovados!A:A,1,0)</f>
        <v>#REF!</v>
      </c>
      <c r="S546" s="236"/>
      <c r="T546" s="235"/>
      <c r="U546" s="235"/>
      <c r="V546" s="294"/>
      <c r="W546" s="301" t="s">
        <v>315</v>
      </c>
      <c r="X546" s="302"/>
      <c r="Y546" s="304"/>
      <c r="Z546" s="304"/>
    </row>
    <row r="547" spans="1:26" ht="15.75">
      <c r="A547" s="1"/>
      <c r="B547" s="7"/>
      <c r="C547" s="59"/>
      <c r="D547" s="59"/>
      <c r="E547" s="59"/>
      <c r="F547" s="6"/>
      <c r="G547" s="6"/>
      <c r="H547" s="1"/>
      <c r="I547" s="9"/>
      <c r="J547" s="9"/>
      <c r="K547" s="11"/>
      <c r="L547" s="1"/>
      <c r="M547" s="205" t="s">
        <v>315</v>
      </c>
      <c r="N547" s="1" t="s">
        <v>315</v>
      </c>
      <c r="O547" s="9"/>
      <c r="P547" s="14">
        <f>Tabela1316[[#This Row],[Valor_recibo]]</f>
        <v>0</v>
      </c>
      <c r="Q547" s="16"/>
      <c r="R547" s="1" t="e">
        <f>VLOOKUP(#REF!,[2]Aprovados!A:A,1,0)</f>
        <v>#REF!</v>
      </c>
      <c r="S547" s="236"/>
      <c r="T547" s="235"/>
      <c r="U547" s="235"/>
      <c r="V547" s="294"/>
      <c r="W547" s="301" t="s">
        <v>315</v>
      </c>
      <c r="X547" s="302"/>
      <c r="Y547" s="304"/>
      <c r="Z547" s="304"/>
    </row>
    <row r="548" spans="1:26" ht="15.75">
      <c r="A548" s="1"/>
      <c r="B548" s="7"/>
      <c r="C548" s="59"/>
      <c r="D548" s="59"/>
      <c r="E548" s="59"/>
      <c r="F548" s="6"/>
      <c r="G548" s="6"/>
      <c r="H548" s="1"/>
      <c r="I548" s="9"/>
      <c r="J548" s="9"/>
      <c r="K548" s="11"/>
      <c r="L548" s="1"/>
      <c r="M548" s="205" t="s">
        <v>315</v>
      </c>
      <c r="N548" s="1" t="s">
        <v>315</v>
      </c>
      <c r="O548" s="9"/>
      <c r="P548" s="14">
        <f>Tabela1316[[#This Row],[Valor_recibo]]</f>
        <v>0</v>
      </c>
      <c r="Q548" s="16"/>
      <c r="R548" s="1" t="e">
        <f>VLOOKUP(#REF!,[2]Aprovados!A:A,1,0)</f>
        <v>#REF!</v>
      </c>
      <c r="S548" s="236"/>
      <c r="T548" s="235"/>
      <c r="U548" s="235"/>
      <c r="V548" s="294"/>
      <c r="W548" s="301" t="s">
        <v>315</v>
      </c>
      <c r="X548" s="302"/>
      <c r="Y548" s="304"/>
      <c r="Z548" s="304"/>
    </row>
    <row r="549" spans="1:26" ht="15.75">
      <c r="A549" s="1"/>
      <c r="B549" s="7"/>
      <c r="C549" s="59"/>
      <c r="D549" s="59"/>
      <c r="E549" s="59"/>
      <c r="F549" s="59"/>
      <c r="G549" s="59"/>
      <c r="H549" s="1"/>
      <c r="I549" s="9"/>
      <c r="J549" s="9"/>
      <c r="K549" s="11"/>
      <c r="L549" s="1"/>
      <c r="M549" s="205" t="s">
        <v>315</v>
      </c>
      <c r="N549" s="1" t="s">
        <v>315</v>
      </c>
      <c r="O549" s="9"/>
      <c r="P549" s="14">
        <f>Tabela1316[[#This Row],[Valor_recibo]]</f>
        <v>0</v>
      </c>
      <c r="Q549" s="16"/>
      <c r="R549" s="1" t="e">
        <f>VLOOKUP(#REF!,[2]Aprovados!A:A,1,0)</f>
        <v>#REF!</v>
      </c>
      <c r="S549" s="236"/>
      <c r="T549" s="235"/>
      <c r="U549" s="235"/>
      <c r="V549" s="294"/>
      <c r="W549" s="301" t="s">
        <v>315</v>
      </c>
      <c r="X549" s="302"/>
      <c r="Y549" s="304"/>
      <c r="Z549" s="304"/>
    </row>
    <row r="550" spans="1:26" ht="15.75">
      <c r="A550" s="1"/>
      <c r="B550" s="7"/>
      <c r="C550" s="59"/>
      <c r="D550" s="59"/>
      <c r="E550" s="59"/>
      <c r="F550" s="6"/>
      <c r="G550" s="6"/>
      <c r="H550" s="1"/>
      <c r="I550" s="9"/>
      <c r="J550" s="9"/>
      <c r="K550" s="11"/>
      <c r="L550" s="1"/>
      <c r="M550" s="205" t="s">
        <v>315</v>
      </c>
      <c r="N550" s="1" t="s">
        <v>315</v>
      </c>
      <c r="O550" s="9"/>
      <c r="P550" s="14">
        <f>Tabela1316[[#This Row],[Valor_recibo]]</f>
        <v>0</v>
      </c>
      <c r="Q550" s="16"/>
      <c r="R550" s="1" t="e">
        <f>VLOOKUP(#REF!,[2]Aprovados!A:A,1,0)</f>
        <v>#REF!</v>
      </c>
      <c r="S550" s="236"/>
      <c r="T550" s="235"/>
      <c r="U550" s="235"/>
      <c r="V550" s="294"/>
      <c r="W550" s="301" t="s">
        <v>315</v>
      </c>
      <c r="X550" s="302"/>
      <c r="Y550" s="304"/>
      <c r="Z550" s="304"/>
    </row>
    <row r="551" spans="1:26" ht="15.75">
      <c r="A551" s="1"/>
      <c r="B551" s="7"/>
      <c r="C551" s="59"/>
      <c r="D551" s="59"/>
      <c r="E551" s="59"/>
      <c r="F551" s="6"/>
      <c r="G551" s="6"/>
      <c r="H551" s="1"/>
      <c r="I551" s="9"/>
      <c r="J551" s="9"/>
      <c r="K551" s="11"/>
      <c r="L551" s="1"/>
      <c r="M551" s="205" t="s">
        <v>315</v>
      </c>
      <c r="N551" s="1" t="s">
        <v>315</v>
      </c>
      <c r="O551" s="9"/>
      <c r="P551" s="14">
        <f>Tabela1316[[#This Row],[Valor_recibo]]</f>
        <v>0</v>
      </c>
      <c r="Q551" s="16"/>
      <c r="R551" s="1" t="e">
        <f>VLOOKUP(#REF!,[2]Aprovados!A:A,1,0)</f>
        <v>#REF!</v>
      </c>
      <c r="S551" s="236"/>
      <c r="T551" s="235"/>
      <c r="U551" s="235"/>
      <c r="V551" s="294"/>
      <c r="W551" s="301" t="s">
        <v>315</v>
      </c>
      <c r="X551" s="302"/>
      <c r="Y551" s="304"/>
      <c r="Z551" s="304"/>
    </row>
    <row r="552" spans="1:26" ht="15.75">
      <c r="A552" s="1"/>
      <c r="B552" s="7"/>
      <c r="C552" s="59"/>
      <c r="D552" s="59"/>
      <c r="E552" s="59"/>
      <c r="F552" s="59"/>
      <c r="G552" s="6"/>
      <c r="H552" s="1"/>
      <c r="I552" s="9"/>
      <c r="J552" s="9"/>
      <c r="K552" s="11"/>
      <c r="L552" s="1"/>
      <c r="M552" s="205" t="s">
        <v>315</v>
      </c>
      <c r="N552" s="1" t="s">
        <v>315</v>
      </c>
      <c r="O552" s="9"/>
      <c r="P552" s="14">
        <f>Tabela1316[[#This Row],[Valor_recibo]]</f>
        <v>0</v>
      </c>
      <c r="Q552" s="16"/>
      <c r="R552" s="1" t="e">
        <f>VLOOKUP(#REF!,[2]Aprovados!A:A,1,0)</f>
        <v>#REF!</v>
      </c>
      <c r="S552" s="236"/>
      <c r="T552" s="235"/>
      <c r="U552" s="235"/>
      <c r="V552" s="294"/>
      <c r="W552" s="301" t="s">
        <v>315</v>
      </c>
      <c r="X552" s="302"/>
      <c r="Y552" s="304"/>
      <c r="Z552" s="304"/>
    </row>
    <row r="553" spans="1:26" ht="15.75">
      <c r="A553" s="1"/>
      <c r="B553" s="7"/>
      <c r="C553" s="59"/>
      <c r="D553" s="59"/>
      <c r="E553" s="59"/>
      <c r="F553" s="6"/>
      <c r="G553" s="6"/>
      <c r="H553" s="1"/>
      <c r="I553" s="9"/>
      <c r="J553" s="9"/>
      <c r="K553" s="11"/>
      <c r="L553" s="1"/>
      <c r="M553" s="205" t="s">
        <v>315</v>
      </c>
      <c r="N553" s="1" t="s">
        <v>315</v>
      </c>
      <c r="O553" s="9"/>
      <c r="P553" s="14">
        <f>Tabela1316[[#This Row],[Valor_recibo]]</f>
        <v>0</v>
      </c>
      <c r="Q553" s="16"/>
      <c r="R553" s="1" t="e">
        <f>VLOOKUP(#REF!,[2]Aprovados!A:A,1,0)</f>
        <v>#REF!</v>
      </c>
      <c r="S553" s="236"/>
      <c r="T553" s="235"/>
      <c r="U553" s="235"/>
      <c r="V553" s="294"/>
      <c r="W553" s="301" t="s">
        <v>315</v>
      </c>
      <c r="X553" s="302"/>
      <c r="Y553" s="304"/>
      <c r="Z553" s="304"/>
    </row>
    <row r="554" spans="1:26" ht="15.75">
      <c r="A554" s="1"/>
      <c r="B554" s="7"/>
      <c r="C554" s="59"/>
      <c r="D554" s="59"/>
      <c r="E554" s="59"/>
      <c r="F554" s="59"/>
      <c r="G554" s="59"/>
      <c r="H554" s="1"/>
      <c r="I554" s="9"/>
      <c r="J554" s="9"/>
      <c r="K554" s="11"/>
      <c r="L554" s="1"/>
      <c r="M554" s="205" t="s">
        <v>315</v>
      </c>
      <c r="N554" s="1" t="s">
        <v>315</v>
      </c>
      <c r="O554" s="9"/>
      <c r="P554" s="14">
        <f>Tabela1316[[#This Row],[Valor_recibo]]</f>
        <v>0</v>
      </c>
      <c r="Q554" s="16"/>
      <c r="R554" s="1" t="e">
        <f>VLOOKUP(#REF!,[2]Aprovados!A:A,1,0)</f>
        <v>#REF!</v>
      </c>
      <c r="S554" s="236"/>
      <c r="T554" s="235"/>
      <c r="U554" s="235"/>
      <c r="V554" s="294"/>
      <c r="W554" s="301" t="s">
        <v>315</v>
      </c>
      <c r="X554" s="302"/>
      <c r="Y554" s="304"/>
      <c r="Z554" s="304"/>
    </row>
    <row r="555" spans="1:26" ht="15.75">
      <c r="A555" s="1"/>
      <c r="B555" s="7"/>
      <c r="C555" s="139"/>
      <c r="D555" s="309"/>
      <c r="E555" s="309"/>
      <c r="F555" s="6"/>
      <c r="G555" s="59"/>
      <c r="H555" s="1"/>
      <c r="I555" s="9"/>
      <c r="J555" s="9"/>
      <c r="K555" s="11"/>
      <c r="L555" s="1"/>
      <c r="M555" s="205" t="s">
        <v>315</v>
      </c>
      <c r="N555" s="1" t="s">
        <v>315</v>
      </c>
      <c r="O555" s="9"/>
      <c r="P555" s="14">
        <f>Tabela1316[[#This Row],[Valor_recibo]]</f>
        <v>0</v>
      </c>
      <c r="Q555" s="16"/>
      <c r="R555" s="1" t="e">
        <f>VLOOKUP(#REF!,[2]Aprovados!A:A,1,0)</f>
        <v>#REF!</v>
      </c>
      <c r="S555" s="236"/>
      <c r="T555" s="235"/>
      <c r="U555" s="235"/>
      <c r="V555" s="294"/>
      <c r="W555" s="301" t="s">
        <v>315</v>
      </c>
      <c r="X555" s="302"/>
      <c r="Y555" s="304"/>
      <c r="Z555" s="304"/>
    </row>
    <row r="556" spans="1:26" ht="15.75">
      <c r="A556" s="1"/>
      <c r="B556" s="7"/>
      <c r="C556" s="59"/>
      <c r="D556" s="59"/>
      <c r="E556" s="59"/>
      <c r="F556" s="59"/>
      <c r="G556" s="59"/>
      <c r="H556" s="1"/>
      <c r="I556" s="9"/>
      <c r="J556" s="9"/>
      <c r="K556" s="11"/>
      <c r="L556" s="1"/>
      <c r="M556" s="205" t="s">
        <v>315</v>
      </c>
      <c r="N556" s="1" t="s">
        <v>315</v>
      </c>
      <c r="O556" s="9"/>
      <c r="P556" s="14">
        <f>Tabela1316[[#This Row],[Valor_recibo]]</f>
        <v>0</v>
      </c>
      <c r="Q556" s="16">
        <f t="shared" ref="Q556:Q558" si="1">IFERROR(IF(N556="PENDENTE",-P556,K556-P556),0)</f>
        <v>0</v>
      </c>
      <c r="R556" s="1" t="e">
        <f>VLOOKUP(#REF!,[2]Aprovados!A:A,1,0)</f>
        <v>#REF!</v>
      </c>
      <c r="S556" s="236"/>
      <c r="T556" s="235"/>
      <c r="U556" s="235"/>
      <c r="V556" s="294"/>
      <c r="W556" s="301" t="s">
        <v>315</v>
      </c>
      <c r="X556" s="302"/>
      <c r="Y556" s="304"/>
      <c r="Z556" s="304"/>
    </row>
    <row r="557" spans="1:26" ht="15.75">
      <c r="A557" s="1"/>
      <c r="B557" s="7"/>
      <c r="C557" s="59"/>
      <c r="D557" s="59"/>
      <c r="E557" s="59"/>
      <c r="F557" s="59"/>
      <c r="G557" s="59"/>
      <c r="H557" s="1"/>
      <c r="I557" s="9"/>
      <c r="J557" s="9"/>
      <c r="K557" s="11"/>
      <c r="L557" s="1"/>
      <c r="M557" s="205" t="s">
        <v>315</v>
      </c>
      <c r="N557" s="1" t="s">
        <v>315</v>
      </c>
      <c r="O557" s="9"/>
      <c r="P557" s="14">
        <f>Tabela1316[[#This Row],[Valor_recibo]]</f>
        <v>0</v>
      </c>
      <c r="Q557" s="16">
        <f t="shared" si="1"/>
        <v>0</v>
      </c>
      <c r="R557" s="1" t="e">
        <f>VLOOKUP(#REF!,[2]Aprovados!A:A,1,0)</f>
        <v>#REF!</v>
      </c>
      <c r="S557" s="236"/>
      <c r="T557" s="235"/>
      <c r="U557" s="235"/>
      <c r="V557" s="294"/>
      <c r="W557" s="301" t="s">
        <v>315</v>
      </c>
      <c r="X557" s="302"/>
      <c r="Y557" s="304"/>
      <c r="Z557" s="304"/>
    </row>
    <row r="558" spans="1:26" ht="15.75">
      <c r="A558" s="1"/>
      <c r="B558" s="7"/>
      <c r="C558" s="59"/>
      <c r="D558" s="59"/>
      <c r="E558" s="59"/>
      <c r="F558" s="59"/>
      <c r="G558" s="59"/>
      <c r="H558" s="1"/>
      <c r="I558" s="9"/>
      <c r="J558" s="9"/>
      <c r="K558" s="11"/>
      <c r="L558" s="1"/>
      <c r="M558" s="205" t="s">
        <v>315</v>
      </c>
      <c r="N558" s="1" t="s">
        <v>315</v>
      </c>
      <c r="O558" s="9"/>
      <c r="P558" s="14">
        <f>Tabela1316[[#This Row],[Valor_recibo]]</f>
        <v>0</v>
      </c>
      <c r="Q558" s="16">
        <f t="shared" si="1"/>
        <v>0</v>
      </c>
      <c r="R558" s="1" t="e">
        <f>VLOOKUP(#REF!,[2]Aprovados!A:A,1,0)</f>
        <v>#REF!</v>
      </c>
      <c r="S558" s="236"/>
      <c r="T558" s="235"/>
      <c r="U558" s="235"/>
      <c r="V558" s="294"/>
      <c r="W558" s="301" t="s">
        <v>315</v>
      </c>
      <c r="X558" s="302"/>
      <c r="Y558" s="304"/>
      <c r="Z558" s="304"/>
    </row>
    <row r="559" spans="1:26">
      <c r="A559" s="1"/>
      <c r="B559" s="7"/>
      <c r="C559" s="59"/>
      <c r="D559" s="59"/>
      <c r="E559" s="59"/>
      <c r="F559" s="59"/>
      <c r="G559" s="59"/>
      <c r="H559" s="1"/>
      <c r="I559" s="9"/>
      <c r="J559" s="9"/>
      <c r="K559" s="11"/>
      <c r="L559" s="1"/>
      <c r="M559" s="1"/>
      <c r="N559" s="1"/>
      <c r="O559" s="9"/>
      <c r="P559" s="14">
        <f>Tabela1316[[#This Row],[Valor_recibo]]</f>
        <v>0</v>
      </c>
      <c r="Q559" s="16">
        <f>IFERROR(IF(N559="PENDENTE",-P559,K559-P559),0)</f>
        <v>0</v>
      </c>
      <c r="R559" s="1" t="e">
        <f>VLOOKUP(#REF!,[2]Aprovados!A:A,1,0)</f>
        <v>#REF!</v>
      </c>
      <c r="Y559" s="300"/>
    </row>
    <row r="564" spans="12:60" ht="15" customHeight="1">
      <c r="L564" t="s">
        <v>527</v>
      </c>
    </row>
    <row r="565" spans="12:60" ht="15" customHeight="1">
      <c r="BH565" t="s">
        <v>528</v>
      </c>
    </row>
  </sheetData>
  <autoFilter ref="S2:Z206" xr:uid="{AAE28C2B-50DF-4657-B2EB-30BE75C4A2EF}"/>
  <conditionalFormatting sqref="A43:A1048576 A1:A41">
    <cfRule type="duplicateValues" dxfId="328" priority="109"/>
  </conditionalFormatting>
  <conditionalFormatting sqref="A42">
    <cfRule type="duplicateValues" dxfId="327" priority="7"/>
  </conditionalFormatting>
  <conditionalFormatting sqref="A541">
    <cfRule type="duplicateValues" dxfId="326" priority="112"/>
  </conditionalFormatting>
  <conditionalFormatting sqref="A544">
    <cfRule type="duplicateValues" dxfId="325" priority="111"/>
  </conditionalFormatting>
  <conditionalFormatting sqref="C555:E555">
    <cfRule type="cellIs" dxfId="324" priority="110" operator="equal">
      <formula>"CANCELADO"</formula>
    </cfRule>
  </conditionalFormatting>
  <conditionalFormatting sqref="M3:M41 W3:Y527">
    <cfRule type="cellIs" dxfId="323" priority="26" operator="equal">
      <formula>"PENDENTE"</formula>
    </cfRule>
  </conditionalFormatting>
  <conditionalFormatting sqref="M3:M42">
    <cfRule type="cellIs" dxfId="322" priority="1" operator="equal">
      <formula>"LANÇADO"</formula>
    </cfRule>
    <cfRule type="containsText" dxfId="321" priority="3" operator="containsText" text="APROVADO;PENDENTE">
      <formula>NOT(ISERROR(SEARCH("APROVADO;PENDENTE",M3)))</formula>
    </cfRule>
  </conditionalFormatting>
  <conditionalFormatting sqref="M43:M558 M3:M41 W3:Y527">
    <cfRule type="cellIs" dxfId="320" priority="25" operator="equal">
      <formula>"LANÇADO"</formula>
    </cfRule>
  </conditionalFormatting>
  <conditionalFormatting sqref="M43:M558">
    <cfRule type="cellIs" dxfId="319" priority="15" operator="equal">
      <formula>"LANÇADO"</formula>
    </cfRule>
    <cfRule type="cellIs" dxfId="318" priority="16" operator="equal">
      <formula>"PENDENTE"</formula>
    </cfRule>
    <cfRule type="containsText" dxfId="317" priority="24" operator="containsText" text="APROVADO;PENDENTE">
      <formula>NOT(ISERROR(SEARCH("APROVADO;PENDENTE",M43)))</formula>
    </cfRule>
  </conditionalFormatting>
  <conditionalFormatting sqref="M178:M182 M184:M194">
    <cfRule type="cellIs" dxfId="316" priority="12" operator="equal">
      <formula>"LANÇADO"</formula>
    </cfRule>
    <cfRule type="containsText" dxfId="315" priority="14" operator="containsText" text="APROVADO;PENDENTE">
      <formula>NOT(ISERROR(SEARCH("APROVADO;PENDENTE",M178)))</formula>
    </cfRule>
  </conditionalFormatting>
  <conditionalFormatting sqref="M42:O42">
    <cfRule type="cellIs" dxfId="314" priority="4" operator="equal">
      <formula>"LANÇADO"</formula>
    </cfRule>
  </conditionalFormatting>
  <conditionalFormatting sqref="N43:O558 U9:U206 N3:O41">
    <cfRule type="cellIs" dxfId="313" priority="113" operator="equal">
      <formula>"LANÇADO"</formula>
    </cfRule>
    <cfRule type="cellIs" dxfId="312" priority="114" operator="equal">
      <formula>"PENDENTE"</formula>
    </cfRule>
  </conditionalFormatting>
  <conditionalFormatting sqref="Q1:R1 Q2 S207:V558 Q207:R1048576 Q110:T206 S78:T102 S58:T75 Q43:R109 S54:T56 V9:V206 S9:T52 Q3:R41 S3:V8">
    <cfRule type="cellIs" dxfId="311" priority="115" operator="lessThan">
      <formula>0</formula>
    </cfRule>
  </conditionalFormatting>
  <conditionalFormatting sqref="S76">
    <cfRule type="cellIs" dxfId="310" priority="74" operator="equal">
      <formula>"LANÇADO"</formula>
    </cfRule>
    <cfRule type="cellIs" dxfId="309" priority="75" operator="equal">
      <formula>"PENDENTE"</formula>
    </cfRule>
  </conditionalFormatting>
  <conditionalFormatting sqref="Q42">
    <cfRule type="cellIs" dxfId="308" priority="6" operator="lessThan">
      <formula>0</formula>
    </cfRule>
  </conditionalFormatting>
  <conditionalFormatting sqref="S104:T109">
    <cfRule type="cellIs" dxfId="307" priority="37" operator="lessThan">
      <formula>0</formula>
    </cfRule>
  </conditionalFormatting>
  <conditionalFormatting sqref="T53 T57 T76 S77 T103">
    <cfRule type="cellIs" dxfId="306" priority="108" operator="lessThan">
      <formula>0</formula>
    </cfRule>
  </conditionalFormatting>
  <conditionalFormatting sqref="U3:U8">
    <cfRule type="containsText" dxfId="305" priority="102" operator="containsText" text="RECEBIDO">
      <formula>NOT(ISERROR(SEARCH("RECEBIDO",U3)))</formula>
    </cfRule>
    <cfRule type="containsText" dxfId="304" priority="103" operator="containsText" text="PENDENTE">
      <formula>NOT(ISERROR(SEARCH("PENDENTE",U3)))</formula>
    </cfRule>
  </conditionalFormatting>
  <conditionalFormatting sqref="V40:V41 V43:V44">
    <cfRule type="cellIs" dxfId="303" priority="84" operator="equal">
      <formula>"LANÇADO"</formula>
    </cfRule>
    <cfRule type="cellIs" dxfId="302" priority="85" operator="equal">
      <formula>"PENDENTE"</formula>
    </cfRule>
  </conditionalFormatting>
  <conditionalFormatting sqref="V47:V49">
    <cfRule type="cellIs" dxfId="301" priority="72" operator="equal">
      <formula>"LANÇADO"</formula>
    </cfRule>
    <cfRule type="cellIs" dxfId="300" priority="73" operator="equal">
      <formula>"PENDENTE"</formula>
    </cfRule>
  </conditionalFormatting>
  <conditionalFormatting sqref="V52:V54">
    <cfRule type="cellIs" dxfId="299" priority="106" operator="equal">
      <formula>"LANÇADO"</formula>
    </cfRule>
    <cfRule type="cellIs" dxfId="298" priority="107" operator="equal">
      <formula>"PENDENTE"</formula>
    </cfRule>
  </conditionalFormatting>
  <conditionalFormatting sqref="V57:V58">
    <cfRule type="cellIs" dxfId="297" priority="48" operator="equal">
      <formula>"LANÇADO"</formula>
    </cfRule>
    <cfRule type="cellIs" dxfId="296" priority="49" operator="equal">
      <formula>"PENDENTE"</formula>
    </cfRule>
  </conditionalFormatting>
  <conditionalFormatting sqref="V103">
    <cfRule type="cellIs" dxfId="295" priority="38" operator="equal">
      <formula>"LANÇADO"</formula>
    </cfRule>
    <cfRule type="cellIs" dxfId="294" priority="39" operator="equal">
      <formula>"PENDENTE"</formula>
    </cfRule>
  </conditionalFormatting>
  <conditionalFormatting sqref="V189">
    <cfRule type="cellIs" dxfId="293" priority="27" operator="equal">
      <formula>"LANÇADO"</formula>
    </cfRule>
    <cfRule type="cellIs" dxfId="292" priority="28" operator="equal">
      <formula>"PENDENTE"</formula>
    </cfRule>
  </conditionalFormatting>
  <conditionalFormatting sqref="W528:W558">
    <cfRule type="cellIs" dxfId="291" priority="8" operator="equal">
      <formula>"LANÇADO"</formula>
    </cfRule>
    <cfRule type="cellIs" dxfId="290" priority="9" operator="equal">
      <formula>"PENDENTE"</formula>
    </cfRule>
  </conditionalFormatting>
  <conditionalFormatting sqref="M42:O42">
    <cfRule type="cellIs" dxfId="289" priority="5" operator="equal">
      <formula>"PENDENTE"</formula>
    </cfRule>
  </conditionalFormatting>
  <conditionalFormatting sqref="AA2:AB2">
    <cfRule type="cellIs" dxfId="288" priority="79" operator="lessThan">
      <formula>0</formula>
    </cfRule>
  </conditionalFormatting>
  <conditionalFormatting sqref="AB2">
    <cfRule type="cellIs" dxfId="287" priority="77" operator="equal">
      <formula>"LANÇADO"</formula>
    </cfRule>
    <cfRule type="cellIs" dxfId="286" priority="78" operator="equal">
      <formula>"PENDENTE"</formula>
    </cfRule>
  </conditionalFormatting>
  <dataValidations count="5">
    <dataValidation allowBlank="1" showInputMessage="1" showErrorMessage="1" sqref="X176:X527 X80:X150 X62:X78 X43:X60 O1:O1048576 Y1:Y534 X3:X41" xr:uid="{D45431FC-8B4D-4FE5-9A03-E152E3C30CFA}"/>
    <dataValidation type="list" allowBlank="1" showInputMessage="1" showErrorMessage="1" sqref="M42:N42 N43:N558 U9:U206 W3:W558 N3:N41" xr:uid="{FD0E1190-1274-4724-9FBF-9C3FAFAB1FF8}">
      <formula1>"LANÇADO,PENDENTE"</formula1>
    </dataValidation>
    <dataValidation type="list" allowBlank="1" showInputMessage="1" showErrorMessage="1" sqref="M43:M558 M3:M41" xr:uid="{EC5D78D1-013D-48E4-B08E-9A30C9E4CCFC}">
      <formula1>"PENDENTE,APROVADO"</formula1>
    </dataValidation>
    <dataValidation type="list" allowBlank="1" showInputMessage="1" showErrorMessage="1" sqref="U3:U8" xr:uid="{93705810-B13D-4B5D-BF23-7EEE424A7B9A}">
      <formula1>"PENDENTE,RECEBIDO"</formula1>
    </dataValidation>
    <dataValidation type="list" allowBlank="1" showInputMessage="1" showErrorMessage="1" sqref="L3:L395" xr:uid="{56E20D1C-A304-4DFE-BC24-91CC40A3CF14}">
      <formula1>"PENDENTE,OK"</formula1>
    </dataValidation>
  </dataValidations>
  <hyperlinks>
    <hyperlink ref="B177" r:id="rId1" xr:uid="{D24D782F-F8B2-44D3-A3DD-9876BCE45B10}"/>
  </hyperlinks>
  <pageMargins left="0.511811024" right="0.511811024" top="0.78740157499999996" bottom="0.78740157499999996" header="0.31496062000000002" footer="0.31496062000000002"/>
  <pageSetup paperSize="9" orientation="portrait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6BED-907A-40E7-9832-ED427E8A6F3B}">
  <dimension ref="A1:C218"/>
  <sheetViews>
    <sheetView workbookViewId="0">
      <selection activeCell="E11" sqref="E11"/>
    </sheetView>
  </sheetViews>
  <sheetFormatPr defaultRowHeight="15"/>
  <cols>
    <col min="1" max="1" width="28.28515625" bestFit="1" customWidth="1"/>
    <col min="2" max="2" width="8.5703125" bestFit="1" customWidth="1"/>
    <col min="3" max="3" width="11.28515625" bestFit="1" customWidth="1"/>
  </cols>
  <sheetData>
    <row r="1" spans="1:3">
      <c r="A1" s="311" t="s">
        <v>564</v>
      </c>
      <c r="B1" s="310" t="s">
        <v>562</v>
      </c>
      <c r="C1" s="310" t="s">
        <v>563</v>
      </c>
    </row>
    <row r="2" spans="1:3">
      <c r="A2" s="312" t="s">
        <v>497</v>
      </c>
      <c r="B2" s="312" t="s">
        <v>565</v>
      </c>
      <c r="C2" s="312" t="s">
        <v>562</v>
      </c>
    </row>
    <row r="3" spans="1:3">
      <c r="A3" s="312" t="s">
        <v>384</v>
      </c>
      <c r="B3" s="312" t="s">
        <v>566</v>
      </c>
      <c r="C3" s="312" t="s">
        <v>562</v>
      </c>
    </row>
    <row r="4" spans="1:3">
      <c r="A4" s="312" t="s">
        <v>385</v>
      </c>
      <c r="B4" s="312" t="s">
        <v>567</v>
      </c>
      <c r="C4" s="312" t="s">
        <v>562</v>
      </c>
    </row>
    <row r="5" spans="1:3">
      <c r="A5" s="312" t="s">
        <v>326</v>
      </c>
      <c r="B5" s="312" t="s">
        <v>568</v>
      </c>
      <c r="C5" s="312" t="s">
        <v>562</v>
      </c>
    </row>
    <row r="6" spans="1:3">
      <c r="A6" s="312" t="s">
        <v>388</v>
      </c>
      <c r="B6" s="312" t="s">
        <v>569</v>
      </c>
      <c r="C6" s="312" t="s">
        <v>562</v>
      </c>
    </row>
    <row r="7" spans="1:3">
      <c r="A7" s="312" t="s">
        <v>389</v>
      </c>
      <c r="B7" s="312"/>
      <c r="C7" s="312" t="s">
        <v>570</v>
      </c>
    </row>
    <row r="8" spans="1:3">
      <c r="A8" s="312" t="s">
        <v>392</v>
      </c>
      <c r="B8" s="312" t="s">
        <v>571</v>
      </c>
      <c r="C8" s="312" t="s">
        <v>562</v>
      </c>
    </row>
    <row r="9" spans="1:3">
      <c r="A9" s="312" t="s">
        <v>394</v>
      </c>
      <c r="B9" s="312" t="s">
        <v>572</v>
      </c>
      <c r="C9" s="312" t="s">
        <v>562</v>
      </c>
    </row>
    <row r="10" spans="1:3">
      <c r="A10" s="312" t="s">
        <v>396</v>
      </c>
      <c r="B10" s="312" t="s">
        <v>573</v>
      </c>
      <c r="C10" s="312" t="s">
        <v>562</v>
      </c>
    </row>
    <row r="11" spans="1:3">
      <c r="A11" s="312" t="s">
        <v>399</v>
      </c>
      <c r="B11" s="312"/>
      <c r="C11" s="312" t="s">
        <v>570</v>
      </c>
    </row>
    <row r="12" spans="1:3">
      <c r="A12" s="312" t="s">
        <v>401</v>
      </c>
      <c r="B12" s="312" t="s">
        <v>574</v>
      </c>
      <c r="C12" s="312" t="s">
        <v>562</v>
      </c>
    </row>
    <row r="13" spans="1:3">
      <c r="A13" s="312" t="s">
        <v>575</v>
      </c>
      <c r="B13" s="312"/>
      <c r="C13" s="312" t="s">
        <v>570</v>
      </c>
    </row>
    <row r="14" spans="1:3">
      <c r="A14" s="312" t="s">
        <v>511</v>
      </c>
      <c r="B14" s="312"/>
      <c r="C14" s="312" t="s">
        <v>570</v>
      </c>
    </row>
    <row r="15" spans="1:3">
      <c r="A15" s="312" t="s">
        <v>404</v>
      </c>
      <c r="B15" s="312"/>
      <c r="C15" s="312" t="s">
        <v>570</v>
      </c>
    </row>
    <row r="16" spans="1:3">
      <c r="A16" s="312" t="s">
        <v>399</v>
      </c>
      <c r="B16" s="312"/>
      <c r="C16" s="312" t="s">
        <v>570</v>
      </c>
    </row>
    <row r="17" spans="1:3">
      <c r="A17" s="312" t="s">
        <v>412</v>
      </c>
      <c r="B17" s="312"/>
      <c r="C17" s="312" t="s">
        <v>576</v>
      </c>
    </row>
    <row r="18" spans="1:3">
      <c r="A18" s="312" t="s">
        <v>408</v>
      </c>
      <c r="B18" s="312" t="s">
        <v>577</v>
      </c>
      <c r="C18" s="312" t="s">
        <v>562</v>
      </c>
    </row>
    <row r="19" spans="1:3">
      <c r="A19" s="312" t="s">
        <v>384</v>
      </c>
      <c r="B19" s="312" t="s">
        <v>574</v>
      </c>
      <c r="C19" s="312" t="s">
        <v>562</v>
      </c>
    </row>
    <row r="20" spans="1:3">
      <c r="A20" s="312" t="s">
        <v>394</v>
      </c>
      <c r="B20" s="312" t="s">
        <v>572</v>
      </c>
      <c r="C20" s="312" t="s">
        <v>562</v>
      </c>
    </row>
    <row r="21" spans="1:3">
      <c r="A21" s="312" t="s">
        <v>385</v>
      </c>
      <c r="B21" s="312" t="s">
        <v>567</v>
      </c>
      <c r="C21" s="312" t="s">
        <v>562</v>
      </c>
    </row>
    <row r="22" spans="1:3">
      <c r="A22" s="312" t="s">
        <v>326</v>
      </c>
      <c r="B22" s="312" t="s">
        <v>568</v>
      </c>
      <c r="C22" s="312" t="s">
        <v>562</v>
      </c>
    </row>
    <row r="23" spans="1:3">
      <c r="A23" s="312" t="s">
        <v>388</v>
      </c>
      <c r="B23" s="312" t="s">
        <v>569</v>
      </c>
      <c r="C23" s="312" t="s">
        <v>562</v>
      </c>
    </row>
    <row r="24" spans="1:3">
      <c r="A24" s="312" t="s">
        <v>385</v>
      </c>
      <c r="B24" s="312" t="s">
        <v>567</v>
      </c>
      <c r="C24" s="312" t="s">
        <v>562</v>
      </c>
    </row>
    <row r="25" spans="1:3">
      <c r="A25" s="312" t="s">
        <v>439</v>
      </c>
      <c r="B25" s="312"/>
      <c r="C25" s="312" t="s">
        <v>576</v>
      </c>
    </row>
    <row r="26" spans="1:3">
      <c r="A26" s="312" t="s">
        <v>384</v>
      </c>
      <c r="B26" s="312" t="s">
        <v>574</v>
      </c>
      <c r="C26" s="312" t="s">
        <v>562</v>
      </c>
    </row>
    <row r="27" spans="1:3">
      <c r="A27" s="312" t="s">
        <v>408</v>
      </c>
      <c r="B27" s="312" t="s">
        <v>577</v>
      </c>
      <c r="C27" s="312" t="s">
        <v>562</v>
      </c>
    </row>
    <row r="28" spans="1:3">
      <c r="A28" s="312" t="s">
        <v>326</v>
      </c>
      <c r="B28" s="312" t="s">
        <v>568</v>
      </c>
      <c r="C28" s="312" t="s">
        <v>562</v>
      </c>
    </row>
    <row r="29" spans="1:3">
      <c r="A29" s="312" t="s">
        <v>385</v>
      </c>
      <c r="B29" s="312" t="s">
        <v>567</v>
      </c>
      <c r="C29" s="312" t="s">
        <v>562</v>
      </c>
    </row>
    <row r="30" spans="1:3">
      <c r="A30" s="312" t="s">
        <v>388</v>
      </c>
      <c r="B30" s="312" t="s">
        <v>569</v>
      </c>
      <c r="C30" s="312" t="s">
        <v>562</v>
      </c>
    </row>
    <row r="31" spans="1:3">
      <c r="A31" s="312" t="s">
        <v>511</v>
      </c>
      <c r="B31" s="312"/>
      <c r="C31" s="312" t="s">
        <v>576</v>
      </c>
    </row>
    <row r="32" spans="1:3">
      <c r="A32" s="312" t="s">
        <v>416</v>
      </c>
      <c r="B32" s="312"/>
      <c r="C32" s="312" t="s">
        <v>576</v>
      </c>
    </row>
    <row r="33" spans="1:3">
      <c r="A33" s="312" t="s">
        <v>497</v>
      </c>
      <c r="B33" s="312" t="s">
        <v>565</v>
      </c>
      <c r="C33" s="312" t="s">
        <v>562</v>
      </c>
    </row>
    <row r="34" spans="1:3">
      <c r="A34" s="312" t="s">
        <v>422</v>
      </c>
      <c r="B34" s="312"/>
      <c r="C34" s="312" t="s">
        <v>576</v>
      </c>
    </row>
    <row r="35" spans="1:3">
      <c r="A35" s="312" t="s">
        <v>575</v>
      </c>
      <c r="B35" s="312"/>
      <c r="C35" s="312" t="s">
        <v>576</v>
      </c>
    </row>
    <row r="36" spans="1:3">
      <c r="A36" s="312" t="s">
        <v>394</v>
      </c>
      <c r="B36" s="312" t="s">
        <v>572</v>
      </c>
      <c r="C36" s="312" t="s">
        <v>562</v>
      </c>
    </row>
    <row r="37" spans="1:3">
      <c r="A37" s="312" t="s">
        <v>412</v>
      </c>
      <c r="B37" s="312"/>
      <c r="C37" s="312" t="s">
        <v>576</v>
      </c>
    </row>
    <row r="38" spans="1:3">
      <c r="A38" s="312" t="s">
        <v>389</v>
      </c>
      <c r="B38" s="312"/>
      <c r="C38" s="312" t="s">
        <v>570</v>
      </c>
    </row>
    <row r="39" spans="1:3">
      <c r="A39" s="312" t="s">
        <v>579</v>
      </c>
      <c r="B39" s="312"/>
      <c r="C39" s="312" t="s">
        <v>576</v>
      </c>
    </row>
    <row r="40" spans="1:3">
      <c r="A40" s="312" t="s">
        <v>396</v>
      </c>
      <c r="B40" s="312" t="s">
        <v>573</v>
      </c>
      <c r="C40" s="312" t="s">
        <v>562</v>
      </c>
    </row>
    <row r="41" spans="1:3">
      <c r="A41" s="312" t="s">
        <v>399</v>
      </c>
      <c r="B41" s="312"/>
      <c r="C41" s="312" t="s">
        <v>576</v>
      </c>
    </row>
    <row r="42" spans="1:3">
      <c r="A42" s="312" t="s">
        <v>388</v>
      </c>
      <c r="B42" s="312" t="s">
        <v>569</v>
      </c>
      <c r="C42" s="312" t="s">
        <v>562</v>
      </c>
    </row>
    <row r="43" spans="1:3">
      <c r="A43" s="312" t="s">
        <v>326</v>
      </c>
      <c r="B43" s="312" t="s">
        <v>568</v>
      </c>
      <c r="C43" s="312" t="s">
        <v>562</v>
      </c>
    </row>
    <row r="44" spans="1:3">
      <c r="A44" s="312" t="s">
        <v>396</v>
      </c>
      <c r="B44" s="312" t="s">
        <v>573</v>
      </c>
      <c r="C44" s="312" t="s">
        <v>562</v>
      </c>
    </row>
    <row r="45" spans="1:3">
      <c r="A45" s="312" t="s">
        <v>384</v>
      </c>
      <c r="B45" s="312" t="s">
        <v>574</v>
      </c>
      <c r="C45" s="312" t="s">
        <v>562</v>
      </c>
    </row>
    <row r="46" spans="1:3">
      <c r="A46" s="312" t="s">
        <v>442</v>
      </c>
      <c r="B46" s="312"/>
      <c r="C46" s="312" t="s">
        <v>576</v>
      </c>
    </row>
    <row r="47" spans="1:3">
      <c r="A47" s="312" t="s">
        <v>385</v>
      </c>
      <c r="B47" s="312" t="s">
        <v>567</v>
      </c>
      <c r="C47" s="312" t="s">
        <v>562</v>
      </c>
    </row>
    <row r="48" spans="1:3">
      <c r="A48" s="312" t="s">
        <v>399</v>
      </c>
      <c r="B48" s="312"/>
      <c r="C48" s="312" t="s">
        <v>576</v>
      </c>
    </row>
    <row r="49" spans="1:3">
      <c r="A49" s="312" t="s">
        <v>404</v>
      </c>
      <c r="B49" s="312"/>
      <c r="C49" s="312" t="s">
        <v>576</v>
      </c>
    </row>
    <row r="50" spans="1:3">
      <c r="A50" s="312" t="s">
        <v>575</v>
      </c>
      <c r="B50" s="312"/>
      <c r="C50" s="312" t="s">
        <v>576</v>
      </c>
    </row>
    <row r="51" spans="1:3">
      <c r="A51" s="312" t="s">
        <v>392</v>
      </c>
      <c r="B51" s="312" t="s">
        <v>571</v>
      </c>
      <c r="C51" s="312" t="s">
        <v>562</v>
      </c>
    </row>
    <row r="52" spans="1:3">
      <c r="A52" s="312" t="s">
        <v>408</v>
      </c>
      <c r="B52" s="312" t="s">
        <v>577</v>
      </c>
      <c r="C52" s="312" t="s">
        <v>562</v>
      </c>
    </row>
    <row r="53" spans="1:3">
      <c r="A53" s="312" t="s">
        <v>416</v>
      </c>
      <c r="B53" s="313"/>
      <c r="C53" s="313" t="s">
        <v>576</v>
      </c>
    </row>
    <row r="54" spans="1:3">
      <c r="A54" s="312" t="s">
        <v>511</v>
      </c>
      <c r="B54" s="312"/>
      <c r="C54" s="312" t="s">
        <v>576</v>
      </c>
    </row>
    <row r="55" spans="1:3">
      <c r="A55" s="313" t="s">
        <v>437</v>
      </c>
      <c r="B55" s="313"/>
      <c r="C55" s="312" t="s">
        <v>576</v>
      </c>
    </row>
    <row r="56" spans="1:3">
      <c r="A56" s="313" t="s">
        <v>439</v>
      </c>
      <c r="B56" s="313"/>
      <c r="C56" s="313" t="s">
        <v>570</v>
      </c>
    </row>
    <row r="57" spans="1:3">
      <c r="A57" s="312" t="s">
        <v>394</v>
      </c>
      <c r="B57" s="312" t="s">
        <v>572</v>
      </c>
      <c r="C57" s="312" t="s">
        <v>562</v>
      </c>
    </row>
    <row r="58" spans="1:3">
      <c r="A58" s="312" t="s">
        <v>446</v>
      </c>
      <c r="B58" s="312" t="s">
        <v>580</v>
      </c>
      <c r="C58" s="312" t="s">
        <v>562</v>
      </c>
    </row>
    <row r="59" spans="1:3">
      <c r="A59" s="312" t="s">
        <v>384</v>
      </c>
      <c r="B59" s="312" t="s">
        <v>574</v>
      </c>
      <c r="C59" s="312" t="s">
        <v>562</v>
      </c>
    </row>
    <row r="60" spans="1:3">
      <c r="A60" s="312" t="s">
        <v>439</v>
      </c>
      <c r="B60" s="312"/>
      <c r="C60" s="312" t="s">
        <v>576</v>
      </c>
    </row>
    <row r="61" spans="1:3">
      <c r="A61" s="312" t="s">
        <v>416</v>
      </c>
      <c r="B61" s="312"/>
      <c r="C61" s="312" t="s">
        <v>576</v>
      </c>
    </row>
    <row r="62" spans="1:3">
      <c r="A62" s="312" t="s">
        <v>399</v>
      </c>
      <c r="B62" s="312"/>
      <c r="C62" s="312" t="s">
        <v>576</v>
      </c>
    </row>
    <row r="63" spans="1:3">
      <c r="A63" s="312" t="s">
        <v>404</v>
      </c>
      <c r="B63" s="312"/>
      <c r="C63" s="312" t="s">
        <v>576</v>
      </c>
    </row>
    <row r="64" spans="1:3">
      <c r="A64" s="312" t="s">
        <v>401</v>
      </c>
      <c r="B64" s="312" t="s">
        <v>565</v>
      </c>
      <c r="C64" s="312" t="s">
        <v>562</v>
      </c>
    </row>
    <row r="65" spans="1:3">
      <c r="A65" s="312" t="s">
        <v>396</v>
      </c>
      <c r="B65" s="312" t="s">
        <v>573</v>
      </c>
      <c r="C65" s="312" t="s">
        <v>562</v>
      </c>
    </row>
    <row r="66" spans="1:3">
      <c r="A66" s="312" t="s">
        <v>575</v>
      </c>
      <c r="B66" s="312"/>
      <c r="C66" s="312" t="s">
        <v>576</v>
      </c>
    </row>
    <row r="67" spans="1:3">
      <c r="A67" s="312" t="s">
        <v>388</v>
      </c>
      <c r="B67" s="312" t="s">
        <v>569</v>
      </c>
      <c r="C67" s="312" t="s">
        <v>562</v>
      </c>
    </row>
    <row r="68" spans="1:3">
      <c r="A68" s="312" t="s">
        <v>385</v>
      </c>
      <c r="B68" s="312" t="s">
        <v>567</v>
      </c>
      <c r="C68" s="312" t="s">
        <v>562</v>
      </c>
    </row>
    <row r="69" spans="1:3">
      <c r="A69" s="312" t="s">
        <v>581</v>
      </c>
      <c r="B69" s="312"/>
      <c r="C69" s="312" t="s">
        <v>576</v>
      </c>
    </row>
    <row r="70" spans="1:3">
      <c r="A70" s="312" t="s">
        <v>439</v>
      </c>
      <c r="B70" s="312"/>
      <c r="C70" s="312" t="s">
        <v>576</v>
      </c>
    </row>
    <row r="71" spans="1:3">
      <c r="A71" s="312" t="s">
        <v>389</v>
      </c>
      <c r="B71" s="312"/>
      <c r="C71" s="312" t="s">
        <v>576</v>
      </c>
    </row>
    <row r="72" spans="1:3">
      <c r="A72" s="312" t="s">
        <v>399</v>
      </c>
      <c r="B72" s="312"/>
      <c r="C72" s="312" t="s">
        <v>576</v>
      </c>
    </row>
    <row r="73" spans="1:3">
      <c r="A73" s="312" t="s">
        <v>449</v>
      </c>
      <c r="B73" s="312"/>
      <c r="C73" s="312" t="s">
        <v>576</v>
      </c>
    </row>
    <row r="74" spans="1:3">
      <c r="A74" s="312" t="s">
        <v>511</v>
      </c>
      <c r="B74" s="312"/>
      <c r="C74" s="312" t="s">
        <v>576</v>
      </c>
    </row>
    <row r="75" spans="1:3">
      <c r="A75" s="312" t="s">
        <v>394</v>
      </c>
      <c r="B75" s="312" t="s">
        <v>572</v>
      </c>
      <c r="C75" s="312" t="s">
        <v>562</v>
      </c>
    </row>
    <row r="76" spans="1:3">
      <c r="A76" s="312" t="s">
        <v>388</v>
      </c>
      <c r="B76" s="312" t="s">
        <v>580</v>
      </c>
      <c r="C76" s="312" t="s">
        <v>562</v>
      </c>
    </row>
    <row r="77" spans="1:3">
      <c r="A77" s="312" t="s">
        <v>408</v>
      </c>
      <c r="B77" s="312" t="s">
        <v>577</v>
      </c>
      <c r="C77" s="312" t="s">
        <v>562</v>
      </c>
    </row>
    <row r="78" spans="1:3">
      <c r="A78" s="312" t="s">
        <v>326</v>
      </c>
      <c r="B78" s="312" t="s">
        <v>568</v>
      </c>
      <c r="C78" s="312" t="s">
        <v>562</v>
      </c>
    </row>
    <row r="79" spans="1:3">
      <c r="A79" s="312" t="s">
        <v>384</v>
      </c>
      <c r="B79" s="312" t="s">
        <v>574</v>
      </c>
      <c r="C79" s="312" t="s">
        <v>562</v>
      </c>
    </row>
    <row r="80" spans="1:3">
      <c r="A80" s="312" t="s">
        <v>394</v>
      </c>
      <c r="B80" s="312" t="s">
        <v>578</v>
      </c>
      <c r="C80" s="312" t="s">
        <v>562</v>
      </c>
    </row>
    <row r="81" spans="1:3">
      <c r="A81" s="312" t="s">
        <v>385</v>
      </c>
      <c r="B81" s="312" t="s">
        <v>567</v>
      </c>
      <c r="C81" s="312" t="s">
        <v>562</v>
      </c>
    </row>
    <row r="82" spans="1:3">
      <c r="A82" s="312" t="s">
        <v>388</v>
      </c>
      <c r="B82" s="312" t="s">
        <v>580</v>
      </c>
      <c r="C82" s="312" t="s">
        <v>562</v>
      </c>
    </row>
    <row r="83" spans="1:3">
      <c r="A83" s="312" t="s">
        <v>497</v>
      </c>
      <c r="B83" s="312" t="s">
        <v>565</v>
      </c>
      <c r="C83" s="312" t="s">
        <v>562</v>
      </c>
    </row>
    <row r="84" spans="1:3">
      <c r="A84" s="312" t="s">
        <v>399</v>
      </c>
      <c r="B84" s="312"/>
      <c r="C84" s="312" t="s">
        <v>576</v>
      </c>
    </row>
    <row r="85" spans="1:3">
      <c r="A85" s="312" t="s">
        <v>439</v>
      </c>
      <c r="B85" s="312"/>
      <c r="C85" s="312" t="s">
        <v>576</v>
      </c>
    </row>
    <row r="86" spans="1:3">
      <c r="A86" s="312" t="s">
        <v>449</v>
      </c>
      <c r="B86" s="312"/>
      <c r="C86" s="312" t="s">
        <v>576</v>
      </c>
    </row>
    <row r="87" spans="1:3">
      <c r="A87" s="312" t="s">
        <v>442</v>
      </c>
      <c r="B87" s="312"/>
      <c r="C87" s="312" t="s">
        <v>576</v>
      </c>
    </row>
    <row r="88" spans="1:3">
      <c r="A88" s="312" t="s">
        <v>479</v>
      </c>
      <c r="B88" s="312" t="s">
        <v>582</v>
      </c>
      <c r="C88" s="312" t="s">
        <v>583</v>
      </c>
    </row>
    <row r="89" spans="1:3">
      <c r="A89" s="312" t="s">
        <v>416</v>
      </c>
      <c r="B89" s="312"/>
      <c r="C89" s="312" t="s">
        <v>576</v>
      </c>
    </row>
    <row r="90" spans="1:3">
      <c r="A90" s="312" t="s">
        <v>404</v>
      </c>
      <c r="B90" s="312"/>
      <c r="C90" s="312" t="s">
        <v>576</v>
      </c>
    </row>
    <row r="91" spans="1:3">
      <c r="A91" s="312" t="s">
        <v>442</v>
      </c>
      <c r="B91" s="312"/>
      <c r="C91" s="312" t="s">
        <v>576</v>
      </c>
    </row>
    <row r="92" spans="1:3">
      <c r="A92" s="312" t="s">
        <v>399</v>
      </c>
      <c r="B92" s="312"/>
      <c r="C92" s="312" t="s">
        <v>576</v>
      </c>
    </row>
    <row r="93" spans="1:3">
      <c r="A93" s="312" t="s">
        <v>497</v>
      </c>
      <c r="B93" s="312" t="s">
        <v>565</v>
      </c>
      <c r="C93" s="312" t="s">
        <v>583</v>
      </c>
    </row>
    <row r="94" spans="1:3">
      <c r="A94" s="312" t="s">
        <v>426</v>
      </c>
      <c r="B94" s="312" t="s">
        <v>566</v>
      </c>
      <c r="C94" s="312" t="s">
        <v>583</v>
      </c>
    </row>
    <row r="95" spans="1:3">
      <c r="A95" s="312" t="s">
        <v>388</v>
      </c>
      <c r="B95" s="312" t="s">
        <v>580</v>
      </c>
      <c r="C95" s="312" t="s">
        <v>583</v>
      </c>
    </row>
    <row r="96" spans="1:3">
      <c r="A96" s="312" t="s">
        <v>439</v>
      </c>
      <c r="B96" s="312"/>
      <c r="C96" s="312" t="s">
        <v>576</v>
      </c>
    </row>
    <row r="97" spans="1:3">
      <c r="A97" s="312" t="s">
        <v>511</v>
      </c>
      <c r="B97" s="312"/>
      <c r="C97" s="312" t="s">
        <v>576</v>
      </c>
    </row>
    <row r="98" spans="1:3">
      <c r="A98" s="312" t="s">
        <v>384</v>
      </c>
      <c r="B98" s="312"/>
      <c r="C98" s="312" t="s">
        <v>583</v>
      </c>
    </row>
    <row r="99" spans="1:3">
      <c r="A99" s="312" t="s">
        <v>449</v>
      </c>
      <c r="B99" s="312"/>
      <c r="C99" s="312" t="s">
        <v>576</v>
      </c>
    </row>
    <row r="100" spans="1:3">
      <c r="A100" s="312" t="s">
        <v>326</v>
      </c>
      <c r="B100" s="312" t="s">
        <v>568</v>
      </c>
      <c r="C100" s="312" t="s">
        <v>583</v>
      </c>
    </row>
    <row r="101" spans="1:3">
      <c r="A101" s="312" t="s">
        <v>479</v>
      </c>
      <c r="B101" s="312" t="s">
        <v>571</v>
      </c>
      <c r="C101" s="312" t="s">
        <v>583</v>
      </c>
    </row>
    <row r="102" spans="1:3">
      <c r="A102" s="312" t="s">
        <v>422</v>
      </c>
      <c r="B102" s="312"/>
      <c r="C102" s="312" t="s">
        <v>576</v>
      </c>
    </row>
    <row r="103" spans="1:3">
      <c r="A103" s="312" t="s">
        <v>422</v>
      </c>
      <c r="B103" s="312"/>
      <c r="C103" s="312" t="s">
        <v>576</v>
      </c>
    </row>
    <row r="104" spans="1:3">
      <c r="A104" s="312" t="s">
        <v>399</v>
      </c>
      <c r="B104" s="312"/>
      <c r="C104" s="312" t="s">
        <v>576</v>
      </c>
    </row>
    <row r="105" spans="1:3">
      <c r="A105" s="312" t="s">
        <v>439</v>
      </c>
      <c r="B105" s="312"/>
      <c r="C105" s="312" t="s">
        <v>576</v>
      </c>
    </row>
    <row r="106" spans="1:3">
      <c r="A106" s="312" t="s">
        <v>449</v>
      </c>
      <c r="B106" s="312"/>
      <c r="C106" s="312" t="s">
        <v>576</v>
      </c>
    </row>
    <row r="107" spans="1:3">
      <c r="A107" s="312" t="s">
        <v>575</v>
      </c>
      <c r="B107" s="312"/>
      <c r="C107" s="312" t="s">
        <v>576</v>
      </c>
    </row>
    <row r="108" spans="1:3">
      <c r="A108" s="312" t="s">
        <v>384</v>
      </c>
      <c r="B108" s="312" t="s">
        <v>569</v>
      </c>
      <c r="C108" s="312" t="s">
        <v>583</v>
      </c>
    </row>
    <row r="109" spans="1:3">
      <c r="A109" s="312" t="s">
        <v>389</v>
      </c>
      <c r="B109" s="312"/>
      <c r="C109" s="312" t="s">
        <v>576</v>
      </c>
    </row>
    <row r="110" spans="1:3">
      <c r="A110" s="312" t="s">
        <v>416</v>
      </c>
      <c r="B110" s="312"/>
      <c r="C110" s="312" t="s">
        <v>576</v>
      </c>
    </row>
    <row r="111" spans="1:3">
      <c r="A111" s="312" t="s">
        <v>449</v>
      </c>
      <c r="B111" s="312"/>
      <c r="C111" s="312" t="s">
        <v>576</v>
      </c>
    </row>
    <row r="112" spans="1:3">
      <c r="A112" s="312" t="s">
        <v>394</v>
      </c>
      <c r="B112" s="312" t="s">
        <v>578</v>
      </c>
      <c r="C112" s="312" t="s">
        <v>562</v>
      </c>
    </row>
    <row r="113" spans="1:3">
      <c r="A113" s="312" t="s">
        <v>479</v>
      </c>
      <c r="B113" s="312" t="s">
        <v>571</v>
      </c>
      <c r="C113" s="312" t="s">
        <v>562</v>
      </c>
    </row>
    <row r="114" spans="1:3">
      <c r="A114" s="312" t="s">
        <v>384</v>
      </c>
      <c r="B114" s="312" t="s">
        <v>584</v>
      </c>
      <c r="C114" s="312" t="s">
        <v>562</v>
      </c>
    </row>
    <row r="115" spans="1:3">
      <c r="A115" s="312" t="s">
        <v>479</v>
      </c>
      <c r="B115" s="312" t="s">
        <v>571</v>
      </c>
      <c r="C115" s="312" t="s">
        <v>562</v>
      </c>
    </row>
    <row r="116" spans="1:3">
      <c r="A116" s="312" t="s">
        <v>384</v>
      </c>
      <c r="B116" s="312" t="s">
        <v>584</v>
      </c>
      <c r="C116" s="312" t="s">
        <v>562</v>
      </c>
    </row>
    <row r="117" spans="1:3">
      <c r="A117" s="312" t="s">
        <v>394</v>
      </c>
      <c r="B117" s="312" t="s">
        <v>578</v>
      </c>
      <c r="C117" s="312" t="s">
        <v>562</v>
      </c>
    </row>
    <row r="118" spans="1:3">
      <c r="A118" s="312" t="s">
        <v>479</v>
      </c>
      <c r="B118" s="312" t="s">
        <v>585</v>
      </c>
      <c r="C118" s="312" t="s">
        <v>562</v>
      </c>
    </row>
    <row r="119" spans="1:3">
      <c r="A119" s="312" t="s">
        <v>384</v>
      </c>
      <c r="B119" s="312" t="s">
        <v>567</v>
      </c>
      <c r="C119" s="312" t="s">
        <v>562</v>
      </c>
    </row>
    <row r="120" spans="1:3">
      <c r="A120" s="312" t="s">
        <v>575</v>
      </c>
      <c r="B120" s="312"/>
      <c r="C120" s="312" t="s">
        <v>576</v>
      </c>
    </row>
    <row r="121" spans="1:3">
      <c r="A121" s="312" t="s">
        <v>389</v>
      </c>
      <c r="B121" s="312"/>
      <c r="C121" s="312" t="s">
        <v>576</v>
      </c>
    </row>
    <row r="122" spans="1:3">
      <c r="A122" s="312" t="s">
        <v>326</v>
      </c>
      <c r="B122" s="312" t="s">
        <v>568</v>
      </c>
      <c r="C122" s="312" t="s">
        <v>562</v>
      </c>
    </row>
    <row r="123" spans="1:3">
      <c r="A123" s="312" t="s">
        <v>389</v>
      </c>
      <c r="B123" s="312"/>
      <c r="C123" s="312" t="s">
        <v>576</v>
      </c>
    </row>
    <row r="124" spans="1:3">
      <c r="A124" s="312" t="s">
        <v>511</v>
      </c>
      <c r="B124" s="312"/>
      <c r="C124" s="312" t="s">
        <v>576</v>
      </c>
    </row>
    <row r="125" spans="1:3">
      <c r="A125" s="312" t="s">
        <v>439</v>
      </c>
      <c r="B125" s="312"/>
      <c r="C125" s="312" t="s">
        <v>576</v>
      </c>
    </row>
    <row r="126" spans="1:3">
      <c r="A126" s="312" t="s">
        <v>399</v>
      </c>
      <c r="B126" s="312"/>
      <c r="C126" s="312" t="s">
        <v>576</v>
      </c>
    </row>
    <row r="127" spans="1:3">
      <c r="A127" s="312" t="s">
        <v>442</v>
      </c>
      <c r="B127" s="312"/>
      <c r="C127" s="312" t="s">
        <v>576</v>
      </c>
    </row>
    <row r="128" spans="1:3">
      <c r="A128" s="312" t="s">
        <v>449</v>
      </c>
      <c r="B128" s="312"/>
      <c r="C128" s="312" t="s">
        <v>576</v>
      </c>
    </row>
    <row r="129" spans="1:3">
      <c r="A129" s="312" t="s">
        <v>497</v>
      </c>
      <c r="B129" s="312" t="s">
        <v>584</v>
      </c>
      <c r="C129" s="312" t="s">
        <v>562</v>
      </c>
    </row>
    <row r="130" spans="1:3">
      <c r="A130" s="312" t="s">
        <v>385</v>
      </c>
      <c r="B130" s="312" t="s">
        <v>568</v>
      </c>
      <c r="C130" s="312" t="s">
        <v>562</v>
      </c>
    </row>
    <row r="131" spans="1:3">
      <c r="A131" s="312" t="s">
        <v>426</v>
      </c>
      <c r="B131" s="312" t="s">
        <v>572</v>
      </c>
      <c r="C131" s="312" t="s">
        <v>562</v>
      </c>
    </row>
    <row r="132" spans="1:3">
      <c r="A132" s="312" t="s">
        <v>385</v>
      </c>
      <c r="B132" s="312" t="s">
        <v>568</v>
      </c>
      <c r="C132" s="312" t="s">
        <v>562</v>
      </c>
    </row>
    <row r="133" spans="1:3">
      <c r="A133" s="312" t="s">
        <v>426</v>
      </c>
      <c r="B133" s="312" t="s">
        <v>572</v>
      </c>
      <c r="C133" s="312" t="s">
        <v>562</v>
      </c>
    </row>
    <row r="134" spans="1:3">
      <c r="A134" s="312" t="s">
        <v>401</v>
      </c>
      <c r="B134" s="312" t="s">
        <v>586</v>
      </c>
      <c r="C134" s="312" t="s">
        <v>562</v>
      </c>
    </row>
    <row r="135" spans="1:3">
      <c r="A135" s="312" t="s">
        <v>399</v>
      </c>
      <c r="B135" s="312"/>
      <c r="C135" s="312" t="s">
        <v>576</v>
      </c>
    </row>
    <row r="136" spans="1:3">
      <c r="A136" s="312" t="s">
        <v>384</v>
      </c>
      <c r="B136" s="312" t="s">
        <v>569</v>
      </c>
      <c r="C136" s="312" t="s">
        <v>562</v>
      </c>
    </row>
    <row r="137" spans="1:3">
      <c r="A137" s="312" t="s">
        <v>404</v>
      </c>
      <c r="B137" s="312"/>
      <c r="C137" s="312" t="s">
        <v>576</v>
      </c>
    </row>
    <row r="138" spans="1:3">
      <c r="A138" s="312" t="s">
        <v>399</v>
      </c>
      <c r="B138" s="312"/>
      <c r="C138" s="312" t="s">
        <v>576</v>
      </c>
    </row>
    <row r="139" spans="1:3">
      <c r="A139" s="312" t="s">
        <v>511</v>
      </c>
      <c r="B139" s="312"/>
      <c r="C139" s="312" t="s">
        <v>576</v>
      </c>
    </row>
    <row r="140" spans="1:3">
      <c r="A140" s="312" t="s">
        <v>388</v>
      </c>
      <c r="B140" s="312" t="s">
        <v>577</v>
      </c>
      <c r="C140" s="312" t="s">
        <v>562</v>
      </c>
    </row>
    <row r="141" spans="1:3">
      <c r="A141" s="312" t="s">
        <v>442</v>
      </c>
      <c r="B141" s="312"/>
      <c r="C141" s="312" t="s">
        <v>576</v>
      </c>
    </row>
    <row r="142" spans="1:3">
      <c r="A142" s="312" t="s">
        <v>439</v>
      </c>
      <c r="B142" s="312"/>
      <c r="C142" s="312" t="s">
        <v>576</v>
      </c>
    </row>
    <row r="143" spans="1:3">
      <c r="A143" s="312" t="s">
        <v>449</v>
      </c>
      <c r="B143" s="312"/>
      <c r="C143" s="312" t="s">
        <v>576</v>
      </c>
    </row>
    <row r="144" spans="1:3">
      <c r="A144" s="312" t="s">
        <v>416</v>
      </c>
      <c r="B144" s="312"/>
      <c r="C144" s="312" t="s">
        <v>576</v>
      </c>
    </row>
    <row r="145" spans="1:3">
      <c r="A145" s="312" t="s">
        <v>575</v>
      </c>
      <c r="B145" s="312"/>
      <c r="C145" s="312" t="s">
        <v>576</v>
      </c>
    </row>
    <row r="146" spans="1:3">
      <c r="A146" s="312" t="s">
        <v>422</v>
      </c>
      <c r="B146" s="312"/>
      <c r="C146" s="312" t="s">
        <v>576</v>
      </c>
    </row>
    <row r="147" spans="1:3">
      <c r="A147" s="312" t="s">
        <v>394</v>
      </c>
      <c r="B147" s="312" t="s">
        <v>578</v>
      </c>
      <c r="C147" s="312" t="s">
        <v>562</v>
      </c>
    </row>
    <row r="148" spans="1:3">
      <c r="A148" s="312" t="s">
        <v>439</v>
      </c>
      <c r="B148" s="312"/>
      <c r="C148" s="312" t="s">
        <v>576</v>
      </c>
    </row>
    <row r="149" spans="1:3">
      <c r="A149" s="312" t="s">
        <v>399</v>
      </c>
      <c r="B149" s="312"/>
      <c r="C149" s="312" t="s">
        <v>576</v>
      </c>
    </row>
    <row r="150" spans="1:3">
      <c r="A150" s="312" t="s">
        <v>511</v>
      </c>
      <c r="B150" s="312"/>
      <c r="C150" s="312" t="s">
        <v>576</v>
      </c>
    </row>
    <row r="151" spans="1:3">
      <c r="A151" s="312" t="s">
        <v>384</v>
      </c>
      <c r="B151" s="312" t="s">
        <v>574</v>
      </c>
      <c r="C151" s="312" t="s">
        <v>562</v>
      </c>
    </row>
    <row r="152" spans="1:3">
      <c r="A152" s="312" t="s">
        <v>388</v>
      </c>
      <c r="B152" s="312" t="s">
        <v>569</v>
      </c>
      <c r="C152" s="312" t="s">
        <v>562</v>
      </c>
    </row>
    <row r="153" spans="1:3">
      <c r="A153" s="312" t="s">
        <v>385</v>
      </c>
      <c r="B153" s="312" t="s">
        <v>573</v>
      </c>
      <c r="C153" s="312" t="s">
        <v>562</v>
      </c>
    </row>
    <row r="154" spans="1:3">
      <c r="A154" s="312" t="s">
        <v>442</v>
      </c>
      <c r="B154" s="312"/>
      <c r="C154" s="312" t="s">
        <v>576</v>
      </c>
    </row>
    <row r="155" spans="1:3">
      <c r="A155" s="312" t="s">
        <v>514</v>
      </c>
      <c r="B155" s="312" t="s">
        <v>577</v>
      </c>
      <c r="C155" s="312" t="s">
        <v>562</v>
      </c>
    </row>
    <row r="156" spans="1:3">
      <c r="A156" s="312" t="s">
        <v>399</v>
      </c>
      <c r="B156" s="312"/>
      <c r="C156" s="312" t="s">
        <v>576</v>
      </c>
    </row>
    <row r="157" spans="1:3">
      <c r="A157" s="312" t="s">
        <v>439</v>
      </c>
      <c r="B157" s="312"/>
      <c r="C157" s="312" t="s">
        <v>576</v>
      </c>
    </row>
    <row r="158" spans="1:3">
      <c r="A158" s="312" t="s">
        <v>416</v>
      </c>
      <c r="B158" s="312"/>
      <c r="C158" s="312" t="s">
        <v>576</v>
      </c>
    </row>
    <row r="159" spans="1:3">
      <c r="A159" s="312" t="s">
        <v>575</v>
      </c>
      <c r="B159" s="312"/>
      <c r="C159" s="312" t="s">
        <v>576</v>
      </c>
    </row>
    <row r="160" spans="1:3">
      <c r="A160" s="312" t="s">
        <v>389</v>
      </c>
      <c r="B160" s="312"/>
      <c r="C160" s="312" t="s">
        <v>576</v>
      </c>
    </row>
    <row r="161" spans="1:3">
      <c r="A161" s="312" t="s">
        <v>449</v>
      </c>
      <c r="B161" s="312"/>
      <c r="C161" s="312" t="s">
        <v>576</v>
      </c>
    </row>
    <row r="162" spans="1:3">
      <c r="A162" s="312" t="s">
        <v>384</v>
      </c>
      <c r="B162" s="312" t="s">
        <v>568</v>
      </c>
      <c r="C162" s="312" t="s">
        <v>562</v>
      </c>
    </row>
    <row r="163" spans="1:3">
      <c r="A163" s="312" t="s">
        <v>399</v>
      </c>
      <c r="B163" s="312"/>
      <c r="C163" s="312" t="s">
        <v>576</v>
      </c>
    </row>
    <row r="164" spans="1:3">
      <c r="A164" s="312" t="s">
        <v>416</v>
      </c>
      <c r="B164" s="312"/>
      <c r="C164" s="312" t="s">
        <v>576</v>
      </c>
    </row>
    <row r="165" spans="1:3">
      <c r="A165" s="312" t="s">
        <v>426</v>
      </c>
      <c r="B165" s="312" t="s">
        <v>586</v>
      </c>
      <c r="C165" s="312" t="s">
        <v>562</v>
      </c>
    </row>
    <row r="166" spans="1:3">
      <c r="A166" s="312" t="s">
        <v>394</v>
      </c>
      <c r="B166" s="312" t="s">
        <v>578</v>
      </c>
      <c r="C166" s="312" t="s">
        <v>562</v>
      </c>
    </row>
    <row r="167" spans="1:3">
      <c r="A167" s="312" t="s">
        <v>384</v>
      </c>
      <c r="B167" s="312" t="s">
        <v>565</v>
      </c>
      <c r="C167" s="312" t="s">
        <v>562</v>
      </c>
    </row>
    <row r="168" spans="1:3">
      <c r="A168" s="312" t="s">
        <v>490</v>
      </c>
      <c r="B168" s="312" t="s">
        <v>585</v>
      </c>
      <c r="C168" s="312" t="s">
        <v>562</v>
      </c>
    </row>
    <row r="169" spans="1:3">
      <c r="A169" s="312" t="s">
        <v>449</v>
      </c>
      <c r="B169" s="312"/>
      <c r="C169" s="312" t="s">
        <v>576</v>
      </c>
    </row>
    <row r="170" spans="1:3">
      <c r="A170" s="312" t="s">
        <v>439</v>
      </c>
      <c r="B170" s="312"/>
      <c r="C170" s="312" t="s">
        <v>576</v>
      </c>
    </row>
    <row r="171" spans="1:3">
      <c r="A171" s="312" t="s">
        <v>326</v>
      </c>
      <c r="B171" s="312" t="s">
        <v>587</v>
      </c>
      <c r="C171" s="312" t="s">
        <v>562</v>
      </c>
    </row>
    <row r="172" spans="1:3">
      <c r="A172" s="312" t="s">
        <v>399</v>
      </c>
      <c r="B172" s="312"/>
      <c r="C172" s="312" t="s">
        <v>576</v>
      </c>
    </row>
    <row r="173" spans="1:3">
      <c r="A173" s="312" t="s">
        <v>442</v>
      </c>
      <c r="B173" s="312"/>
      <c r="C173" s="312" t="s">
        <v>576</v>
      </c>
    </row>
    <row r="174" spans="1:3">
      <c r="A174" s="312" t="s">
        <v>449</v>
      </c>
      <c r="B174" s="312"/>
      <c r="C174" s="312" t="s">
        <v>576</v>
      </c>
    </row>
    <row r="175" spans="1:3">
      <c r="A175" s="312" t="s">
        <v>514</v>
      </c>
      <c r="B175" s="312" t="s">
        <v>568</v>
      </c>
      <c r="C175" s="312" t="s">
        <v>562</v>
      </c>
    </row>
    <row r="176" spans="1:3">
      <c r="A176" s="312" t="s">
        <v>388</v>
      </c>
      <c r="B176" s="312" t="s">
        <v>569</v>
      </c>
      <c r="C176" s="312" t="s">
        <v>562</v>
      </c>
    </row>
    <row r="177" spans="1:3">
      <c r="A177" s="312" t="s">
        <v>426</v>
      </c>
      <c r="B177" s="312" t="s">
        <v>566</v>
      </c>
      <c r="C177" s="312" t="s">
        <v>562</v>
      </c>
    </row>
    <row r="178" spans="1:3">
      <c r="A178" s="312" t="s">
        <v>384</v>
      </c>
      <c r="B178" s="312" t="s">
        <v>586</v>
      </c>
      <c r="C178" s="312" t="s">
        <v>562</v>
      </c>
    </row>
    <row r="179" spans="1:3">
      <c r="A179" s="312" t="s">
        <v>385</v>
      </c>
      <c r="B179" s="312" t="s">
        <v>572</v>
      </c>
      <c r="C179" s="312" t="s">
        <v>562</v>
      </c>
    </row>
    <row r="180" spans="1:3">
      <c r="A180" s="312" t="s">
        <v>439</v>
      </c>
      <c r="B180" s="312"/>
      <c r="C180" s="312" t="s">
        <v>576</v>
      </c>
    </row>
    <row r="181" spans="1:3">
      <c r="A181" s="312" t="s">
        <v>399</v>
      </c>
      <c r="B181" s="312"/>
      <c r="C181" s="312" t="s">
        <v>576</v>
      </c>
    </row>
    <row r="182" spans="1:3">
      <c r="A182" s="312" t="s">
        <v>575</v>
      </c>
      <c r="B182" s="312"/>
      <c r="C182" s="312" t="s">
        <v>576</v>
      </c>
    </row>
    <row r="183" spans="1:3">
      <c r="A183" s="312" t="s">
        <v>490</v>
      </c>
      <c r="B183" s="312" t="s">
        <v>585</v>
      </c>
      <c r="C183" s="312" t="s">
        <v>562</v>
      </c>
    </row>
    <row r="184" spans="1:3">
      <c r="A184" s="312" t="s">
        <v>442</v>
      </c>
      <c r="B184" s="312"/>
      <c r="C184" s="312" t="s">
        <v>576</v>
      </c>
    </row>
    <row r="185" spans="1:3">
      <c r="A185" s="312" t="s">
        <v>389</v>
      </c>
      <c r="B185" s="312"/>
      <c r="C185" s="312" t="s">
        <v>576</v>
      </c>
    </row>
    <row r="186" spans="1:3">
      <c r="A186" s="312" t="s">
        <v>416</v>
      </c>
      <c r="B186" s="312"/>
      <c r="C186" s="312" t="s">
        <v>576</v>
      </c>
    </row>
    <row r="187" spans="1:3">
      <c r="A187" s="312" t="s">
        <v>439</v>
      </c>
      <c r="B187" s="312"/>
      <c r="C187" s="312" t="s">
        <v>576</v>
      </c>
    </row>
    <row r="188" spans="1:3">
      <c r="A188" s="312" t="s">
        <v>404</v>
      </c>
      <c r="B188" s="312"/>
      <c r="C188" s="312" t="s">
        <v>576</v>
      </c>
    </row>
    <row r="189" spans="1:3">
      <c r="A189" s="312" t="s">
        <v>326</v>
      </c>
      <c r="B189" s="312" t="s">
        <v>587</v>
      </c>
      <c r="C189" s="312" t="s">
        <v>562</v>
      </c>
    </row>
    <row r="190" spans="1:3">
      <c r="A190" s="312" t="s">
        <v>394</v>
      </c>
      <c r="B190" s="312" t="s">
        <v>578</v>
      </c>
      <c r="C190" s="312" t="s">
        <v>562</v>
      </c>
    </row>
    <row r="191" spans="1:3">
      <c r="A191" s="312" t="s">
        <v>497</v>
      </c>
      <c r="B191" s="312" t="s">
        <v>574</v>
      </c>
      <c r="C191" s="312" t="s">
        <v>562</v>
      </c>
    </row>
    <row r="192" spans="1:3">
      <c r="A192" s="312" t="s">
        <v>384</v>
      </c>
      <c r="B192" s="312" t="s">
        <v>586</v>
      </c>
      <c r="C192" s="312" t="s">
        <v>562</v>
      </c>
    </row>
    <row r="193" spans="1:3">
      <c r="A193" s="312" t="s">
        <v>416</v>
      </c>
      <c r="B193" s="312"/>
      <c r="C193" s="312" t="s">
        <v>576</v>
      </c>
    </row>
    <row r="194" spans="1:3">
      <c r="A194" s="312" t="s">
        <v>575</v>
      </c>
      <c r="B194" s="312"/>
      <c r="C194" s="312" t="s">
        <v>576</v>
      </c>
    </row>
    <row r="195" spans="1:3">
      <c r="A195" s="312" t="s">
        <v>449</v>
      </c>
      <c r="B195" s="312"/>
      <c r="C195" s="312" t="s">
        <v>576</v>
      </c>
    </row>
    <row r="196" spans="1:3">
      <c r="A196" s="312" t="s">
        <v>442</v>
      </c>
      <c r="B196" s="312"/>
      <c r="C196" s="312" t="s">
        <v>576</v>
      </c>
    </row>
    <row r="197" spans="1:3">
      <c r="A197" s="312" t="s">
        <v>416</v>
      </c>
      <c r="B197" s="312"/>
      <c r="C197" s="312" t="s">
        <v>576</v>
      </c>
    </row>
    <row r="198" spans="1:3">
      <c r="A198" s="312" t="s">
        <v>385</v>
      </c>
      <c r="B198" s="312" t="s">
        <v>588</v>
      </c>
      <c r="C198" s="312" t="s">
        <v>562</v>
      </c>
    </row>
    <row r="199" spans="1:3">
      <c r="A199" s="312" t="s">
        <v>394</v>
      </c>
      <c r="B199" s="312" t="s">
        <v>589</v>
      </c>
      <c r="C199" s="312" t="s">
        <v>562</v>
      </c>
    </row>
    <row r="200" spans="1:3">
      <c r="A200" s="312" t="s">
        <v>514</v>
      </c>
      <c r="B200" s="312" t="s">
        <v>590</v>
      </c>
      <c r="C200" s="312" t="s">
        <v>562</v>
      </c>
    </row>
    <row r="201" spans="1:3">
      <c r="A201" s="312" t="s">
        <v>399</v>
      </c>
      <c r="B201" s="312"/>
      <c r="C201" s="312" t="s">
        <v>576</v>
      </c>
    </row>
    <row r="202" spans="1:3">
      <c r="A202" s="312" t="s">
        <v>426</v>
      </c>
      <c r="B202" s="312" t="s">
        <v>582</v>
      </c>
      <c r="C202" s="312" t="s">
        <v>562</v>
      </c>
    </row>
    <row r="203" spans="1:3">
      <c r="A203" s="312" t="s">
        <v>389</v>
      </c>
      <c r="B203" s="312"/>
      <c r="C203" s="312" t="s">
        <v>576</v>
      </c>
    </row>
    <row r="204" spans="1:3">
      <c r="A204" s="312" t="s">
        <v>439</v>
      </c>
      <c r="B204" s="312"/>
      <c r="C204" s="312" t="s">
        <v>576</v>
      </c>
    </row>
    <row r="205" spans="1:3">
      <c r="A205" s="312" t="s">
        <v>422</v>
      </c>
      <c r="B205" s="312"/>
      <c r="C205" s="312" t="s">
        <v>576</v>
      </c>
    </row>
    <row r="206" spans="1:3">
      <c r="A206" s="312" t="s">
        <v>388</v>
      </c>
      <c r="B206" s="312" t="s">
        <v>569</v>
      </c>
      <c r="C206" s="312" t="s">
        <v>562</v>
      </c>
    </row>
    <row r="207" spans="1:3">
      <c r="A207" s="312" t="s">
        <v>326</v>
      </c>
      <c r="B207" s="312" t="s">
        <v>587</v>
      </c>
      <c r="C207" s="312" t="s">
        <v>562</v>
      </c>
    </row>
    <row r="208" spans="1:3">
      <c r="A208" s="312" t="s">
        <v>511</v>
      </c>
      <c r="B208" s="312"/>
      <c r="C208" s="312" t="s">
        <v>576</v>
      </c>
    </row>
    <row r="209" spans="1:3">
      <c r="A209" s="312" t="s">
        <v>399</v>
      </c>
      <c r="B209" s="312"/>
      <c r="C209" s="312" t="s">
        <v>576</v>
      </c>
    </row>
    <row r="210" spans="1:3">
      <c r="A210" s="312" t="s">
        <v>416</v>
      </c>
      <c r="B210" s="312"/>
      <c r="C210" s="312" t="s">
        <v>576</v>
      </c>
    </row>
    <row r="211" spans="1:3">
      <c r="A211" s="312" t="s">
        <v>575</v>
      </c>
      <c r="B211" s="312"/>
      <c r="C211" s="312" t="s">
        <v>576</v>
      </c>
    </row>
    <row r="212" spans="1:3">
      <c r="A212" s="312" t="s">
        <v>404</v>
      </c>
      <c r="B212" s="312"/>
      <c r="C212" s="312" t="s">
        <v>576</v>
      </c>
    </row>
    <row r="213" spans="1:3">
      <c r="A213" s="312" t="s">
        <v>422</v>
      </c>
      <c r="B213" s="312"/>
      <c r="C213" s="312" t="s">
        <v>576</v>
      </c>
    </row>
    <row r="214" spans="1:3">
      <c r="A214" s="312" t="s">
        <v>384</v>
      </c>
      <c r="B214" s="312"/>
      <c r="C214" s="312" t="s">
        <v>562</v>
      </c>
    </row>
    <row r="215" spans="1:3">
      <c r="A215" s="312" t="s">
        <v>449</v>
      </c>
      <c r="B215" s="312"/>
      <c r="C215" s="312" t="s">
        <v>576</v>
      </c>
    </row>
    <row r="216" spans="1:3">
      <c r="A216" s="312" t="s">
        <v>591</v>
      </c>
      <c r="B216" s="312"/>
      <c r="C216" s="312" t="s">
        <v>562</v>
      </c>
    </row>
    <row r="217" spans="1:3">
      <c r="A217" s="312" t="s">
        <v>514</v>
      </c>
      <c r="B217" s="312"/>
      <c r="C217" s="312" t="s">
        <v>562</v>
      </c>
    </row>
    <row r="218" spans="1:3">
      <c r="A218" s="312" t="s">
        <v>389</v>
      </c>
      <c r="B218" s="314"/>
      <c r="C218" s="312" t="s">
        <v>576</v>
      </c>
    </row>
  </sheetData>
  <autoFilter ref="A1:D218" xr:uid="{80996BED-907A-40E7-9832-ED427E8A6F3B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C59C-1D94-4074-A792-35B31458FFA3}">
  <dimension ref="A1:BL596"/>
  <sheetViews>
    <sheetView showGridLines="0" topLeftCell="O1" zoomScale="60" zoomScaleNormal="60" workbookViewId="0">
      <pane ySplit="2" topLeftCell="A3" activePane="bottomLeft" state="frozen"/>
      <selection pane="bottomLeft" activeCell="D7" sqref="D7"/>
    </sheetView>
  </sheetViews>
  <sheetFormatPr defaultRowHeight="15" customHeight="1"/>
  <cols>
    <col min="1" max="1" width="17.140625" customWidth="1"/>
    <col min="2" max="2" width="27.28515625" customWidth="1"/>
    <col min="3" max="3" width="31.140625" customWidth="1"/>
    <col min="4" max="4" width="30.7109375" customWidth="1"/>
    <col min="5" max="5" width="26.140625" customWidth="1"/>
    <col min="6" max="6" width="60.7109375" customWidth="1"/>
    <col min="7" max="7" width="13" style="10" customWidth="1"/>
    <col min="8" max="8" width="18.7109375" style="10" customWidth="1"/>
    <col min="9" max="9" width="15.42578125" style="12" customWidth="1"/>
    <col min="10" max="10" width="15" customWidth="1"/>
    <col min="11" max="11" width="20.5703125" customWidth="1"/>
    <col min="12" max="12" width="18.28515625" customWidth="1"/>
    <col min="13" max="13" width="25.7109375" style="10" customWidth="1"/>
    <col min="14" max="14" width="13" style="15" customWidth="1"/>
    <col min="15" max="16" width="26" customWidth="1"/>
    <col min="17" max="17" width="23.42578125" style="1" customWidth="1"/>
    <col min="18" max="18" width="17.85546875" style="1" customWidth="1"/>
    <col min="19" max="19" width="21.5703125" customWidth="1"/>
    <col min="20" max="20" width="26.140625" style="10" customWidth="1"/>
    <col min="21" max="21" width="22.42578125" customWidth="1"/>
    <col min="22" max="22" width="14.42578125" style="11" customWidth="1"/>
    <col min="23" max="23" width="29.85546875" style="233" customWidth="1"/>
    <col min="24" max="24" width="35.140625" bestFit="1" customWidth="1"/>
  </cols>
  <sheetData>
    <row r="1" spans="1:24">
      <c r="G1"/>
      <c r="K1" s="12">
        <f>SUBTOTAL(9,Tabela131617[Valor_recibo])</f>
        <v>0</v>
      </c>
      <c r="N1" s="15">
        <f>SUBTOTAL(9,Tabela131617[Match_Planilha])</f>
        <v>0</v>
      </c>
      <c r="O1" s="15">
        <f>SUBTOTAL(9,O3:O565)</f>
        <v>0</v>
      </c>
      <c r="P1" s="275"/>
      <c r="Q1" s="224"/>
      <c r="R1" s="250">
        <f>SUBTOTAL(9,R3:R244)</f>
        <v>0</v>
      </c>
      <c r="S1" s="224" t="s">
        <v>372</v>
      </c>
      <c r="T1" s="227"/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381</v>
      </c>
      <c r="W2" s="238" t="s">
        <v>317</v>
      </c>
      <c r="X2" s="299" t="s">
        <v>15</v>
      </c>
    </row>
    <row r="3" spans="1:24" ht="15.75">
      <c r="A3" s="306">
        <v>22215673</v>
      </c>
      <c r="B3" s="7"/>
      <c r="C3" s="8" t="s">
        <v>384</v>
      </c>
      <c r="D3" s="8"/>
      <c r="E3" s="8" t="s">
        <v>383</v>
      </c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>
        <f>Tabela131617[[#This Row],[Valor_recibo]]</f>
        <v>0</v>
      </c>
      <c r="O3" s="16"/>
      <c r="P3" s="1" t="e">
        <f>VLOOKUP(Tabela131617[[#This Row],[DT]],Aprovados!A:A,1,0)</f>
        <v>#N/A</v>
      </c>
      <c r="R3" s="16"/>
      <c r="S3" s="16" t="s">
        <v>315</v>
      </c>
      <c r="T3" s="9"/>
      <c r="U3" s="71" t="s">
        <v>18</v>
      </c>
      <c r="V3" s="11">
        <v>289.5</v>
      </c>
      <c r="W3" s="232">
        <v>46021</v>
      </c>
      <c r="X3" s="304"/>
    </row>
    <row r="4" spans="1:24" ht="15.75">
      <c r="A4" s="306">
        <v>22215877</v>
      </c>
      <c r="B4" s="7"/>
      <c r="C4" s="8" t="s">
        <v>382</v>
      </c>
      <c r="D4" s="8"/>
      <c r="E4" s="8" t="s">
        <v>383</v>
      </c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>
        <f>Tabela131617[[#This Row],[Valor_recibo]]</f>
        <v>0</v>
      </c>
      <c r="O4" s="16"/>
      <c r="P4" s="1" t="e">
        <f>VLOOKUP(Tabela131617[[#This Row],[DT]],Aprovados!A:A,1,0)</f>
        <v>#N/A</v>
      </c>
      <c r="R4" s="16"/>
      <c r="S4" s="16" t="s">
        <v>315</v>
      </c>
      <c r="T4" s="9"/>
      <c r="U4" s="71" t="s">
        <v>18</v>
      </c>
      <c r="V4" s="11">
        <v>289.5</v>
      </c>
      <c r="W4" s="232">
        <v>46021</v>
      </c>
      <c r="X4" s="304"/>
    </row>
    <row r="5" spans="1:24" ht="15.75">
      <c r="A5" s="306">
        <v>22215879</v>
      </c>
      <c r="B5" s="7"/>
      <c r="C5" s="8" t="s">
        <v>385</v>
      </c>
      <c r="D5" s="8"/>
      <c r="E5" s="8" t="s">
        <v>383</v>
      </c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>
        <f>Tabela131617[[#This Row],[Valor_recibo]]</f>
        <v>0</v>
      </c>
      <c r="O5" s="16"/>
      <c r="P5" s="1" t="e">
        <f>VLOOKUP(Tabela131617[[#This Row],[DT]],Aprovados!A:A,1,0)</f>
        <v>#N/A</v>
      </c>
      <c r="R5" s="16"/>
      <c r="S5" s="16" t="s">
        <v>315</v>
      </c>
      <c r="T5" s="9"/>
      <c r="U5" s="71" t="s">
        <v>18</v>
      </c>
      <c r="V5" s="11">
        <v>289.5</v>
      </c>
      <c r="W5" s="232">
        <v>46021</v>
      </c>
      <c r="X5" s="304"/>
    </row>
    <row r="6" spans="1:24" ht="15.75">
      <c r="A6" s="306">
        <v>22219964</v>
      </c>
      <c r="B6" s="7"/>
      <c r="C6" s="8" t="s">
        <v>326</v>
      </c>
      <c r="D6" s="8"/>
      <c r="E6" s="8" t="s">
        <v>386</v>
      </c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>
        <f>Tabela131617[[#This Row],[Valor_recibo]]</f>
        <v>0</v>
      </c>
      <c r="O6" s="16"/>
      <c r="P6" s="1" t="e">
        <f>VLOOKUP(Tabela131617[[#This Row],[DT]],Aprovados!A:A,1,0)</f>
        <v>#N/A</v>
      </c>
      <c r="R6" s="16"/>
      <c r="S6" s="16" t="s">
        <v>315</v>
      </c>
      <c r="T6" s="9"/>
      <c r="U6" s="71" t="s">
        <v>18</v>
      </c>
      <c r="V6" s="11">
        <v>331.5</v>
      </c>
      <c r="W6" s="232">
        <v>46021</v>
      </c>
      <c r="X6" s="304"/>
    </row>
    <row r="7" spans="1:24" ht="15.75">
      <c r="A7" s="306">
        <v>22198401</v>
      </c>
      <c r="B7" s="7"/>
      <c r="C7" s="8" t="s">
        <v>401</v>
      </c>
      <c r="D7" s="8"/>
      <c r="E7" s="8" t="s">
        <v>383</v>
      </c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>
        <f>Tabela131617[[#This Row],[Valor_recibo]]</f>
        <v>0</v>
      </c>
      <c r="O7" s="16"/>
      <c r="P7" s="1" t="e">
        <f>VLOOKUP(Tabela131617[[#This Row],[DT]],Aprovados!A:A,1,0)</f>
        <v>#N/A</v>
      </c>
      <c r="R7" s="16"/>
      <c r="S7" s="16" t="s">
        <v>315</v>
      </c>
      <c r="T7" s="9"/>
      <c r="U7" s="71" t="s">
        <v>18</v>
      </c>
      <c r="V7" s="11">
        <v>289.5</v>
      </c>
      <c r="W7" s="232">
        <v>46021</v>
      </c>
      <c r="X7" s="304"/>
    </row>
    <row r="8" spans="1:24" ht="15.75">
      <c r="A8" s="6"/>
      <c r="B8" s="7"/>
      <c r="C8" s="6"/>
      <c r="D8" s="6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>
        <f>Tabela131617[[#This Row],[Valor_recibo]]</f>
        <v>0</v>
      </c>
      <c r="O8" s="16"/>
      <c r="P8" s="1" t="e">
        <f>VLOOKUP(Tabela131617[[#This Row],[DT]],Aprovados!A:A,1,0)</f>
        <v>#N/A</v>
      </c>
      <c r="R8" s="16"/>
      <c r="S8" s="16" t="s">
        <v>315</v>
      </c>
      <c r="T8" s="9"/>
      <c r="U8" s="1" t="s">
        <v>315</v>
      </c>
      <c r="W8" s="232"/>
      <c r="X8" s="304"/>
    </row>
    <row r="9" spans="1:24" ht="15.75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Tabela131617[[#This Row],[Valor_recibo]]</f>
        <v>0</v>
      </c>
      <c r="O9" s="16"/>
      <c r="P9" s="1" t="e">
        <f>VLOOKUP(Tabela131617[[#This Row],[DT]],Aprovados!A:A,1,0)</f>
        <v>#N/A</v>
      </c>
      <c r="Q9" s="6"/>
      <c r="R9" s="16"/>
      <c r="S9" s="16" t="s">
        <v>315</v>
      </c>
      <c r="T9" s="9"/>
      <c r="U9" s="1" t="s">
        <v>315</v>
      </c>
      <c r="W9" s="232"/>
      <c r="X9" s="304"/>
    </row>
    <row r="10" spans="1:24" ht="15.75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>
        <f>Tabela131617[[#This Row],[Valor_recibo]]</f>
        <v>0</v>
      </c>
      <c r="O10" s="16"/>
      <c r="P10" s="1" t="e">
        <f>VLOOKUP(Tabela131617[[#This Row],[DT]],Aprovados!A:A,1,0)</f>
        <v>#N/A</v>
      </c>
      <c r="R10" s="16"/>
      <c r="S10" s="16" t="s">
        <v>315</v>
      </c>
      <c r="T10" s="9"/>
      <c r="U10" s="1" t="s">
        <v>315</v>
      </c>
      <c r="W10" s="232"/>
      <c r="X10" s="304"/>
    </row>
    <row r="11" spans="1:24" ht="15.75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>
        <f>Tabela131617[[#This Row],[Valor_recibo]]</f>
        <v>0</v>
      </c>
      <c r="O11" s="16"/>
      <c r="P11" s="1" t="e">
        <f>VLOOKUP(Tabela131617[[#This Row],[DT]],Aprovados!A:A,1,0)</f>
        <v>#N/A</v>
      </c>
      <c r="R11" s="16"/>
      <c r="S11" s="16" t="s">
        <v>315</v>
      </c>
      <c r="T11" s="9"/>
      <c r="U11" s="1" t="s">
        <v>315</v>
      </c>
      <c r="W11" s="232"/>
      <c r="X11" s="304"/>
    </row>
    <row r="12" spans="1:24" ht="15.75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>
        <f>Tabela131617[[#This Row],[Valor_recibo]]</f>
        <v>0</v>
      </c>
      <c r="O12" s="16"/>
      <c r="P12" s="1" t="e">
        <f>VLOOKUP(Tabela131617[[#This Row],[DT]],Aprovados!A:A,1,0)</f>
        <v>#N/A</v>
      </c>
      <c r="R12" s="16"/>
      <c r="S12" s="16" t="s">
        <v>315</v>
      </c>
      <c r="T12" s="9"/>
      <c r="U12" s="1" t="s">
        <v>315</v>
      </c>
      <c r="W12" s="232"/>
      <c r="X12" s="304"/>
    </row>
    <row r="13" spans="1:24" ht="15.75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>
        <f>Tabela131617[[#This Row],[Valor_recibo]]</f>
        <v>0</v>
      </c>
      <c r="O13" s="16"/>
      <c r="P13" s="1" t="e">
        <f>VLOOKUP(Tabela131617[[#This Row],[DT]],Aprovados!A:A,1,0)</f>
        <v>#N/A</v>
      </c>
      <c r="R13" s="16"/>
      <c r="S13" s="16" t="s">
        <v>315</v>
      </c>
      <c r="T13" s="9"/>
      <c r="U13" s="1" t="s">
        <v>315</v>
      </c>
      <c r="W13" s="232"/>
      <c r="X13" s="304"/>
    </row>
    <row r="14" spans="1:24" ht="15.75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>
        <f>Tabela131617[[#This Row],[Valor_recibo]]</f>
        <v>0</v>
      </c>
      <c r="O14" s="16"/>
      <c r="P14" s="1" t="e">
        <f>VLOOKUP(Tabela131617[[#This Row],[DT]],Aprovados!A:A,1,0)</f>
        <v>#N/A</v>
      </c>
      <c r="Q14" s="222"/>
      <c r="R14" s="16"/>
      <c r="S14" s="16" t="s">
        <v>315</v>
      </c>
      <c r="T14" s="9"/>
      <c r="U14" s="1" t="s">
        <v>315</v>
      </c>
      <c r="W14" s="232"/>
      <c r="X14" s="304"/>
    </row>
    <row r="15" spans="1:24" ht="15.75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>
        <f>Tabela131617[[#This Row],[Valor_recibo]]</f>
        <v>0</v>
      </c>
      <c r="O15" s="16"/>
      <c r="P15" s="1" t="e">
        <f>VLOOKUP(Tabela131617[[#This Row],[DT]],Aprovados!A:A,1,0)</f>
        <v>#N/A</v>
      </c>
      <c r="R15" s="16"/>
      <c r="S15" s="16" t="s">
        <v>315</v>
      </c>
      <c r="T15" s="9"/>
      <c r="U15" s="1" t="s">
        <v>315</v>
      </c>
      <c r="W15" s="232"/>
      <c r="X15" s="304"/>
    </row>
    <row r="16" spans="1:24" ht="15.75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>
        <f>Tabela131617[[#This Row],[Valor_recibo]]</f>
        <v>0</v>
      </c>
      <c r="O16" s="16"/>
      <c r="P16" s="1" t="e">
        <f>VLOOKUP(Tabela131617[[#This Row],[DT]],Aprovados!A:A,1,0)</f>
        <v>#N/A</v>
      </c>
      <c r="R16" s="16"/>
      <c r="S16" s="16" t="s">
        <v>315</v>
      </c>
      <c r="T16" s="9"/>
      <c r="U16" s="1" t="s">
        <v>315</v>
      </c>
      <c r="W16" s="232"/>
      <c r="X16" s="304"/>
    </row>
    <row r="17" spans="1:24" ht="15.75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>
        <f>Tabela131617[[#This Row],[Valor_recibo]]</f>
        <v>0</v>
      </c>
      <c r="O17" s="16"/>
      <c r="P17" s="1" t="e">
        <f>VLOOKUP(Tabela131617[[#This Row],[DT]],Aprovados!A:A,1,0)</f>
        <v>#N/A</v>
      </c>
      <c r="R17" s="16"/>
      <c r="S17" s="16" t="s">
        <v>315</v>
      </c>
      <c r="T17" s="9"/>
      <c r="U17" s="1" t="s">
        <v>315</v>
      </c>
      <c r="W17" s="232"/>
      <c r="X17" s="304"/>
    </row>
    <row r="18" spans="1:24" ht="15.75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>
        <f>Tabela131617[[#This Row],[Valor_recibo]]</f>
        <v>0</v>
      </c>
      <c r="O18" s="16"/>
      <c r="P18" s="1" t="e">
        <f>VLOOKUP(Tabela131617[[#This Row],[DT]],Aprovados!A:A,1,0)</f>
        <v>#N/A</v>
      </c>
      <c r="R18" s="16"/>
      <c r="S18" s="16" t="s">
        <v>315</v>
      </c>
      <c r="T18" s="9"/>
      <c r="U18" s="1" t="s">
        <v>315</v>
      </c>
      <c r="W18" s="232"/>
      <c r="X18" s="304"/>
    </row>
    <row r="19" spans="1:24" ht="15.75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>
        <f>Tabela131617[[#This Row],[Valor_recibo]]</f>
        <v>0</v>
      </c>
      <c r="O19" s="16"/>
      <c r="P19" s="1" t="e">
        <f>VLOOKUP(Tabela131617[[#This Row],[DT]],Aprovados!A:A,1,0)</f>
        <v>#N/A</v>
      </c>
      <c r="R19" s="16"/>
      <c r="S19" s="16" t="s">
        <v>315</v>
      </c>
      <c r="T19" s="9"/>
      <c r="U19" s="1" t="s">
        <v>315</v>
      </c>
      <c r="W19" s="232"/>
      <c r="X19" s="304"/>
    </row>
    <row r="20" spans="1:24" ht="15.75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>
        <f>Tabela131617[[#This Row],[Valor_recibo]]</f>
        <v>0</v>
      </c>
      <c r="O20" s="16"/>
      <c r="P20" s="1" t="e">
        <f>VLOOKUP(Tabela131617[[#This Row],[DT]],Aprovados!A:A,1,0)</f>
        <v>#N/A</v>
      </c>
      <c r="R20" s="16"/>
      <c r="S20" s="16" t="s">
        <v>315</v>
      </c>
      <c r="T20" s="9"/>
      <c r="U20" s="1" t="s">
        <v>315</v>
      </c>
      <c r="W20" s="232"/>
      <c r="X20" s="304"/>
    </row>
    <row r="21" spans="1:24" ht="15.75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>
        <f>Tabela131617[[#This Row],[Valor_recibo]]</f>
        <v>0</v>
      </c>
      <c r="O21" s="16"/>
      <c r="P21" s="1" t="e">
        <f>VLOOKUP(Tabela131617[[#This Row],[DT]],Aprovados!A:A,1,0)</f>
        <v>#N/A</v>
      </c>
      <c r="R21" s="16"/>
      <c r="S21" s="16" t="s">
        <v>315</v>
      </c>
      <c r="T21" s="9"/>
      <c r="U21" s="1" t="s">
        <v>315</v>
      </c>
      <c r="W21" s="232"/>
      <c r="X21" s="304"/>
    </row>
    <row r="22" spans="1:24" ht="15.75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>
        <f>Tabela131617[[#This Row],[Valor_recibo]]</f>
        <v>0</v>
      </c>
      <c r="O22" s="16"/>
      <c r="P22" s="1" t="e">
        <f>VLOOKUP(Tabela131617[[#This Row],[DT]],Aprovados!A:A,1,0)</f>
        <v>#N/A</v>
      </c>
      <c r="R22" s="16"/>
      <c r="S22" s="16" t="s">
        <v>315</v>
      </c>
      <c r="T22" s="9"/>
      <c r="U22" s="1" t="s">
        <v>315</v>
      </c>
      <c r="W22" s="232"/>
      <c r="X22" s="304"/>
    </row>
    <row r="23" spans="1:24" ht="15.75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>
        <f>Tabela131617[[#This Row],[Valor_recibo]]</f>
        <v>0</v>
      </c>
      <c r="O23" s="16"/>
      <c r="P23" s="1" t="e">
        <f>VLOOKUP(Tabela131617[[#This Row],[DT]],Aprovados!A:A,1,0)</f>
        <v>#N/A</v>
      </c>
      <c r="R23" s="16"/>
      <c r="S23" s="16" t="s">
        <v>315</v>
      </c>
      <c r="T23" s="9"/>
      <c r="U23" s="1" t="s">
        <v>315</v>
      </c>
      <c r="W23" s="232"/>
      <c r="X23" s="304"/>
    </row>
    <row r="24" spans="1:24" ht="15.75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>
        <f>Tabela131617[[#This Row],[Valor_recibo]]</f>
        <v>0</v>
      </c>
      <c r="O24" s="16"/>
      <c r="P24" s="1" t="e">
        <f>VLOOKUP(Tabela131617[[#This Row],[DT]],Aprovados!A:A,1,0)</f>
        <v>#N/A</v>
      </c>
      <c r="R24" s="16"/>
      <c r="S24" s="16" t="s">
        <v>315</v>
      </c>
      <c r="T24" s="9"/>
      <c r="U24" s="1" t="s">
        <v>315</v>
      </c>
      <c r="W24" s="232"/>
      <c r="X24" s="304"/>
    </row>
    <row r="25" spans="1:24" ht="15.75">
      <c r="A25" s="6"/>
      <c r="B25" s="7"/>
      <c r="C25" s="6"/>
      <c r="D25" s="6"/>
      <c r="E25" s="6"/>
      <c r="F25" s="1"/>
      <c r="G25" s="9"/>
      <c r="H25" s="9"/>
      <c r="I25" s="11"/>
      <c r="J25" s="1"/>
      <c r="K25" s="205" t="s">
        <v>315</v>
      </c>
      <c r="L25" s="1" t="s">
        <v>315</v>
      </c>
      <c r="M25" s="9"/>
      <c r="N25" s="14">
        <f>Tabela131617[[#This Row],[Valor_recibo]]</f>
        <v>0</v>
      </c>
      <c r="O25" s="16"/>
      <c r="P25" s="1" t="e">
        <f>VLOOKUP(Tabela131617[[#This Row],[DT]],Aprovados!A:A,1,0)</f>
        <v>#N/A</v>
      </c>
      <c r="R25" s="16"/>
      <c r="S25" s="16" t="s">
        <v>315</v>
      </c>
      <c r="T25" s="9"/>
      <c r="U25" s="1" t="s">
        <v>315</v>
      </c>
      <c r="W25" s="232"/>
      <c r="X25" s="304"/>
    </row>
    <row r="26" spans="1:24" ht="15.75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>
        <f>Tabela131617[[#This Row],[Valor_recibo]]</f>
        <v>0</v>
      </c>
      <c r="O26" s="16"/>
      <c r="P26" s="1" t="e">
        <f>VLOOKUP(Tabela131617[[#This Row],[DT]],Aprovados!A:A,1,0)</f>
        <v>#N/A</v>
      </c>
      <c r="R26" s="16"/>
      <c r="S26" s="16" t="s">
        <v>315</v>
      </c>
      <c r="T26" s="9"/>
      <c r="U26" s="1" t="s">
        <v>315</v>
      </c>
      <c r="W26" s="232"/>
      <c r="X26" s="304"/>
    </row>
    <row r="27" spans="1:24" ht="15.75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>
        <f>Tabela131617[[#This Row],[Valor_recibo]]</f>
        <v>0</v>
      </c>
      <c r="O27" s="16"/>
      <c r="P27" s="1" t="e">
        <f>VLOOKUP(Tabela131617[[#This Row],[DT]],Aprovados!A:A,1,0)</f>
        <v>#N/A</v>
      </c>
      <c r="R27" s="16"/>
      <c r="S27" s="16" t="s">
        <v>315</v>
      </c>
      <c r="T27" s="9"/>
      <c r="U27" s="1" t="s">
        <v>315</v>
      </c>
      <c r="W27" s="232"/>
      <c r="X27" s="304"/>
    </row>
    <row r="28" spans="1:24" ht="15.75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>
        <f>Tabela131617[[#This Row],[Valor_recibo]]</f>
        <v>0</v>
      </c>
      <c r="O28" s="16"/>
      <c r="P28" s="1" t="e">
        <f>VLOOKUP(Tabela131617[[#This Row],[DT]],Aprovados!A:A,1,0)</f>
        <v>#N/A</v>
      </c>
      <c r="R28" s="16"/>
      <c r="S28" s="16" t="s">
        <v>315</v>
      </c>
      <c r="T28" s="9"/>
      <c r="U28" s="1" t="s">
        <v>315</v>
      </c>
      <c r="W28" s="232"/>
      <c r="X28" s="304"/>
    </row>
    <row r="29" spans="1:24" ht="15.75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>
        <f>Tabela131617[[#This Row],[Valor_recibo]]</f>
        <v>0</v>
      </c>
      <c r="O29" s="16"/>
      <c r="P29" s="1" t="e">
        <f>VLOOKUP(Tabela131617[[#This Row],[DT]],Aprovados!A:A,1,0)</f>
        <v>#N/A</v>
      </c>
      <c r="R29" s="16"/>
      <c r="S29" s="16" t="s">
        <v>315</v>
      </c>
      <c r="T29" s="9"/>
      <c r="U29" s="1" t="s">
        <v>315</v>
      </c>
      <c r="W29" s="232"/>
      <c r="X29" s="304"/>
    </row>
    <row r="30" spans="1:24" ht="15.75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>
        <f>Tabela131617[[#This Row],[Valor_recibo]]</f>
        <v>0</v>
      </c>
      <c r="O30" s="16"/>
      <c r="P30" s="1" t="e">
        <f>VLOOKUP(Tabela131617[[#This Row],[DT]],Aprovados!A:A,1,0)</f>
        <v>#N/A</v>
      </c>
      <c r="R30" s="16"/>
      <c r="S30" s="16" t="s">
        <v>315</v>
      </c>
      <c r="T30" s="9"/>
      <c r="U30" s="1" t="s">
        <v>315</v>
      </c>
      <c r="W30" s="232"/>
      <c r="X30" s="304"/>
    </row>
    <row r="31" spans="1:24" ht="15.75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>
        <f>Tabela131617[[#This Row],[Valor_recibo]]</f>
        <v>0</v>
      </c>
      <c r="O31" s="16"/>
      <c r="P31" s="1" t="e">
        <f>VLOOKUP(Tabela131617[[#This Row],[DT]],Aprovados!A:A,1,0)</f>
        <v>#N/A</v>
      </c>
      <c r="R31" s="16"/>
      <c r="S31" s="16" t="s">
        <v>315</v>
      </c>
      <c r="T31" s="9"/>
      <c r="U31" s="1" t="s">
        <v>315</v>
      </c>
      <c r="W31" s="232"/>
      <c r="X31" s="304"/>
    </row>
    <row r="32" spans="1:24" ht="15.75">
      <c r="A32" s="6"/>
      <c r="B32" s="7"/>
      <c r="C32" s="6"/>
      <c r="D32" s="6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>
        <f>Tabela131617[[#This Row],[Valor_recibo]]</f>
        <v>0</v>
      </c>
      <c r="O32" s="16"/>
      <c r="P32" s="1" t="e">
        <f>VLOOKUP(Tabela131617[[#This Row],[DT]],Aprovados!A:A,1,0)</f>
        <v>#N/A</v>
      </c>
      <c r="R32" s="16"/>
      <c r="S32" s="16" t="s">
        <v>315</v>
      </c>
      <c r="T32" s="9"/>
      <c r="U32" s="1" t="s">
        <v>315</v>
      </c>
      <c r="W32" s="232"/>
      <c r="X32" s="304"/>
    </row>
    <row r="33" spans="1:24" ht="15.75">
      <c r="A33" s="6"/>
      <c r="B33" s="7"/>
      <c r="C33" s="6"/>
      <c r="D33" s="6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>
        <f>Tabela131617[[#This Row],[Valor_recibo]]</f>
        <v>0</v>
      </c>
      <c r="O33" s="16"/>
      <c r="P33" s="1" t="e">
        <f>VLOOKUP(Tabela131617[[#This Row],[DT]],Aprovados!A:A,1,0)</f>
        <v>#N/A</v>
      </c>
      <c r="R33" s="16"/>
      <c r="S33" s="16" t="s">
        <v>315</v>
      </c>
      <c r="T33" s="9"/>
      <c r="U33" s="1" t="s">
        <v>315</v>
      </c>
      <c r="W33" s="232"/>
      <c r="X33" s="304"/>
    </row>
    <row r="34" spans="1:24" ht="15.75">
      <c r="A34" s="6"/>
      <c r="B34" s="7"/>
      <c r="C34" s="6"/>
      <c r="D34" s="6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>
        <f>Tabela131617[[#This Row],[Valor_recibo]]</f>
        <v>0</v>
      </c>
      <c r="O34" s="16"/>
      <c r="P34" s="1" t="e">
        <f>VLOOKUP(Tabela131617[[#This Row],[DT]],Aprovados!A:A,1,0)</f>
        <v>#N/A</v>
      </c>
      <c r="R34" s="16"/>
      <c r="S34" s="16" t="s">
        <v>315</v>
      </c>
      <c r="T34" s="9"/>
      <c r="U34" s="1" t="s">
        <v>315</v>
      </c>
      <c r="W34" s="232"/>
      <c r="X34" s="304"/>
    </row>
    <row r="35" spans="1:24" ht="15.75">
      <c r="A35" s="6"/>
      <c r="B35" s="7"/>
      <c r="C35" s="6"/>
      <c r="D35" s="6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>
        <f>Tabela131617[[#This Row],[Valor_recibo]]</f>
        <v>0</v>
      </c>
      <c r="O35" s="16"/>
      <c r="P35" s="1" t="e">
        <f>VLOOKUP(Tabela131617[[#This Row],[DT]],Aprovados!A:A,1,0)</f>
        <v>#N/A</v>
      </c>
      <c r="R35" s="16"/>
      <c r="S35" s="16" t="s">
        <v>315</v>
      </c>
      <c r="T35" s="9"/>
      <c r="U35" s="1" t="s">
        <v>315</v>
      </c>
      <c r="W35" s="232"/>
      <c r="X35" s="304"/>
    </row>
    <row r="36" spans="1:24" ht="15.75">
      <c r="A36" s="6"/>
      <c r="B36" s="7"/>
      <c r="C36" s="6"/>
      <c r="D36" s="6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>
        <f>Tabela131617[[#This Row],[Valor_recibo]]</f>
        <v>0</v>
      </c>
      <c r="O36" s="16"/>
      <c r="P36" s="1" t="e">
        <f>VLOOKUP(Tabela131617[[#This Row],[DT]],Aprovados!A:A,1,0)</f>
        <v>#N/A</v>
      </c>
      <c r="R36" s="16"/>
      <c r="S36" s="16" t="s">
        <v>315</v>
      </c>
      <c r="T36" s="9"/>
      <c r="U36" s="1" t="s">
        <v>315</v>
      </c>
      <c r="W36" s="232"/>
      <c r="X36" s="304"/>
    </row>
    <row r="37" spans="1:24" ht="15.75">
      <c r="A37" s="6"/>
      <c r="B37" s="7"/>
      <c r="C37" s="6"/>
      <c r="D37" s="6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>
        <f>Tabela131617[[#This Row],[Valor_recibo]]</f>
        <v>0</v>
      </c>
      <c r="O37" s="16"/>
      <c r="P37" s="1" t="e">
        <f>VLOOKUP(Tabela131617[[#This Row],[DT]],Aprovados!A:A,1,0)</f>
        <v>#N/A</v>
      </c>
      <c r="R37" s="16"/>
      <c r="S37" s="16" t="s">
        <v>315</v>
      </c>
      <c r="T37" s="9"/>
      <c r="U37" s="1" t="s">
        <v>315</v>
      </c>
      <c r="W37" s="232"/>
      <c r="X37" s="304"/>
    </row>
    <row r="38" spans="1:24" ht="15.75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>
        <f>Tabela131617[[#This Row],[Valor_recibo]]</f>
        <v>0</v>
      </c>
      <c r="O38" s="16"/>
      <c r="P38" s="1" t="e">
        <f>VLOOKUP(Tabela131617[[#This Row],[DT]],Aprovados!A:A,1,0)</f>
        <v>#N/A</v>
      </c>
      <c r="R38" s="16"/>
      <c r="S38" s="16" t="s">
        <v>315</v>
      </c>
      <c r="T38" s="9"/>
      <c r="U38" s="1" t="s">
        <v>315</v>
      </c>
      <c r="W38" s="232"/>
      <c r="X38" s="304"/>
    </row>
    <row r="39" spans="1:24" ht="15.75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>
        <f>Tabela131617[[#This Row],[Valor_recibo]]</f>
        <v>0</v>
      </c>
      <c r="O39" s="16"/>
      <c r="P39" s="1" t="e">
        <f>VLOOKUP(Tabela131617[[#This Row],[DT]],Aprovados!A:A,1,0)</f>
        <v>#N/A</v>
      </c>
      <c r="R39" s="16"/>
      <c r="S39" s="16" t="s">
        <v>315</v>
      </c>
      <c r="T39" s="9"/>
      <c r="U39" s="1" t="s">
        <v>315</v>
      </c>
      <c r="W39" s="232"/>
      <c r="X39" s="304"/>
    </row>
    <row r="40" spans="1:24" ht="15.75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>
        <f>Tabela131617[[#This Row],[Valor_recibo]]</f>
        <v>0</v>
      </c>
      <c r="O40" s="16"/>
      <c r="P40" s="1" t="e">
        <f>VLOOKUP(Tabela131617[[#This Row],[DT]],Aprovados!A:A,1,0)</f>
        <v>#N/A</v>
      </c>
      <c r="R40" s="16"/>
      <c r="S40" s="16" t="s">
        <v>315</v>
      </c>
      <c r="T40" s="9"/>
      <c r="U40" s="1" t="s">
        <v>315</v>
      </c>
      <c r="W40" s="232"/>
      <c r="X40" s="304"/>
    </row>
    <row r="41" spans="1:24" ht="15.75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>
        <f>Tabela131617[[#This Row],[Valor_recibo]]</f>
        <v>0</v>
      </c>
      <c r="O41" s="16"/>
      <c r="P41" s="1" t="e">
        <f>VLOOKUP(Tabela131617[[#This Row],[DT]],Aprovados!A:A,1,0)</f>
        <v>#N/A</v>
      </c>
      <c r="R41" s="16"/>
      <c r="S41" s="16" t="s">
        <v>315</v>
      </c>
      <c r="T41" s="9"/>
      <c r="U41" s="1" t="s">
        <v>315</v>
      </c>
      <c r="W41" s="232"/>
      <c r="X41" s="304"/>
    </row>
    <row r="42" spans="1:24" ht="15.75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>
        <f>Tabela131617[[#This Row],[Valor_recibo]]</f>
        <v>0</v>
      </c>
      <c r="O42" s="16"/>
      <c r="P42" s="1" t="e">
        <f>VLOOKUP(Tabela131617[[#This Row],[DT]],Aprovados!A:A,1,0)</f>
        <v>#N/A</v>
      </c>
      <c r="R42" s="16"/>
      <c r="S42" s="16" t="s">
        <v>315</v>
      </c>
      <c r="T42" s="9"/>
      <c r="U42" s="1" t="s">
        <v>315</v>
      </c>
      <c r="W42" s="232"/>
      <c r="X42" s="304"/>
    </row>
    <row r="43" spans="1:24" ht="15.75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>
        <f>Tabela131617[[#This Row],[Valor_recibo]]</f>
        <v>0</v>
      </c>
      <c r="O43" s="16"/>
      <c r="P43" s="1" t="e">
        <f>VLOOKUP(Tabela131617[[#This Row],[DT]],Aprovados!A:A,1,0)</f>
        <v>#N/A</v>
      </c>
      <c r="R43" s="16"/>
      <c r="S43" s="16" t="s">
        <v>315</v>
      </c>
      <c r="T43" s="9"/>
      <c r="U43" s="1" t="s">
        <v>315</v>
      </c>
      <c r="W43" s="232"/>
      <c r="X43" s="304"/>
    </row>
    <row r="44" spans="1:24" ht="15.75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>
        <f>Tabela131617[[#This Row],[Valor_recibo]]</f>
        <v>0</v>
      </c>
      <c r="O44" s="16"/>
      <c r="P44" s="1" t="e">
        <f>VLOOKUP(Tabela131617[[#This Row],[DT]],Aprovados!A:A,1,0)</f>
        <v>#N/A</v>
      </c>
      <c r="R44" s="16"/>
      <c r="S44" s="16" t="s">
        <v>315</v>
      </c>
      <c r="T44" s="9"/>
      <c r="U44" s="1" t="s">
        <v>315</v>
      </c>
      <c r="W44" s="232"/>
      <c r="X44" s="304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>
        <f>Tabela131617[[#This Row],[Valor_recibo]]</f>
        <v>0</v>
      </c>
      <c r="O45" s="16"/>
      <c r="P45" s="1" t="e">
        <f>VLOOKUP(Tabela131617[[#This Row],[DT]],Aprovados!A:A,1,0)</f>
        <v>#N/A</v>
      </c>
      <c r="R45" s="16"/>
      <c r="S45" s="16" t="s">
        <v>315</v>
      </c>
      <c r="T45" s="9"/>
      <c r="U45" s="1" t="s">
        <v>315</v>
      </c>
      <c r="W45" s="232"/>
      <c r="X45" s="304"/>
    </row>
    <row r="46" spans="1:24" ht="15.75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>
        <f>Tabela131617[[#This Row],[Valor_recibo]]</f>
        <v>0</v>
      </c>
      <c r="O46" s="16"/>
      <c r="P46" s="1" t="e">
        <f>VLOOKUP(Tabela131617[[#This Row],[DT]],Aprovados!A:A,1,0)</f>
        <v>#N/A</v>
      </c>
      <c r="R46" s="16"/>
      <c r="S46" s="16" t="s">
        <v>315</v>
      </c>
      <c r="T46" s="9"/>
      <c r="U46" s="1" t="s">
        <v>315</v>
      </c>
      <c r="W46" s="232"/>
      <c r="X46" s="304"/>
    </row>
    <row r="47" spans="1:24" ht="15.75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>
        <f>Tabela131617[[#This Row],[Valor_recibo]]</f>
        <v>0</v>
      </c>
      <c r="O47" s="16"/>
      <c r="P47" s="1" t="e">
        <f>VLOOKUP(Tabela131617[[#This Row],[DT]],Aprovados!A:A,1,0)</f>
        <v>#N/A</v>
      </c>
      <c r="R47" s="16"/>
      <c r="S47" s="16" t="s">
        <v>315</v>
      </c>
      <c r="T47" s="9"/>
      <c r="U47" s="1" t="s">
        <v>315</v>
      </c>
      <c r="W47" s="232"/>
      <c r="X47" s="304"/>
    </row>
    <row r="48" spans="1:24" ht="15.75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>
        <f>Tabela131617[[#This Row],[Valor_recibo]]</f>
        <v>0</v>
      </c>
      <c r="O48" s="16"/>
      <c r="P48" s="1" t="e">
        <f>VLOOKUP(Tabela131617[[#This Row],[DT]],Aprovados!A:A,1,0)</f>
        <v>#N/A</v>
      </c>
      <c r="R48" s="16"/>
      <c r="S48" s="16" t="s">
        <v>315</v>
      </c>
      <c r="T48" s="9"/>
      <c r="U48" s="1" t="s">
        <v>315</v>
      </c>
      <c r="W48" s="232"/>
      <c r="X48" s="304"/>
    </row>
    <row r="49" spans="1:24" ht="15.75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Tabela131617[[#This Row],[Valor_recibo]]</f>
        <v>0</v>
      </c>
      <c r="O49" s="16"/>
      <c r="P49" s="1" t="e">
        <f>VLOOKUP(Tabela131617[[#This Row],[DT]],Aprovados!A:A,1,0)</f>
        <v>#N/A</v>
      </c>
      <c r="R49" s="16"/>
      <c r="S49" s="1" t="s">
        <v>315</v>
      </c>
      <c r="T49" s="9"/>
      <c r="U49" s="1" t="s">
        <v>315</v>
      </c>
      <c r="W49" s="232"/>
      <c r="X49" s="304"/>
    </row>
    <row r="50" spans="1:24" ht="15.75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Tabela131617[[#This Row],[Valor_recibo]]</f>
        <v>0</v>
      </c>
      <c r="O50" s="16"/>
      <c r="P50" s="1" t="e">
        <f>VLOOKUP(Tabela131617[[#This Row],[DT]],Aprovados!A:A,1,0)</f>
        <v>#N/A</v>
      </c>
      <c r="R50" s="16"/>
      <c r="S50" s="1" t="s">
        <v>315</v>
      </c>
      <c r="T50" s="9"/>
      <c r="U50" s="1" t="s">
        <v>315</v>
      </c>
      <c r="W50" s="232"/>
      <c r="X50" s="304"/>
    </row>
    <row r="51" spans="1:24" ht="15.75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>
        <f>Tabela131617[[#This Row],[Valor_recibo]]</f>
        <v>0</v>
      </c>
      <c r="O51" s="16"/>
      <c r="P51" s="1" t="e">
        <f>VLOOKUP(Tabela131617[[#This Row],[DT]],Aprovados!A:A,1,0)</f>
        <v>#N/A</v>
      </c>
      <c r="R51" s="16"/>
      <c r="S51" s="1" t="s">
        <v>315</v>
      </c>
      <c r="T51" s="9"/>
      <c r="U51" s="1" t="s">
        <v>315</v>
      </c>
      <c r="W51" s="232"/>
      <c r="X51" s="304"/>
    </row>
    <row r="52" spans="1:24" ht="15.75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>
        <f>Tabela131617[[#This Row],[Valor_recibo]]</f>
        <v>0</v>
      </c>
      <c r="O52" s="16"/>
      <c r="P52" s="1" t="e">
        <f>VLOOKUP(Tabela131617[[#This Row],[DT]],Aprovados!A:A,1,0)</f>
        <v>#N/A</v>
      </c>
      <c r="R52" s="16"/>
      <c r="S52" s="1" t="s">
        <v>315</v>
      </c>
      <c r="T52" s="9"/>
      <c r="U52" s="1" t="s">
        <v>315</v>
      </c>
      <c r="W52" s="232"/>
      <c r="X52" s="304"/>
    </row>
    <row r="53" spans="1:24" ht="15.75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>
        <f>Tabela131617[[#This Row],[Valor_recibo]]</f>
        <v>0</v>
      </c>
      <c r="O53" s="16"/>
      <c r="P53" s="1" t="e">
        <f>VLOOKUP(Tabela131617[[#This Row],[DT]],Aprovados!A:A,1,0)</f>
        <v>#N/A</v>
      </c>
      <c r="R53" s="16"/>
      <c r="S53" s="1" t="s">
        <v>315</v>
      </c>
      <c r="T53" s="9"/>
      <c r="U53" s="1" t="s">
        <v>315</v>
      </c>
      <c r="W53" s="232"/>
      <c r="X53" s="304"/>
    </row>
    <row r="54" spans="1:24" ht="15.75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>
        <f>Tabela131617[[#This Row],[Valor_recibo]]</f>
        <v>0</v>
      </c>
      <c r="O54" s="16"/>
      <c r="P54" s="1" t="e">
        <f>VLOOKUP(Tabela131617[[#This Row],[DT]],Aprovados!A:A,1,0)</f>
        <v>#N/A</v>
      </c>
      <c r="R54" s="16"/>
      <c r="S54" s="1" t="s">
        <v>315</v>
      </c>
      <c r="T54" s="9"/>
      <c r="U54" s="1" t="s">
        <v>315</v>
      </c>
      <c r="W54" s="232"/>
      <c r="X54" s="304"/>
    </row>
    <row r="55" spans="1:24" ht="15.75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>
        <f>Tabela131617[[#This Row],[Valor_recibo]]</f>
        <v>0</v>
      </c>
      <c r="O55" s="16"/>
      <c r="P55" s="1" t="e">
        <f>VLOOKUP(Tabela131617[[#This Row],[DT]],Aprovados!A:A,1,0)</f>
        <v>#N/A</v>
      </c>
      <c r="R55" s="16"/>
      <c r="S55" s="1" t="s">
        <v>315</v>
      </c>
      <c r="T55" s="9"/>
      <c r="U55" s="1" t="s">
        <v>315</v>
      </c>
      <c r="W55" s="232"/>
      <c r="X55" s="304"/>
    </row>
    <row r="56" spans="1:24" ht="15.75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>
        <f>Tabela131617[[#This Row],[Valor_recibo]]</f>
        <v>0</v>
      </c>
      <c r="O56" s="16"/>
      <c r="P56" s="1" t="e">
        <f>VLOOKUP(Tabela131617[[#This Row],[DT]],Aprovados!A:A,1,0)</f>
        <v>#N/A</v>
      </c>
      <c r="R56" s="16"/>
      <c r="S56" s="1" t="s">
        <v>315</v>
      </c>
      <c r="T56" s="9"/>
      <c r="U56" s="1" t="s">
        <v>315</v>
      </c>
      <c r="W56" s="232"/>
      <c r="X56" s="304"/>
    </row>
    <row r="57" spans="1:24" ht="15.75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>
        <f>Tabela131617[[#This Row],[Valor_recibo]]</f>
        <v>0</v>
      </c>
      <c r="O57" s="16"/>
      <c r="P57" s="1" t="e">
        <f>VLOOKUP(Tabela131617[[#This Row],[DT]],Aprovados!A:A,1,0)</f>
        <v>#N/A</v>
      </c>
      <c r="R57" s="16"/>
      <c r="S57" s="1" t="s">
        <v>315</v>
      </c>
      <c r="T57" s="9"/>
      <c r="U57" s="1" t="s">
        <v>315</v>
      </c>
      <c r="W57" s="232"/>
      <c r="X57" s="304"/>
    </row>
    <row r="58" spans="1:24" ht="15.75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>
        <f>Tabela131617[[#This Row],[Valor_recibo]]</f>
        <v>0</v>
      </c>
      <c r="O58" s="16"/>
      <c r="P58" s="1" t="e">
        <f>VLOOKUP(Tabela131617[[#This Row],[DT]],Aprovados!A:A,1,0)</f>
        <v>#N/A</v>
      </c>
      <c r="R58" s="16"/>
      <c r="S58" s="1" t="s">
        <v>315</v>
      </c>
      <c r="T58" s="9"/>
      <c r="U58" s="1" t="s">
        <v>315</v>
      </c>
      <c r="W58" s="232"/>
      <c r="X58" s="304"/>
    </row>
    <row r="59" spans="1:24" ht="15.75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>
        <f>Tabela131617[[#This Row],[Valor_recibo]]</f>
        <v>0</v>
      </c>
      <c r="O59" s="16"/>
      <c r="P59" s="1" t="e">
        <f>VLOOKUP(Tabela131617[[#This Row],[DT]],Aprovados!A:A,1,0)</f>
        <v>#N/A</v>
      </c>
      <c r="R59" s="16"/>
      <c r="S59" s="1" t="s">
        <v>315</v>
      </c>
      <c r="T59" s="9"/>
      <c r="U59" s="1" t="s">
        <v>315</v>
      </c>
      <c r="W59" s="232"/>
      <c r="X59" s="304"/>
    </row>
    <row r="60" spans="1:24" ht="15.75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>
        <f>Tabela131617[[#This Row],[Valor_recibo]]</f>
        <v>0</v>
      </c>
      <c r="O60" s="16"/>
      <c r="P60" s="1" t="e">
        <f>VLOOKUP(Tabela131617[[#This Row],[DT]],Aprovados!A:A,1,0)</f>
        <v>#N/A</v>
      </c>
      <c r="R60" s="16"/>
      <c r="S60" s="1" t="s">
        <v>315</v>
      </c>
      <c r="T60" s="9"/>
      <c r="U60" s="1" t="s">
        <v>315</v>
      </c>
      <c r="W60" s="232"/>
      <c r="X60" s="304"/>
    </row>
    <row r="61" spans="1:24" ht="15.75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>
        <f>Tabela131617[[#This Row],[Valor_recibo]]</f>
        <v>0</v>
      </c>
      <c r="O61" s="16"/>
      <c r="P61" s="1" t="e">
        <f>VLOOKUP(Tabela131617[[#This Row],[DT]],Aprovados!A:A,1,0)</f>
        <v>#N/A</v>
      </c>
      <c r="R61" s="16"/>
      <c r="S61" s="1" t="s">
        <v>315</v>
      </c>
      <c r="T61" s="9"/>
      <c r="U61" s="1" t="s">
        <v>315</v>
      </c>
      <c r="W61" s="232"/>
      <c r="X61" s="304"/>
    </row>
    <row r="62" spans="1:24" ht="15.75">
      <c r="A62" s="6"/>
      <c r="B62" s="7"/>
      <c r="C62" s="6"/>
      <c r="D62" s="6"/>
      <c r="E62" s="6"/>
      <c r="F62" s="6"/>
      <c r="G62" s="9"/>
      <c r="H62" s="9"/>
      <c r="I62" s="11"/>
      <c r="J62" s="1"/>
      <c r="K62" s="205" t="s">
        <v>315</v>
      </c>
      <c r="L62" s="1" t="s">
        <v>315</v>
      </c>
      <c r="M62" s="9"/>
      <c r="N62" s="14">
        <f>Tabela131617[[#This Row],[Valor_recibo]]</f>
        <v>0</v>
      </c>
      <c r="O62" s="16"/>
      <c r="P62" s="1" t="e">
        <f>VLOOKUP(Tabela131617[[#This Row],[DT]],Aprovados!A:A,1,0)</f>
        <v>#N/A</v>
      </c>
      <c r="Q62" s="229"/>
      <c r="R62" s="16"/>
      <c r="S62" s="1" t="s">
        <v>315</v>
      </c>
      <c r="T62" s="9"/>
      <c r="U62" s="1" t="s">
        <v>315</v>
      </c>
      <c r="W62" s="232"/>
      <c r="X62" s="304"/>
    </row>
    <row r="63" spans="1:24" ht="15.75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>
        <f>Tabela131617[[#This Row],[Valor_recibo]]</f>
        <v>0</v>
      </c>
      <c r="O63" s="16"/>
      <c r="P63" s="1" t="e">
        <f>VLOOKUP(Tabela131617[[#This Row],[DT]],Aprovados!A:A,1,0)</f>
        <v>#N/A</v>
      </c>
      <c r="R63" s="16"/>
      <c r="S63" s="1" t="s">
        <v>315</v>
      </c>
      <c r="T63" s="9"/>
      <c r="U63" s="1" t="s">
        <v>315</v>
      </c>
      <c r="W63" s="232"/>
      <c r="X63" s="304"/>
    </row>
    <row r="64" spans="1:24" ht="15.75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>
        <f>Tabela131617[[#This Row],[Valor_recibo]]</f>
        <v>0</v>
      </c>
      <c r="O64" s="16"/>
      <c r="P64" s="1" t="e">
        <f>VLOOKUP(Tabela131617[[#This Row],[DT]],Aprovados!A:A,1,0)</f>
        <v>#N/A</v>
      </c>
      <c r="R64" s="16"/>
      <c r="S64" s="1" t="s">
        <v>315</v>
      </c>
      <c r="T64" s="9"/>
      <c r="U64" s="1" t="s">
        <v>315</v>
      </c>
      <c r="W64" s="232"/>
      <c r="X64" s="304"/>
    </row>
    <row r="65" spans="1:24" ht="15.75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>
        <f>Tabela131617[[#This Row],[Valor_recibo]]</f>
        <v>0</v>
      </c>
      <c r="O65" s="16"/>
      <c r="P65" s="1" t="e">
        <f>VLOOKUP(Tabela131617[[#This Row],[DT]],Aprovados!A:A,1,0)</f>
        <v>#N/A</v>
      </c>
      <c r="Q65" s="6"/>
      <c r="R65" s="16"/>
      <c r="S65" s="1" t="s">
        <v>315</v>
      </c>
      <c r="T65" s="9"/>
      <c r="U65" s="1" t="s">
        <v>315</v>
      </c>
      <c r="W65" s="232"/>
      <c r="X65" s="304"/>
    </row>
    <row r="66" spans="1:24" ht="15.75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>
        <f>Tabela131617[[#This Row],[Valor_recibo]]</f>
        <v>0</v>
      </c>
      <c r="O66" s="16"/>
      <c r="P66" s="1" t="e">
        <f>VLOOKUP(Tabela131617[[#This Row],[DT]],Aprovados!A:A,1,0)</f>
        <v>#N/A</v>
      </c>
      <c r="Q66" s="99"/>
      <c r="R66" s="16"/>
      <c r="S66" s="1" t="s">
        <v>315</v>
      </c>
      <c r="T66" s="9"/>
      <c r="U66" s="1" t="s">
        <v>315</v>
      </c>
      <c r="W66" s="232"/>
      <c r="X66" s="304"/>
    </row>
    <row r="67" spans="1:24" ht="15.75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>
        <f>Tabela131617[[#This Row],[Valor_recibo]]</f>
        <v>0</v>
      </c>
      <c r="O67" s="16"/>
      <c r="P67" s="1" t="e">
        <f>VLOOKUP(Tabela131617[[#This Row],[DT]],Aprovados!A:A,1,0)</f>
        <v>#N/A</v>
      </c>
      <c r="R67" s="16"/>
      <c r="S67" s="1" t="s">
        <v>315</v>
      </c>
      <c r="T67" s="9"/>
      <c r="U67" s="1" t="s">
        <v>315</v>
      </c>
      <c r="W67" s="232"/>
      <c r="X67" s="304"/>
    </row>
    <row r="68" spans="1:24" ht="15.75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>
        <f>Tabela131617[[#This Row],[Valor_recibo]]</f>
        <v>0</v>
      </c>
      <c r="O68" s="16"/>
      <c r="P68" s="1" t="e">
        <f>VLOOKUP(Tabela131617[[#This Row],[DT]],Aprovados!A:A,1,0)</f>
        <v>#N/A</v>
      </c>
      <c r="R68" s="16"/>
      <c r="S68" s="1" t="s">
        <v>315</v>
      </c>
      <c r="T68" s="9"/>
      <c r="U68" s="1" t="s">
        <v>315</v>
      </c>
      <c r="W68" s="232"/>
      <c r="X68" s="304"/>
    </row>
    <row r="69" spans="1:24" ht="15.75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>
        <f>Tabela131617[[#This Row],[Valor_recibo]]</f>
        <v>0</v>
      </c>
      <c r="O69" s="16"/>
      <c r="P69" s="1" t="e">
        <f>VLOOKUP(Tabela131617[[#This Row],[DT]],Aprovados!A:A,1,0)</f>
        <v>#N/A</v>
      </c>
      <c r="Q69" s="99"/>
      <c r="R69" s="16"/>
      <c r="S69" s="1" t="s">
        <v>315</v>
      </c>
      <c r="T69" s="9"/>
      <c r="U69" s="1" t="s">
        <v>315</v>
      </c>
      <c r="W69" s="232"/>
      <c r="X69" s="304"/>
    </row>
    <row r="70" spans="1:24" ht="15.75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>
        <f>Tabela131617[[#This Row],[Valor_recibo]]</f>
        <v>0</v>
      </c>
      <c r="O70" s="16"/>
      <c r="P70" s="1" t="e">
        <f>VLOOKUP(Tabela131617[[#This Row],[DT]],Aprovados!A:A,1,0)</f>
        <v>#N/A</v>
      </c>
      <c r="R70" s="16"/>
      <c r="S70" s="1" t="s">
        <v>315</v>
      </c>
      <c r="T70" s="9"/>
      <c r="U70" s="1" t="s">
        <v>315</v>
      </c>
      <c r="W70" s="232"/>
      <c r="X70" s="304"/>
    </row>
    <row r="71" spans="1:24" ht="15.75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>
        <f>Tabela131617[[#This Row],[Valor_recibo]]</f>
        <v>0</v>
      </c>
      <c r="O71" s="16"/>
      <c r="P71" s="1" t="e">
        <f>VLOOKUP(Tabela131617[[#This Row],[DT]],Aprovados!A:A,1,0)</f>
        <v>#N/A</v>
      </c>
      <c r="R71" s="16"/>
      <c r="S71" s="1" t="s">
        <v>315</v>
      </c>
      <c r="T71" s="9"/>
      <c r="U71" s="1" t="s">
        <v>315</v>
      </c>
      <c r="W71" s="232"/>
      <c r="X71" s="304"/>
    </row>
    <row r="72" spans="1:24" ht="15.75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>
        <f>Tabela131617[[#This Row],[Valor_recibo]]</f>
        <v>0</v>
      </c>
      <c r="O72" s="16"/>
      <c r="P72" s="1" t="e">
        <f>VLOOKUP(Tabela131617[[#This Row],[DT]],Aprovados!A:A,1,0)</f>
        <v>#N/A</v>
      </c>
      <c r="R72" s="16"/>
      <c r="S72" s="1" t="s">
        <v>315</v>
      </c>
      <c r="T72" s="9"/>
      <c r="U72" s="1" t="s">
        <v>315</v>
      </c>
      <c r="W72" s="232"/>
      <c r="X72" s="304"/>
    </row>
    <row r="73" spans="1:24" ht="15.75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>
        <f>Tabela131617[[#This Row],[Valor_recibo]]</f>
        <v>0</v>
      </c>
      <c r="O73" s="16"/>
      <c r="P73" s="1" t="e">
        <f>VLOOKUP(Tabela131617[[#This Row],[DT]],Aprovados!A:A,1,0)</f>
        <v>#N/A</v>
      </c>
      <c r="R73" s="16"/>
      <c r="S73" s="1" t="s">
        <v>315</v>
      </c>
      <c r="T73" s="9"/>
      <c r="U73" s="1" t="s">
        <v>315</v>
      </c>
      <c r="W73" s="232"/>
      <c r="X73" s="304"/>
    </row>
    <row r="74" spans="1:24" ht="15.75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>
        <f>Tabela131617[[#This Row],[Valor_recibo]]</f>
        <v>0</v>
      </c>
      <c r="O74" s="16"/>
      <c r="P74" s="1" t="e">
        <f>VLOOKUP(Tabela131617[[#This Row],[DT]],Aprovados!A:A,1,0)</f>
        <v>#N/A</v>
      </c>
      <c r="R74" s="16"/>
      <c r="S74" s="1" t="s">
        <v>315</v>
      </c>
      <c r="T74" s="9"/>
      <c r="U74" s="1" t="s">
        <v>315</v>
      </c>
      <c r="W74" s="232"/>
      <c r="X74" s="304"/>
    </row>
    <row r="75" spans="1:24" ht="15.75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>
        <f>Tabela131617[[#This Row],[Valor_recibo]]</f>
        <v>0</v>
      </c>
      <c r="O75" s="16"/>
      <c r="P75" s="1" t="e">
        <f>VLOOKUP(Tabela131617[[#This Row],[DT]],Aprovados!A:A,1,0)</f>
        <v>#N/A</v>
      </c>
      <c r="R75" s="16"/>
      <c r="S75" s="1" t="s">
        <v>315</v>
      </c>
      <c r="T75" s="9"/>
      <c r="U75" s="1" t="s">
        <v>315</v>
      </c>
      <c r="W75" s="232"/>
      <c r="X75" s="304"/>
    </row>
    <row r="76" spans="1:24" ht="15.75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>
        <f>Tabela131617[[#This Row],[Valor_recibo]]</f>
        <v>0</v>
      </c>
      <c r="O76" s="16"/>
      <c r="P76" s="1" t="e">
        <f>VLOOKUP(Tabela131617[[#This Row],[DT]],Aprovados!A:A,1,0)</f>
        <v>#N/A</v>
      </c>
      <c r="R76" s="16"/>
      <c r="S76" s="1" t="s">
        <v>315</v>
      </c>
      <c r="T76" s="9"/>
      <c r="U76" s="1" t="s">
        <v>315</v>
      </c>
      <c r="W76" s="232"/>
      <c r="X76" s="304"/>
    </row>
    <row r="77" spans="1:24" ht="15.75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>
        <f>Tabela131617[[#This Row],[Valor_recibo]]</f>
        <v>0</v>
      </c>
      <c r="O77" s="16"/>
      <c r="P77" s="1" t="e">
        <f>VLOOKUP(Tabela131617[[#This Row],[DT]],Aprovados!A:A,1,0)</f>
        <v>#N/A</v>
      </c>
      <c r="R77" s="16"/>
      <c r="S77" s="1" t="s">
        <v>315</v>
      </c>
      <c r="T77" s="9"/>
      <c r="U77" s="1" t="s">
        <v>315</v>
      </c>
      <c r="W77" s="232"/>
      <c r="X77" s="304"/>
    </row>
    <row r="78" spans="1:24" ht="15.75">
      <c r="A78" s="6"/>
      <c r="B78" s="7"/>
      <c r="C78" s="6"/>
      <c r="D78" s="6"/>
      <c r="E78" s="6"/>
      <c r="F78" s="1"/>
      <c r="G78" s="9"/>
      <c r="H78" s="9"/>
      <c r="I78" s="11"/>
      <c r="J78" s="1"/>
      <c r="K78" s="205" t="s">
        <v>315</v>
      </c>
      <c r="L78" s="1" t="s">
        <v>315</v>
      </c>
      <c r="M78" s="9"/>
      <c r="N78" s="14">
        <f>Tabela131617[[#This Row],[Valor_recibo]]</f>
        <v>0</v>
      </c>
      <c r="O78" s="16"/>
      <c r="P78" s="1" t="e">
        <f>VLOOKUP(Tabela131617[[#This Row],[DT]],Aprovados!A:A,1,0)</f>
        <v>#N/A</v>
      </c>
      <c r="R78" s="16"/>
      <c r="S78" s="1" t="s">
        <v>315</v>
      </c>
      <c r="T78" s="9"/>
      <c r="U78" s="1" t="s">
        <v>315</v>
      </c>
      <c r="W78" s="232"/>
      <c r="X78" s="304"/>
    </row>
    <row r="79" spans="1:24" ht="15.75">
      <c r="A79" s="6"/>
      <c r="B79" s="7"/>
      <c r="C79" s="6"/>
      <c r="D79" s="6"/>
      <c r="E79" s="6"/>
      <c r="F79" s="1"/>
      <c r="G79" s="9"/>
      <c r="H79" s="9"/>
      <c r="I79" s="11"/>
      <c r="J79" s="1"/>
      <c r="K79" s="205" t="s">
        <v>315</v>
      </c>
      <c r="L79" s="1" t="s">
        <v>315</v>
      </c>
      <c r="M79" s="9"/>
      <c r="N79" s="14">
        <f>Tabela131617[[#This Row],[Valor_recibo]]</f>
        <v>0</v>
      </c>
      <c r="O79" s="16"/>
      <c r="P79" s="1" t="e">
        <f>VLOOKUP(Tabela131617[[#This Row],[DT]],Aprovados!A:A,1,0)</f>
        <v>#N/A</v>
      </c>
      <c r="R79" s="16"/>
      <c r="S79" s="1" t="s">
        <v>315</v>
      </c>
      <c r="T79" s="9"/>
      <c r="U79" s="1" t="s">
        <v>315</v>
      </c>
      <c r="W79" s="232"/>
      <c r="X79" s="304"/>
    </row>
    <row r="80" spans="1:24" ht="15.75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>
        <f>Tabela131617[[#This Row],[Valor_recibo]]</f>
        <v>0</v>
      </c>
      <c r="O80" s="16"/>
      <c r="P80" s="1" t="e">
        <f>VLOOKUP(Tabela131617[[#This Row],[DT]],Aprovados!A:A,1,0)</f>
        <v>#N/A</v>
      </c>
      <c r="R80" s="16"/>
      <c r="S80" s="1" t="s">
        <v>315</v>
      </c>
      <c r="T80" s="9"/>
      <c r="U80" s="1" t="s">
        <v>315</v>
      </c>
      <c r="W80" s="232"/>
      <c r="X80" s="304"/>
    </row>
    <row r="81" spans="1:24" ht="15.75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>
        <f>Tabela131617[[#This Row],[Valor_recibo]]</f>
        <v>0</v>
      </c>
      <c r="O81" s="16"/>
      <c r="P81" s="1" t="e">
        <f>VLOOKUP(Tabela131617[[#This Row],[DT]],Aprovados!A:A,1,0)</f>
        <v>#N/A</v>
      </c>
      <c r="R81" s="16"/>
      <c r="S81" s="1" t="s">
        <v>315</v>
      </c>
      <c r="T81" s="9"/>
      <c r="U81" s="1" t="s">
        <v>315</v>
      </c>
      <c r="W81" s="232"/>
      <c r="X81" s="304"/>
    </row>
    <row r="82" spans="1:24" ht="15.75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>
        <f>Tabela131617[[#This Row],[Valor_recibo]]</f>
        <v>0</v>
      </c>
      <c r="O82" s="16"/>
      <c r="P82" s="1" t="e">
        <f>VLOOKUP(Tabela131617[[#This Row],[DT]],Aprovados!A:A,1,0)</f>
        <v>#N/A</v>
      </c>
      <c r="R82" s="16"/>
      <c r="S82" s="1" t="s">
        <v>315</v>
      </c>
      <c r="T82" s="9"/>
      <c r="U82" s="1" t="s">
        <v>315</v>
      </c>
      <c r="W82" s="232"/>
      <c r="X82" s="304"/>
    </row>
    <row r="83" spans="1:24" ht="15.75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>
        <f>Tabela131617[[#This Row],[Valor_recibo]]</f>
        <v>0</v>
      </c>
      <c r="O83" s="16"/>
      <c r="P83" s="1" t="e">
        <f>VLOOKUP(Tabela131617[[#This Row],[DT]],Aprovados!A:A,1,0)</f>
        <v>#N/A</v>
      </c>
      <c r="R83" s="16"/>
      <c r="S83" s="1" t="s">
        <v>315</v>
      </c>
      <c r="T83" s="9"/>
      <c r="U83" s="1" t="s">
        <v>315</v>
      </c>
      <c r="W83" s="232"/>
      <c r="X83" s="304"/>
    </row>
    <row r="84" spans="1:24" ht="15.75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>
        <f>Tabela131617[[#This Row],[Valor_recibo]]</f>
        <v>0</v>
      </c>
      <c r="O84" s="16"/>
      <c r="P84" s="1" t="e">
        <f>VLOOKUP(Tabela131617[[#This Row],[DT]],Aprovados!A:A,1,0)</f>
        <v>#N/A</v>
      </c>
      <c r="R84" s="16"/>
      <c r="S84" s="1" t="s">
        <v>315</v>
      </c>
      <c r="T84" s="9"/>
      <c r="U84" s="1" t="s">
        <v>315</v>
      </c>
      <c r="W84" s="232"/>
      <c r="X84" s="304"/>
    </row>
    <row r="85" spans="1:24" ht="15.75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>
        <f>Tabela131617[[#This Row],[Valor_recibo]]</f>
        <v>0</v>
      </c>
      <c r="O85" s="16"/>
      <c r="P85" s="1" t="e">
        <f>VLOOKUP(Tabela131617[[#This Row],[DT]],Aprovados!A:A,1,0)</f>
        <v>#N/A</v>
      </c>
      <c r="R85" s="16"/>
      <c r="S85" s="1" t="s">
        <v>315</v>
      </c>
      <c r="T85" s="9"/>
      <c r="U85" s="1" t="s">
        <v>315</v>
      </c>
      <c r="W85" s="232"/>
      <c r="X85" s="304"/>
    </row>
    <row r="86" spans="1:24" ht="15.75">
      <c r="A86" s="6"/>
      <c r="B86" s="7"/>
      <c r="C86" s="6"/>
      <c r="D86" s="6"/>
      <c r="E86" s="6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>
        <f>Tabela131617[[#This Row],[Valor_recibo]]</f>
        <v>0</v>
      </c>
      <c r="O86" s="16"/>
      <c r="P86" s="1" t="e">
        <f>VLOOKUP(Tabela131617[[#This Row],[DT]],Aprovados!A:A,1,0)</f>
        <v>#N/A</v>
      </c>
      <c r="R86" s="16"/>
      <c r="S86" s="1" t="s">
        <v>315</v>
      </c>
      <c r="T86" s="9"/>
      <c r="U86" s="1" t="s">
        <v>315</v>
      </c>
      <c r="W86" s="232"/>
      <c r="X86" s="304"/>
    </row>
    <row r="87" spans="1:24" ht="15.75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>
        <f>Tabela131617[[#This Row],[Valor_recibo]]</f>
        <v>0</v>
      </c>
      <c r="O87" s="16"/>
      <c r="P87" s="1" t="e">
        <f>VLOOKUP(Tabela131617[[#This Row],[DT]],Aprovados!A:A,1,0)</f>
        <v>#N/A</v>
      </c>
      <c r="R87" s="16"/>
      <c r="S87" s="1" t="s">
        <v>315</v>
      </c>
      <c r="T87" s="9"/>
      <c r="U87" s="1" t="s">
        <v>315</v>
      </c>
      <c r="W87" s="232"/>
      <c r="X87" s="304"/>
    </row>
    <row r="88" spans="1:24" ht="15.75">
      <c r="A88" s="6"/>
      <c r="B88" s="7"/>
      <c r="C88" s="6"/>
      <c r="D88" s="6"/>
      <c r="E88" s="6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>
        <f>Tabela131617[[#This Row],[Valor_recibo]]</f>
        <v>0</v>
      </c>
      <c r="O88" s="16"/>
      <c r="P88" s="1" t="e">
        <f>VLOOKUP(Tabela131617[[#This Row],[DT]],Aprovados!A:A,1,0)</f>
        <v>#N/A</v>
      </c>
      <c r="R88" s="16"/>
      <c r="S88" s="1" t="s">
        <v>315</v>
      </c>
      <c r="T88" s="9"/>
      <c r="U88" s="1" t="s">
        <v>315</v>
      </c>
      <c r="W88" s="232"/>
      <c r="X88" s="304"/>
    </row>
    <row r="89" spans="1:24" ht="15.75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>
        <f>Tabela131617[[#This Row],[Valor_recibo]]</f>
        <v>0</v>
      </c>
      <c r="O89" s="16"/>
      <c r="P89" s="1" t="e">
        <f>VLOOKUP(Tabela131617[[#This Row],[DT]],Aprovados!A:A,1,0)</f>
        <v>#N/A</v>
      </c>
      <c r="R89" s="16"/>
      <c r="S89" s="1" t="s">
        <v>315</v>
      </c>
      <c r="T89" s="9"/>
      <c r="U89" s="1" t="s">
        <v>315</v>
      </c>
      <c r="W89" s="232"/>
      <c r="X89" s="304"/>
    </row>
    <row r="90" spans="1:24" ht="15.75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>
        <f>Tabela131617[[#This Row],[Valor_recibo]]</f>
        <v>0</v>
      </c>
      <c r="O90" s="16"/>
      <c r="P90" s="1" t="e">
        <f>VLOOKUP(Tabela131617[[#This Row],[DT]],Aprovados!A:A,1,0)</f>
        <v>#N/A</v>
      </c>
      <c r="R90" s="16"/>
      <c r="S90" s="1" t="s">
        <v>315</v>
      </c>
      <c r="T90" s="9"/>
      <c r="U90" s="1" t="s">
        <v>315</v>
      </c>
      <c r="W90" s="232"/>
      <c r="X90" s="304"/>
    </row>
    <row r="91" spans="1:24" ht="15.75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>
        <f>Tabela131617[[#This Row],[Valor_recibo]]</f>
        <v>0</v>
      </c>
      <c r="O91" s="16"/>
      <c r="P91" s="1" t="e">
        <f>VLOOKUP(Tabela131617[[#This Row],[DT]],Aprovados!A:A,1,0)</f>
        <v>#N/A</v>
      </c>
      <c r="R91" s="16"/>
      <c r="S91" s="1" t="s">
        <v>315</v>
      </c>
      <c r="T91" s="9"/>
      <c r="U91" s="1" t="s">
        <v>315</v>
      </c>
      <c r="W91" s="232"/>
      <c r="X91" s="304"/>
    </row>
    <row r="92" spans="1:24" ht="15.75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>
        <f>Tabela131617[[#This Row],[Valor_recibo]]</f>
        <v>0</v>
      </c>
      <c r="O92" s="16"/>
      <c r="P92" s="1" t="e">
        <f>VLOOKUP(Tabela131617[[#This Row],[DT]],Aprovados!A:A,1,0)</f>
        <v>#N/A</v>
      </c>
      <c r="R92" s="16"/>
      <c r="S92" s="1" t="s">
        <v>315</v>
      </c>
      <c r="T92" s="9"/>
      <c r="U92" s="1" t="s">
        <v>315</v>
      </c>
      <c r="W92" s="232"/>
      <c r="X92" s="304"/>
    </row>
    <row r="93" spans="1:24" ht="15.75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Tabela131617[[#This Row],[Valor_recibo]]</f>
        <v>0</v>
      </c>
      <c r="O93" s="16"/>
      <c r="P93" s="1" t="e">
        <f>VLOOKUP(Tabela131617[[#This Row],[DT]],Aprovados!A:A,1,0)</f>
        <v>#N/A</v>
      </c>
      <c r="R93" s="16"/>
      <c r="S93" s="1" t="s">
        <v>315</v>
      </c>
      <c r="T93" s="9"/>
      <c r="U93" s="1" t="s">
        <v>315</v>
      </c>
      <c r="W93" s="232"/>
      <c r="X93" s="304"/>
    </row>
    <row r="94" spans="1:24" ht="15.75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Tabela131617[[#This Row],[Valor_recibo]]</f>
        <v>0</v>
      </c>
      <c r="O94" s="16"/>
      <c r="P94" s="1" t="e">
        <f>VLOOKUP(Tabela131617[[#This Row],[DT]],Aprovados!A:A,1,0)</f>
        <v>#N/A</v>
      </c>
      <c r="R94" s="16"/>
      <c r="S94" s="1" t="s">
        <v>315</v>
      </c>
      <c r="T94" s="9"/>
      <c r="U94" s="1" t="s">
        <v>315</v>
      </c>
      <c r="W94" s="232"/>
      <c r="X94" s="304"/>
    </row>
    <row r="95" spans="1:24" ht="15.75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>
        <f>Tabela131617[[#This Row],[Valor_recibo]]</f>
        <v>0</v>
      </c>
      <c r="O95" s="16"/>
      <c r="P95" s="1" t="e">
        <f>VLOOKUP(Tabela131617[[#This Row],[DT]],Aprovados!A:A,1,0)</f>
        <v>#N/A</v>
      </c>
      <c r="R95" s="16"/>
      <c r="S95" s="1" t="s">
        <v>315</v>
      </c>
      <c r="T95" s="9"/>
      <c r="U95" s="1" t="s">
        <v>315</v>
      </c>
      <c r="W95" s="232"/>
      <c r="X95" s="304"/>
    </row>
    <row r="96" spans="1:24" ht="15.75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>
        <f>Tabela131617[[#This Row],[Valor_recibo]]</f>
        <v>0</v>
      </c>
      <c r="O96" s="16"/>
      <c r="P96" s="1" t="e">
        <f>VLOOKUP(Tabela131617[[#This Row],[DT]],Aprovados!A:A,1,0)</f>
        <v>#N/A</v>
      </c>
      <c r="R96" s="16"/>
      <c r="S96" s="1" t="s">
        <v>315</v>
      </c>
      <c r="T96" s="9"/>
      <c r="U96" s="1" t="s">
        <v>315</v>
      </c>
      <c r="W96" s="232"/>
      <c r="X96" s="304"/>
    </row>
    <row r="97" spans="1:24" ht="15.75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>
        <f>Tabela131617[[#This Row],[Valor_recibo]]</f>
        <v>0</v>
      </c>
      <c r="O97" s="16"/>
      <c r="P97" s="1" t="e">
        <f>VLOOKUP(Tabela131617[[#This Row],[DT]],Aprovados!A:A,1,0)</f>
        <v>#N/A</v>
      </c>
      <c r="R97" s="16"/>
      <c r="S97" s="1" t="s">
        <v>315</v>
      </c>
      <c r="T97" s="9"/>
      <c r="U97" s="1" t="s">
        <v>315</v>
      </c>
      <c r="W97" s="232"/>
      <c r="X97" s="304"/>
    </row>
    <row r="98" spans="1:24" ht="15.75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>
        <f>Tabela131617[[#This Row],[Valor_recibo]]</f>
        <v>0</v>
      </c>
      <c r="O98" s="16"/>
      <c r="P98" s="1" t="e">
        <f>VLOOKUP(Tabela131617[[#This Row],[DT]],Aprovados!A:A,1,0)</f>
        <v>#N/A</v>
      </c>
      <c r="R98" s="16"/>
      <c r="S98" s="1" t="s">
        <v>315</v>
      </c>
      <c r="T98" s="9"/>
      <c r="U98" s="1" t="s">
        <v>315</v>
      </c>
      <c r="W98" s="232"/>
      <c r="X98" s="304"/>
    </row>
    <row r="99" spans="1:24" ht="15.75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Tabela131617[[#This Row],[Valor_recibo]]</f>
        <v>0</v>
      </c>
      <c r="O99" s="16"/>
      <c r="P99" s="1" t="e">
        <f>VLOOKUP(Tabela131617[[#This Row],[DT]],Aprovados!A:A,1,0)</f>
        <v>#N/A</v>
      </c>
      <c r="R99" s="16"/>
      <c r="S99" s="1" t="s">
        <v>315</v>
      </c>
      <c r="T99" s="9"/>
      <c r="U99" s="1" t="s">
        <v>315</v>
      </c>
      <c r="W99" s="232"/>
      <c r="X99" s="304"/>
    </row>
    <row r="100" spans="1:24" ht="15.75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>
        <f>Tabela131617[[#This Row],[Valor_recibo]]</f>
        <v>0</v>
      </c>
      <c r="O100" s="16"/>
      <c r="P100" s="1" t="e">
        <f>VLOOKUP(Tabela131617[[#This Row],[DT]],Aprovados!A:A,1,0)</f>
        <v>#N/A</v>
      </c>
      <c r="R100" s="16"/>
      <c r="S100" s="1" t="s">
        <v>315</v>
      </c>
      <c r="T100" s="9"/>
      <c r="U100" s="1" t="s">
        <v>315</v>
      </c>
      <c r="W100" s="232"/>
      <c r="X100" s="304"/>
    </row>
    <row r="101" spans="1:24" ht="15.75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>
        <f>Tabela131617[[#This Row],[Valor_recibo]]</f>
        <v>0</v>
      </c>
      <c r="O101" s="16"/>
      <c r="P101" s="1" t="e">
        <f>VLOOKUP(Tabela131617[[#This Row],[DT]],Aprovados!A:A,1,0)</f>
        <v>#N/A</v>
      </c>
      <c r="R101" s="16"/>
      <c r="S101" s="1" t="s">
        <v>315</v>
      </c>
      <c r="T101" s="9"/>
      <c r="U101" s="1" t="s">
        <v>315</v>
      </c>
      <c r="W101" s="232"/>
      <c r="X101" s="304"/>
    </row>
    <row r="102" spans="1:24" ht="15.75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Tabela131617[[#This Row],[Valor_recibo]]</f>
        <v>0</v>
      </c>
      <c r="O102" s="16"/>
      <c r="P102" s="1" t="e">
        <f>VLOOKUP(Tabela131617[[#This Row],[DT]],Aprovados!A:A,1,0)</f>
        <v>#N/A</v>
      </c>
      <c r="R102" s="16"/>
      <c r="S102" s="1" t="s">
        <v>315</v>
      </c>
      <c r="T102" s="9"/>
      <c r="U102" s="1" t="s">
        <v>315</v>
      </c>
      <c r="W102" s="232"/>
      <c r="X102" s="304"/>
    </row>
    <row r="103" spans="1:24" ht="15.75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>
        <f>Tabela131617[[#This Row],[Valor_recibo]]</f>
        <v>0</v>
      </c>
      <c r="O103" s="16"/>
      <c r="P103" s="1" t="e">
        <f>VLOOKUP(Tabela131617[[#This Row],[DT]],Aprovados!A:A,1,0)</f>
        <v>#N/A</v>
      </c>
      <c r="R103" s="16"/>
      <c r="S103" s="1" t="s">
        <v>315</v>
      </c>
      <c r="T103" s="9"/>
      <c r="U103" s="1" t="s">
        <v>315</v>
      </c>
      <c r="W103" s="232"/>
      <c r="X103" s="304"/>
    </row>
    <row r="104" spans="1:24" ht="15.75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>
        <f>Tabela131617[[#This Row],[Valor_recibo]]</f>
        <v>0</v>
      </c>
      <c r="O104" s="16"/>
      <c r="P104" s="1" t="e">
        <f>VLOOKUP(Tabela131617[[#This Row],[DT]],Aprovados!A:A,1,0)</f>
        <v>#N/A</v>
      </c>
      <c r="R104" s="16"/>
      <c r="S104" s="1" t="s">
        <v>315</v>
      </c>
      <c r="T104" s="9"/>
      <c r="U104" s="1" t="s">
        <v>315</v>
      </c>
      <c r="W104" s="232"/>
      <c r="X104" s="304"/>
    </row>
    <row r="105" spans="1:24" ht="15.75">
      <c r="A105" s="6"/>
      <c r="B105" s="7"/>
      <c r="C105" s="6"/>
      <c r="D105" s="6"/>
      <c r="E105" s="6"/>
      <c r="F105" s="1"/>
      <c r="G105" s="9"/>
      <c r="H105" s="9"/>
      <c r="I105" s="11"/>
      <c r="J105" s="1"/>
      <c r="K105" s="205" t="s">
        <v>315</v>
      </c>
      <c r="L105" s="1" t="s">
        <v>315</v>
      </c>
      <c r="M105" s="9"/>
      <c r="N105" s="14">
        <f>Tabela131617[[#This Row],[Valor_recibo]]</f>
        <v>0</v>
      </c>
      <c r="O105" s="16"/>
      <c r="P105" s="1" t="e">
        <f>VLOOKUP(Tabela131617[[#This Row],[DT]],Aprovados!A:A,1,0)</f>
        <v>#N/A</v>
      </c>
      <c r="R105" s="16"/>
      <c r="S105" s="1" t="s">
        <v>315</v>
      </c>
      <c r="T105" s="9"/>
      <c r="U105" s="1" t="s">
        <v>315</v>
      </c>
      <c r="W105" s="232"/>
      <c r="X105" s="304"/>
    </row>
    <row r="106" spans="1:24" ht="15.75">
      <c r="A106" s="6"/>
      <c r="B106" s="7"/>
      <c r="C106" s="6"/>
      <c r="D106" s="6"/>
      <c r="E106" s="6"/>
      <c r="F106" s="1"/>
      <c r="G106" s="9"/>
      <c r="H106" s="9"/>
      <c r="I106" s="11"/>
      <c r="J106" s="1"/>
      <c r="K106" s="205" t="s">
        <v>315</v>
      </c>
      <c r="L106" s="1" t="s">
        <v>315</v>
      </c>
      <c r="M106" s="9"/>
      <c r="N106" s="14">
        <f>Tabela131617[[#This Row],[Valor_recibo]]</f>
        <v>0</v>
      </c>
      <c r="O106" s="16"/>
      <c r="P106" s="1" t="e">
        <f>VLOOKUP(Tabela131617[[#This Row],[DT]],Aprovados!A:A,1,0)</f>
        <v>#N/A</v>
      </c>
      <c r="R106" s="16"/>
      <c r="S106" s="1" t="s">
        <v>315</v>
      </c>
      <c r="T106" s="9"/>
      <c r="U106" s="1" t="s">
        <v>315</v>
      </c>
      <c r="W106" s="232"/>
      <c r="X106" s="304"/>
    </row>
    <row r="107" spans="1:24" ht="15.75">
      <c r="A107" s="6"/>
      <c r="B107" s="7"/>
      <c r="C107" s="6"/>
      <c r="D107" s="6"/>
      <c r="E107" s="6"/>
      <c r="F107" s="1"/>
      <c r="G107" s="9"/>
      <c r="H107" s="9"/>
      <c r="I107" s="11"/>
      <c r="J107" s="1"/>
      <c r="K107" s="205" t="s">
        <v>315</v>
      </c>
      <c r="L107" s="1" t="s">
        <v>315</v>
      </c>
      <c r="M107" s="9"/>
      <c r="N107" s="14">
        <f>Tabela131617[[#This Row],[Valor_recibo]]</f>
        <v>0</v>
      </c>
      <c r="O107" s="16"/>
      <c r="P107" s="1" t="e">
        <f>VLOOKUP(Tabela131617[[#This Row],[DT]],Aprovados!A:A,1,0)</f>
        <v>#N/A</v>
      </c>
      <c r="R107" s="16"/>
      <c r="S107" s="1" t="s">
        <v>315</v>
      </c>
      <c r="T107" s="9"/>
      <c r="U107" s="1" t="s">
        <v>315</v>
      </c>
      <c r="W107" s="232"/>
      <c r="X107" s="304"/>
    </row>
    <row r="108" spans="1:24" ht="15.75">
      <c r="A108" s="6"/>
      <c r="B108" s="7"/>
      <c r="C108" s="6"/>
      <c r="D108" s="6"/>
      <c r="E108" s="6"/>
      <c r="F108" s="1"/>
      <c r="G108" s="9"/>
      <c r="H108" s="9"/>
      <c r="I108" s="11"/>
      <c r="J108" s="1"/>
      <c r="K108" s="205" t="s">
        <v>315</v>
      </c>
      <c r="L108" s="1" t="s">
        <v>315</v>
      </c>
      <c r="M108" s="9"/>
      <c r="N108" s="14">
        <f>Tabela131617[[#This Row],[Valor_recibo]]</f>
        <v>0</v>
      </c>
      <c r="O108" s="16"/>
      <c r="P108" s="1" t="e">
        <f>VLOOKUP(Tabela131617[[#This Row],[DT]],Aprovados!A:A,1,0)</f>
        <v>#N/A</v>
      </c>
      <c r="R108" s="16"/>
      <c r="S108" s="1" t="s">
        <v>315</v>
      </c>
      <c r="T108" s="9"/>
      <c r="U108" s="1" t="s">
        <v>315</v>
      </c>
      <c r="W108" s="232"/>
      <c r="X108" s="304"/>
    </row>
    <row r="109" spans="1:24" ht="15.75">
      <c r="A109" s="6"/>
      <c r="B109" s="7"/>
      <c r="C109" s="6"/>
      <c r="D109" s="6"/>
      <c r="E109" s="6"/>
      <c r="F109" s="1"/>
      <c r="G109" s="9"/>
      <c r="H109" s="9"/>
      <c r="I109" s="11"/>
      <c r="J109" s="1"/>
      <c r="K109" s="205" t="s">
        <v>315</v>
      </c>
      <c r="L109" s="1" t="s">
        <v>315</v>
      </c>
      <c r="M109" s="9"/>
      <c r="N109" s="14">
        <f>Tabela131617[[#This Row],[Valor_recibo]]</f>
        <v>0</v>
      </c>
      <c r="O109" s="16"/>
      <c r="P109" s="1" t="e">
        <f>VLOOKUP(Tabela131617[[#This Row],[DT]],Aprovados!A:A,1,0)</f>
        <v>#N/A</v>
      </c>
      <c r="R109" s="16"/>
      <c r="S109" s="1" t="s">
        <v>315</v>
      </c>
      <c r="T109" s="9"/>
      <c r="U109" s="1" t="s">
        <v>315</v>
      </c>
      <c r="W109" s="232"/>
      <c r="X109" s="304"/>
    </row>
    <row r="110" spans="1:24" ht="15.75">
      <c r="A110" s="6"/>
      <c r="B110" s="7"/>
      <c r="C110" s="6"/>
      <c r="D110" s="6"/>
      <c r="E110" s="6"/>
      <c r="F110" s="1"/>
      <c r="G110" s="9"/>
      <c r="H110" s="9"/>
      <c r="I110" s="11"/>
      <c r="J110" s="1"/>
      <c r="K110" s="205" t="s">
        <v>315</v>
      </c>
      <c r="L110" s="1" t="s">
        <v>315</v>
      </c>
      <c r="M110" s="9"/>
      <c r="N110" s="14">
        <f>Tabela131617[[#This Row],[Valor_recibo]]</f>
        <v>0</v>
      </c>
      <c r="O110" s="16"/>
      <c r="P110" s="1" t="e">
        <f>VLOOKUP(Tabela131617[[#This Row],[DT]],Aprovados!A:A,1,0)</f>
        <v>#N/A</v>
      </c>
      <c r="R110" s="16"/>
      <c r="S110" s="1" t="s">
        <v>315</v>
      </c>
      <c r="T110" s="9"/>
      <c r="U110" s="1" t="s">
        <v>315</v>
      </c>
      <c r="W110" s="232"/>
      <c r="X110" s="304"/>
    </row>
    <row r="111" spans="1:24" ht="15.75">
      <c r="A111" s="6"/>
      <c r="B111" s="7"/>
      <c r="C111" s="6"/>
      <c r="D111" s="6"/>
      <c r="E111" s="6"/>
      <c r="F111" s="1"/>
      <c r="G111" s="9"/>
      <c r="H111" s="9"/>
      <c r="I111" s="11"/>
      <c r="J111" s="1"/>
      <c r="K111" s="205" t="s">
        <v>315</v>
      </c>
      <c r="L111" s="1" t="s">
        <v>315</v>
      </c>
      <c r="M111" s="9"/>
      <c r="N111" s="14">
        <f>Tabela131617[[#This Row],[Valor_recibo]]</f>
        <v>0</v>
      </c>
      <c r="O111" s="16"/>
      <c r="P111" s="1" t="e">
        <f>VLOOKUP(Tabela131617[[#This Row],[DT]],Aprovados!A:A,1,0)</f>
        <v>#N/A</v>
      </c>
      <c r="R111" s="16"/>
      <c r="S111" s="1" t="s">
        <v>315</v>
      </c>
      <c r="T111" s="9"/>
      <c r="U111" s="1" t="s">
        <v>315</v>
      </c>
      <c r="W111" s="232"/>
      <c r="X111" s="304"/>
    </row>
    <row r="112" spans="1:24" ht="15.75">
      <c r="A112" s="6"/>
      <c r="B112" s="7"/>
      <c r="C112" s="6"/>
      <c r="D112" s="6"/>
      <c r="E112" s="6"/>
      <c r="F112" s="1"/>
      <c r="G112" s="9"/>
      <c r="H112" s="9"/>
      <c r="I112" s="11"/>
      <c r="J112" s="1"/>
      <c r="K112" s="205" t="s">
        <v>315</v>
      </c>
      <c r="L112" s="1" t="s">
        <v>315</v>
      </c>
      <c r="M112" s="9"/>
      <c r="N112" s="14">
        <f>Tabela131617[[#This Row],[Valor_recibo]]</f>
        <v>0</v>
      </c>
      <c r="O112" s="16"/>
      <c r="P112" s="1" t="e">
        <f>VLOOKUP(Tabela131617[[#This Row],[DT]],Aprovados!A:A,1,0)</f>
        <v>#N/A</v>
      </c>
      <c r="R112" s="16"/>
      <c r="S112" s="1" t="s">
        <v>315</v>
      </c>
      <c r="T112" s="9"/>
      <c r="U112" s="1" t="s">
        <v>315</v>
      </c>
      <c r="W112" s="232"/>
      <c r="X112" s="304"/>
    </row>
    <row r="113" spans="1:24" ht="15.75">
      <c r="A113" s="6"/>
      <c r="B113" s="7"/>
      <c r="C113" s="6"/>
      <c r="D113" s="6"/>
      <c r="E113" s="6"/>
      <c r="F113" s="1"/>
      <c r="G113" s="9"/>
      <c r="H113" s="9"/>
      <c r="I113" s="11"/>
      <c r="J113" s="1"/>
      <c r="K113" s="205" t="s">
        <v>315</v>
      </c>
      <c r="L113" s="1" t="s">
        <v>315</v>
      </c>
      <c r="M113" s="9"/>
      <c r="N113" s="14">
        <f>Tabela131617[[#This Row],[Valor_recibo]]</f>
        <v>0</v>
      </c>
      <c r="O113" s="16"/>
      <c r="P113" s="1" t="e">
        <f>VLOOKUP(Tabela131617[[#This Row],[DT]],Aprovados!A:A,1,0)</f>
        <v>#N/A</v>
      </c>
      <c r="R113" s="16"/>
      <c r="S113" s="1" t="s">
        <v>315</v>
      </c>
      <c r="T113" s="9"/>
      <c r="U113" s="1" t="s">
        <v>315</v>
      </c>
      <c r="W113" s="232"/>
      <c r="X113" s="304"/>
    </row>
    <row r="114" spans="1:24" ht="15.75">
      <c r="A114" s="6"/>
      <c r="B114" s="7"/>
      <c r="C114" s="6"/>
      <c r="D114" s="6"/>
      <c r="E114" s="6"/>
      <c r="F114" s="1"/>
      <c r="G114" s="9"/>
      <c r="H114" s="9"/>
      <c r="I114" s="11"/>
      <c r="J114" s="1"/>
      <c r="K114" s="205" t="s">
        <v>315</v>
      </c>
      <c r="L114" s="1" t="s">
        <v>315</v>
      </c>
      <c r="M114" s="9"/>
      <c r="N114" s="14">
        <f>Tabela131617[[#This Row],[Valor_recibo]]</f>
        <v>0</v>
      </c>
      <c r="O114" s="16"/>
      <c r="P114" s="1" t="e">
        <f>VLOOKUP(Tabela131617[[#This Row],[DT]],Aprovados!A:A,1,0)</f>
        <v>#N/A</v>
      </c>
      <c r="R114" s="16"/>
      <c r="S114" s="1" t="s">
        <v>315</v>
      </c>
      <c r="T114" s="9"/>
      <c r="U114" s="1" t="s">
        <v>315</v>
      </c>
      <c r="W114" s="232"/>
      <c r="X114" s="304"/>
    </row>
    <row r="115" spans="1:24" ht="15.75">
      <c r="A115" s="6"/>
      <c r="B115" s="7"/>
      <c r="C115" s="6"/>
      <c r="D115" s="6"/>
      <c r="E115" s="6"/>
      <c r="F115" s="1"/>
      <c r="G115" s="9"/>
      <c r="H115" s="9"/>
      <c r="I115" s="11"/>
      <c r="J115" s="1"/>
      <c r="K115" s="205" t="s">
        <v>315</v>
      </c>
      <c r="L115" s="1" t="s">
        <v>315</v>
      </c>
      <c r="M115" s="9"/>
      <c r="N115" s="14">
        <f>Tabela131617[[#This Row],[Valor_recibo]]</f>
        <v>0</v>
      </c>
      <c r="O115" s="16"/>
      <c r="P115" s="1" t="e">
        <f>VLOOKUP(Tabela131617[[#This Row],[DT]],Aprovados!A:A,1,0)</f>
        <v>#N/A</v>
      </c>
      <c r="R115" s="16"/>
      <c r="S115" s="1" t="s">
        <v>315</v>
      </c>
      <c r="T115" s="9"/>
      <c r="U115" s="1" t="s">
        <v>315</v>
      </c>
      <c r="W115" s="232"/>
      <c r="X115" s="304"/>
    </row>
    <row r="116" spans="1:24" ht="15.75">
      <c r="A116" s="6"/>
      <c r="B116" s="7"/>
      <c r="C116" s="6"/>
      <c r="D116" s="6"/>
      <c r="E116" s="6"/>
      <c r="F116" s="1"/>
      <c r="G116" s="9"/>
      <c r="H116" s="9"/>
      <c r="I116" s="11"/>
      <c r="J116" s="1"/>
      <c r="K116" s="205" t="s">
        <v>315</v>
      </c>
      <c r="L116" s="1" t="s">
        <v>315</v>
      </c>
      <c r="M116" s="9"/>
      <c r="N116" s="14">
        <f>Tabela131617[[#This Row],[Valor_recibo]]</f>
        <v>0</v>
      </c>
      <c r="O116" s="16"/>
      <c r="P116" s="1" t="e">
        <f>VLOOKUP(Tabela131617[[#This Row],[DT]],Aprovados!A:A,1,0)</f>
        <v>#N/A</v>
      </c>
      <c r="R116" s="16"/>
      <c r="S116" s="1" t="s">
        <v>315</v>
      </c>
      <c r="T116" s="9"/>
      <c r="U116" s="1" t="s">
        <v>315</v>
      </c>
      <c r="W116" s="232"/>
      <c r="X116" s="304"/>
    </row>
    <row r="117" spans="1:24" ht="15.75">
      <c r="A117" s="6"/>
      <c r="B117" s="7"/>
      <c r="C117" s="6"/>
      <c r="D117" s="6"/>
      <c r="E117" s="6"/>
      <c r="F117" s="1"/>
      <c r="G117" s="9"/>
      <c r="H117" s="9"/>
      <c r="I117" s="11"/>
      <c r="J117" s="1"/>
      <c r="K117" s="205" t="s">
        <v>315</v>
      </c>
      <c r="L117" s="1" t="s">
        <v>315</v>
      </c>
      <c r="M117" s="9"/>
      <c r="N117" s="14">
        <f>Tabela131617[[#This Row],[Valor_recibo]]</f>
        <v>0</v>
      </c>
      <c r="O117" s="16"/>
      <c r="P117" s="1" t="e">
        <f>VLOOKUP(Tabela131617[[#This Row],[DT]],Aprovados!A:A,1,0)</f>
        <v>#N/A</v>
      </c>
      <c r="R117" s="16"/>
      <c r="S117" s="1" t="s">
        <v>315</v>
      </c>
      <c r="T117" s="9"/>
      <c r="U117" s="1" t="s">
        <v>315</v>
      </c>
      <c r="W117" s="232"/>
      <c r="X117" s="304"/>
    </row>
    <row r="118" spans="1:24" ht="15.75">
      <c r="A118" s="6"/>
      <c r="B118" s="7"/>
      <c r="C118" s="6"/>
      <c r="D118" s="6"/>
      <c r="E118" s="6"/>
      <c r="F118" s="1"/>
      <c r="G118" s="9"/>
      <c r="H118" s="9"/>
      <c r="I118" s="11"/>
      <c r="J118" s="1"/>
      <c r="K118" s="205" t="s">
        <v>315</v>
      </c>
      <c r="L118" s="1" t="s">
        <v>315</v>
      </c>
      <c r="M118" s="9"/>
      <c r="N118" s="14">
        <f>Tabela131617[[#This Row],[Valor_recibo]]</f>
        <v>0</v>
      </c>
      <c r="O118" s="16"/>
      <c r="P118" s="1" t="e">
        <f>VLOOKUP(Tabela131617[[#This Row],[DT]],Aprovados!A:A,1,0)</f>
        <v>#N/A</v>
      </c>
      <c r="R118" s="16"/>
      <c r="S118" s="1" t="s">
        <v>315</v>
      </c>
      <c r="T118" s="9"/>
      <c r="U118" s="1" t="s">
        <v>315</v>
      </c>
      <c r="W118" s="232"/>
      <c r="X118" s="304"/>
    </row>
    <row r="119" spans="1:24" ht="15.75">
      <c r="A119" s="6"/>
      <c r="B119" s="7"/>
      <c r="C119" s="6"/>
      <c r="D119" s="6"/>
      <c r="E119" s="6"/>
      <c r="F119" s="1"/>
      <c r="G119" s="9"/>
      <c r="H119" s="9"/>
      <c r="I119" s="11"/>
      <c r="J119" s="1"/>
      <c r="K119" s="205" t="s">
        <v>315</v>
      </c>
      <c r="L119" s="1" t="s">
        <v>315</v>
      </c>
      <c r="M119" s="9"/>
      <c r="N119" s="14">
        <f>Tabela131617[[#This Row],[Valor_recibo]]</f>
        <v>0</v>
      </c>
      <c r="O119" s="16"/>
      <c r="P119" s="1" t="e">
        <f>VLOOKUP(Tabela131617[[#This Row],[DT]],Aprovados!A:A,1,0)</f>
        <v>#N/A</v>
      </c>
      <c r="R119" s="16"/>
      <c r="S119" s="1" t="s">
        <v>315</v>
      </c>
      <c r="T119" s="9"/>
      <c r="U119" s="1" t="s">
        <v>315</v>
      </c>
      <c r="W119" s="232"/>
      <c r="X119" s="304"/>
    </row>
    <row r="120" spans="1:24" ht="15.75">
      <c r="A120" s="6"/>
      <c r="B120" s="7"/>
      <c r="C120" s="6"/>
      <c r="D120" s="6"/>
      <c r="E120" s="6"/>
      <c r="F120" s="1"/>
      <c r="G120" s="9"/>
      <c r="H120" s="9"/>
      <c r="I120" s="11"/>
      <c r="J120" s="1"/>
      <c r="K120" s="205" t="s">
        <v>315</v>
      </c>
      <c r="L120" s="1" t="s">
        <v>315</v>
      </c>
      <c r="M120" s="9"/>
      <c r="N120" s="14">
        <f>Tabela131617[[#This Row],[Valor_recibo]]</f>
        <v>0</v>
      </c>
      <c r="O120" s="16"/>
      <c r="P120" s="1" t="e">
        <f>VLOOKUP(Tabela131617[[#This Row],[DT]],Aprovados!A:A,1,0)</f>
        <v>#N/A</v>
      </c>
      <c r="R120" s="16"/>
      <c r="S120" s="1" t="s">
        <v>315</v>
      </c>
      <c r="T120" s="9"/>
      <c r="U120" s="1" t="s">
        <v>315</v>
      </c>
      <c r="W120" s="232"/>
      <c r="X120" s="304"/>
    </row>
    <row r="121" spans="1:24" ht="15.75">
      <c r="A121" s="6"/>
      <c r="B121" s="7"/>
      <c r="C121" s="6"/>
      <c r="D121" s="6"/>
      <c r="E121" s="6"/>
      <c r="F121" s="1"/>
      <c r="G121" s="9"/>
      <c r="H121" s="9"/>
      <c r="I121" s="11"/>
      <c r="J121" s="1"/>
      <c r="K121" s="205" t="s">
        <v>315</v>
      </c>
      <c r="L121" s="1" t="s">
        <v>315</v>
      </c>
      <c r="M121" s="9"/>
      <c r="N121" s="14">
        <f>Tabela131617[[#This Row],[Valor_recibo]]</f>
        <v>0</v>
      </c>
      <c r="O121" s="16"/>
      <c r="P121" s="1" t="e">
        <f>VLOOKUP(Tabela131617[[#This Row],[DT]],Aprovados!A:A,1,0)</f>
        <v>#N/A</v>
      </c>
      <c r="R121" s="16"/>
      <c r="S121" s="1" t="s">
        <v>315</v>
      </c>
      <c r="T121" s="9"/>
      <c r="U121" s="1" t="s">
        <v>315</v>
      </c>
      <c r="W121" s="232"/>
      <c r="X121" s="304"/>
    </row>
    <row r="122" spans="1:24" ht="15.75">
      <c r="A122" s="6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Tabela131617[[#This Row],[Valor_recibo]]</f>
        <v>0</v>
      </c>
      <c r="O122" s="16"/>
      <c r="P122" s="1" t="e">
        <f>VLOOKUP(Tabela131617[[#This Row],[DT]],Aprovados!A:A,1,0)</f>
        <v>#N/A</v>
      </c>
      <c r="R122" s="16"/>
      <c r="S122" s="1" t="s">
        <v>315</v>
      </c>
      <c r="T122" s="9"/>
      <c r="U122" s="1" t="s">
        <v>315</v>
      </c>
      <c r="W122" s="232"/>
      <c r="X122" s="304"/>
    </row>
    <row r="123" spans="1:24" ht="15.75">
      <c r="A123" s="6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>
        <f>Tabela131617[[#This Row],[Valor_recibo]]</f>
        <v>0</v>
      </c>
      <c r="O123" s="16"/>
      <c r="P123" s="1" t="e">
        <f>VLOOKUP(Tabela131617[[#This Row],[DT]],Aprovados!A:A,1,0)</f>
        <v>#N/A</v>
      </c>
      <c r="R123" s="16"/>
      <c r="S123" s="1" t="s">
        <v>315</v>
      </c>
      <c r="T123" s="9"/>
      <c r="U123" s="1" t="s">
        <v>315</v>
      </c>
      <c r="W123" s="232"/>
      <c r="X123" s="304"/>
    </row>
    <row r="124" spans="1:24" ht="15.75">
      <c r="A124" s="6"/>
      <c r="B124" s="7"/>
      <c r="C124" s="6"/>
      <c r="D124" s="6"/>
      <c r="E124" s="6"/>
      <c r="F124" s="9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>
        <f>Tabela131617[[#This Row],[Valor_recibo]]</f>
        <v>0</v>
      </c>
      <c r="O124" s="16"/>
      <c r="P124" s="1" t="e">
        <f>VLOOKUP(Tabela131617[[#This Row],[DT]],Aprovados!A:A,1,0)</f>
        <v>#N/A</v>
      </c>
      <c r="R124" s="16"/>
      <c r="S124" s="1" t="s">
        <v>315</v>
      </c>
      <c r="T124" s="9"/>
      <c r="U124" s="1" t="s">
        <v>315</v>
      </c>
      <c r="W124" s="232"/>
      <c r="X124" s="304"/>
    </row>
    <row r="125" spans="1:24" ht="15.75">
      <c r="A125" s="6"/>
      <c r="B125" s="7"/>
      <c r="C125" s="6"/>
      <c r="D125" s="6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>
        <f>Tabela131617[[#This Row],[Valor_recibo]]</f>
        <v>0</v>
      </c>
      <c r="O125" s="16"/>
      <c r="P125" s="1" t="e">
        <f>VLOOKUP(Tabela131617[[#This Row],[DT]],Aprovados!A:A,1,0)</f>
        <v>#N/A</v>
      </c>
      <c r="R125" s="16"/>
      <c r="S125" s="1" t="s">
        <v>315</v>
      </c>
      <c r="T125" s="9"/>
      <c r="U125" s="1" t="s">
        <v>315</v>
      </c>
      <c r="W125" s="232"/>
      <c r="X125" s="304"/>
    </row>
    <row r="126" spans="1:24" ht="15.75">
      <c r="A126" s="6"/>
      <c r="B126" s="7"/>
      <c r="C126" s="6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>
        <f>Tabela131617[[#This Row],[Valor_recibo]]</f>
        <v>0</v>
      </c>
      <c r="O126" s="16"/>
      <c r="P126" s="1" t="e">
        <f>VLOOKUP(Tabela131617[[#This Row],[DT]],Aprovados!A:A,1,0)</f>
        <v>#N/A</v>
      </c>
      <c r="Q126" s="99"/>
      <c r="R126" s="16"/>
      <c r="S126" s="1" t="s">
        <v>315</v>
      </c>
      <c r="T126" s="9"/>
      <c r="U126" s="1" t="s">
        <v>315</v>
      </c>
      <c r="W126" s="232"/>
      <c r="X126" s="304"/>
    </row>
    <row r="127" spans="1:24" ht="15.75">
      <c r="A127" s="6"/>
      <c r="B127" s="7"/>
      <c r="C127" s="6"/>
      <c r="D127" s="6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Tabela131617[[#This Row],[Valor_recibo]]</f>
        <v>0</v>
      </c>
      <c r="O127" s="16"/>
      <c r="P127" s="1" t="e">
        <f>VLOOKUP(Tabela131617[[#This Row],[DT]],Aprovados!A:A,1,0)</f>
        <v>#N/A</v>
      </c>
      <c r="R127" s="16"/>
      <c r="S127" s="1" t="s">
        <v>315</v>
      </c>
      <c r="T127" s="9"/>
      <c r="U127" s="1" t="s">
        <v>315</v>
      </c>
      <c r="W127" s="232"/>
      <c r="X127" s="304"/>
    </row>
    <row r="128" spans="1:24" ht="15.75">
      <c r="A128" s="6"/>
      <c r="B128" s="7"/>
      <c r="C128" s="6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>
        <f>Tabela131617[[#This Row],[Valor_recibo]]</f>
        <v>0</v>
      </c>
      <c r="O128" s="16"/>
      <c r="P128" s="1" t="e">
        <f>VLOOKUP(Tabela131617[[#This Row],[DT]],Aprovados!A:A,1,0)</f>
        <v>#N/A</v>
      </c>
      <c r="R128" s="16"/>
      <c r="S128" s="1" t="s">
        <v>315</v>
      </c>
      <c r="T128" s="9"/>
      <c r="U128" s="1" t="s">
        <v>315</v>
      </c>
      <c r="W128" s="232"/>
      <c r="X128" s="304"/>
    </row>
    <row r="129" spans="1:24" ht="15.75">
      <c r="A129" s="6"/>
      <c r="B129" s="7"/>
      <c r="C129" s="6"/>
      <c r="D129" s="6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Tabela131617[[#This Row],[Valor_recibo]]</f>
        <v>0</v>
      </c>
      <c r="O129" s="16"/>
      <c r="P129" s="1" t="e">
        <f>VLOOKUP(Tabela131617[[#This Row],[DT]],Aprovados!A:A,1,0)</f>
        <v>#N/A</v>
      </c>
      <c r="R129" s="16"/>
      <c r="S129" s="1" t="s">
        <v>315</v>
      </c>
      <c r="T129" s="9"/>
      <c r="U129" s="1" t="s">
        <v>315</v>
      </c>
      <c r="W129" s="232"/>
      <c r="X129" s="304"/>
    </row>
    <row r="130" spans="1:24" ht="15.75">
      <c r="A130" s="6"/>
      <c r="B130" s="7"/>
      <c r="C130" s="6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>
        <f>Tabela131617[[#This Row],[Valor_recibo]]</f>
        <v>0</v>
      </c>
      <c r="O130" s="16"/>
      <c r="P130" s="1" t="e">
        <f>VLOOKUP(Tabela131617[[#This Row],[DT]],Aprovados!A:A,1,0)</f>
        <v>#N/A</v>
      </c>
      <c r="R130" s="16"/>
      <c r="S130" s="1" t="s">
        <v>315</v>
      </c>
      <c r="T130" s="9"/>
      <c r="U130" s="1" t="s">
        <v>315</v>
      </c>
      <c r="W130" s="232"/>
      <c r="X130" s="304"/>
    </row>
    <row r="131" spans="1:24" ht="15.75">
      <c r="A131" s="6"/>
      <c r="B131" s="7"/>
      <c r="C131" s="6"/>
      <c r="D131" s="6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Tabela131617[[#This Row],[Valor_recibo]]</f>
        <v>0</v>
      </c>
      <c r="O131" s="16"/>
      <c r="P131" s="1" t="e">
        <f>VLOOKUP(Tabela131617[[#This Row],[DT]],Aprovados!A:A,1,0)</f>
        <v>#N/A</v>
      </c>
      <c r="R131" s="16"/>
      <c r="S131" s="1" t="s">
        <v>315</v>
      </c>
      <c r="T131" s="9"/>
      <c r="U131" s="1" t="s">
        <v>315</v>
      </c>
      <c r="W131" s="232"/>
      <c r="X131" s="304"/>
    </row>
    <row r="132" spans="1:24" ht="15.75">
      <c r="A132" s="6"/>
      <c r="B132" s="7"/>
      <c r="C132" s="6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>
        <f>Tabela131617[[#This Row],[Valor_recibo]]</f>
        <v>0</v>
      </c>
      <c r="O132" s="16"/>
      <c r="P132" s="1" t="e">
        <f>VLOOKUP(Tabela131617[[#This Row],[DT]],Aprovados!A:A,1,0)</f>
        <v>#N/A</v>
      </c>
      <c r="R132" s="16"/>
      <c r="S132" s="1" t="s">
        <v>315</v>
      </c>
      <c r="T132" s="9"/>
      <c r="U132" s="1" t="s">
        <v>315</v>
      </c>
      <c r="W132" s="232"/>
      <c r="X132" s="304"/>
    </row>
    <row r="133" spans="1:24" ht="15.75">
      <c r="A133" s="6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>
        <f>Tabela131617[[#This Row],[Valor_recibo]]</f>
        <v>0</v>
      </c>
      <c r="O133" s="16"/>
      <c r="P133" s="1" t="e">
        <f>VLOOKUP(Tabela131617[[#This Row],[DT]],Aprovados!A:A,1,0)</f>
        <v>#N/A</v>
      </c>
      <c r="R133" s="16"/>
      <c r="S133" s="1" t="s">
        <v>315</v>
      </c>
      <c r="T133" s="9"/>
      <c r="U133" s="1" t="s">
        <v>315</v>
      </c>
      <c r="W133" s="232"/>
      <c r="X133" s="304"/>
    </row>
    <row r="134" spans="1:24" ht="15.75">
      <c r="A134" s="6"/>
      <c r="B134" s="7"/>
      <c r="C134" s="6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>
        <f>Tabela131617[[#This Row],[Valor_recibo]]</f>
        <v>0</v>
      </c>
      <c r="O134" s="16"/>
      <c r="P134" s="1" t="e">
        <f>VLOOKUP(Tabela131617[[#This Row],[DT]],Aprovados!A:A,1,0)</f>
        <v>#N/A</v>
      </c>
      <c r="R134" s="16"/>
      <c r="S134" s="1" t="s">
        <v>315</v>
      </c>
      <c r="T134" s="9"/>
      <c r="U134" s="1" t="s">
        <v>315</v>
      </c>
      <c r="W134" s="232"/>
      <c r="X134" s="304"/>
    </row>
    <row r="135" spans="1:24" ht="15.75">
      <c r="A135" s="6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Tabela131617[[#This Row],[Valor_recibo]]</f>
        <v>0</v>
      </c>
      <c r="O135" s="16"/>
      <c r="P135" s="1" t="e">
        <f>VLOOKUP(Tabela131617[[#This Row],[DT]],Aprovados!A:A,1,0)</f>
        <v>#N/A</v>
      </c>
      <c r="R135" s="16"/>
      <c r="S135" s="1" t="s">
        <v>315</v>
      </c>
      <c r="T135" s="9"/>
      <c r="U135" s="1" t="s">
        <v>315</v>
      </c>
      <c r="W135" s="232"/>
      <c r="X135" s="304"/>
    </row>
    <row r="136" spans="1:24" ht="15.75">
      <c r="A136" s="6"/>
      <c r="B136" s="7"/>
      <c r="C136" s="6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Tabela131617[[#This Row],[Valor_recibo]]</f>
        <v>0</v>
      </c>
      <c r="O136" s="16"/>
      <c r="P136" s="1" t="e">
        <f>VLOOKUP(Tabela131617[[#This Row],[DT]],Aprovados!A:A,1,0)</f>
        <v>#N/A</v>
      </c>
      <c r="R136" s="16"/>
      <c r="S136" s="1" t="s">
        <v>315</v>
      </c>
      <c r="T136" s="9"/>
      <c r="U136" s="1" t="s">
        <v>315</v>
      </c>
      <c r="W136" s="232"/>
      <c r="X136" s="304"/>
    </row>
    <row r="137" spans="1:24" ht="15.75">
      <c r="A137" s="6"/>
      <c r="B137" s="7"/>
      <c r="C137" s="6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>
        <f>Tabela131617[[#This Row],[Valor_recibo]]</f>
        <v>0</v>
      </c>
      <c r="O137" s="16"/>
      <c r="P137" s="1" t="e">
        <f>VLOOKUP(Tabela131617[[#This Row],[DT]],Aprovados!A:A,1,0)</f>
        <v>#N/A</v>
      </c>
      <c r="R137" s="16"/>
      <c r="S137" s="1" t="s">
        <v>315</v>
      </c>
      <c r="T137" s="9"/>
      <c r="U137" s="1" t="s">
        <v>315</v>
      </c>
      <c r="W137" s="232"/>
      <c r="X137" s="304"/>
    </row>
    <row r="138" spans="1:24" ht="15.75">
      <c r="A138" s="6"/>
      <c r="B138" s="7"/>
      <c r="C138" s="6"/>
      <c r="D138" s="6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>
        <f>Tabela131617[[#This Row],[Valor_recibo]]</f>
        <v>0</v>
      </c>
      <c r="O138" s="16"/>
      <c r="P138" s="1" t="e">
        <f>VLOOKUP(Tabela131617[[#This Row],[DT]],Aprovados!A:A,1,0)</f>
        <v>#N/A</v>
      </c>
      <c r="R138" s="16"/>
      <c r="S138" s="1" t="s">
        <v>315</v>
      </c>
      <c r="T138" s="9"/>
      <c r="U138" s="1" t="s">
        <v>315</v>
      </c>
      <c r="W138" s="232"/>
      <c r="X138" s="304"/>
    </row>
    <row r="139" spans="1:24" ht="15.75">
      <c r="A139" s="6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>
        <f>Tabela131617[[#This Row],[Valor_recibo]]</f>
        <v>0</v>
      </c>
      <c r="O139" s="16"/>
      <c r="P139" s="1" t="e">
        <f>VLOOKUP(Tabela131617[[#This Row],[DT]],Aprovados!A:A,1,0)</f>
        <v>#N/A</v>
      </c>
      <c r="R139" s="16"/>
      <c r="S139" s="1" t="s">
        <v>315</v>
      </c>
      <c r="T139" s="9"/>
      <c r="U139" s="1" t="s">
        <v>315</v>
      </c>
      <c r="W139" s="232"/>
      <c r="X139" s="304"/>
    </row>
    <row r="140" spans="1:24" ht="15.75">
      <c r="A140" s="6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>
        <f>Tabela131617[[#This Row],[Valor_recibo]]</f>
        <v>0</v>
      </c>
      <c r="O140" s="16"/>
      <c r="P140" s="1" t="e">
        <f>VLOOKUP(Tabela131617[[#This Row],[DT]],Aprovados!A:A,1,0)</f>
        <v>#N/A</v>
      </c>
      <c r="R140" s="16"/>
      <c r="S140" s="1" t="s">
        <v>315</v>
      </c>
      <c r="T140" s="9"/>
      <c r="U140" s="1" t="s">
        <v>315</v>
      </c>
      <c r="W140" s="232"/>
      <c r="X140" s="304"/>
    </row>
    <row r="141" spans="1:24" ht="15.75">
      <c r="A141" s="6"/>
      <c r="B141" s="7"/>
      <c r="C141" s="6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>
        <f>Tabela131617[[#This Row],[Valor_recibo]]</f>
        <v>0</v>
      </c>
      <c r="O141" s="16"/>
      <c r="P141" s="1" t="e">
        <f>VLOOKUP(Tabela131617[[#This Row],[DT]],Aprovados!A:A,1,0)</f>
        <v>#N/A</v>
      </c>
      <c r="R141" s="16"/>
      <c r="S141" s="1" t="s">
        <v>315</v>
      </c>
      <c r="T141" s="9"/>
      <c r="U141" s="1" t="s">
        <v>315</v>
      </c>
      <c r="W141" s="232"/>
      <c r="X141" s="304"/>
    </row>
    <row r="142" spans="1:24" ht="15.75">
      <c r="A142" s="6"/>
      <c r="B142" s="7"/>
      <c r="C142" s="6"/>
      <c r="D142" s="6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Tabela131617[[#This Row],[Valor_recibo]]</f>
        <v>0</v>
      </c>
      <c r="O142" s="16"/>
      <c r="P142" s="1" t="e">
        <f>VLOOKUP(Tabela131617[[#This Row],[DT]],Aprovados!A:A,1,0)</f>
        <v>#N/A</v>
      </c>
      <c r="R142" s="16"/>
      <c r="S142" s="1" t="s">
        <v>315</v>
      </c>
      <c r="T142" s="9"/>
      <c r="U142" s="1" t="s">
        <v>315</v>
      </c>
      <c r="W142" s="232"/>
      <c r="X142" s="304"/>
    </row>
    <row r="143" spans="1:24" ht="15.75">
      <c r="A143" s="6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>
        <f>Tabela131617[[#This Row],[Valor_recibo]]</f>
        <v>0</v>
      </c>
      <c r="O143" s="16"/>
      <c r="P143" s="1" t="e">
        <f>VLOOKUP(Tabela131617[[#This Row],[DT]],Aprovados!A:A,1,0)</f>
        <v>#N/A</v>
      </c>
      <c r="R143" s="16"/>
      <c r="S143" s="1" t="s">
        <v>315</v>
      </c>
      <c r="T143" s="9"/>
      <c r="U143" s="1" t="s">
        <v>315</v>
      </c>
      <c r="W143" s="232"/>
      <c r="X143" s="304"/>
    </row>
    <row r="144" spans="1:24" ht="15.75">
      <c r="A144" s="6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>
        <f>Tabela131617[[#This Row],[Valor_recibo]]</f>
        <v>0</v>
      </c>
      <c r="O144" s="16"/>
      <c r="P144" s="1" t="e">
        <f>VLOOKUP(Tabela131617[[#This Row],[DT]],Aprovados!A:A,1,0)</f>
        <v>#N/A</v>
      </c>
      <c r="R144" s="16"/>
      <c r="S144" s="1" t="s">
        <v>315</v>
      </c>
      <c r="T144" s="9"/>
      <c r="U144" s="1" t="s">
        <v>315</v>
      </c>
      <c r="W144" s="232"/>
      <c r="X144" s="304"/>
    </row>
    <row r="145" spans="1:24" ht="15.75">
      <c r="A145" s="6"/>
      <c r="B145" s="7"/>
      <c r="C145" s="6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Tabela131617[[#This Row],[Valor_recibo]]</f>
        <v>0</v>
      </c>
      <c r="O145" s="16"/>
      <c r="P145" s="1" t="e">
        <f>VLOOKUP(Tabela131617[[#This Row],[DT]],Aprovados!A:A,1,0)</f>
        <v>#N/A</v>
      </c>
      <c r="R145" s="16"/>
      <c r="S145" s="1" t="s">
        <v>315</v>
      </c>
      <c r="T145" s="9"/>
      <c r="U145" s="1" t="s">
        <v>315</v>
      </c>
      <c r="W145" s="232"/>
      <c r="X145" s="304"/>
    </row>
    <row r="146" spans="1:24" ht="15.75">
      <c r="A146" s="6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>
        <f>Tabela131617[[#This Row],[Valor_recibo]]</f>
        <v>0</v>
      </c>
      <c r="O146" s="16"/>
      <c r="P146" s="1" t="e">
        <f>VLOOKUP(Tabela131617[[#This Row],[DT]],Aprovados!A:A,1,0)</f>
        <v>#N/A</v>
      </c>
      <c r="R146" s="16"/>
      <c r="S146" s="1" t="s">
        <v>315</v>
      </c>
      <c r="T146" s="9"/>
      <c r="U146" s="1" t="s">
        <v>315</v>
      </c>
      <c r="W146" s="232"/>
      <c r="X146" s="304"/>
    </row>
    <row r="147" spans="1:24" ht="15.75">
      <c r="A147" s="6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>
        <f>Tabela131617[[#This Row],[Valor_recibo]]</f>
        <v>0</v>
      </c>
      <c r="O147" s="16"/>
      <c r="P147" s="1" t="e">
        <f>VLOOKUP(Tabela131617[[#This Row],[DT]],Aprovados!A:A,1,0)</f>
        <v>#N/A</v>
      </c>
      <c r="R147" s="16"/>
      <c r="S147" s="1" t="s">
        <v>315</v>
      </c>
      <c r="T147" s="9"/>
      <c r="U147" s="1" t="s">
        <v>315</v>
      </c>
      <c r="W147" s="232"/>
      <c r="X147" s="304"/>
    </row>
    <row r="148" spans="1:24" ht="15.75">
      <c r="A148" s="6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>
        <f>Tabela131617[[#This Row],[Valor_recibo]]</f>
        <v>0</v>
      </c>
      <c r="O148" s="16"/>
      <c r="P148" s="1" t="e">
        <f>VLOOKUP(Tabela131617[[#This Row],[DT]],Aprovados!A:A,1,0)</f>
        <v>#N/A</v>
      </c>
      <c r="R148" s="16"/>
      <c r="S148" s="1" t="s">
        <v>315</v>
      </c>
      <c r="T148" s="9"/>
      <c r="U148" s="1" t="s">
        <v>315</v>
      </c>
      <c r="W148" s="232"/>
      <c r="X148" s="304"/>
    </row>
    <row r="149" spans="1:24" ht="15.75">
      <c r="A149" s="6"/>
      <c r="B149" s="7"/>
      <c r="C149" s="6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Tabela131617[[#This Row],[Valor_recibo]]</f>
        <v>0</v>
      </c>
      <c r="O149" s="16"/>
      <c r="P149" s="1" t="e">
        <f>VLOOKUP(Tabela131617[[#This Row],[DT]],Aprovados!A:A,1,0)</f>
        <v>#N/A</v>
      </c>
      <c r="R149" s="16"/>
      <c r="S149" s="1" t="s">
        <v>315</v>
      </c>
      <c r="T149" s="9"/>
      <c r="U149" s="1" t="s">
        <v>315</v>
      </c>
      <c r="W149" s="232"/>
      <c r="X149" s="304"/>
    </row>
    <row r="150" spans="1:24" ht="15.75">
      <c r="A150" s="6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Tabela131617[[#This Row],[Valor_recibo]]</f>
        <v>0</v>
      </c>
      <c r="O150" s="16"/>
      <c r="P150" s="1" t="e">
        <f>VLOOKUP(Tabela131617[[#This Row],[DT]],Aprovados!A:A,1,0)</f>
        <v>#N/A</v>
      </c>
      <c r="R150" s="16"/>
      <c r="S150" s="1" t="s">
        <v>315</v>
      </c>
      <c r="T150" s="9"/>
      <c r="U150" s="1" t="s">
        <v>315</v>
      </c>
      <c r="W150" s="232"/>
      <c r="X150" s="304"/>
    </row>
    <row r="151" spans="1:24" ht="15.75">
      <c r="A151" s="6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Tabela131617[[#This Row],[Valor_recibo]]</f>
        <v>0</v>
      </c>
      <c r="O151" s="16"/>
      <c r="P151" s="1" t="e">
        <f>VLOOKUP(Tabela131617[[#This Row],[DT]],Aprovados!A:A,1,0)</f>
        <v>#N/A</v>
      </c>
      <c r="R151" s="16"/>
      <c r="S151" s="1" t="s">
        <v>315</v>
      </c>
      <c r="T151" s="9"/>
      <c r="U151" s="1" t="s">
        <v>315</v>
      </c>
      <c r="W151" s="232"/>
      <c r="X151" s="304"/>
    </row>
    <row r="152" spans="1:24" ht="15.75">
      <c r="A152" s="6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Tabela131617[[#This Row],[Valor_recibo]]</f>
        <v>0</v>
      </c>
      <c r="O152" s="16"/>
      <c r="P152" s="1" t="e">
        <f>VLOOKUP(Tabela131617[[#This Row],[DT]],Aprovados!A:A,1,0)</f>
        <v>#N/A</v>
      </c>
      <c r="R152" s="16"/>
      <c r="S152" s="1" t="s">
        <v>315</v>
      </c>
      <c r="T152" s="9"/>
      <c r="U152" s="1" t="s">
        <v>315</v>
      </c>
      <c r="W152" s="232"/>
      <c r="X152" s="304"/>
    </row>
    <row r="153" spans="1:24" ht="15.75">
      <c r="A153" s="6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>
        <f>Tabela131617[[#This Row],[Valor_recibo]]</f>
        <v>0</v>
      </c>
      <c r="O153" s="16"/>
      <c r="P153" s="1" t="e">
        <f>VLOOKUP(Tabela131617[[#This Row],[DT]],Aprovados!A:A,1,0)</f>
        <v>#N/A</v>
      </c>
      <c r="R153" s="16"/>
      <c r="S153" s="1" t="s">
        <v>315</v>
      </c>
      <c r="T153" s="9"/>
      <c r="U153" s="1" t="s">
        <v>315</v>
      </c>
      <c r="W153" s="232"/>
      <c r="X153" s="304"/>
    </row>
    <row r="154" spans="1:24" ht="15.75">
      <c r="A154" s="6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>
        <f>Tabela131617[[#This Row],[Valor_recibo]]</f>
        <v>0</v>
      </c>
      <c r="O154" s="16"/>
      <c r="P154" s="1" t="e">
        <f>VLOOKUP(Tabela131617[[#This Row],[DT]],Aprovados!A:A,1,0)</f>
        <v>#N/A</v>
      </c>
      <c r="R154" s="16"/>
      <c r="S154" s="1" t="s">
        <v>315</v>
      </c>
      <c r="T154" s="9"/>
      <c r="U154" s="1" t="s">
        <v>315</v>
      </c>
      <c r="W154" s="232"/>
      <c r="X154" s="304"/>
    </row>
    <row r="155" spans="1:24" ht="15.75">
      <c r="A155" s="6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Tabela131617[[#This Row],[Valor_recibo]]</f>
        <v>0</v>
      </c>
      <c r="O155" s="16"/>
      <c r="P155" s="1" t="e">
        <f>VLOOKUP(Tabela131617[[#This Row],[DT]],Aprovados!A:A,1,0)</f>
        <v>#N/A</v>
      </c>
      <c r="R155" s="16"/>
      <c r="S155" s="1" t="s">
        <v>315</v>
      </c>
      <c r="T155" s="9"/>
      <c r="U155" s="1" t="s">
        <v>315</v>
      </c>
      <c r="W155" s="232"/>
      <c r="X155" s="304"/>
    </row>
    <row r="156" spans="1:24" ht="15.75">
      <c r="A156" s="6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>
        <f>Tabela131617[[#This Row],[Valor_recibo]]</f>
        <v>0</v>
      </c>
      <c r="O156" s="16"/>
      <c r="P156" s="1" t="e">
        <f>VLOOKUP(Tabela131617[[#This Row],[DT]],Aprovados!A:A,1,0)</f>
        <v>#N/A</v>
      </c>
      <c r="R156" s="16"/>
      <c r="S156" s="1" t="s">
        <v>315</v>
      </c>
      <c r="T156" s="9"/>
      <c r="U156" s="1" t="s">
        <v>315</v>
      </c>
      <c r="W156" s="232"/>
      <c r="X156" s="304"/>
    </row>
    <row r="157" spans="1:24" ht="15.75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Tabela131617[[#This Row],[Valor_recibo]]</f>
        <v>0</v>
      </c>
      <c r="O157" s="16"/>
      <c r="P157" s="1" t="e">
        <f>VLOOKUP(Tabela131617[[#This Row],[DT]],Aprovados!A:A,1,0)</f>
        <v>#N/A</v>
      </c>
      <c r="R157" s="16"/>
      <c r="S157" s="1" t="s">
        <v>315</v>
      </c>
      <c r="T157" s="9"/>
      <c r="U157" s="1" t="s">
        <v>315</v>
      </c>
      <c r="W157" s="232"/>
      <c r="X157" s="304"/>
    </row>
    <row r="158" spans="1:24" ht="15.75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Tabela131617[[#This Row],[Valor_recibo]]</f>
        <v>0</v>
      </c>
      <c r="O158" s="16"/>
      <c r="P158" s="1" t="e">
        <f>VLOOKUP(Tabela131617[[#This Row],[DT]],Aprovados!A:A,1,0)</f>
        <v>#N/A</v>
      </c>
      <c r="R158" s="16"/>
      <c r="S158" s="1" t="s">
        <v>315</v>
      </c>
      <c r="T158" s="9"/>
      <c r="U158" s="1" t="s">
        <v>315</v>
      </c>
      <c r="W158" s="232"/>
      <c r="X158" s="304"/>
    </row>
    <row r="159" spans="1:24" ht="15.75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>
        <f>Tabela131617[[#This Row],[Valor_recibo]]</f>
        <v>0</v>
      </c>
      <c r="O159" s="16"/>
      <c r="P159" s="1" t="e">
        <f>VLOOKUP(Tabela131617[[#This Row],[DT]],Aprovados!A:A,1,0)</f>
        <v>#N/A</v>
      </c>
      <c r="R159" s="16"/>
      <c r="S159" s="1" t="s">
        <v>315</v>
      </c>
      <c r="T159" s="9"/>
      <c r="U159" s="1" t="s">
        <v>315</v>
      </c>
      <c r="W159" s="232"/>
      <c r="X159" s="304"/>
    </row>
    <row r="160" spans="1:24" ht="15.75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>
        <f>Tabela131617[[#This Row],[Valor_recibo]]</f>
        <v>0</v>
      </c>
      <c r="O160" s="16"/>
      <c r="P160" s="1" t="e">
        <f>VLOOKUP(Tabela131617[[#This Row],[DT]],Aprovados!A:A,1,0)</f>
        <v>#N/A</v>
      </c>
      <c r="R160" s="16"/>
      <c r="S160" s="1" t="s">
        <v>315</v>
      </c>
      <c r="T160" s="9"/>
      <c r="U160" s="1" t="s">
        <v>315</v>
      </c>
      <c r="W160" s="232"/>
      <c r="X160" s="304"/>
    </row>
    <row r="161" spans="1:24" ht="15.75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Tabela131617[[#This Row],[Valor_recibo]]</f>
        <v>0</v>
      </c>
      <c r="O161" s="16"/>
      <c r="P161" s="1" t="e">
        <f>VLOOKUP(Tabela131617[[#This Row],[DT]],Aprovados!A:A,1,0)</f>
        <v>#N/A</v>
      </c>
      <c r="R161" s="16"/>
      <c r="S161" s="1" t="s">
        <v>315</v>
      </c>
      <c r="T161" s="9"/>
      <c r="U161" s="1" t="s">
        <v>315</v>
      </c>
      <c r="W161" s="232"/>
      <c r="X161" s="304"/>
    </row>
    <row r="162" spans="1:24" ht="15.75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Tabela131617[[#This Row],[Valor_recibo]]</f>
        <v>0</v>
      </c>
      <c r="O162" s="16"/>
      <c r="P162" s="1" t="e">
        <f>VLOOKUP(Tabela131617[[#This Row],[DT]],Aprovados!A:A,1,0)</f>
        <v>#N/A</v>
      </c>
      <c r="R162" s="16"/>
      <c r="S162" s="1" t="s">
        <v>315</v>
      </c>
      <c r="T162" s="9"/>
      <c r="U162" s="1" t="s">
        <v>315</v>
      </c>
      <c r="W162" s="232"/>
      <c r="X162" s="304"/>
    </row>
    <row r="163" spans="1:24" ht="15.75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>
        <f>Tabela131617[[#This Row],[Valor_recibo]]</f>
        <v>0</v>
      </c>
      <c r="O163" s="16"/>
      <c r="P163" s="1" t="e">
        <f>VLOOKUP(Tabela131617[[#This Row],[DT]],Aprovados!A:A,1,0)</f>
        <v>#N/A</v>
      </c>
      <c r="R163" s="16"/>
      <c r="S163" s="1" t="s">
        <v>315</v>
      </c>
      <c r="T163" s="9"/>
      <c r="U163" s="1" t="s">
        <v>315</v>
      </c>
      <c r="W163" s="232"/>
      <c r="X163" s="304"/>
    </row>
    <row r="164" spans="1:24" ht="15.75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Tabela131617[[#This Row],[Valor_recibo]]</f>
        <v>0</v>
      </c>
      <c r="O164" s="16"/>
      <c r="P164" s="1" t="e">
        <f>VLOOKUP(Tabela131617[[#This Row],[DT]],Aprovados!A:A,1,0)</f>
        <v>#N/A</v>
      </c>
      <c r="R164" s="16"/>
      <c r="S164" s="1" t="s">
        <v>315</v>
      </c>
      <c r="T164" s="9"/>
      <c r="U164" s="1" t="s">
        <v>315</v>
      </c>
      <c r="W164" s="232"/>
      <c r="X164" s="304"/>
    </row>
    <row r="165" spans="1:24" ht="15.75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Tabela131617[[#This Row],[Valor_recibo]]</f>
        <v>0</v>
      </c>
      <c r="O165" s="16"/>
      <c r="P165" s="1" t="e">
        <f>VLOOKUP(Tabela131617[[#This Row],[DT]],Aprovados!A:A,1,0)</f>
        <v>#N/A</v>
      </c>
      <c r="R165" s="16"/>
      <c r="S165" s="1" t="s">
        <v>315</v>
      </c>
      <c r="T165" s="9"/>
      <c r="U165" s="1" t="s">
        <v>315</v>
      </c>
      <c r="W165" s="232"/>
      <c r="X165" s="304"/>
    </row>
    <row r="166" spans="1:24" ht="15.75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Tabela131617[[#This Row],[Valor_recibo]]</f>
        <v>0</v>
      </c>
      <c r="O166" s="16"/>
      <c r="P166" s="1" t="e">
        <f>VLOOKUP(Tabela131617[[#This Row],[DT]],Aprovados!A:A,1,0)</f>
        <v>#N/A</v>
      </c>
      <c r="R166" s="16"/>
      <c r="S166" s="1" t="s">
        <v>315</v>
      </c>
      <c r="T166" s="9"/>
      <c r="U166" s="1" t="s">
        <v>315</v>
      </c>
      <c r="W166" s="232"/>
      <c r="X166" s="304"/>
    </row>
    <row r="167" spans="1:24" ht="15.75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Tabela131617[[#This Row],[Valor_recibo]]</f>
        <v>0</v>
      </c>
      <c r="O167" s="16"/>
      <c r="P167" s="1" t="e">
        <f>VLOOKUP(Tabela131617[[#This Row],[DT]],Aprovados!A:A,1,0)</f>
        <v>#N/A</v>
      </c>
      <c r="R167" s="16"/>
      <c r="S167" s="1" t="s">
        <v>315</v>
      </c>
      <c r="T167" s="9"/>
      <c r="U167" s="1" t="s">
        <v>315</v>
      </c>
      <c r="W167" s="232"/>
      <c r="X167" s="304"/>
    </row>
    <row r="168" spans="1:24" ht="15.75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Tabela131617[[#This Row],[Valor_recibo]]</f>
        <v>0</v>
      </c>
      <c r="O168" s="16"/>
      <c r="P168" s="1" t="e">
        <f>VLOOKUP(Tabela131617[[#This Row],[DT]],Aprovados!A:A,1,0)</f>
        <v>#N/A</v>
      </c>
      <c r="R168" s="16"/>
      <c r="S168" s="1" t="s">
        <v>315</v>
      </c>
      <c r="T168" s="9"/>
      <c r="U168" s="1" t="s">
        <v>315</v>
      </c>
      <c r="W168" s="232"/>
      <c r="X168" s="304"/>
    </row>
    <row r="169" spans="1:24" ht="15.75">
      <c r="A169" s="6"/>
      <c r="B169" s="7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Tabela131617[[#This Row],[Valor_recibo]]</f>
        <v>0</v>
      </c>
      <c r="O169" s="16"/>
      <c r="P169" s="1" t="e">
        <f>VLOOKUP(Tabela131617[[#This Row],[DT]],Aprovados!A:A,1,0)</f>
        <v>#N/A</v>
      </c>
      <c r="R169" s="16"/>
      <c r="S169" s="1" t="s">
        <v>315</v>
      </c>
      <c r="T169" s="9"/>
      <c r="U169" s="1" t="s">
        <v>315</v>
      </c>
      <c r="W169" s="232"/>
      <c r="X169" s="304"/>
    </row>
    <row r="170" spans="1:24" ht="15.75">
      <c r="A170" s="6"/>
      <c r="B170" s="7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>
        <f>Tabela131617[[#This Row],[Valor_recibo]]</f>
        <v>0</v>
      </c>
      <c r="O170" s="16"/>
      <c r="P170" s="1" t="e">
        <f>VLOOKUP(Tabela131617[[#This Row],[DT]],Aprovados!A:A,1,0)</f>
        <v>#N/A</v>
      </c>
      <c r="R170" s="16"/>
      <c r="S170" s="1" t="s">
        <v>315</v>
      </c>
      <c r="T170" s="9"/>
      <c r="U170" s="1" t="s">
        <v>315</v>
      </c>
      <c r="W170" s="232"/>
      <c r="X170" s="304"/>
    </row>
    <row r="171" spans="1:24" ht="15.75">
      <c r="A171" s="6"/>
      <c r="B171" s="7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Tabela131617[[#This Row],[Valor_recibo]]</f>
        <v>0</v>
      </c>
      <c r="O171" s="16"/>
      <c r="P171" s="1" t="e">
        <f>VLOOKUP(Tabela131617[[#This Row],[DT]],Aprovados!A:A,1,0)</f>
        <v>#N/A</v>
      </c>
      <c r="R171" s="16"/>
      <c r="S171" s="1" t="s">
        <v>315</v>
      </c>
      <c r="T171" s="9"/>
      <c r="U171" s="1" t="s">
        <v>315</v>
      </c>
      <c r="W171" s="232"/>
      <c r="X171" s="304"/>
    </row>
    <row r="172" spans="1:24" ht="15.75">
      <c r="A172" s="6"/>
      <c r="B172" s="7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Tabela131617[[#This Row],[Valor_recibo]]</f>
        <v>0</v>
      </c>
      <c r="O172" s="16"/>
      <c r="P172" s="1" t="e">
        <f>VLOOKUP(Tabela131617[[#This Row],[DT]],Aprovados!A:A,1,0)</f>
        <v>#N/A</v>
      </c>
      <c r="R172" s="16"/>
      <c r="S172" s="1" t="s">
        <v>315</v>
      </c>
      <c r="T172" s="9"/>
      <c r="U172" s="1" t="s">
        <v>315</v>
      </c>
      <c r="W172" s="232"/>
      <c r="X172" s="304"/>
    </row>
    <row r="173" spans="1:24" ht="15.75">
      <c r="A173" s="6"/>
      <c r="B173" s="7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Tabela131617[[#This Row],[Valor_recibo]]</f>
        <v>0</v>
      </c>
      <c r="O173" s="16"/>
      <c r="P173" s="1" t="e">
        <f>VLOOKUP(Tabela131617[[#This Row],[DT]],Aprovados!A:A,1,0)</f>
        <v>#N/A</v>
      </c>
      <c r="R173" s="16"/>
      <c r="S173" s="1" t="s">
        <v>315</v>
      </c>
      <c r="T173" s="9"/>
      <c r="U173" s="1" t="s">
        <v>315</v>
      </c>
      <c r="W173" s="232"/>
      <c r="X173" s="304"/>
    </row>
    <row r="174" spans="1:24" ht="15.75">
      <c r="A174" s="6"/>
      <c r="B174" s="7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Tabela131617[[#This Row],[Valor_recibo]]</f>
        <v>0</v>
      </c>
      <c r="O174" s="16"/>
      <c r="P174" s="1" t="e">
        <f>VLOOKUP(Tabela131617[[#This Row],[DT]],Aprovados!A:A,1,0)</f>
        <v>#N/A</v>
      </c>
      <c r="R174" s="16"/>
      <c r="S174" s="1" t="s">
        <v>315</v>
      </c>
      <c r="T174" s="9"/>
      <c r="U174" s="1" t="s">
        <v>315</v>
      </c>
      <c r="W174" s="232"/>
      <c r="X174" s="304"/>
    </row>
    <row r="175" spans="1:24" ht="15.75">
      <c r="A175" s="6"/>
      <c r="B175" s="7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Tabela131617[[#This Row],[Valor_recibo]]</f>
        <v>0</v>
      </c>
      <c r="O175" s="16"/>
      <c r="P175" s="1" t="e">
        <f>VLOOKUP(Tabela131617[[#This Row],[DT]],Aprovados!A:A,1,0)</f>
        <v>#N/A</v>
      </c>
      <c r="R175" s="16"/>
      <c r="S175" s="1" t="s">
        <v>315</v>
      </c>
      <c r="T175" s="9"/>
      <c r="U175" s="1" t="s">
        <v>315</v>
      </c>
      <c r="W175" s="232"/>
      <c r="X175" s="304"/>
    </row>
    <row r="176" spans="1:24" ht="15.75">
      <c r="A176" s="6"/>
      <c r="B176" s="7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Tabela131617[[#This Row],[Valor_recibo]]</f>
        <v>0</v>
      </c>
      <c r="O176" s="16"/>
      <c r="P176" s="1" t="e">
        <f>VLOOKUP(Tabela131617[[#This Row],[DT]],Aprovados!A:A,1,0)</f>
        <v>#N/A</v>
      </c>
      <c r="R176" s="16"/>
      <c r="S176" s="1" t="s">
        <v>315</v>
      </c>
      <c r="T176" s="9"/>
      <c r="U176" s="1" t="s">
        <v>315</v>
      </c>
      <c r="W176" s="232"/>
      <c r="X176" s="304"/>
    </row>
    <row r="177" spans="1:24" ht="15.75">
      <c r="A177" s="6"/>
      <c r="B177" s="7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Tabela131617[[#This Row],[Valor_recibo]]</f>
        <v>0</v>
      </c>
      <c r="O177" s="16"/>
      <c r="P177" s="1" t="e">
        <f>VLOOKUP(Tabela131617[[#This Row],[DT]],Aprovados!A:A,1,0)</f>
        <v>#N/A</v>
      </c>
      <c r="R177" s="16"/>
      <c r="S177" s="1" t="s">
        <v>315</v>
      </c>
      <c r="T177" s="9"/>
      <c r="U177" s="1" t="s">
        <v>315</v>
      </c>
      <c r="W177" s="232"/>
      <c r="X177" s="304"/>
    </row>
    <row r="178" spans="1:24" ht="15.75">
      <c r="A178" s="6"/>
      <c r="B178" s="7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>
        <f>Tabela131617[[#This Row],[Valor_recibo]]</f>
        <v>0</v>
      </c>
      <c r="O178" s="16"/>
      <c r="P178" s="1" t="e">
        <f>VLOOKUP(Tabela131617[[#This Row],[DT]],Aprovados!A:A,1,0)</f>
        <v>#N/A</v>
      </c>
      <c r="R178" s="16"/>
      <c r="S178" s="1" t="s">
        <v>315</v>
      </c>
      <c r="T178" s="9"/>
      <c r="U178" s="1" t="s">
        <v>315</v>
      </c>
      <c r="W178" s="232"/>
      <c r="X178" s="304"/>
    </row>
    <row r="179" spans="1:24" ht="15.75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Tabela131617[[#This Row],[Valor_recibo]]</f>
        <v>0</v>
      </c>
      <c r="O179" s="16"/>
      <c r="P179" s="1" t="e">
        <f>VLOOKUP(Tabela131617[[#This Row],[DT]],Aprovados!A:A,1,0)</f>
        <v>#N/A</v>
      </c>
      <c r="R179" s="16"/>
      <c r="S179" s="1" t="s">
        <v>315</v>
      </c>
      <c r="T179" s="9"/>
      <c r="U179" s="1" t="s">
        <v>315</v>
      </c>
      <c r="W179" s="232"/>
      <c r="X179" s="304"/>
    </row>
    <row r="180" spans="1:24" ht="15.75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>
        <f>Tabela131617[[#This Row],[Valor_recibo]]</f>
        <v>0</v>
      </c>
      <c r="O180" s="16"/>
      <c r="P180" s="1" t="e">
        <f>VLOOKUP(Tabela131617[[#This Row],[DT]],Aprovados!A:A,1,0)</f>
        <v>#N/A</v>
      </c>
      <c r="R180" s="16"/>
      <c r="S180" s="1" t="s">
        <v>315</v>
      </c>
      <c r="T180" s="9"/>
      <c r="U180" s="1" t="s">
        <v>315</v>
      </c>
      <c r="W180" s="232"/>
      <c r="X180" s="304"/>
    </row>
    <row r="181" spans="1:24" ht="15.75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Tabela131617[[#This Row],[Valor_recibo]]</f>
        <v>0</v>
      </c>
      <c r="O181" s="16"/>
      <c r="P181" s="1" t="e">
        <f>VLOOKUP(Tabela131617[[#This Row],[DT]],Aprovados!A:A,1,0)</f>
        <v>#N/A</v>
      </c>
      <c r="R181" s="16"/>
      <c r="S181" s="1" t="s">
        <v>315</v>
      </c>
      <c r="T181" s="9"/>
      <c r="U181" s="1" t="s">
        <v>315</v>
      </c>
      <c r="W181" s="232"/>
      <c r="X181" s="304"/>
    </row>
    <row r="182" spans="1:24" ht="15.75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Tabela131617[[#This Row],[Valor_recibo]]</f>
        <v>0</v>
      </c>
      <c r="O182" s="16"/>
      <c r="P182" s="1" t="e">
        <f>VLOOKUP(Tabela131617[[#This Row],[DT]],Aprovados!A:A,1,0)</f>
        <v>#N/A</v>
      </c>
      <c r="R182" s="16"/>
      <c r="S182" s="1" t="s">
        <v>315</v>
      </c>
      <c r="T182" s="9"/>
      <c r="U182" s="1" t="s">
        <v>315</v>
      </c>
      <c r="W182" s="232"/>
      <c r="X182" s="304"/>
    </row>
    <row r="183" spans="1:24" ht="15.75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Tabela131617[[#This Row],[Valor_recibo]]</f>
        <v>0</v>
      </c>
      <c r="O183" s="16"/>
      <c r="P183" s="1" t="e">
        <f>VLOOKUP(Tabela131617[[#This Row],[DT]],Aprovados!A:A,1,0)</f>
        <v>#N/A</v>
      </c>
      <c r="R183" s="16"/>
      <c r="S183" s="1" t="s">
        <v>315</v>
      </c>
      <c r="T183" s="9"/>
      <c r="U183" s="1" t="s">
        <v>315</v>
      </c>
      <c r="W183" s="232"/>
      <c r="X183" s="304"/>
    </row>
    <row r="184" spans="1:24" ht="15.75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Tabela131617[[#This Row],[Valor_recibo]]</f>
        <v>0</v>
      </c>
      <c r="O184" s="16"/>
      <c r="P184" s="1" t="e">
        <f>VLOOKUP(Tabela131617[[#This Row],[DT]],Aprovados!A:A,1,0)</f>
        <v>#N/A</v>
      </c>
      <c r="R184" s="16"/>
      <c r="S184" s="1" t="s">
        <v>315</v>
      </c>
      <c r="T184" s="9"/>
      <c r="U184" s="1" t="s">
        <v>315</v>
      </c>
      <c r="W184" s="232"/>
      <c r="X184" s="304"/>
    </row>
    <row r="185" spans="1:24" ht="15.75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Tabela131617[[#This Row],[Valor_recibo]]</f>
        <v>0</v>
      </c>
      <c r="O185" s="16"/>
      <c r="P185" s="1" t="e">
        <f>VLOOKUP(Tabela131617[[#This Row],[DT]],Aprovados!A:A,1,0)</f>
        <v>#N/A</v>
      </c>
      <c r="R185" s="16"/>
      <c r="S185" s="1" t="s">
        <v>315</v>
      </c>
      <c r="T185" s="9"/>
      <c r="U185" s="1" t="s">
        <v>315</v>
      </c>
      <c r="W185" s="232"/>
      <c r="X185" s="304"/>
    </row>
    <row r="186" spans="1:24" ht="15.75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Tabela131617[[#This Row],[Valor_recibo]]</f>
        <v>0</v>
      </c>
      <c r="O186" s="16"/>
      <c r="P186" s="1" t="e">
        <f>VLOOKUP(Tabela131617[[#This Row],[DT]],Aprovados!A:A,1,0)</f>
        <v>#N/A</v>
      </c>
      <c r="R186" s="16"/>
      <c r="S186" s="1" t="s">
        <v>315</v>
      </c>
      <c r="T186" s="9"/>
      <c r="U186" s="1" t="s">
        <v>315</v>
      </c>
      <c r="W186" s="232"/>
      <c r="X186" s="304"/>
    </row>
    <row r="187" spans="1:24" ht="15.75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>
        <f>Tabela131617[[#This Row],[Valor_recibo]]</f>
        <v>0</v>
      </c>
      <c r="O187" s="16"/>
      <c r="P187" s="1" t="e">
        <f>VLOOKUP(Tabela131617[[#This Row],[DT]],Aprovados!A:A,1,0)</f>
        <v>#N/A</v>
      </c>
      <c r="R187" s="16"/>
      <c r="S187" s="1" t="s">
        <v>315</v>
      </c>
      <c r="T187" s="9"/>
      <c r="U187" s="1" t="s">
        <v>315</v>
      </c>
      <c r="W187" s="232"/>
      <c r="X187" s="304"/>
    </row>
    <row r="188" spans="1:24" ht="15.75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>
        <f>Tabela131617[[#This Row],[Valor_recibo]]</f>
        <v>0</v>
      </c>
      <c r="O188" s="16"/>
      <c r="P188" s="1" t="e">
        <f>VLOOKUP(Tabela131617[[#This Row],[DT]],Aprovados!A:A,1,0)</f>
        <v>#N/A</v>
      </c>
      <c r="R188" s="16"/>
      <c r="S188" s="1" t="s">
        <v>315</v>
      </c>
      <c r="T188" s="9"/>
      <c r="U188" s="1" t="s">
        <v>315</v>
      </c>
      <c r="W188" s="232"/>
      <c r="X188" s="304"/>
    </row>
    <row r="189" spans="1:24" ht="15.75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>
        <f>Tabela131617[[#This Row],[Valor_recibo]]</f>
        <v>0</v>
      </c>
      <c r="O189" s="16"/>
      <c r="P189" s="1" t="e">
        <f>VLOOKUP(Tabela131617[[#This Row],[DT]],Aprovados!A:A,1,0)</f>
        <v>#N/A</v>
      </c>
      <c r="R189" s="16"/>
      <c r="S189" s="1" t="s">
        <v>315</v>
      </c>
      <c r="T189" s="9"/>
      <c r="U189" s="1" t="s">
        <v>315</v>
      </c>
      <c r="W189" s="232"/>
      <c r="X189" s="304"/>
    </row>
    <row r="190" spans="1:24" ht="15.75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>
        <f>Tabela131617[[#This Row],[Valor_recibo]]</f>
        <v>0</v>
      </c>
      <c r="O190" s="16"/>
      <c r="P190" s="1" t="e">
        <f>VLOOKUP(Tabela131617[[#This Row],[DT]],Aprovados!A:A,1,0)</f>
        <v>#N/A</v>
      </c>
      <c r="R190" s="16"/>
      <c r="S190" s="1" t="s">
        <v>315</v>
      </c>
      <c r="T190" s="9"/>
      <c r="U190" s="1" t="s">
        <v>315</v>
      </c>
      <c r="W190" s="232"/>
      <c r="X190" s="304"/>
    </row>
    <row r="191" spans="1:24" ht="15.75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>
        <f>Tabela131617[[#This Row],[Valor_recibo]]</f>
        <v>0</v>
      </c>
      <c r="O191" s="16"/>
      <c r="P191" s="1" t="e">
        <f>VLOOKUP(Tabela131617[[#This Row],[DT]],Aprovados!A:A,1,0)</f>
        <v>#N/A</v>
      </c>
      <c r="R191" s="16"/>
      <c r="S191" s="1" t="s">
        <v>315</v>
      </c>
      <c r="T191" s="9"/>
      <c r="U191" s="1" t="s">
        <v>315</v>
      </c>
      <c r="W191" s="232"/>
      <c r="X191" s="304"/>
    </row>
    <row r="192" spans="1:24" ht="15.75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>
        <f>Tabela131617[[#This Row],[Valor_recibo]]</f>
        <v>0</v>
      </c>
      <c r="O192" s="16"/>
      <c r="P192" s="1" t="e">
        <f>VLOOKUP(Tabela131617[[#This Row],[DT]],Aprovados!A:A,1,0)</f>
        <v>#N/A</v>
      </c>
      <c r="R192" s="16"/>
      <c r="S192" s="1" t="s">
        <v>315</v>
      </c>
      <c r="T192" s="9"/>
      <c r="U192" s="1" t="s">
        <v>315</v>
      </c>
      <c r="W192" s="232"/>
      <c r="X192" s="304"/>
    </row>
    <row r="193" spans="1:24" ht="15.75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>
        <f>Tabela131617[[#This Row],[Valor_recibo]]</f>
        <v>0</v>
      </c>
      <c r="O193" s="16"/>
      <c r="P193" s="1" t="e">
        <f>VLOOKUP(Tabela131617[[#This Row],[DT]],Aprovados!A:A,1,0)</f>
        <v>#N/A</v>
      </c>
      <c r="R193" s="16"/>
      <c r="S193" s="1" t="s">
        <v>315</v>
      </c>
      <c r="T193" s="9"/>
      <c r="U193" s="1" t="s">
        <v>315</v>
      </c>
      <c r="W193" s="232"/>
      <c r="X193" s="304"/>
    </row>
    <row r="194" spans="1:24" ht="15.75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>
        <f>Tabela131617[[#This Row],[Valor_recibo]]</f>
        <v>0</v>
      </c>
      <c r="O194" s="16"/>
      <c r="P194" s="1" t="e">
        <f>VLOOKUP(Tabela131617[[#This Row],[DT]],Aprovados!A:A,1,0)</f>
        <v>#N/A</v>
      </c>
      <c r="R194" s="16"/>
      <c r="S194" s="1" t="s">
        <v>315</v>
      </c>
      <c r="T194" s="9"/>
      <c r="U194" s="1" t="s">
        <v>315</v>
      </c>
      <c r="W194" s="232"/>
      <c r="X194" s="304"/>
    </row>
    <row r="195" spans="1:24" ht="15.75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>
        <f>Tabela131617[[#This Row],[Valor_recibo]]</f>
        <v>0</v>
      </c>
      <c r="O195" s="16"/>
      <c r="P195" s="1" t="e">
        <f>VLOOKUP(Tabela131617[[#This Row],[DT]],Aprovados!A:A,1,0)</f>
        <v>#N/A</v>
      </c>
      <c r="R195" s="16"/>
      <c r="S195" s="1" t="s">
        <v>315</v>
      </c>
      <c r="T195" s="9"/>
      <c r="U195" s="1" t="s">
        <v>315</v>
      </c>
      <c r="W195" s="232"/>
      <c r="X195" s="304"/>
    </row>
    <row r="196" spans="1:24" ht="15.75">
      <c r="A196" s="6"/>
      <c r="B196" s="7"/>
      <c r="C196" s="6"/>
      <c r="D196" s="6"/>
      <c r="E196" s="6"/>
      <c r="F196" s="1"/>
      <c r="G196" s="9"/>
      <c r="H196" s="9"/>
      <c r="I196" s="11"/>
      <c r="J196" s="1"/>
      <c r="K196" s="205" t="s">
        <v>315</v>
      </c>
      <c r="L196" s="1" t="s">
        <v>315</v>
      </c>
      <c r="M196" s="9"/>
      <c r="N196" s="14">
        <f>Tabela131617[[#This Row],[Valor_recibo]]</f>
        <v>0</v>
      </c>
      <c r="O196" s="16"/>
      <c r="P196" s="1" t="e">
        <f>VLOOKUP(Tabela131617[[#This Row],[DT]],Aprovados!A:A,1,0)</f>
        <v>#N/A</v>
      </c>
      <c r="R196" s="16"/>
      <c r="S196" s="1" t="s">
        <v>315</v>
      </c>
      <c r="T196" s="9"/>
      <c r="U196" s="1" t="s">
        <v>315</v>
      </c>
      <c r="W196" s="232"/>
      <c r="X196" s="304"/>
    </row>
    <row r="197" spans="1:24" ht="15.75">
      <c r="A197" s="6"/>
      <c r="B197" s="7"/>
      <c r="C197" s="6"/>
      <c r="D197" s="6"/>
      <c r="E197" s="6"/>
      <c r="F197" s="1"/>
      <c r="G197" s="9"/>
      <c r="H197" s="9"/>
      <c r="I197" s="11"/>
      <c r="J197" s="1"/>
      <c r="K197" s="205" t="s">
        <v>315</v>
      </c>
      <c r="L197" s="1" t="s">
        <v>315</v>
      </c>
      <c r="M197" s="9"/>
      <c r="N197" s="14">
        <f>Tabela131617[[#This Row],[Valor_recibo]]</f>
        <v>0</v>
      </c>
      <c r="O197" s="16"/>
      <c r="P197" s="1" t="e">
        <f>VLOOKUP(Tabela131617[[#This Row],[DT]],Aprovados!A:A,1,0)</f>
        <v>#N/A</v>
      </c>
      <c r="R197" s="16"/>
      <c r="S197" s="1" t="s">
        <v>315</v>
      </c>
      <c r="T197" s="9"/>
      <c r="U197" s="1" t="s">
        <v>315</v>
      </c>
      <c r="W197" s="232"/>
      <c r="X197" s="304"/>
    </row>
    <row r="198" spans="1:24" ht="15.75">
      <c r="A198" s="6"/>
      <c r="B198" s="7"/>
      <c r="C198" s="6"/>
      <c r="D198" s="6"/>
      <c r="E198" s="6"/>
      <c r="F198" s="1"/>
      <c r="G198" s="9"/>
      <c r="H198" s="9"/>
      <c r="I198" s="11"/>
      <c r="J198" s="1"/>
      <c r="K198" s="205" t="s">
        <v>315</v>
      </c>
      <c r="L198" s="1" t="s">
        <v>315</v>
      </c>
      <c r="M198" s="9"/>
      <c r="N198" s="14">
        <f>Tabela131617[[#This Row],[Valor_recibo]]</f>
        <v>0</v>
      </c>
      <c r="O198" s="16"/>
      <c r="P198" s="1" t="e">
        <f>VLOOKUP(Tabela131617[[#This Row],[DT]],Aprovados!A:A,1,0)</f>
        <v>#N/A</v>
      </c>
      <c r="R198" s="16"/>
      <c r="S198" s="1" t="s">
        <v>315</v>
      </c>
      <c r="T198" s="9"/>
      <c r="U198" s="1" t="s">
        <v>315</v>
      </c>
      <c r="W198" s="232"/>
      <c r="X198" s="304"/>
    </row>
    <row r="199" spans="1:24" ht="15.75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 t="s">
        <v>315</v>
      </c>
      <c r="L199" s="1" t="s">
        <v>315</v>
      </c>
      <c r="M199" s="9"/>
      <c r="N199" s="14">
        <f>Tabela131617[[#This Row],[Valor_recibo]]</f>
        <v>0</v>
      </c>
      <c r="O199" s="16"/>
      <c r="P199" s="1" t="e">
        <f>VLOOKUP(Tabela131617[[#This Row],[DT]],Aprovados!A:A,1,0)</f>
        <v>#N/A</v>
      </c>
      <c r="R199" s="16"/>
      <c r="S199" s="1" t="s">
        <v>315</v>
      </c>
      <c r="T199" s="9"/>
      <c r="U199" s="1" t="s">
        <v>315</v>
      </c>
      <c r="W199" s="232"/>
      <c r="X199" s="304"/>
    </row>
    <row r="200" spans="1:24" ht="15.75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Tabela131617[[#This Row],[Valor_recibo]]</f>
        <v>0</v>
      </c>
      <c r="O200" s="16"/>
      <c r="P200" s="1" t="e">
        <f>VLOOKUP(Tabela131617[[#This Row],[DT]],Aprovados!A:A,1,0)</f>
        <v>#N/A</v>
      </c>
      <c r="R200" s="16"/>
      <c r="S200" s="1" t="s">
        <v>315</v>
      </c>
      <c r="T200" s="9"/>
      <c r="U200" s="1" t="s">
        <v>315</v>
      </c>
      <c r="W200" s="232"/>
      <c r="X200" s="304"/>
    </row>
    <row r="201" spans="1:24" ht="15.75">
      <c r="A201" s="6"/>
      <c r="B201" s="7"/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Tabela131617[[#This Row],[Valor_recibo]]</f>
        <v>0</v>
      </c>
      <c r="O201" s="16"/>
      <c r="P201" s="1" t="e">
        <f>VLOOKUP(Tabela131617[[#This Row],[DT]],Aprovados!A:A,1,0)</f>
        <v>#N/A</v>
      </c>
      <c r="R201" s="16"/>
      <c r="S201" s="1" t="s">
        <v>315</v>
      </c>
      <c r="T201" s="9"/>
      <c r="U201" s="1" t="s">
        <v>315</v>
      </c>
      <c r="W201" s="232"/>
      <c r="X201" s="304"/>
    </row>
    <row r="202" spans="1:24" ht="15.75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Tabela131617[[#This Row],[Valor_recibo]]</f>
        <v>0</v>
      </c>
      <c r="O202" s="16"/>
      <c r="P202" s="1" t="e">
        <f>VLOOKUP(Tabela131617[[#This Row],[DT]],Aprovados!A:A,1,0)</f>
        <v>#N/A</v>
      </c>
      <c r="R202" s="16"/>
      <c r="S202" s="1" t="s">
        <v>315</v>
      </c>
      <c r="T202" s="9"/>
      <c r="U202" s="1" t="s">
        <v>315</v>
      </c>
      <c r="W202" s="232"/>
      <c r="X202" s="304"/>
    </row>
    <row r="203" spans="1:24" ht="15.75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Tabela131617[[#This Row],[Valor_recibo]]</f>
        <v>0</v>
      </c>
      <c r="O203" s="16"/>
      <c r="P203" s="1" t="e">
        <f>VLOOKUP(Tabela131617[[#This Row],[DT]],Aprovados!A:A,1,0)</f>
        <v>#N/A</v>
      </c>
      <c r="R203" s="16"/>
      <c r="S203" s="1" t="s">
        <v>315</v>
      </c>
      <c r="T203" s="9"/>
      <c r="U203" s="1" t="s">
        <v>315</v>
      </c>
      <c r="W203" s="232"/>
      <c r="X203" s="304"/>
    </row>
    <row r="204" spans="1:24" ht="15.75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Tabela131617[[#This Row],[Valor_recibo]]</f>
        <v>0</v>
      </c>
      <c r="O204" s="16"/>
      <c r="P204" s="1" t="e">
        <f>VLOOKUP(Tabela131617[[#This Row],[DT]],Aprovados!A:A,1,0)</f>
        <v>#N/A</v>
      </c>
      <c r="R204" s="16"/>
      <c r="S204" s="1" t="s">
        <v>315</v>
      </c>
      <c r="T204" s="9"/>
      <c r="U204" s="1" t="s">
        <v>315</v>
      </c>
      <c r="W204" s="232"/>
      <c r="X204" s="304"/>
    </row>
    <row r="205" spans="1:24" ht="15.75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Tabela131617[[#This Row],[Valor_recibo]]</f>
        <v>0</v>
      </c>
      <c r="O205" s="16"/>
      <c r="P205" s="1" t="e">
        <f>VLOOKUP(Tabela131617[[#This Row],[DT]],Aprovados!A:A,1,0)</f>
        <v>#N/A</v>
      </c>
      <c r="R205" s="16"/>
      <c r="S205" s="1" t="s">
        <v>315</v>
      </c>
      <c r="T205" s="9"/>
      <c r="U205" s="1" t="s">
        <v>315</v>
      </c>
      <c r="W205" s="232"/>
      <c r="X205" s="304"/>
    </row>
    <row r="206" spans="1:24" ht="15.75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Tabela131617[[#This Row],[Valor_recibo]]</f>
        <v>0</v>
      </c>
      <c r="O206" s="16"/>
      <c r="P206" s="1" t="e">
        <f>VLOOKUP(Tabela131617[[#This Row],[DT]],Aprovados!A:A,1,0)</f>
        <v>#N/A</v>
      </c>
      <c r="R206" s="16"/>
      <c r="S206" s="1" t="s">
        <v>315</v>
      </c>
      <c r="T206" s="9"/>
      <c r="U206" s="1" t="s">
        <v>315</v>
      </c>
      <c r="W206" s="232"/>
      <c r="X206" s="304"/>
    </row>
    <row r="207" spans="1:24" ht="15.75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Tabela131617[[#This Row],[Valor_recibo]]</f>
        <v>0</v>
      </c>
      <c r="O207" s="16"/>
      <c r="P207" s="1" t="e">
        <f>VLOOKUP(Tabela131617[[#This Row],[DT]],Aprovados!A:A,1,0)</f>
        <v>#N/A</v>
      </c>
      <c r="R207" s="16"/>
      <c r="S207" s="1" t="s">
        <v>315</v>
      </c>
      <c r="T207" s="9"/>
      <c r="U207" s="1" t="s">
        <v>315</v>
      </c>
      <c r="W207" s="232"/>
      <c r="X207" s="304"/>
    </row>
    <row r="208" spans="1:24" ht="15.75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Tabela131617[[#This Row],[Valor_recibo]]</f>
        <v>0</v>
      </c>
      <c r="O208" s="16"/>
      <c r="P208" s="1" t="e">
        <f>VLOOKUP(Tabela131617[[#This Row],[DT]],Aprovados!A:A,1,0)</f>
        <v>#N/A</v>
      </c>
      <c r="R208" s="16"/>
      <c r="S208" s="1" t="s">
        <v>315</v>
      </c>
      <c r="T208" s="9"/>
      <c r="U208" s="1" t="s">
        <v>315</v>
      </c>
      <c r="W208" s="232"/>
      <c r="X208" s="304"/>
    </row>
    <row r="209" spans="1:24" ht="15.75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Tabela131617[[#This Row],[Valor_recibo]]</f>
        <v>0</v>
      </c>
      <c r="O209" s="16"/>
      <c r="P209" s="1" t="e">
        <f>VLOOKUP(Tabela131617[[#This Row],[DT]],Aprovados!A:A,1,0)</f>
        <v>#N/A</v>
      </c>
      <c r="R209" s="16"/>
      <c r="S209" s="1" t="s">
        <v>315</v>
      </c>
      <c r="T209" s="9"/>
      <c r="U209" s="1" t="s">
        <v>315</v>
      </c>
      <c r="W209" s="232"/>
      <c r="X209" s="304"/>
    </row>
    <row r="210" spans="1:24" ht="15.75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Tabela131617[[#This Row],[Valor_recibo]]</f>
        <v>0</v>
      </c>
      <c r="O210" s="16"/>
      <c r="P210" s="1" t="e">
        <f>VLOOKUP(Tabela131617[[#This Row],[DT]],Aprovados!A:A,1,0)</f>
        <v>#N/A</v>
      </c>
      <c r="R210" s="16"/>
      <c r="S210" s="1" t="s">
        <v>315</v>
      </c>
      <c r="T210" s="9"/>
      <c r="U210" s="1" t="s">
        <v>315</v>
      </c>
      <c r="W210" s="232"/>
      <c r="X210" s="304"/>
    </row>
    <row r="211" spans="1:24" ht="15.75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Tabela131617[[#This Row],[Valor_recibo]]</f>
        <v>0</v>
      </c>
      <c r="O211" s="16"/>
      <c r="P211" s="1" t="e">
        <f>VLOOKUP(Tabela131617[[#This Row],[DT]],Aprovados!A:A,1,0)</f>
        <v>#N/A</v>
      </c>
      <c r="R211" s="16"/>
      <c r="S211" s="1" t="s">
        <v>315</v>
      </c>
      <c r="T211" s="9"/>
      <c r="U211" s="1" t="s">
        <v>315</v>
      </c>
      <c r="W211" s="232"/>
      <c r="X211" s="304"/>
    </row>
    <row r="212" spans="1:24" ht="15.75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Tabela131617[[#This Row],[Valor_recibo]]</f>
        <v>0</v>
      </c>
      <c r="O212" s="16"/>
      <c r="P212" s="1" t="e">
        <f>VLOOKUP(Tabela131617[[#This Row],[DT]],Aprovados!A:A,1,0)</f>
        <v>#N/A</v>
      </c>
      <c r="R212" s="16"/>
      <c r="S212" s="1" t="s">
        <v>315</v>
      </c>
      <c r="T212" s="9"/>
      <c r="U212" s="1" t="s">
        <v>315</v>
      </c>
      <c r="W212" s="232"/>
      <c r="X212" s="304"/>
    </row>
    <row r="213" spans="1:24" ht="15.75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Tabela131617[[#This Row],[Valor_recibo]]</f>
        <v>0</v>
      </c>
      <c r="O213" s="16"/>
      <c r="P213" s="1" t="e">
        <f>VLOOKUP(Tabela131617[[#This Row],[DT]],Aprovados!A:A,1,0)</f>
        <v>#N/A</v>
      </c>
      <c r="R213" s="16"/>
      <c r="S213" s="1" t="s">
        <v>315</v>
      </c>
      <c r="T213" s="9"/>
      <c r="U213" s="1" t="s">
        <v>315</v>
      </c>
      <c r="W213" s="232"/>
      <c r="X213" s="304"/>
    </row>
    <row r="214" spans="1:24" ht="15.75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Tabela131617[[#This Row],[Valor_recibo]]</f>
        <v>0</v>
      </c>
      <c r="O214" s="16"/>
      <c r="P214" s="1" t="e">
        <f>VLOOKUP(Tabela131617[[#This Row],[DT]],Aprovados!A:A,1,0)</f>
        <v>#N/A</v>
      </c>
      <c r="R214" s="16"/>
      <c r="S214" s="1" t="s">
        <v>315</v>
      </c>
      <c r="T214" s="9"/>
      <c r="U214" s="1" t="s">
        <v>315</v>
      </c>
      <c r="W214" s="232"/>
      <c r="X214" s="304"/>
    </row>
    <row r="215" spans="1:24" ht="15.75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Tabela131617[[#This Row],[Valor_recibo]]</f>
        <v>0</v>
      </c>
      <c r="O215" s="16"/>
      <c r="P215" s="1" t="e">
        <f>VLOOKUP(Tabela131617[[#This Row],[DT]],Aprovados!A:A,1,0)</f>
        <v>#N/A</v>
      </c>
      <c r="R215" s="16"/>
      <c r="S215" s="1" t="s">
        <v>315</v>
      </c>
      <c r="T215" s="9"/>
      <c r="U215" s="1" t="s">
        <v>315</v>
      </c>
      <c r="W215" s="232"/>
      <c r="X215" s="304"/>
    </row>
    <row r="216" spans="1:24" ht="15.75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Tabela131617[[#This Row],[Valor_recibo]]</f>
        <v>0</v>
      </c>
      <c r="O216" s="16"/>
      <c r="P216" s="1" t="e">
        <f>VLOOKUP(Tabela131617[[#This Row],[DT]],Aprovados!A:A,1,0)</f>
        <v>#N/A</v>
      </c>
      <c r="R216" s="16"/>
      <c r="S216" s="1" t="s">
        <v>315</v>
      </c>
      <c r="T216" s="9"/>
      <c r="U216" s="1" t="s">
        <v>315</v>
      </c>
      <c r="W216" s="232"/>
      <c r="X216" s="304"/>
    </row>
    <row r="217" spans="1:24" ht="15.75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Tabela131617[[#This Row],[Valor_recibo]]</f>
        <v>0</v>
      </c>
      <c r="O217" s="16"/>
      <c r="P217" s="1" t="e">
        <f>VLOOKUP(Tabela131617[[#This Row],[DT]],Aprovados!A:A,1,0)</f>
        <v>#N/A</v>
      </c>
      <c r="R217" s="16"/>
      <c r="S217" s="1" t="s">
        <v>315</v>
      </c>
      <c r="T217" s="9"/>
      <c r="U217" s="1" t="s">
        <v>315</v>
      </c>
      <c r="W217" s="232"/>
      <c r="X217" s="304"/>
    </row>
    <row r="218" spans="1:24" ht="15.75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Tabela131617[[#This Row],[Valor_recibo]]</f>
        <v>0</v>
      </c>
      <c r="O218" s="16"/>
      <c r="P218" s="1" t="e">
        <f>VLOOKUP(Tabela131617[[#This Row],[DT]],Aprovados!A:A,1,0)</f>
        <v>#N/A</v>
      </c>
      <c r="R218" s="16"/>
      <c r="S218" s="1" t="s">
        <v>315</v>
      </c>
      <c r="T218" s="9"/>
      <c r="U218" s="1" t="s">
        <v>315</v>
      </c>
      <c r="W218" s="232"/>
      <c r="X218" s="304"/>
    </row>
    <row r="219" spans="1:24" ht="15.75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Tabela131617[[#This Row],[Valor_recibo]]</f>
        <v>0</v>
      </c>
      <c r="O219" s="16"/>
      <c r="P219" s="1" t="e">
        <f>VLOOKUP(Tabela131617[[#This Row],[DT]],Aprovados!A:A,1,0)</f>
        <v>#N/A</v>
      </c>
      <c r="R219" s="16"/>
      <c r="S219" s="1" t="s">
        <v>315</v>
      </c>
      <c r="T219" s="9"/>
      <c r="U219" s="1" t="s">
        <v>315</v>
      </c>
      <c r="W219" s="232"/>
      <c r="X219" s="304"/>
    </row>
    <row r="220" spans="1:24" ht="15.75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Tabela131617[[#This Row],[Valor_recibo]]</f>
        <v>0</v>
      </c>
      <c r="O220" s="16"/>
      <c r="P220" s="1" t="e">
        <f>VLOOKUP(Tabela131617[[#This Row],[DT]],Aprovados!A:A,1,0)</f>
        <v>#N/A</v>
      </c>
      <c r="R220" s="16"/>
      <c r="S220" s="1" t="s">
        <v>315</v>
      </c>
      <c r="T220" s="9"/>
      <c r="U220" s="1" t="s">
        <v>315</v>
      </c>
      <c r="W220" s="232"/>
      <c r="X220" s="304"/>
    </row>
    <row r="221" spans="1:24" ht="15.75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Tabela131617[[#This Row],[Valor_recibo]]</f>
        <v>0</v>
      </c>
      <c r="O221" s="16"/>
      <c r="P221" s="1" t="e">
        <f>VLOOKUP(Tabela131617[[#This Row],[DT]],Aprovados!A:A,1,0)</f>
        <v>#N/A</v>
      </c>
      <c r="R221" s="16"/>
      <c r="S221" s="1" t="s">
        <v>315</v>
      </c>
      <c r="T221" s="9"/>
      <c r="U221" s="1" t="s">
        <v>315</v>
      </c>
      <c r="W221" s="232"/>
      <c r="X221" s="304"/>
    </row>
    <row r="222" spans="1:24" ht="15.75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315</v>
      </c>
      <c r="L222" s="1" t="s">
        <v>315</v>
      </c>
      <c r="M222" s="9"/>
      <c r="N222" s="14">
        <f>Tabela131617[[#This Row],[Valor_recibo]]</f>
        <v>0</v>
      </c>
      <c r="O222" s="16"/>
      <c r="P222" s="1" t="e">
        <f>VLOOKUP(Tabela131617[[#This Row],[DT]],Aprovados!A:A,1,0)</f>
        <v>#N/A</v>
      </c>
      <c r="R222" s="16"/>
      <c r="S222" s="1" t="s">
        <v>315</v>
      </c>
      <c r="T222" s="9"/>
      <c r="U222" s="1" t="s">
        <v>315</v>
      </c>
      <c r="W222" s="232"/>
      <c r="X222" s="304"/>
    </row>
    <row r="223" spans="1:24" ht="15.75">
      <c r="A223" s="240"/>
      <c r="B223" s="7"/>
      <c r="C223" s="241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Tabela131617[[#This Row],[Valor_recibo]]</f>
        <v>0</v>
      </c>
      <c r="O223" s="16"/>
      <c r="P223" s="1" t="e">
        <f>VLOOKUP(Tabela131617[[#This Row],[DT]],Aprovados!A:A,1,0)</f>
        <v>#N/A</v>
      </c>
      <c r="R223" s="16"/>
      <c r="S223" s="1" t="s">
        <v>315</v>
      </c>
      <c r="T223" s="9"/>
      <c r="U223" s="1" t="s">
        <v>315</v>
      </c>
      <c r="W223" s="232"/>
      <c r="X223" s="304"/>
    </row>
    <row r="224" spans="1:24" ht="15.75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Tabela131617[[#This Row],[Valor_recibo]]</f>
        <v>0</v>
      </c>
      <c r="O224" s="16"/>
      <c r="P224" s="1" t="e">
        <f>VLOOKUP(Tabela131617[[#This Row],[DT]],Aprovados!A:A,1,0)</f>
        <v>#N/A</v>
      </c>
      <c r="R224" s="16"/>
      <c r="S224" s="1" t="s">
        <v>315</v>
      </c>
      <c r="T224" s="9"/>
      <c r="U224" s="1" t="s">
        <v>315</v>
      </c>
      <c r="W224" s="232"/>
      <c r="X224" s="304"/>
    </row>
    <row r="225" spans="1:24" ht="15.75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315</v>
      </c>
      <c r="L225" s="1" t="s">
        <v>315</v>
      </c>
      <c r="M225" s="9"/>
      <c r="N225" s="14">
        <f>Tabela131617[[#This Row],[Valor_recibo]]</f>
        <v>0</v>
      </c>
      <c r="O225" s="16"/>
      <c r="P225" s="1" t="e">
        <f>VLOOKUP(Tabela131617[[#This Row],[DT]],Aprovados!A:A,1,0)</f>
        <v>#N/A</v>
      </c>
      <c r="R225" s="16"/>
      <c r="S225" s="1" t="s">
        <v>315</v>
      </c>
      <c r="T225" s="9"/>
      <c r="U225" s="1" t="s">
        <v>315</v>
      </c>
      <c r="W225" s="232"/>
      <c r="X225" s="304"/>
    </row>
    <row r="226" spans="1:24" ht="15.75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205" t="s">
        <v>315</v>
      </c>
      <c r="L226" s="1" t="s">
        <v>315</v>
      </c>
      <c r="M226" s="9"/>
      <c r="N226" s="14">
        <f>Tabela131617[[#This Row],[Valor_recibo]]</f>
        <v>0</v>
      </c>
      <c r="O226" s="16"/>
      <c r="P226" s="1" t="e">
        <f>VLOOKUP(Tabela131617[[#This Row],[DT]],Aprovados!A:A,1,0)</f>
        <v>#N/A</v>
      </c>
      <c r="R226" s="16"/>
      <c r="S226" s="1" t="s">
        <v>315</v>
      </c>
      <c r="T226" s="9"/>
      <c r="U226" s="1" t="s">
        <v>315</v>
      </c>
      <c r="W226" s="232"/>
      <c r="X226" s="304"/>
    </row>
    <row r="227" spans="1:24" ht="15.75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Tabela131617[[#This Row],[Valor_recibo]]</f>
        <v>0</v>
      </c>
      <c r="O227" s="16"/>
      <c r="P227" s="1" t="e">
        <f>VLOOKUP(Tabela131617[[#This Row],[DT]],Aprovados!A:A,1,0)</f>
        <v>#N/A</v>
      </c>
      <c r="R227" s="16"/>
      <c r="S227" s="1" t="s">
        <v>315</v>
      </c>
      <c r="T227" s="9"/>
      <c r="U227" s="1" t="s">
        <v>315</v>
      </c>
      <c r="W227" s="232"/>
      <c r="X227" s="304"/>
    </row>
    <row r="228" spans="1:24" ht="15.75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Tabela131617[[#This Row],[Valor_recibo]]</f>
        <v>0</v>
      </c>
      <c r="O228" s="16"/>
      <c r="P228" s="1" t="e">
        <f>VLOOKUP(Tabela131617[[#This Row],[DT]],Aprovados!A:A,1,0)</f>
        <v>#N/A</v>
      </c>
      <c r="R228" s="16"/>
      <c r="S228" s="1" t="s">
        <v>315</v>
      </c>
      <c r="T228" s="9"/>
      <c r="U228" s="1" t="s">
        <v>315</v>
      </c>
      <c r="W228" s="232"/>
      <c r="X228" s="304"/>
    </row>
    <row r="229" spans="1:24" ht="15.75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Tabela131617[[#This Row],[Valor_recibo]]</f>
        <v>0</v>
      </c>
      <c r="O229" s="16"/>
      <c r="P229" s="1" t="e">
        <f>VLOOKUP(Tabela131617[[#This Row],[DT]],Aprovados!A:A,1,0)</f>
        <v>#N/A</v>
      </c>
      <c r="R229" s="16"/>
      <c r="S229" s="1" t="s">
        <v>315</v>
      </c>
      <c r="T229" s="9"/>
      <c r="U229" s="1" t="s">
        <v>315</v>
      </c>
      <c r="W229" s="232"/>
      <c r="X229" s="304"/>
    </row>
    <row r="230" spans="1:24" ht="15.75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205" t="s">
        <v>315</v>
      </c>
      <c r="L230" s="1" t="s">
        <v>315</v>
      </c>
      <c r="M230" s="9"/>
      <c r="N230" s="14">
        <f>Tabela131617[[#This Row],[Valor_recibo]]</f>
        <v>0</v>
      </c>
      <c r="O230" s="16"/>
      <c r="P230" s="1" t="e">
        <f>VLOOKUP(Tabela131617[[#This Row],[DT]],Aprovados!A:A,1,0)</f>
        <v>#N/A</v>
      </c>
      <c r="R230" s="16"/>
      <c r="S230" s="1" t="s">
        <v>315</v>
      </c>
      <c r="T230" s="9"/>
      <c r="U230" s="1" t="s">
        <v>315</v>
      </c>
      <c r="W230" s="232"/>
      <c r="X230" s="304"/>
    </row>
    <row r="231" spans="1:24" ht="15.75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Tabela131617[[#This Row],[Valor_recibo]]</f>
        <v>0</v>
      </c>
      <c r="O231" s="16"/>
      <c r="P231" s="1" t="e">
        <f>VLOOKUP(Tabela131617[[#This Row],[DT]],Aprovados!A:A,1,0)</f>
        <v>#N/A</v>
      </c>
      <c r="R231" s="16"/>
      <c r="S231" s="1" t="s">
        <v>315</v>
      </c>
      <c r="T231" s="9"/>
      <c r="U231" s="1" t="s">
        <v>315</v>
      </c>
      <c r="W231" s="232"/>
      <c r="X231" s="304"/>
    </row>
    <row r="232" spans="1:24" ht="15.75">
      <c r="A232" s="6"/>
      <c r="B232" s="7"/>
      <c r="C232" s="6"/>
      <c r="D232" s="6"/>
      <c r="E232" s="6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Tabela131617[[#This Row],[Valor_recibo]]</f>
        <v>0</v>
      </c>
      <c r="O232" s="16"/>
      <c r="P232" s="1" t="e">
        <f>VLOOKUP(Tabela131617[[#This Row],[DT]],Aprovados!A:A,1,0)</f>
        <v>#N/A</v>
      </c>
      <c r="R232" s="16"/>
      <c r="S232" s="1" t="s">
        <v>315</v>
      </c>
      <c r="T232" s="9"/>
      <c r="U232" s="1" t="s">
        <v>315</v>
      </c>
      <c r="W232" s="232"/>
      <c r="X232" s="304"/>
    </row>
    <row r="233" spans="1:24" ht="15.75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Tabela131617[[#This Row],[Valor_recibo]]</f>
        <v>0</v>
      </c>
      <c r="O233" s="16"/>
      <c r="P233" s="1" t="e">
        <f>VLOOKUP(Tabela131617[[#This Row],[DT]],Aprovados!A:A,1,0)</f>
        <v>#N/A</v>
      </c>
      <c r="R233" s="16"/>
      <c r="S233" s="1" t="s">
        <v>315</v>
      </c>
      <c r="T233" s="9"/>
      <c r="U233" s="1" t="s">
        <v>315</v>
      </c>
      <c r="W233" s="232"/>
      <c r="X233" s="304"/>
    </row>
    <row r="234" spans="1:24" ht="15.75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315</v>
      </c>
      <c r="L234" s="1" t="s">
        <v>315</v>
      </c>
      <c r="M234" s="9"/>
      <c r="N234" s="14">
        <f>Tabela131617[[#This Row],[Valor_recibo]]</f>
        <v>0</v>
      </c>
      <c r="O234" s="16"/>
      <c r="P234" s="1" t="e">
        <f>VLOOKUP(Tabela131617[[#This Row],[DT]],Aprovados!A:A,1,0)</f>
        <v>#N/A</v>
      </c>
      <c r="R234" s="16"/>
      <c r="S234" s="1" t="s">
        <v>315</v>
      </c>
      <c r="T234" s="9"/>
      <c r="U234" s="1" t="s">
        <v>315</v>
      </c>
      <c r="W234" s="232"/>
      <c r="X234" s="304"/>
    </row>
    <row r="235" spans="1:24" ht="15.75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Tabela131617[[#This Row],[Valor_recibo]]</f>
        <v>0</v>
      </c>
      <c r="O235" s="16"/>
      <c r="P235" s="1" t="e">
        <f>VLOOKUP(Tabela131617[[#This Row],[DT]],Aprovados!A:A,1,0)</f>
        <v>#N/A</v>
      </c>
      <c r="R235" s="16"/>
      <c r="S235" s="1" t="s">
        <v>315</v>
      </c>
      <c r="T235" s="9"/>
      <c r="U235" s="1" t="s">
        <v>315</v>
      </c>
      <c r="W235" s="232"/>
      <c r="X235" s="304"/>
    </row>
    <row r="236" spans="1:24" ht="15.75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Tabela131617[[#This Row],[Valor_recibo]]</f>
        <v>0</v>
      </c>
      <c r="O236" s="16"/>
      <c r="P236" s="1" t="e">
        <f>VLOOKUP(Tabela131617[[#This Row],[DT]],Aprovados!A:A,1,0)</f>
        <v>#N/A</v>
      </c>
      <c r="R236" s="16"/>
      <c r="S236" s="1" t="s">
        <v>315</v>
      </c>
      <c r="T236" s="9"/>
      <c r="U236" s="1" t="s">
        <v>315</v>
      </c>
      <c r="W236" s="232"/>
      <c r="X236" s="304"/>
    </row>
    <row r="237" spans="1:24" ht="15.75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Tabela131617[[#This Row],[Valor_recibo]]</f>
        <v>0</v>
      </c>
      <c r="O237" s="16"/>
      <c r="P237" s="1" t="e">
        <f>VLOOKUP(Tabela131617[[#This Row],[DT]],Aprovados!A:A,1,0)</f>
        <v>#N/A</v>
      </c>
      <c r="R237" s="16"/>
      <c r="S237" s="1" t="s">
        <v>315</v>
      </c>
      <c r="T237" s="9"/>
      <c r="U237" s="1" t="s">
        <v>315</v>
      </c>
      <c r="W237" s="232"/>
      <c r="X237" s="304"/>
    </row>
    <row r="238" spans="1:24" ht="15.75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Tabela131617[[#This Row],[Valor_recibo]]</f>
        <v>0</v>
      </c>
      <c r="O238" s="16"/>
      <c r="P238" s="1" t="e">
        <f>VLOOKUP(Tabela131617[[#This Row],[DT]],Aprovados!A:A,1,0)</f>
        <v>#N/A</v>
      </c>
      <c r="R238" s="16"/>
      <c r="S238" s="1" t="s">
        <v>315</v>
      </c>
      <c r="T238" s="9"/>
      <c r="U238" s="1" t="s">
        <v>315</v>
      </c>
      <c r="W238" s="232"/>
      <c r="X238" s="304"/>
    </row>
    <row r="239" spans="1:24" ht="15.75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Tabela131617[[#This Row],[Valor_recibo]]</f>
        <v>0</v>
      </c>
      <c r="O239" s="16"/>
      <c r="P239" s="1" t="e">
        <f>VLOOKUP(Tabela131617[[#This Row],[DT]],Aprovados!A:A,1,0)</f>
        <v>#N/A</v>
      </c>
      <c r="R239" s="16"/>
      <c r="S239" s="1" t="s">
        <v>315</v>
      </c>
      <c r="T239" s="9"/>
      <c r="U239" s="1" t="s">
        <v>315</v>
      </c>
      <c r="W239" s="232"/>
      <c r="X239" s="304"/>
    </row>
    <row r="240" spans="1:24" ht="15.75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315</v>
      </c>
      <c r="L240" s="1" t="s">
        <v>315</v>
      </c>
      <c r="M240" s="9"/>
      <c r="N240" s="14">
        <f>Tabela131617[[#This Row],[Valor_recibo]]</f>
        <v>0</v>
      </c>
      <c r="O240" s="16"/>
      <c r="P240" s="1" t="e">
        <f>VLOOKUP(Tabela131617[[#This Row],[DT]],Aprovados!A:A,1,0)</f>
        <v>#N/A</v>
      </c>
      <c r="R240" s="16"/>
      <c r="S240" s="1" t="s">
        <v>315</v>
      </c>
      <c r="T240" s="9"/>
      <c r="U240" s="1" t="s">
        <v>315</v>
      </c>
      <c r="W240" s="232"/>
      <c r="X240" s="304"/>
    </row>
    <row r="241" spans="1:24" ht="15.75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Tabela131617[[#This Row],[Valor_recibo]]</f>
        <v>0</v>
      </c>
      <c r="O241" s="16"/>
      <c r="P241" s="1" t="e">
        <f>VLOOKUP(Tabela131617[[#This Row],[DT]],Aprovados!A:A,1,0)</f>
        <v>#N/A</v>
      </c>
      <c r="R241" s="16"/>
      <c r="S241" s="1" t="s">
        <v>315</v>
      </c>
      <c r="T241" s="9"/>
      <c r="U241" s="1" t="s">
        <v>315</v>
      </c>
      <c r="W241" s="232"/>
      <c r="X241" s="304"/>
    </row>
    <row r="242" spans="1:24" ht="15.75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Tabela131617[[#This Row],[Valor_recibo]]</f>
        <v>0</v>
      </c>
      <c r="O242" s="16"/>
      <c r="P242" s="1" t="e">
        <f>VLOOKUP(Tabela131617[[#This Row],[DT]],Aprovados!A:A,1,0)</f>
        <v>#N/A</v>
      </c>
      <c r="R242" s="16"/>
      <c r="S242" s="1" t="s">
        <v>315</v>
      </c>
      <c r="T242" s="9"/>
      <c r="U242" s="1" t="s">
        <v>315</v>
      </c>
      <c r="W242" s="232"/>
      <c r="X242" s="304"/>
    </row>
    <row r="243" spans="1:24" ht="15.75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315</v>
      </c>
      <c r="L243" s="1" t="s">
        <v>315</v>
      </c>
      <c r="M243" s="9"/>
      <c r="N243" s="14">
        <f>Tabela131617[[#This Row],[Valor_recibo]]</f>
        <v>0</v>
      </c>
      <c r="O243" s="16"/>
      <c r="P243" s="1" t="e">
        <f>VLOOKUP(Tabela131617[[#This Row],[DT]],Aprovados!A:A,1,0)</f>
        <v>#N/A</v>
      </c>
      <c r="R243" s="16"/>
      <c r="S243" s="1" t="s">
        <v>315</v>
      </c>
      <c r="T243" s="9"/>
      <c r="U243" s="1" t="s">
        <v>315</v>
      </c>
      <c r="W243" s="232"/>
      <c r="X243" s="304"/>
    </row>
    <row r="244" spans="1:24" ht="15.75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Tabela131617[[#This Row],[Valor_recibo]]</f>
        <v>0</v>
      </c>
      <c r="O244" s="16"/>
      <c r="P244" s="1" t="e">
        <f>VLOOKUP(Tabela131617[[#This Row],[DT]],Aprovados!A:A,1,0)</f>
        <v>#N/A</v>
      </c>
      <c r="R244" s="16"/>
      <c r="S244" s="1" t="s">
        <v>315</v>
      </c>
      <c r="T244" s="9"/>
      <c r="U244" s="1" t="s">
        <v>315</v>
      </c>
      <c r="W244" s="232"/>
      <c r="X244" s="304"/>
    </row>
    <row r="245" spans="1:24" ht="15.75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315</v>
      </c>
      <c r="L245" s="1" t="s">
        <v>315</v>
      </c>
      <c r="M245" s="9"/>
      <c r="N245" s="14">
        <f>Tabela131617[[#This Row],[Valor_recibo]]</f>
        <v>0</v>
      </c>
      <c r="O245" s="16"/>
      <c r="P245" s="1" t="e">
        <f>VLOOKUP(Tabela131617[[#This Row],[DT]],Aprovados!A:A,1,0)</f>
        <v>#N/A</v>
      </c>
      <c r="R245" s="16"/>
      <c r="S245" s="16"/>
      <c r="T245" s="9"/>
      <c r="U245" s="1" t="s">
        <v>315</v>
      </c>
      <c r="W245" s="232"/>
      <c r="X245" s="304"/>
    </row>
    <row r="246" spans="1:24" ht="15.75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315</v>
      </c>
      <c r="L246" s="1" t="s">
        <v>315</v>
      </c>
      <c r="M246" s="9"/>
      <c r="N246" s="14">
        <f>Tabela131617[[#This Row],[Valor_recibo]]</f>
        <v>0</v>
      </c>
      <c r="O246" s="16"/>
      <c r="P246" s="1" t="e">
        <f>VLOOKUP(Tabela131617[[#This Row],[DT]],Aprovados!A:A,1,0)</f>
        <v>#N/A</v>
      </c>
      <c r="R246" s="16"/>
      <c r="S246" s="16"/>
      <c r="T246" s="9"/>
      <c r="U246" s="1" t="s">
        <v>315</v>
      </c>
      <c r="W246" s="232"/>
      <c r="X246" s="304"/>
    </row>
    <row r="247" spans="1:24" ht="15.75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315</v>
      </c>
      <c r="L247" s="1" t="s">
        <v>315</v>
      </c>
      <c r="M247" s="9"/>
      <c r="N247" s="14">
        <f>Tabela131617[[#This Row],[Valor_recibo]]</f>
        <v>0</v>
      </c>
      <c r="O247" s="16"/>
      <c r="P247" s="1" t="e">
        <f>VLOOKUP(Tabela131617[[#This Row],[DT]],Aprovados!A:A,1,0)</f>
        <v>#N/A</v>
      </c>
      <c r="R247" s="16"/>
      <c r="S247" s="16"/>
      <c r="T247" s="9"/>
      <c r="U247" s="1" t="s">
        <v>315</v>
      </c>
      <c r="W247" s="232"/>
      <c r="X247" s="304"/>
    </row>
    <row r="248" spans="1:24" ht="15.75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Tabela131617[[#This Row],[Valor_recibo]]</f>
        <v>0</v>
      </c>
      <c r="O248" s="16"/>
      <c r="P248" s="1" t="e">
        <f>VLOOKUP(Tabela131617[[#This Row],[DT]],Aprovados!A:A,1,0)</f>
        <v>#N/A</v>
      </c>
      <c r="R248" s="16"/>
      <c r="S248" s="16"/>
      <c r="T248" s="9"/>
      <c r="U248" s="1" t="s">
        <v>315</v>
      </c>
      <c r="W248" s="232"/>
      <c r="X248" s="304"/>
    </row>
    <row r="249" spans="1:24" ht="15.75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Tabela131617[[#This Row],[Valor_recibo]]</f>
        <v>0</v>
      </c>
      <c r="O249" s="16"/>
      <c r="P249" s="1" t="e">
        <f>VLOOKUP(Tabela131617[[#This Row],[DT]],Aprovados!A:A,1,0)</f>
        <v>#N/A</v>
      </c>
      <c r="R249" s="16"/>
      <c r="S249" s="16"/>
      <c r="T249" s="9"/>
      <c r="U249" s="1" t="s">
        <v>315</v>
      </c>
      <c r="W249" s="232"/>
      <c r="X249" s="304"/>
    </row>
    <row r="250" spans="1:24" ht="15.75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Tabela131617[[#This Row],[Valor_recibo]]</f>
        <v>0</v>
      </c>
      <c r="O250" s="16"/>
      <c r="P250" s="1" t="e">
        <f>VLOOKUP(Tabela131617[[#This Row],[DT]],Aprovados!A:A,1,0)</f>
        <v>#N/A</v>
      </c>
      <c r="R250" s="16"/>
      <c r="S250" s="16"/>
      <c r="T250" s="9"/>
      <c r="U250" s="1" t="s">
        <v>315</v>
      </c>
      <c r="W250" s="232"/>
      <c r="X250" s="304"/>
    </row>
    <row r="251" spans="1:24" ht="15.75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Tabela131617[[#This Row],[Valor_recibo]]</f>
        <v>0</v>
      </c>
      <c r="O251" s="16"/>
      <c r="P251" s="1" t="e">
        <f>VLOOKUP(Tabela131617[[#This Row],[DT]],Aprovados!A:A,1,0)</f>
        <v>#N/A</v>
      </c>
      <c r="R251" s="16"/>
      <c r="S251" s="16"/>
      <c r="T251" s="9"/>
      <c r="U251" s="1" t="s">
        <v>315</v>
      </c>
      <c r="W251" s="232"/>
      <c r="X251" s="304"/>
    </row>
    <row r="252" spans="1:24" ht="15.75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205" t="s">
        <v>315</v>
      </c>
      <c r="L252" s="1" t="s">
        <v>315</v>
      </c>
      <c r="M252" s="9"/>
      <c r="N252" s="14">
        <f>Tabela131617[[#This Row],[Valor_recibo]]</f>
        <v>0</v>
      </c>
      <c r="O252" s="16"/>
      <c r="P252" s="1" t="e">
        <f>VLOOKUP(Tabela131617[[#This Row],[DT]],Aprovados!A:A,1,0)</f>
        <v>#N/A</v>
      </c>
      <c r="R252" s="16"/>
      <c r="S252" s="16"/>
      <c r="T252" s="9"/>
      <c r="U252" s="1" t="s">
        <v>315</v>
      </c>
      <c r="W252" s="232"/>
      <c r="X252" s="304"/>
    </row>
    <row r="253" spans="1:24" ht="15.75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205" t="s">
        <v>315</v>
      </c>
      <c r="L253" s="1" t="s">
        <v>315</v>
      </c>
      <c r="M253" s="9"/>
      <c r="N253" s="14">
        <f>Tabela131617[[#This Row],[Valor_recibo]]</f>
        <v>0</v>
      </c>
      <c r="O253" s="16"/>
      <c r="P253" s="1" t="e">
        <f>VLOOKUP(Tabela131617[[#This Row],[DT]],Aprovados!A:A,1,0)</f>
        <v>#N/A</v>
      </c>
      <c r="R253" s="16"/>
      <c r="S253" s="16"/>
      <c r="T253" s="9"/>
      <c r="U253" s="1" t="s">
        <v>315</v>
      </c>
      <c r="W253" s="232"/>
      <c r="X253" s="304"/>
    </row>
    <row r="254" spans="1:24" ht="15.75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205" t="s">
        <v>315</v>
      </c>
      <c r="L254" s="1" t="s">
        <v>315</v>
      </c>
      <c r="M254" s="9"/>
      <c r="N254" s="14">
        <f>Tabela131617[[#This Row],[Valor_recibo]]</f>
        <v>0</v>
      </c>
      <c r="O254" s="16"/>
      <c r="P254" s="1" t="e">
        <f>VLOOKUP(Tabela131617[[#This Row],[DT]],Aprovados!A:A,1,0)</f>
        <v>#N/A</v>
      </c>
      <c r="R254" s="16"/>
      <c r="S254" s="16"/>
      <c r="T254" s="9"/>
      <c r="U254" s="1" t="s">
        <v>315</v>
      </c>
      <c r="W254" s="232"/>
      <c r="X254" s="304"/>
    </row>
    <row r="255" spans="1:24" ht="15.75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205" t="s">
        <v>315</v>
      </c>
      <c r="L255" s="1" t="s">
        <v>315</v>
      </c>
      <c r="M255" s="9"/>
      <c r="N255" s="14">
        <f>Tabela131617[[#This Row],[Valor_recibo]]</f>
        <v>0</v>
      </c>
      <c r="O255" s="16"/>
      <c r="P255" s="1" t="e">
        <f>VLOOKUP(Tabela131617[[#This Row],[DT]],Aprovados!A:A,1,0)</f>
        <v>#N/A</v>
      </c>
      <c r="R255" s="16"/>
      <c r="S255" s="16"/>
      <c r="T255" s="9"/>
      <c r="U255" s="1" t="s">
        <v>315</v>
      </c>
      <c r="W255" s="232"/>
      <c r="X255" s="304"/>
    </row>
    <row r="256" spans="1:24" ht="15.75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205" t="s">
        <v>315</v>
      </c>
      <c r="L256" s="1" t="s">
        <v>315</v>
      </c>
      <c r="M256" s="9"/>
      <c r="N256" s="14">
        <f>Tabela131617[[#This Row],[Valor_recibo]]</f>
        <v>0</v>
      </c>
      <c r="O256" s="16"/>
      <c r="P256" s="1" t="e">
        <f>VLOOKUP(Tabela131617[[#This Row],[DT]],Aprovados!A:A,1,0)</f>
        <v>#N/A</v>
      </c>
      <c r="R256" s="16"/>
      <c r="S256" s="16"/>
      <c r="T256" s="9"/>
      <c r="U256" s="1" t="s">
        <v>315</v>
      </c>
      <c r="W256" s="232"/>
      <c r="X256" s="304"/>
    </row>
    <row r="257" spans="1:24" ht="15.75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205" t="s">
        <v>315</v>
      </c>
      <c r="L257" s="1" t="s">
        <v>315</v>
      </c>
      <c r="M257" s="9"/>
      <c r="N257" s="14">
        <f>Tabela131617[[#This Row],[Valor_recibo]]</f>
        <v>0</v>
      </c>
      <c r="O257" s="16"/>
      <c r="P257" s="1" t="e">
        <f>VLOOKUP(Tabela131617[[#This Row],[DT]],Aprovados!A:A,1,0)</f>
        <v>#N/A</v>
      </c>
      <c r="R257" s="16"/>
      <c r="S257" s="16"/>
      <c r="T257" s="9"/>
      <c r="U257" s="1" t="s">
        <v>315</v>
      </c>
      <c r="W257" s="232"/>
      <c r="X257" s="304"/>
    </row>
    <row r="258" spans="1:24" ht="15.75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205" t="s">
        <v>315</v>
      </c>
      <c r="L258" s="1" t="s">
        <v>315</v>
      </c>
      <c r="M258" s="9"/>
      <c r="N258" s="14">
        <f>Tabela131617[[#This Row],[Valor_recibo]]</f>
        <v>0</v>
      </c>
      <c r="O258" s="16"/>
      <c r="P258" s="1" t="e">
        <f>VLOOKUP(Tabela131617[[#This Row],[DT]],Aprovados!A:A,1,0)</f>
        <v>#N/A</v>
      </c>
      <c r="R258" s="16"/>
      <c r="S258" s="16"/>
      <c r="T258" s="9"/>
      <c r="U258" s="1" t="s">
        <v>315</v>
      </c>
      <c r="W258" s="232"/>
      <c r="X258" s="304"/>
    </row>
    <row r="259" spans="1:24" ht="15.75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205" t="s">
        <v>315</v>
      </c>
      <c r="L259" s="1" t="s">
        <v>315</v>
      </c>
      <c r="M259" s="9"/>
      <c r="N259" s="14">
        <f>Tabela131617[[#This Row],[Valor_recibo]]</f>
        <v>0</v>
      </c>
      <c r="O259" s="16"/>
      <c r="P259" s="1" t="e">
        <f>VLOOKUP(Tabela131617[[#This Row],[DT]],Aprovados!A:A,1,0)</f>
        <v>#N/A</v>
      </c>
      <c r="R259" s="16"/>
      <c r="S259" s="16"/>
      <c r="T259" s="9"/>
      <c r="U259" s="1" t="s">
        <v>315</v>
      </c>
      <c r="W259" s="232"/>
      <c r="X259" s="304"/>
    </row>
    <row r="260" spans="1:24" ht="15.75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205" t="s">
        <v>315</v>
      </c>
      <c r="L260" s="1" t="s">
        <v>315</v>
      </c>
      <c r="M260" s="9"/>
      <c r="N260" s="14">
        <f>Tabela131617[[#This Row],[Valor_recibo]]</f>
        <v>0</v>
      </c>
      <c r="O260" s="16"/>
      <c r="P260" s="1" t="e">
        <f>VLOOKUP(Tabela131617[[#This Row],[DT]],Aprovados!A:A,1,0)</f>
        <v>#N/A</v>
      </c>
      <c r="R260" s="16"/>
      <c r="S260" s="16"/>
      <c r="T260" s="9"/>
      <c r="U260" s="1" t="s">
        <v>315</v>
      </c>
      <c r="W260" s="232"/>
      <c r="X260" s="304"/>
    </row>
    <row r="261" spans="1:24" ht="15.75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205" t="s">
        <v>315</v>
      </c>
      <c r="L261" s="1" t="s">
        <v>315</v>
      </c>
      <c r="M261" s="9"/>
      <c r="N261" s="14">
        <f>Tabela131617[[#This Row],[Valor_recibo]]</f>
        <v>0</v>
      </c>
      <c r="O261" s="16"/>
      <c r="P261" s="1" t="e">
        <f>VLOOKUP(Tabela131617[[#This Row],[DT]],Aprovados!A:A,1,0)</f>
        <v>#N/A</v>
      </c>
      <c r="R261" s="16"/>
      <c r="S261" s="16"/>
      <c r="T261" s="9"/>
      <c r="U261" s="1" t="s">
        <v>315</v>
      </c>
      <c r="W261" s="232"/>
      <c r="X261" s="304"/>
    </row>
    <row r="262" spans="1:24" ht="15.75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205" t="s">
        <v>315</v>
      </c>
      <c r="L262" s="1" t="s">
        <v>315</v>
      </c>
      <c r="M262" s="9"/>
      <c r="N262" s="14">
        <f>Tabela131617[[#This Row],[Valor_recibo]]</f>
        <v>0</v>
      </c>
      <c r="O262" s="16"/>
      <c r="P262" s="1" t="e">
        <f>VLOOKUP(Tabela131617[[#This Row],[DT]],Aprovados!A:A,1,0)</f>
        <v>#N/A</v>
      </c>
      <c r="R262" s="16"/>
      <c r="S262" s="16"/>
      <c r="T262" s="9"/>
      <c r="U262" s="1" t="s">
        <v>315</v>
      </c>
      <c r="W262" s="232"/>
      <c r="X262" s="304"/>
    </row>
    <row r="263" spans="1:24" ht="15.75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205" t="s">
        <v>315</v>
      </c>
      <c r="L263" s="1" t="s">
        <v>315</v>
      </c>
      <c r="M263" s="9"/>
      <c r="N263" s="14">
        <f>Tabela131617[[#This Row],[Valor_recibo]]</f>
        <v>0</v>
      </c>
      <c r="O263" s="16"/>
      <c r="P263" s="1" t="e">
        <f>VLOOKUP(Tabela131617[[#This Row],[DT]],Aprovados!A:A,1,0)</f>
        <v>#N/A</v>
      </c>
      <c r="R263" s="16"/>
      <c r="S263" s="16"/>
      <c r="T263" s="9"/>
      <c r="U263" s="1" t="s">
        <v>315</v>
      </c>
      <c r="W263" s="232"/>
      <c r="X263" s="304"/>
    </row>
    <row r="264" spans="1:24" ht="15.75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205" t="s">
        <v>315</v>
      </c>
      <c r="L264" s="1" t="s">
        <v>315</v>
      </c>
      <c r="M264" s="9"/>
      <c r="N264" s="14">
        <f>Tabela131617[[#This Row],[Valor_recibo]]</f>
        <v>0</v>
      </c>
      <c r="O264" s="16"/>
      <c r="P264" s="1" t="e">
        <f>VLOOKUP(Tabela131617[[#This Row],[DT]],Aprovados!A:A,1,0)</f>
        <v>#N/A</v>
      </c>
      <c r="R264" s="16"/>
      <c r="S264" s="16"/>
      <c r="T264" s="9"/>
      <c r="U264" s="1" t="s">
        <v>315</v>
      </c>
      <c r="W264" s="232"/>
      <c r="X264" s="304"/>
    </row>
    <row r="265" spans="1:24" ht="15.75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205" t="s">
        <v>315</v>
      </c>
      <c r="L265" s="1" t="s">
        <v>315</v>
      </c>
      <c r="M265" s="9"/>
      <c r="N265" s="14">
        <f>Tabela131617[[#This Row],[Valor_recibo]]</f>
        <v>0</v>
      </c>
      <c r="O265" s="16"/>
      <c r="P265" s="1" t="e">
        <f>VLOOKUP(Tabela131617[[#This Row],[DT]],Aprovados!A:A,1,0)</f>
        <v>#N/A</v>
      </c>
      <c r="R265" s="16"/>
      <c r="S265" s="16"/>
      <c r="T265" s="9"/>
      <c r="U265" s="1" t="s">
        <v>315</v>
      </c>
      <c r="W265" s="232"/>
      <c r="X265" s="304"/>
    </row>
    <row r="266" spans="1:24" ht="15.75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205" t="s">
        <v>315</v>
      </c>
      <c r="L266" s="1" t="s">
        <v>315</v>
      </c>
      <c r="M266" s="9"/>
      <c r="N266" s="14">
        <f>Tabela131617[[#This Row],[Valor_recibo]]</f>
        <v>0</v>
      </c>
      <c r="O266" s="16"/>
      <c r="P266" s="1" t="e">
        <f>VLOOKUP(Tabela131617[[#This Row],[DT]],Aprovados!A:A,1,0)</f>
        <v>#N/A</v>
      </c>
      <c r="R266" s="16"/>
      <c r="S266" s="16"/>
      <c r="T266" s="9"/>
      <c r="U266" s="1" t="s">
        <v>315</v>
      </c>
      <c r="W266" s="232"/>
      <c r="X266" s="304"/>
    </row>
    <row r="267" spans="1:24" ht="15.75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205" t="s">
        <v>315</v>
      </c>
      <c r="L267" s="1" t="s">
        <v>315</v>
      </c>
      <c r="M267" s="9"/>
      <c r="N267" s="14">
        <f>Tabela131617[[#This Row],[Valor_recibo]]</f>
        <v>0</v>
      </c>
      <c r="O267" s="16"/>
      <c r="P267" s="1" t="e">
        <f>VLOOKUP(Tabela131617[[#This Row],[DT]],Aprovados!A:A,1,0)</f>
        <v>#N/A</v>
      </c>
      <c r="R267" s="16"/>
      <c r="S267" s="16"/>
      <c r="T267" s="9"/>
      <c r="U267" s="1" t="s">
        <v>315</v>
      </c>
      <c r="W267" s="232"/>
      <c r="X267" s="304"/>
    </row>
    <row r="268" spans="1:24" ht="15.75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205" t="s">
        <v>315</v>
      </c>
      <c r="L268" s="1" t="s">
        <v>315</v>
      </c>
      <c r="M268" s="9"/>
      <c r="N268" s="14">
        <f>Tabela131617[[#This Row],[Valor_recibo]]</f>
        <v>0</v>
      </c>
      <c r="O268" s="16"/>
      <c r="P268" s="1" t="e">
        <f>VLOOKUP(Tabela131617[[#This Row],[DT]],Aprovados!A:A,1,0)</f>
        <v>#N/A</v>
      </c>
      <c r="R268" s="16"/>
      <c r="S268" s="16"/>
      <c r="T268" s="9"/>
      <c r="U268" s="1" t="s">
        <v>315</v>
      </c>
      <c r="W268" s="232"/>
      <c r="X268" s="304"/>
    </row>
    <row r="269" spans="1:24" ht="15.75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205" t="s">
        <v>315</v>
      </c>
      <c r="L269" s="1" t="s">
        <v>315</v>
      </c>
      <c r="M269" s="9"/>
      <c r="N269" s="14">
        <f>Tabela131617[[#This Row],[Valor_recibo]]</f>
        <v>0</v>
      </c>
      <c r="O269" s="16"/>
      <c r="P269" s="1" t="e">
        <f>VLOOKUP(Tabela131617[[#This Row],[DT]],Aprovados!A:A,1,0)</f>
        <v>#N/A</v>
      </c>
      <c r="R269" s="16"/>
      <c r="S269" s="16"/>
      <c r="T269" s="9"/>
      <c r="U269" s="1" t="s">
        <v>315</v>
      </c>
      <c r="W269" s="232"/>
      <c r="X269" s="304"/>
    </row>
    <row r="270" spans="1:24" ht="15.75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205" t="s">
        <v>315</v>
      </c>
      <c r="L270" s="1" t="s">
        <v>315</v>
      </c>
      <c r="M270" s="9"/>
      <c r="N270" s="14">
        <f>Tabela131617[[#This Row],[Valor_recibo]]</f>
        <v>0</v>
      </c>
      <c r="O270" s="16"/>
      <c r="P270" s="1" t="e">
        <f>VLOOKUP(Tabela131617[[#This Row],[DT]],Aprovados!A:A,1,0)</f>
        <v>#N/A</v>
      </c>
      <c r="R270" s="16"/>
      <c r="S270" s="16"/>
      <c r="T270" s="9"/>
      <c r="U270" s="1" t="s">
        <v>315</v>
      </c>
      <c r="W270" s="232"/>
      <c r="X270" s="304"/>
    </row>
    <row r="271" spans="1:24" ht="15.75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205" t="s">
        <v>315</v>
      </c>
      <c r="L271" s="1" t="s">
        <v>315</v>
      </c>
      <c r="M271" s="9"/>
      <c r="N271" s="14">
        <f>Tabela131617[[#This Row],[Valor_recibo]]</f>
        <v>0</v>
      </c>
      <c r="O271" s="16"/>
      <c r="P271" s="1" t="e">
        <f>VLOOKUP(Tabela131617[[#This Row],[DT]],Aprovados!A:A,1,0)</f>
        <v>#N/A</v>
      </c>
      <c r="R271" s="16"/>
      <c r="S271" s="16"/>
      <c r="T271" s="9"/>
      <c r="U271" s="1" t="s">
        <v>315</v>
      </c>
      <c r="W271" s="232"/>
      <c r="X271" s="304"/>
    </row>
    <row r="272" spans="1:24" ht="15.75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205" t="s">
        <v>315</v>
      </c>
      <c r="L272" s="1" t="s">
        <v>315</v>
      </c>
      <c r="M272" s="9"/>
      <c r="N272" s="14">
        <f>Tabela131617[[#This Row],[Valor_recibo]]</f>
        <v>0</v>
      </c>
      <c r="O272" s="16"/>
      <c r="P272" s="1" t="e">
        <f>VLOOKUP(Tabela131617[[#This Row],[DT]],Aprovados!A:A,1,0)</f>
        <v>#N/A</v>
      </c>
      <c r="R272" s="16"/>
      <c r="S272" s="16"/>
      <c r="T272" s="9"/>
      <c r="U272" s="1" t="s">
        <v>315</v>
      </c>
      <c r="W272" s="232"/>
      <c r="X272" s="304"/>
    </row>
    <row r="273" spans="1:24" ht="15.75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205" t="s">
        <v>315</v>
      </c>
      <c r="L273" s="1" t="s">
        <v>315</v>
      </c>
      <c r="M273" s="9"/>
      <c r="N273" s="14">
        <f>Tabela131617[[#This Row],[Valor_recibo]]</f>
        <v>0</v>
      </c>
      <c r="O273" s="16"/>
      <c r="P273" s="1" t="e">
        <f>VLOOKUP(Tabela131617[[#This Row],[DT]],Aprovados!A:A,1,0)</f>
        <v>#N/A</v>
      </c>
      <c r="R273" s="16"/>
      <c r="S273" s="16"/>
      <c r="T273" s="9"/>
      <c r="U273" s="1" t="s">
        <v>315</v>
      </c>
      <c r="W273" s="232"/>
      <c r="X273" s="304"/>
    </row>
    <row r="274" spans="1:24" ht="15.75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205" t="s">
        <v>315</v>
      </c>
      <c r="L274" s="1" t="s">
        <v>315</v>
      </c>
      <c r="M274" s="9"/>
      <c r="N274" s="14">
        <f>Tabela131617[[#This Row],[Valor_recibo]]</f>
        <v>0</v>
      </c>
      <c r="O274" s="16"/>
      <c r="P274" s="1" t="e">
        <f>VLOOKUP(Tabela131617[[#This Row],[DT]],Aprovados!A:A,1,0)</f>
        <v>#N/A</v>
      </c>
      <c r="R274" s="16"/>
      <c r="S274" s="16"/>
      <c r="T274" s="9"/>
      <c r="U274" s="1" t="s">
        <v>315</v>
      </c>
      <c r="W274" s="232"/>
      <c r="X274" s="304"/>
    </row>
    <row r="275" spans="1:24" ht="15.75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205" t="s">
        <v>315</v>
      </c>
      <c r="L275" s="1" t="s">
        <v>315</v>
      </c>
      <c r="M275" s="9"/>
      <c r="N275" s="14">
        <f>Tabela131617[[#This Row],[Valor_recibo]]</f>
        <v>0</v>
      </c>
      <c r="O275" s="16"/>
      <c r="P275" s="1" t="e">
        <f>VLOOKUP(Tabela131617[[#This Row],[DT]],Aprovados!A:A,1,0)</f>
        <v>#N/A</v>
      </c>
      <c r="R275" s="16"/>
      <c r="S275" s="16"/>
      <c r="T275" s="9"/>
      <c r="U275" s="1" t="s">
        <v>315</v>
      </c>
      <c r="W275" s="232"/>
      <c r="X275" s="304"/>
    </row>
    <row r="276" spans="1:24" ht="15.75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205" t="s">
        <v>315</v>
      </c>
      <c r="L276" s="1" t="s">
        <v>315</v>
      </c>
      <c r="M276" s="9"/>
      <c r="N276" s="14">
        <f>Tabela131617[[#This Row],[Valor_recibo]]</f>
        <v>0</v>
      </c>
      <c r="O276" s="16"/>
      <c r="P276" s="1" t="e">
        <f>VLOOKUP(Tabela131617[[#This Row],[DT]],Aprovados!A:A,1,0)</f>
        <v>#N/A</v>
      </c>
      <c r="R276" s="16"/>
      <c r="S276" s="16"/>
      <c r="T276" s="9"/>
      <c r="U276" s="1" t="s">
        <v>315</v>
      </c>
      <c r="W276" s="232"/>
      <c r="X276" s="304"/>
    </row>
    <row r="277" spans="1:24" ht="15.75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205" t="s">
        <v>315</v>
      </c>
      <c r="L277" s="1" t="s">
        <v>315</v>
      </c>
      <c r="M277" s="9"/>
      <c r="N277" s="14">
        <f>Tabela131617[[#This Row],[Valor_recibo]]</f>
        <v>0</v>
      </c>
      <c r="O277" s="16"/>
      <c r="P277" s="1" t="e">
        <f>VLOOKUP(Tabela131617[[#This Row],[DT]],Aprovados!A:A,1,0)</f>
        <v>#N/A</v>
      </c>
      <c r="R277" s="16"/>
      <c r="S277" s="16"/>
      <c r="T277" s="9"/>
      <c r="U277" s="1" t="s">
        <v>315</v>
      </c>
      <c r="W277" s="232"/>
      <c r="X277" s="304"/>
    </row>
    <row r="278" spans="1:24" ht="15.75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205" t="s">
        <v>315</v>
      </c>
      <c r="L278" s="1" t="s">
        <v>315</v>
      </c>
      <c r="M278" s="9"/>
      <c r="N278" s="14">
        <f>Tabela131617[[#This Row],[Valor_recibo]]</f>
        <v>0</v>
      </c>
      <c r="O278" s="16"/>
      <c r="P278" s="1" t="e">
        <f>VLOOKUP(Tabela131617[[#This Row],[DT]],Aprovados!A:A,1,0)</f>
        <v>#N/A</v>
      </c>
      <c r="R278" s="16"/>
      <c r="S278" s="16"/>
      <c r="T278" s="9"/>
      <c r="U278" s="1" t="s">
        <v>315</v>
      </c>
      <c r="W278" s="232"/>
      <c r="X278" s="304"/>
    </row>
    <row r="279" spans="1:24" ht="15.75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205" t="s">
        <v>315</v>
      </c>
      <c r="L279" s="1" t="s">
        <v>315</v>
      </c>
      <c r="M279" s="9"/>
      <c r="N279" s="14">
        <f>Tabela131617[[#This Row],[Valor_recibo]]</f>
        <v>0</v>
      </c>
      <c r="O279" s="16"/>
      <c r="P279" s="1" t="e">
        <f>VLOOKUP(Tabela131617[[#This Row],[DT]],Aprovados!A:A,1,0)</f>
        <v>#N/A</v>
      </c>
      <c r="R279" s="16"/>
      <c r="S279" s="16"/>
      <c r="T279" s="9"/>
      <c r="U279" s="1" t="s">
        <v>315</v>
      </c>
      <c r="W279" s="232"/>
      <c r="X279" s="304"/>
    </row>
    <row r="280" spans="1:24" ht="15.75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205" t="s">
        <v>315</v>
      </c>
      <c r="L280" s="1" t="s">
        <v>315</v>
      </c>
      <c r="M280" s="9"/>
      <c r="N280" s="14">
        <f>Tabela131617[[#This Row],[Valor_recibo]]</f>
        <v>0</v>
      </c>
      <c r="O280" s="16"/>
      <c r="P280" s="1" t="e">
        <f>VLOOKUP(Tabela131617[[#This Row],[DT]],Aprovados!A:A,1,0)</f>
        <v>#N/A</v>
      </c>
      <c r="R280" s="16"/>
      <c r="S280" s="16"/>
      <c r="T280" s="9"/>
      <c r="U280" s="1" t="s">
        <v>315</v>
      </c>
      <c r="W280" s="232"/>
      <c r="X280" s="304"/>
    </row>
    <row r="281" spans="1:24" ht="15.75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205" t="s">
        <v>315</v>
      </c>
      <c r="L281" s="1" t="s">
        <v>315</v>
      </c>
      <c r="M281" s="9"/>
      <c r="N281" s="14">
        <f>Tabela131617[[#This Row],[Valor_recibo]]</f>
        <v>0</v>
      </c>
      <c r="O281" s="16"/>
      <c r="P281" s="1" t="e">
        <f>VLOOKUP(Tabela131617[[#This Row],[DT]],Aprovados!A:A,1,0)</f>
        <v>#N/A</v>
      </c>
      <c r="R281" s="16"/>
      <c r="S281" s="16"/>
      <c r="T281" s="9"/>
      <c r="U281" s="1" t="s">
        <v>315</v>
      </c>
      <c r="W281" s="232"/>
      <c r="X281" s="304"/>
    </row>
    <row r="282" spans="1:24" ht="15.75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205" t="s">
        <v>315</v>
      </c>
      <c r="L282" s="1" t="s">
        <v>315</v>
      </c>
      <c r="M282" s="9"/>
      <c r="N282" s="14">
        <f>Tabela131617[[#This Row],[Valor_recibo]]</f>
        <v>0</v>
      </c>
      <c r="O282" s="16"/>
      <c r="P282" s="1" t="e">
        <f>VLOOKUP(Tabela131617[[#This Row],[DT]],Aprovados!A:A,1,0)</f>
        <v>#N/A</v>
      </c>
      <c r="R282" s="16"/>
      <c r="S282" s="16"/>
      <c r="T282" s="9"/>
      <c r="U282" s="1" t="s">
        <v>315</v>
      </c>
      <c r="W282" s="232"/>
      <c r="X282" s="304"/>
    </row>
    <row r="283" spans="1:24" ht="15.75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205" t="s">
        <v>315</v>
      </c>
      <c r="L283" s="1" t="s">
        <v>315</v>
      </c>
      <c r="M283" s="9"/>
      <c r="N283" s="14">
        <f>Tabela131617[[#This Row],[Valor_recibo]]</f>
        <v>0</v>
      </c>
      <c r="O283" s="16"/>
      <c r="P283" s="1" t="e">
        <f>VLOOKUP(Tabela131617[[#This Row],[DT]],Aprovados!A:A,1,0)</f>
        <v>#N/A</v>
      </c>
      <c r="R283" s="16"/>
      <c r="S283" s="16"/>
      <c r="T283" s="9"/>
      <c r="U283" s="1" t="s">
        <v>315</v>
      </c>
      <c r="W283" s="232"/>
      <c r="X283" s="304"/>
    </row>
    <row r="284" spans="1:24" ht="15.75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205" t="s">
        <v>315</v>
      </c>
      <c r="L284" s="1" t="s">
        <v>315</v>
      </c>
      <c r="M284" s="9"/>
      <c r="N284" s="14">
        <f>Tabela131617[[#This Row],[Valor_recibo]]</f>
        <v>0</v>
      </c>
      <c r="O284" s="16"/>
      <c r="P284" s="1" t="e">
        <f>VLOOKUP(Tabela131617[[#This Row],[DT]],Aprovados!A:A,1,0)</f>
        <v>#N/A</v>
      </c>
      <c r="R284" s="16"/>
      <c r="S284" s="16"/>
      <c r="T284" s="9"/>
      <c r="U284" s="1" t="s">
        <v>315</v>
      </c>
      <c r="W284" s="232"/>
      <c r="X284" s="304"/>
    </row>
    <row r="285" spans="1:24" ht="15.75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205" t="s">
        <v>315</v>
      </c>
      <c r="L285" s="1" t="s">
        <v>315</v>
      </c>
      <c r="M285" s="9"/>
      <c r="N285" s="14">
        <f>Tabela131617[[#This Row],[Valor_recibo]]</f>
        <v>0</v>
      </c>
      <c r="O285" s="16"/>
      <c r="P285" s="1" t="e">
        <f>VLOOKUP(Tabela131617[[#This Row],[DT]],Aprovados!A:A,1,0)</f>
        <v>#N/A</v>
      </c>
      <c r="R285" s="16"/>
      <c r="S285" s="16"/>
      <c r="T285" s="9"/>
      <c r="U285" s="1" t="s">
        <v>315</v>
      </c>
      <c r="W285" s="232"/>
      <c r="X285" s="304"/>
    </row>
    <row r="286" spans="1:24" ht="15.75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205" t="s">
        <v>315</v>
      </c>
      <c r="L286" s="1" t="s">
        <v>315</v>
      </c>
      <c r="M286" s="9"/>
      <c r="N286" s="14">
        <f>Tabela131617[[#This Row],[Valor_recibo]]</f>
        <v>0</v>
      </c>
      <c r="O286" s="16"/>
      <c r="P286" s="1" t="e">
        <f>VLOOKUP(Tabela131617[[#This Row],[DT]],Aprovados!A:A,1,0)</f>
        <v>#N/A</v>
      </c>
      <c r="R286" s="16"/>
      <c r="S286" s="16"/>
      <c r="T286" s="9"/>
      <c r="U286" s="1" t="s">
        <v>315</v>
      </c>
      <c r="W286" s="232"/>
      <c r="X286" s="304"/>
    </row>
    <row r="287" spans="1:24" ht="15.75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205" t="s">
        <v>315</v>
      </c>
      <c r="L287" s="1" t="s">
        <v>315</v>
      </c>
      <c r="M287" s="9"/>
      <c r="N287" s="14">
        <f>Tabela131617[[#This Row],[Valor_recibo]]</f>
        <v>0</v>
      </c>
      <c r="O287" s="16"/>
      <c r="P287" s="1" t="e">
        <f>VLOOKUP(Tabela131617[[#This Row],[DT]],Aprovados!A:A,1,0)</f>
        <v>#N/A</v>
      </c>
      <c r="R287" s="16"/>
      <c r="S287" s="16"/>
      <c r="T287" s="9"/>
      <c r="U287" s="1" t="s">
        <v>315</v>
      </c>
      <c r="W287" s="232"/>
      <c r="X287" s="304"/>
    </row>
    <row r="288" spans="1:24" ht="15.75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205" t="s">
        <v>315</v>
      </c>
      <c r="L288" s="1" t="s">
        <v>315</v>
      </c>
      <c r="M288" s="9"/>
      <c r="N288" s="14">
        <f>Tabela131617[[#This Row],[Valor_recibo]]</f>
        <v>0</v>
      </c>
      <c r="O288" s="16"/>
      <c r="P288" s="1" t="e">
        <f>VLOOKUP(Tabela131617[[#This Row],[DT]],Aprovados!A:A,1,0)</f>
        <v>#N/A</v>
      </c>
      <c r="R288" s="16"/>
      <c r="S288" s="16"/>
      <c r="T288" s="9"/>
      <c r="U288" s="1" t="s">
        <v>315</v>
      </c>
      <c r="W288" s="232"/>
      <c r="X288" s="304"/>
    </row>
    <row r="289" spans="1:24" ht="15.75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205" t="s">
        <v>315</v>
      </c>
      <c r="L289" s="1" t="s">
        <v>315</v>
      </c>
      <c r="M289" s="9"/>
      <c r="N289" s="14">
        <f>Tabela131617[[#This Row],[Valor_recibo]]</f>
        <v>0</v>
      </c>
      <c r="O289" s="16"/>
      <c r="P289" s="1" t="e">
        <f>VLOOKUP(Tabela131617[[#This Row],[DT]],Aprovados!A:A,1,0)</f>
        <v>#N/A</v>
      </c>
      <c r="R289" s="16"/>
      <c r="S289" s="16"/>
      <c r="T289" s="9"/>
      <c r="U289" s="1" t="s">
        <v>315</v>
      </c>
      <c r="W289" s="232"/>
      <c r="X289" s="304"/>
    </row>
    <row r="290" spans="1:24" ht="15.75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205" t="s">
        <v>315</v>
      </c>
      <c r="L290" s="1" t="s">
        <v>315</v>
      </c>
      <c r="M290" s="9"/>
      <c r="N290" s="14">
        <f>Tabela131617[[#This Row],[Valor_recibo]]</f>
        <v>0</v>
      </c>
      <c r="O290" s="16"/>
      <c r="P290" s="1" t="e">
        <f>VLOOKUP(Tabela131617[[#This Row],[DT]],Aprovados!A:A,1,0)</f>
        <v>#N/A</v>
      </c>
      <c r="R290" s="16"/>
      <c r="S290" s="16"/>
      <c r="T290" s="9"/>
      <c r="U290" s="1" t="s">
        <v>315</v>
      </c>
      <c r="W290" s="232"/>
      <c r="X290" s="304"/>
    </row>
    <row r="291" spans="1:24" ht="15.75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205" t="s">
        <v>315</v>
      </c>
      <c r="L291" s="1" t="s">
        <v>315</v>
      </c>
      <c r="M291" s="9"/>
      <c r="N291" s="14">
        <f>Tabela131617[[#This Row],[Valor_recibo]]</f>
        <v>0</v>
      </c>
      <c r="O291" s="16"/>
      <c r="P291" s="1" t="e">
        <f>VLOOKUP(Tabela131617[[#This Row],[DT]],Aprovados!A:A,1,0)</f>
        <v>#N/A</v>
      </c>
      <c r="R291" s="16"/>
      <c r="S291" s="16"/>
      <c r="T291" s="9"/>
      <c r="U291" s="1" t="s">
        <v>315</v>
      </c>
      <c r="W291" s="232"/>
      <c r="X291" s="304"/>
    </row>
    <row r="292" spans="1:24" ht="15.75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205" t="s">
        <v>315</v>
      </c>
      <c r="L292" s="1" t="s">
        <v>315</v>
      </c>
      <c r="M292" s="9"/>
      <c r="N292" s="14">
        <f>Tabela131617[[#This Row],[Valor_recibo]]</f>
        <v>0</v>
      </c>
      <c r="O292" s="16"/>
      <c r="P292" s="1" t="e">
        <f>VLOOKUP(Tabela131617[[#This Row],[DT]],Aprovados!A:A,1,0)</f>
        <v>#N/A</v>
      </c>
      <c r="R292" s="16"/>
      <c r="S292" s="16"/>
      <c r="T292" s="9"/>
      <c r="U292" s="1" t="s">
        <v>315</v>
      </c>
      <c r="W292" s="232"/>
      <c r="X292" s="304"/>
    </row>
    <row r="293" spans="1:24" ht="15.75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205" t="s">
        <v>315</v>
      </c>
      <c r="L293" s="1" t="s">
        <v>315</v>
      </c>
      <c r="M293" s="9"/>
      <c r="N293" s="14">
        <f>Tabela131617[[#This Row],[Valor_recibo]]</f>
        <v>0</v>
      </c>
      <c r="O293" s="16"/>
      <c r="P293" s="1" t="e">
        <f>VLOOKUP(Tabela131617[[#This Row],[DT]],Aprovados!A:A,1,0)</f>
        <v>#N/A</v>
      </c>
      <c r="R293" s="16"/>
      <c r="S293" s="16"/>
      <c r="T293" s="9"/>
      <c r="U293" s="1" t="s">
        <v>315</v>
      </c>
      <c r="W293" s="232"/>
      <c r="X293" s="304"/>
    </row>
    <row r="294" spans="1:24" ht="15.75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205" t="s">
        <v>315</v>
      </c>
      <c r="L294" s="1" t="s">
        <v>315</v>
      </c>
      <c r="M294" s="9"/>
      <c r="N294" s="14">
        <f>Tabela131617[[#This Row],[Valor_recibo]]</f>
        <v>0</v>
      </c>
      <c r="O294" s="16"/>
      <c r="P294" s="1" t="e">
        <f>VLOOKUP(Tabela131617[[#This Row],[DT]],Aprovados!A:A,1,0)</f>
        <v>#N/A</v>
      </c>
      <c r="R294" s="16"/>
      <c r="S294" s="16"/>
      <c r="T294" s="9"/>
      <c r="U294" s="1" t="s">
        <v>315</v>
      </c>
      <c r="W294" s="232"/>
      <c r="X294" s="304"/>
    </row>
    <row r="295" spans="1:24" ht="15.75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205" t="s">
        <v>315</v>
      </c>
      <c r="L295" s="1" t="s">
        <v>315</v>
      </c>
      <c r="M295" s="9"/>
      <c r="N295" s="14">
        <f>Tabela131617[[#This Row],[Valor_recibo]]</f>
        <v>0</v>
      </c>
      <c r="O295" s="16"/>
      <c r="P295" s="1" t="e">
        <f>VLOOKUP(Tabela131617[[#This Row],[DT]],Aprovados!A:A,1,0)</f>
        <v>#N/A</v>
      </c>
      <c r="R295" s="16"/>
      <c r="S295" s="16"/>
      <c r="T295" s="9"/>
      <c r="U295" s="1" t="s">
        <v>315</v>
      </c>
      <c r="W295" s="232"/>
      <c r="X295" s="304"/>
    </row>
    <row r="296" spans="1:24" ht="15.75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205" t="s">
        <v>315</v>
      </c>
      <c r="L296" s="1" t="s">
        <v>315</v>
      </c>
      <c r="M296" s="9"/>
      <c r="N296" s="14">
        <f>Tabela131617[[#This Row],[Valor_recibo]]</f>
        <v>0</v>
      </c>
      <c r="O296" s="16"/>
      <c r="P296" s="1" t="e">
        <f>VLOOKUP(Tabela131617[[#This Row],[DT]],Aprovados!A:A,1,0)</f>
        <v>#N/A</v>
      </c>
      <c r="R296" s="16"/>
      <c r="S296" s="16"/>
      <c r="T296" s="9"/>
      <c r="U296" s="1" t="s">
        <v>315</v>
      </c>
      <c r="W296" s="232"/>
      <c r="X296" s="304"/>
    </row>
    <row r="297" spans="1:24" ht="15.75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205" t="s">
        <v>315</v>
      </c>
      <c r="L297" s="1" t="s">
        <v>315</v>
      </c>
      <c r="M297" s="9"/>
      <c r="N297" s="14">
        <f>Tabela131617[[#This Row],[Valor_recibo]]</f>
        <v>0</v>
      </c>
      <c r="O297" s="16"/>
      <c r="P297" s="1" t="e">
        <f>VLOOKUP(Tabela131617[[#This Row],[DT]],Aprovados!A:A,1,0)</f>
        <v>#N/A</v>
      </c>
      <c r="R297" s="16"/>
      <c r="S297" s="16"/>
      <c r="T297" s="9"/>
      <c r="U297" s="1" t="s">
        <v>315</v>
      </c>
      <c r="W297" s="232"/>
      <c r="X297" s="304"/>
    </row>
    <row r="298" spans="1:24" ht="15.75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205" t="s">
        <v>315</v>
      </c>
      <c r="L298" s="1" t="s">
        <v>315</v>
      </c>
      <c r="M298" s="9"/>
      <c r="N298" s="14">
        <f>Tabela131617[[#This Row],[Valor_recibo]]</f>
        <v>0</v>
      </c>
      <c r="O298" s="16"/>
      <c r="P298" s="1" t="e">
        <f>VLOOKUP(Tabela131617[[#This Row],[DT]],Aprovados!A:A,1,0)</f>
        <v>#N/A</v>
      </c>
      <c r="R298" s="16"/>
      <c r="S298" s="16"/>
      <c r="T298" s="9"/>
      <c r="U298" s="1" t="s">
        <v>315</v>
      </c>
      <c r="W298" s="232"/>
      <c r="X298" s="304"/>
    </row>
    <row r="299" spans="1:24" ht="15.75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205" t="s">
        <v>315</v>
      </c>
      <c r="L299" s="1" t="s">
        <v>315</v>
      </c>
      <c r="M299" s="9"/>
      <c r="N299" s="14">
        <f>Tabela131617[[#This Row],[Valor_recibo]]</f>
        <v>0</v>
      </c>
      <c r="O299" s="16"/>
      <c r="P299" s="1" t="e">
        <f>VLOOKUP(Tabela131617[[#This Row],[DT]],Aprovados!A:A,1,0)</f>
        <v>#N/A</v>
      </c>
      <c r="R299" s="16"/>
      <c r="S299" s="16"/>
      <c r="T299" s="9"/>
      <c r="U299" s="1" t="s">
        <v>315</v>
      </c>
      <c r="W299" s="232"/>
      <c r="X299" s="304"/>
    </row>
    <row r="300" spans="1:24" ht="15.75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205" t="s">
        <v>315</v>
      </c>
      <c r="L300" s="1" t="s">
        <v>315</v>
      </c>
      <c r="M300" s="9"/>
      <c r="N300" s="14">
        <f>Tabela131617[[#This Row],[Valor_recibo]]</f>
        <v>0</v>
      </c>
      <c r="O300" s="16"/>
      <c r="P300" s="1" t="e">
        <f>VLOOKUP(Tabela131617[[#This Row],[DT]],Aprovados!A:A,1,0)</f>
        <v>#N/A</v>
      </c>
      <c r="R300" s="16"/>
      <c r="S300" s="16"/>
      <c r="T300" s="9"/>
      <c r="U300" s="1" t="s">
        <v>315</v>
      </c>
      <c r="W300" s="232"/>
      <c r="X300" s="304"/>
    </row>
    <row r="301" spans="1:24" ht="15.75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205" t="s">
        <v>315</v>
      </c>
      <c r="L301" s="1" t="s">
        <v>315</v>
      </c>
      <c r="M301" s="9"/>
      <c r="N301" s="14">
        <f>Tabela131617[[#This Row],[Valor_recibo]]</f>
        <v>0</v>
      </c>
      <c r="O301" s="16"/>
      <c r="P301" s="1" t="e">
        <f>VLOOKUP(Tabela131617[[#This Row],[DT]],Aprovados!A:A,1,0)</f>
        <v>#N/A</v>
      </c>
      <c r="R301" s="16"/>
      <c r="S301" s="16"/>
      <c r="T301" s="9"/>
      <c r="U301" s="1" t="s">
        <v>315</v>
      </c>
      <c r="W301" s="232"/>
      <c r="X301" s="304"/>
    </row>
    <row r="302" spans="1:24" ht="15.75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205" t="s">
        <v>315</v>
      </c>
      <c r="L302" s="1" t="s">
        <v>315</v>
      </c>
      <c r="M302" s="9"/>
      <c r="N302" s="14">
        <f>Tabela131617[[#This Row],[Valor_recibo]]</f>
        <v>0</v>
      </c>
      <c r="O302" s="16"/>
      <c r="P302" s="1" t="e">
        <f>VLOOKUP(Tabela131617[[#This Row],[DT]],Aprovados!A:A,1,0)</f>
        <v>#N/A</v>
      </c>
      <c r="R302" s="16"/>
      <c r="S302" s="16"/>
      <c r="T302" s="9"/>
      <c r="U302" s="1" t="s">
        <v>315</v>
      </c>
      <c r="W302" s="232"/>
      <c r="X302" s="304"/>
    </row>
    <row r="303" spans="1:24" ht="15.75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205" t="s">
        <v>315</v>
      </c>
      <c r="L303" s="1" t="s">
        <v>315</v>
      </c>
      <c r="M303" s="9"/>
      <c r="N303" s="14">
        <f>Tabela131617[[#This Row],[Valor_recibo]]</f>
        <v>0</v>
      </c>
      <c r="O303" s="16"/>
      <c r="P303" s="1" t="e">
        <f>VLOOKUP(Tabela131617[[#This Row],[DT]],Aprovados!A:A,1,0)</f>
        <v>#N/A</v>
      </c>
      <c r="R303" s="16"/>
      <c r="S303" s="16"/>
      <c r="T303" s="9"/>
      <c r="U303" s="1" t="s">
        <v>315</v>
      </c>
      <c r="W303" s="232"/>
      <c r="X303" s="304"/>
    </row>
    <row r="304" spans="1:24" ht="15.75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205" t="s">
        <v>315</v>
      </c>
      <c r="L304" s="1" t="s">
        <v>315</v>
      </c>
      <c r="M304" s="9"/>
      <c r="N304" s="14">
        <f>Tabela131617[[#This Row],[Valor_recibo]]</f>
        <v>0</v>
      </c>
      <c r="O304" s="16"/>
      <c r="P304" s="1" t="e">
        <f>VLOOKUP(Tabela131617[[#This Row],[DT]],Aprovados!A:A,1,0)</f>
        <v>#N/A</v>
      </c>
      <c r="R304" s="16"/>
      <c r="S304" s="16"/>
      <c r="T304" s="9"/>
      <c r="U304" s="1" t="s">
        <v>315</v>
      </c>
      <c r="W304" s="232"/>
      <c r="X304" s="304"/>
    </row>
    <row r="305" spans="1:24" ht="15.75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205" t="s">
        <v>315</v>
      </c>
      <c r="L305" s="1" t="s">
        <v>315</v>
      </c>
      <c r="M305" s="9"/>
      <c r="N305" s="14">
        <f>Tabela131617[[#This Row],[Valor_recibo]]</f>
        <v>0</v>
      </c>
      <c r="O305" s="16"/>
      <c r="P305" s="1" t="e">
        <f>VLOOKUP(Tabela131617[[#This Row],[DT]],Aprovados!A:A,1,0)</f>
        <v>#N/A</v>
      </c>
      <c r="R305" s="16"/>
      <c r="S305" s="16"/>
      <c r="T305" s="9"/>
      <c r="U305" s="1" t="s">
        <v>315</v>
      </c>
      <c r="W305" s="232"/>
      <c r="X305" s="304"/>
    </row>
    <row r="306" spans="1:24" ht="15.75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205" t="s">
        <v>315</v>
      </c>
      <c r="L306" s="1" t="s">
        <v>315</v>
      </c>
      <c r="M306" s="9"/>
      <c r="N306" s="14">
        <f>Tabela131617[[#This Row],[Valor_recibo]]</f>
        <v>0</v>
      </c>
      <c r="O306" s="16"/>
      <c r="P306" s="1" t="e">
        <f>VLOOKUP(Tabela131617[[#This Row],[DT]],Aprovados!A:A,1,0)</f>
        <v>#N/A</v>
      </c>
      <c r="R306" s="16"/>
      <c r="S306" s="16"/>
      <c r="T306" s="9"/>
      <c r="U306" s="1" t="s">
        <v>315</v>
      </c>
      <c r="W306" s="232"/>
      <c r="X306" s="304"/>
    </row>
    <row r="307" spans="1:24" ht="15.75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205" t="s">
        <v>315</v>
      </c>
      <c r="L307" s="1" t="s">
        <v>315</v>
      </c>
      <c r="M307" s="9"/>
      <c r="N307" s="14">
        <f>Tabela131617[[#This Row],[Valor_recibo]]</f>
        <v>0</v>
      </c>
      <c r="O307" s="16"/>
      <c r="P307" s="1" t="e">
        <f>VLOOKUP(Tabela131617[[#This Row],[DT]],Aprovados!A:A,1,0)</f>
        <v>#N/A</v>
      </c>
      <c r="R307" s="16"/>
      <c r="S307" s="16"/>
      <c r="T307" s="9"/>
      <c r="U307" s="1" t="s">
        <v>315</v>
      </c>
      <c r="W307" s="232"/>
      <c r="X307" s="304"/>
    </row>
    <row r="308" spans="1:24" ht="15.75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205" t="s">
        <v>315</v>
      </c>
      <c r="L308" s="1" t="s">
        <v>315</v>
      </c>
      <c r="M308" s="9"/>
      <c r="N308" s="14">
        <f>Tabela131617[[#This Row],[Valor_recibo]]</f>
        <v>0</v>
      </c>
      <c r="O308" s="16"/>
      <c r="P308" s="1" t="e">
        <f>VLOOKUP(Tabela131617[[#This Row],[DT]],Aprovados!A:A,1,0)</f>
        <v>#N/A</v>
      </c>
      <c r="R308" s="16"/>
      <c r="S308" s="16"/>
      <c r="T308" s="9"/>
      <c r="U308" s="1" t="s">
        <v>315</v>
      </c>
      <c r="W308" s="232"/>
      <c r="X308" s="304"/>
    </row>
    <row r="309" spans="1:24" ht="15.75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205" t="s">
        <v>315</v>
      </c>
      <c r="L309" s="1" t="s">
        <v>315</v>
      </c>
      <c r="M309" s="9"/>
      <c r="N309" s="14">
        <f>Tabela131617[[#This Row],[Valor_recibo]]</f>
        <v>0</v>
      </c>
      <c r="O309" s="16"/>
      <c r="P309" s="1" t="e">
        <f>VLOOKUP(Tabela131617[[#This Row],[DT]],Aprovados!A:A,1,0)</f>
        <v>#N/A</v>
      </c>
      <c r="R309" s="16"/>
      <c r="S309" s="16"/>
      <c r="T309" s="9"/>
      <c r="U309" s="1" t="s">
        <v>315</v>
      </c>
      <c r="W309" s="232"/>
      <c r="X309" s="304"/>
    </row>
    <row r="310" spans="1:24" ht="15.75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205" t="s">
        <v>315</v>
      </c>
      <c r="L310" s="1" t="s">
        <v>315</v>
      </c>
      <c r="M310" s="9"/>
      <c r="N310" s="14">
        <f>Tabela131617[[#This Row],[Valor_recibo]]</f>
        <v>0</v>
      </c>
      <c r="O310" s="16"/>
      <c r="P310" s="1" t="e">
        <f>VLOOKUP(Tabela131617[[#This Row],[DT]],Aprovados!A:A,1,0)</f>
        <v>#N/A</v>
      </c>
      <c r="R310" s="16"/>
      <c r="S310" s="16"/>
      <c r="T310" s="9"/>
      <c r="U310" s="1" t="s">
        <v>315</v>
      </c>
      <c r="W310" s="232"/>
      <c r="X310" s="304"/>
    </row>
    <row r="311" spans="1:24" ht="15.75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205" t="s">
        <v>315</v>
      </c>
      <c r="L311" s="1" t="s">
        <v>315</v>
      </c>
      <c r="M311" s="9"/>
      <c r="N311" s="14">
        <f>Tabela131617[[#This Row],[Valor_recibo]]</f>
        <v>0</v>
      </c>
      <c r="O311" s="16"/>
      <c r="P311" s="1" t="e">
        <f>VLOOKUP(Tabela131617[[#This Row],[DT]],Aprovados!A:A,1,0)</f>
        <v>#N/A</v>
      </c>
      <c r="R311" s="16"/>
      <c r="S311" s="16"/>
      <c r="T311" s="9"/>
      <c r="U311" s="1" t="s">
        <v>315</v>
      </c>
      <c r="W311" s="232"/>
      <c r="X311" s="304"/>
    </row>
    <row r="312" spans="1:24" ht="15.75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205" t="s">
        <v>315</v>
      </c>
      <c r="L312" s="1" t="s">
        <v>315</v>
      </c>
      <c r="M312" s="9"/>
      <c r="N312" s="14">
        <f>Tabela131617[[#This Row],[Valor_recibo]]</f>
        <v>0</v>
      </c>
      <c r="O312" s="16"/>
      <c r="P312" s="1" t="e">
        <f>VLOOKUP(Tabela131617[[#This Row],[DT]],Aprovados!A:A,1,0)</f>
        <v>#N/A</v>
      </c>
      <c r="R312" s="16"/>
      <c r="S312" s="16"/>
      <c r="T312" s="9"/>
      <c r="U312" s="1" t="s">
        <v>315</v>
      </c>
      <c r="W312" s="232"/>
      <c r="X312" s="304"/>
    </row>
    <row r="313" spans="1:24" ht="15.75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205" t="s">
        <v>315</v>
      </c>
      <c r="L313" s="1" t="s">
        <v>315</v>
      </c>
      <c r="M313" s="9"/>
      <c r="N313" s="14">
        <f>Tabela131617[[#This Row],[Valor_recibo]]</f>
        <v>0</v>
      </c>
      <c r="O313" s="16"/>
      <c r="P313" s="1" t="e">
        <f>VLOOKUP(Tabela131617[[#This Row],[DT]],Aprovados!A:A,1,0)</f>
        <v>#N/A</v>
      </c>
      <c r="R313" s="16"/>
      <c r="S313" s="16"/>
      <c r="T313" s="9"/>
      <c r="U313" s="1" t="s">
        <v>315</v>
      </c>
      <c r="W313" s="232"/>
      <c r="X313" s="304"/>
    </row>
    <row r="314" spans="1:24" ht="15.75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205" t="s">
        <v>315</v>
      </c>
      <c r="L314" s="1" t="s">
        <v>315</v>
      </c>
      <c r="M314" s="9"/>
      <c r="N314" s="14">
        <f>Tabela131617[[#This Row],[Valor_recibo]]</f>
        <v>0</v>
      </c>
      <c r="O314" s="16"/>
      <c r="P314" s="1" t="e">
        <f>VLOOKUP(Tabela131617[[#This Row],[DT]],Aprovados!A:A,1,0)</f>
        <v>#N/A</v>
      </c>
      <c r="R314" s="16"/>
      <c r="S314" s="16"/>
      <c r="T314" s="9"/>
      <c r="U314" s="1" t="s">
        <v>315</v>
      </c>
      <c r="W314" s="232"/>
      <c r="X314" s="304"/>
    </row>
    <row r="315" spans="1:24" ht="15.75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205" t="s">
        <v>315</v>
      </c>
      <c r="L315" s="1" t="s">
        <v>315</v>
      </c>
      <c r="M315" s="9"/>
      <c r="N315" s="14">
        <f>Tabela131617[[#This Row],[Valor_recibo]]</f>
        <v>0</v>
      </c>
      <c r="O315" s="16"/>
      <c r="P315" s="1" t="e">
        <f>VLOOKUP(Tabela131617[[#This Row],[DT]],Aprovados!A:A,1,0)</f>
        <v>#N/A</v>
      </c>
      <c r="R315" s="16"/>
      <c r="S315" s="16"/>
      <c r="T315" s="9"/>
      <c r="U315" s="1" t="s">
        <v>315</v>
      </c>
      <c r="W315" s="232"/>
      <c r="X315" s="304"/>
    </row>
    <row r="316" spans="1:24" ht="15.75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205" t="s">
        <v>315</v>
      </c>
      <c r="L316" s="1" t="s">
        <v>315</v>
      </c>
      <c r="M316" s="9"/>
      <c r="N316" s="14">
        <f>Tabela131617[[#This Row],[Valor_recibo]]</f>
        <v>0</v>
      </c>
      <c r="O316" s="16"/>
      <c r="P316" s="1" t="e">
        <f>VLOOKUP(Tabela131617[[#This Row],[DT]],Aprovados!A:A,1,0)</f>
        <v>#N/A</v>
      </c>
      <c r="R316" s="16"/>
      <c r="S316" s="16"/>
      <c r="T316" s="9"/>
      <c r="U316" s="1" t="s">
        <v>315</v>
      </c>
      <c r="W316" s="232"/>
      <c r="X316" s="304"/>
    </row>
    <row r="317" spans="1:24" ht="15.75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205" t="s">
        <v>315</v>
      </c>
      <c r="L317" s="1" t="s">
        <v>315</v>
      </c>
      <c r="M317" s="9"/>
      <c r="N317" s="14">
        <f>Tabela131617[[#This Row],[Valor_recibo]]</f>
        <v>0</v>
      </c>
      <c r="O317" s="16"/>
      <c r="P317" s="1" t="e">
        <f>VLOOKUP(Tabela131617[[#This Row],[DT]],Aprovados!A:A,1,0)</f>
        <v>#N/A</v>
      </c>
      <c r="R317" s="16"/>
      <c r="S317" s="16"/>
      <c r="T317" s="9"/>
      <c r="U317" s="1" t="s">
        <v>315</v>
      </c>
      <c r="W317" s="232"/>
      <c r="X317" s="304"/>
    </row>
    <row r="318" spans="1:24" ht="15.75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205" t="s">
        <v>315</v>
      </c>
      <c r="L318" s="1" t="s">
        <v>315</v>
      </c>
      <c r="M318" s="9"/>
      <c r="N318" s="14">
        <f>Tabela131617[[#This Row],[Valor_recibo]]</f>
        <v>0</v>
      </c>
      <c r="O318" s="16"/>
      <c r="P318" s="1" t="e">
        <f>VLOOKUP(Tabela131617[[#This Row],[DT]],Aprovados!A:A,1,0)</f>
        <v>#N/A</v>
      </c>
      <c r="R318" s="16"/>
      <c r="S318" s="16"/>
      <c r="T318" s="9"/>
      <c r="U318" s="1" t="s">
        <v>315</v>
      </c>
      <c r="W318" s="232"/>
      <c r="X318" s="304"/>
    </row>
    <row r="319" spans="1:24" ht="15.75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205" t="s">
        <v>315</v>
      </c>
      <c r="L319" s="1" t="s">
        <v>315</v>
      </c>
      <c r="M319" s="9"/>
      <c r="N319" s="14">
        <f>Tabela131617[[#This Row],[Valor_recibo]]</f>
        <v>0</v>
      </c>
      <c r="O319" s="16"/>
      <c r="P319" s="1" t="e">
        <f>VLOOKUP(Tabela131617[[#This Row],[DT]],Aprovados!A:A,1,0)</f>
        <v>#N/A</v>
      </c>
      <c r="R319" s="16"/>
      <c r="S319" s="16"/>
      <c r="T319" s="9"/>
      <c r="U319" s="1" t="s">
        <v>315</v>
      </c>
      <c r="W319" s="232"/>
      <c r="X319" s="304"/>
    </row>
    <row r="320" spans="1:24" ht="15.75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205" t="s">
        <v>315</v>
      </c>
      <c r="L320" s="1" t="s">
        <v>315</v>
      </c>
      <c r="M320" s="9"/>
      <c r="N320" s="14">
        <f>Tabela131617[[#This Row],[Valor_recibo]]</f>
        <v>0</v>
      </c>
      <c r="O320" s="16"/>
      <c r="P320" s="1" t="e">
        <f>VLOOKUP(Tabela131617[[#This Row],[DT]],Aprovados!A:A,1,0)</f>
        <v>#N/A</v>
      </c>
      <c r="R320" s="16"/>
      <c r="S320" s="16"/>
      <c r="T320" s="9"/>
      <c r="U320" s="1" t="s">
        <v>315</v>
      </c>
      <c r="W320" s="232"/>
      <c r="X320" s="304"/>
    </row>
    <row r="321" spans="1:24" ht="15.75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205" t="s">
        <v>315</v>
      </c>
      <c r="L321" s="1" t="s">
        <v>315</v>
      </c>
      <c r="M321" s="9"/>
      <c r="N321" s="14">
        <f>Tabela131617[[#This Row],[Valor_recibo]]</f>
        <v>0</v>
      </c>
      <c r="O321" s="16"/>
      <c r="P321" s="1" t="e">
        <f>VLOOKUP(Tabela131617[[#This Row],[DT]],Aprovados!A:A,1,0)</f>
        <v>#N/A</v>
      </c>
      <c r="R321" s="16"/>
      <c r="S321" s="16"/>
      <c r="T321" s="9"/>
      <c r="U321" s="1" t="s">
        <v>315</v>
      </c>
      <c r="W321" s="232"/>
      <c r="X321" s="304"/>
    </row>
    <row r="322" spans="1:24" ht="15.75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205" t="s">
        <v>315</v>
      </c>
      <c r="L322" s="1" t="s">
        <v>315</v>
      </c>
      <c r="M322" s="9"/>
      <c r="N322" s="14">
        <f>Tabela131617[[#This Row],[Valor_recibo]]</f>
        <v>0</v>
      </c>
      <c r="O322" s="16"/>
      <c r="P322" s="1" t="e">
        <f>VLOOKUP(Tabela131617[[#This Row],[DT]],Aprovados!A:A,1,0)</f>
        <v>#N/A</v>
      </c>
      <c r="R322" s="16"/>
      <c r="S322" s="16"/>
      <c r="T322" s="9"/>
      <c r="U322" s="1" t="s">
        <v>315</v>
      </c>
      <c r="W322" s="232"/>
      <c r="X322" s="304"/>
    </row>
    <row r="323" spans="1:24" ht="15.75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205" t="s">
        <v>315</v>
      </c>
      <c r="L323" s="1" t="s">
        <v>315</v>
      </c>
      <c r="M323" s="9"/>
      <c r="N323" s="14">
        <f>Tabela131617[[#This Row],[Valor_recibo]]</f>
        <v>0</v>
      </c>
      <c r="O323" s="16"/>
      <c r="P323" s="1" t="e">
        <f>VLOOKUP(Tabela131617[[#This Row],[DT]],Aprovados!A:A,1,0)</f>
        <v>#N/A</v>
      </c>
      <c r="R323" s="16"/>
      <c r="S323" s="16"/>
      <c r="T323" s="9"/>
      <c r="U323" s="1" t="s">
        <v>315</v>
      </c>
      <c r="W323" s="232"/>
      <c r="X323" s="304"/>
    </row>
    <row r="324" spans="1:24" ht="15.75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205" t="s">
        <v>315</v>
      </c>
      <c r="L324" s="1" t="s">
        <v>315</v>
      </c>
      <c r="M324" s="9"/>
      <c r="N324" s="14">
        <f>Tabela131617[[#This Row],[Valor_recibo]]</f>
        <v>0</v>
      </c>
      <c r="O324" s="16"/>
      <c r="P324" s="1" t="e">
        <f>VLOOKUP(Tabela131617[[#This Row],[DT]],Aprovados!A:A,1,0)</f>
        <v>#N/A</v>
      </c>
      <c r="R324" s="16"/>
      <c r="S324" s="16"/>
      <c r="T324" s="9"/>
      <c r="U324" s="1" t="s">
        <v>315</v>
      </c>
      <c r="W324" s="232"/>
      <c r="X324" s="304"/>
    </row>
    <row r="325" spans="1:24" ht="15.75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205" t="s">
        <v>315</v>
      </c>
      <c r="L325" s="1" t="s">
        <v>315</v>
      </c>
      <c r="M325" s="9"/>
      <c r="N325" s="14">
        <f>Tabela131617[[#This Row],[Valor_recibo]]</f>
        <v>0</v>
      </c>
      <c r="O325" s="16"/>
      <c r="P325" s="1" t="e">
        <f>VLOOKUP(Tabela131617[[#This Row],[DT]],Aprovados!A:A,1,0)</f>
        <v>#N/A</v>
      </c>
      <c r="R325" s="16"/>
      <c r="S325" s="16"/>
      <c r="T325" s="9"/>
      <c r="U325" s="1" t="s">
        <v>315</v>
      </c>
      <c r="W325" s="232"/>
      <c r="X325" s="304"/>
    </row>
    <row r="326" spans="1:24" ht="15.75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205" t="s">
        <v>315</v>
      </c>
      <c r="L326" s="1" t="s">
        <v>315</v>
      </c>
      <c r="M326" s="9"/>
      <c r="N326" s="14">
        <f>Tabela131617[[#This Row],[Valor_recibo]]</f>
        <v>0</v>
      </c>
      <c r="O326" s="16"/>
      <c r="P326" s="1" t="e">
        <f>VLOOKUP(Tabela131617[[#This Row],[DT]],Aprovados!A:A,1,0)</f>
        <v>#N/A</v>
      </c>
      <c r="R326" s="16"/>
      <c r="S326" s="16"/>
      <c r="T326" s="9"/>
      <c r="U326" s="1" t="s">
        <v>315</v>
      </c>
      <c r="W326" s="232"/>
      <c r="X326" s="304"/>
    </row>
    <row r="327" spans="1:24" ht="15.75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205" t="s">
        <v>315</v>
      </c>
      <c r="L327" s="1" t="s">
        <v>315</v>
      </c>
      <c r="M327" s="9"/>
      <c r="N327" s="14">
        <f>Tabela131617[[#This Row],[Valor_recibo]]</f>
        <v>0</v>
      </c>
      <c r="O327" s="16"/>
      <c r="P327" s="1" t="e">
        <f>VLOOKUP(Tabela131617[[#This Row],[DT]],Aprovados!A:A,1,0)</f>
        <v>#N/A</v>
      </c>
      <c r="R327" s="16"/>
      <c r="S327" s="16"/>
      <c r="T327" s="9"/>
      <c r="U327" s="1" t="s">
        <v>315</v>
      </c>
      <c r="W327" s="232"/>
      <c r="X327" s="304"/>
    </row>
    <row r="328" spans="1:24" ht="15.75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205" t="s">
        <v>315</v>
      </c>
      <c r="L328" s="1" t="s">
        <v>315</v>
      </c>
      <c r="M328" s="9"/>
      <c r="N328" s="14">
        <f>Tabela131617[[#This Row],[Valor_recibo]]</f>
        <v>0</v>
      </c>
      <c r="O328" s="16"/>
      <c r="P328" s="1" t="e">
        <f>VLOOKUP(Tabela131617[[#This Row],[DT]],Aprovados!A:A,1,0)</f>
        <v>#N/A</v>
      </c>
      <c r="R328" s="16"/>
      <c r="S328" s="16"/>
      <c r="T328" s="9"/>
      <c r="U328" s="1" t="s">
        <v>315</v>
      </c>
      <c r="W328" s="232"/>
      <c r="X328" s="304"/>
    </row>
    <row r="329" spans="1:24" ht="15.75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205" t="s">
        <v>315</v>
      </c>
      <c r="L329" s="1" t="s">
        <v>315</v>
      </c>
      <c r="M329" s="9"/>
      <c r="N329" s="14">
        <f>Tabela131617[[#This Row],[Valor_recibo]]</f>
        <v>0</v>
      </c>
      <c r="O329" s="16"/>
      <c r="P329" s="1" t="e">
        <f>VLOOKUP(Tabela131617[[#This Row],[DT]],Aprovados!A:A,1,0)</f>
        <v>#N/A</v>
      </c>
      <c r="R329" s="16"/>
      <c r="S329" s="16"/>
      <c r="T329" s="9"/>
      <c r="U329" s="1" t="s">
        <v>315</v>
      </c>
      <c r="W329" s="232"/>
      <c r="X329" s="304"/>
    </row>
    <row r="330" spans="1:24" ht="15.75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205" t="s">
        <v>315</v>
      </c>
      <c r="L330" s="1" t="s">
        <v>315</v>
      </c>
      <c r="M330" s="9"/>
      <c r="N330" s="14">
        <f>Tabela131617[[#This Row],[Valor_recibo]]</f>
        <v>0</v>
      </c>
      <c r="O330" s="16"/>
      <c r="P330" s="1" t="e">
        <f>VLOOKUP(Tabela131617[[#This Row],[DT]],Aprovados!A:A,1,0)</f>
        <v>#N/A</v>
      </c>
      <c r="R330" s="16"/>
      <c r="S330" s="16"/>
      <c r="T330" s="9"/>
      <c r="U330" s="1" t="s">
        <v>315</v>
      </c>
      <c r="W330" s="232"/>
      <c r="X330" s="304"/>
    </row>
    <row r="331" spans="1:24" ht="15.75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205" t="s">
        <v>315</v>
      </c>
      <c r="L331" s="1" t="s">
        <v>315</v>
      </c>
      <c r="M331" s="9"/>
      <c r="N331" s="14">
        <f>Tabela131617[[#This Row],[Valor_recibo]]</f>
        <v>0</v>
      </c>
      <c r="O331" s="16"/>
      <c r="P331" s="1" t="e">
        <f>VLOOKUP(Tabela131617[[#This Row],[DT]],Aprovados!A:A,1,0)</f>
        <v>#N/A</v>
      </c>
      <c r="R331" s="16"/>
      <c r="S331" s="16"/>
      <c r="T331" s="9"/>
      <c r="U331" s="1" t="s">
        <v>315</v>
      </c>
      <c r="W331" s="232"/>
      <c r="X331" s="304"/>
    </row>
    <row r="332" spans="1:24" ht="15.75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205" t="s">
        <v>315</v>
      </c>
      <c r="L332" s="1" t="s">
        <v>315</v>
      </c>
      <c r="M332" s="9"/>
      <c r="N332" s="14">
        <f>Tabela131617[[#This Row],[Valor_recibo]]</f>
        <v>0</v>
      </c>
      <c r="O332" s="16"/>
      <c r="P332" s="1" t="e">
        <f>VLOOKUP(Tabela131617[[#This Row],[DT]],Aprovados!A:A,1,0)</f>
        <v>#N/A</v>
      </c>
      <c r="R332" s="16"/>
      <c r="S332" s="16"/>
      <c r="T332" s="9"/>
      <c r="U332" s="1" t="s">
        <v>315</v>
      </c>
      <c r="W332" s="232"/>
      <c r="X332" s="304"/>
    </row>
    <row r="333" spans="1:24" ht="15.75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205" t="s">
        <v>315</v>
      </c>
      <c r="L333" s="1" t="s">
        <v>315</v>
      </c>
      <c r="M333" s="9"/>
      <c r="N333" s="14">
        <f>Tabela131617[[#This Row],[Valor_recibo]]</f>
        <v>0</v>
      </c>
      <c r="O333" s="16"/>
      <c r="P333" s="1" t="e">
        <f>VLOOKUP(Tabela131617[[#This Row],[DT]],Aprovados!A:A,1,0)</f>
        <v>#N/A</v>
      </c>
      <c r="R333" s="16"/>
      <c r="S333" s="16"/>
      <c r="T333" s="9"/>
      <c r="U333" s="1" t="s">
        <v>315</v>
      </c>
      <c r="W333" s="232"/>
      <c r="X333" s="304"/>
    </row>
    <row r="334" spans="1:24" ht="15.75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205" t="s">
        <v>315</v>
      </c>
      <c r="L334" s="1" t="s">
        <v>315</v>
      </c>
      <c r="M334" s="9"/>
      <c r="N334" s="14">
        <f>Tabela131617[[#This Row],[Valor_recibo]]</f>
        <v>0</v>
      </c>
      <c r="O334" s="16"/>
      <c r="P334" s="1" t="e">
        <f>VLOOKUP(Tabela131617[[#This Row],[DT]],Aprovados!A:A,1,0)</f>
        <v>#N/A</v>
      </c>
      <c r="R334" s="16"/>
      <c r="S334" s="16"/>
      <c r="T334" s="9"/>
      <c r="U334" s="1" t="s">
        <v>315</v>
      </c>
      <c r="W334" s="232"/>
      <c r="X334" s="304"/>
    </row>
    <row r="335" spans="1:24" ht="15.75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205" t="s">
        <v>315</v>
      </c>
      <c r="L335" s="1" t="s">
        <v>315</v>
      </c>
      <c r="M335" s="9"/>
      <c r="N335" s="14">
        <f>Tabela131617[[#This Row],[Valor_recibo]]</f>
        <v>0</v>
      </c>
      <c r="O335" s="16"/>
      <c r="P335" s="1" t="e">
        <f>VLOOKUP(Tabela131617[[#This Row],[DT]],Aprovados!A:A,1,0)</f>
        <v>#N/A</v>
      </c>
      <c r="R335" s="16"/>
      <c r="S335" s="16"/>
      <c r="T335" s="9"/>
      <c r="U335" s="1" t="s">
        <v>315</v>
      </c>
      <c r="W335" s="232"/>
      <c r="X335" s="304"/>
    </row>
    <row r="336" spans="1:24" ht="15.75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205" t="s">
        <v>315</v>
      </c>
      <c r="L336" s="1" t="s">
        <v>315</v>
      </c>
      <c r="M336" s="9"/>
      <c r="N336" s="14">
        <f>Tabela131617[[#This Row],[Valor_recibo]]</f>
        <v>0</v>
      </c>
      <c r="O336" s="16"/>
      <c r="P336" s="1" t="e">
        <f>VLOOKUP(Tabela131617[[#This Row],[DT]],Aprovados!A:A,1,0)</f>
        <v>#N/A</v>
      </c>
      <c r="R336" s="16"/>
      <c r="S336" s="16"/>
      <c r="T336" s="9"/>
      <c r="U336" s="1" t="s">
        <v>315</v>
      </c>
      <c r="W336" s="232"/>
      <c r="X336" s="304"/>
    </row>
    <row r="337" spans="1:24" ht="15.75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205" t="s">
        <v>315</v>
      </c>
      <c r="L337" s="1" t="s">
        <v>315</v>
      </c>
      <c r="M337" s="9"/>
      <c r="N337" s="14">
        <f>Tabela131617[[#This Row],[Valor_recibo]]</f>
        <v>0</v>
      </c>
      <c r="O337" s="16"/>
      <c r="P337" s="1" t="e">
        <f>VLOOKUP(Tabela131617[[#This Row],[DT]],Aprovados!A:A,1,0)</f>
        <v>#N/A</v>
      </c>
      <c r="R337" s="16"/>
      <c r="S337" s="16"/>
      <c r="T337" s="9"/>
      <c r="U337" s="1" t="s">
        <v>315</v>
      </c>
      <c r="W337" s="232"/>
      <c r="X337" s="304"/>
    </row>
    <row r="338" spans="1:24" ht="15.75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205" t="s">
        <v>315</v>
      </c>
      <c r="L338" s="1" t="s">
        <v>315</v>
      </c>
      <c r="M338" s="9"/>
      <c r="N338" s="14">
        <f>Tabela131617[[#This Row],[Valor_recibo]]</f>
        <v>0</v>
      </c>
      <c r="O338" s="16"/>
      <c r="P338" s="1" t="e">
        <f>VLOOKUP(Tabela131617[[#This Row],[DT]],Aprovados!A:A,1,0)</f>
        <v>#N/A</v>
      </c>
      <c r="R338" s="16"/>
      <c r="S338" s="16"/>
      <c r="T338" s="9"/>
      <c r="U338" s="1" t="s">
        <v>315</v>
      </c>
      <c r="W338" s="232"/>
      <c r="X338" s="304"/>
    </row>
    <row r="339" spans="1:24" ht="15.75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205" t="s">
        <v>315</v>
      </c>
      <c r="L339" s="1" t="s">
        <v>315</v>
      </c>
      <c r="M339" s="9"/>
      <c r="N339" s="14">
        <f>Tabela131617[[#This Row],[Valor_recibo]]</f>
        <v>0</v>
      </c>
      <c r="O339" s="16"/>
      <c r="P339" s="1" t="e">
        <f>VLOOKUP(Tabela131617[[#This Row],[DT]],Aprovados!A:A,1,0)</f>
        <v>#N/A</v>
      </c>
      <c r="R339" s="16"/>
      <c r="S339" s="16"/>
      <c r="T339" s="9"/>
      <c r="U339" s="1" t="s">
        <v>315</v>
      </c>
      <c r="W339" s="232"/>
      <c r="X339" s="304"/>
    </row>
    <row r="340" spans="1:24" ht="15.75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205" t="s">
        <v>315</v>
      </c>
      <c r="L340" s="1" t="s">
        <v>315</v>
      </c>
      <c r="M340" s="9"/>
      <c r="N340" s="14">
        <f>Tabela131617[[#This Row],[Valor_recibo]]</f>
        <v>0</v>
      </c>
      <c r="O340" s="16"/>
      <c r="P340" s="1" t="e">
        <f>VLOOKUP(Tabela131617[[#This Row],[DT]],Aprovados!A:A,1,0)</f>
        <v>#N/A</v>
      </c>
      <c r="R340" s="16"/>
      <c r="S340" s="16"/>
      <c r="T340" s="9"/>
      <c r="U340" s="1" t="s">
        <v>315</v>
      </c>
      <c r="W340" s="232"/>
      <c r="X340" s="304"/>
    </row>
    <row r="341" spans="1:24" ht="15.75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205" t="s">
        <v>315</v>
      </c>
      <c r="L341" s="1" t="s">
        <v>315</v>
      </c>
      <c r="M341" s="9"/>
      <c r="N341" s="14">
        <f>Tabela131617[[#This Row],[Valor_recibo]]</f>
        <v>0</v>
      </c>
      <c r="O341" s="16"/>
      <c r="P341" s="1" t="e">
        <f>VLOOKUP(Tabela131617[[#This Row],[DT]],Aprovados!A:A,1,0)</f>
        <v>#N/A</v>
      </c>
      <c r="R341" s="16"/>
      <c r="S341" s="16"/>
      <c r="T341" s="9"/>
      <c r="U341" s="1" t="s">
        <v>315</v>
      </c>
      <c r="W341" s="232"/>
      <c r="X341" s="304"/>
    </row>
    <row r="342" spans="1:24" ht="15.75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205" t="s">
        <v>315</v>
      </c>
      <c r="L342" s="1" t="s">
        <v>315</v>
      </c>
      <c r="M342" s="9"/>
      <c r="N342" s="14">
        <f>Tabela131617[[#This Row],[Valor_recibo]]</f>
        <v>0</v>
      </c>
      <c r="O342" s="16"/>
      <c r="P342" s="1" t="e">
        <f>VLOOKUP(Tabela131617[[#This Row],[DT]],Aprovados!A:A,1,0)</f>
        <v>#N/A</v>
      </c>
      <c r="R342" s="16"/>
      <c r="S342" s="16"/>
      <c r="T342" s="9"/>
      <c r="U342" s="1" t="s">
        <v>315</v>
      </c>
      <c r="W342" s="232"/>
      <c r="X342" s="304"/>
    </row>
    <row r="343" spans="1:24" ht="15.75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205" t="s">
        <v>315</v>
      </c>
      <c r="L343" s="1" t="s">
        <v>315</v>
      </c>
      <c r="M343" s="9"/>
      <c r="N343" s="14">
        <f>Tabela131617[[#This Row],[Valor_recibo]]</f>
        <v>0</v>
      </c>
      <c r="O343" s="16"/>
      <c r="P343" s="1" t="e">
        <f>VLOOKUP(Tabela131617[[#This Row],[DT]],Aprovados!A:A,1,0)</f>
        <v>#N/A</v>
      </c>
      <c r="R343" s="16"/>
      <c r="S343" s="16"/>
      <c r="T343" s="9"/>
      <c r="U343" s="1" t="s">
        <v>315</v>
      </c>
      <c r="W343" s="232"/>
      <c r="X343" s="304"/>
    </row>
    <row r="344" spans="1:24" ht="15.75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205" t="s">
        <v>315</v>
      </c>
      <c r="L344" s="1" t="s">
        <v>315</v>
      </c>
      <c r="M344" s="9"/>
      <c r="N344" s="14">
        <f>Tabela131617[[#This Row],[Valor_recibo]]</f>
        <v>0</v>
      </c>
      <c r="O344" s="16"/>
      <c r="P344" s="1" t="e">
        <f>VLOOKUP(Tabela131617[[#This Row],[DT]],Aprovados!A:A,1,0)</f>
        <v>#N/A</v>
      </c>
      <c r="R344" s="16"/>
      <c r="S344" s="16"/>
      <c r="T344" s="9"/>
      <c r="U344" s="1" t="s">
        <v>315</v>
      </c>
      <c r="W344" s="232"/>
      <c r="X344" s="304"/>
    </row>
    <row r="345" spans="1:24" ht="15.75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205" t="s">
        <v>315</v>
      </c>
      <c r="L345" s="1" t="s">
        <v>315</v>
      </c>
      <c r="M345" s="9"/>
      <c r="N345" s="14">
        <f>Tabela131617[[#This Row],[Valor_recibo]]</f>
        <v>0</v>
      </c>
      <c r="O345" s="16"/>
      <c r="P345" s="1" t="e">
        <f>VLOOKUP(Tabela131617[[#This Row],[DT]],Aprovados!A:A,1,0)</f>
        <v>#N/A</v>
      </c>
      <c r="R345" s="16"/>
      <c r="S345" s="16"/>
      <c r="T345" s="9"/>
      <c r="U345" s="1" t="s">
        <v>315</v>
      </c>
      <c r="W345" s="232"/>
      <c r="X345" s="304"/>
    </row>
    <row r="346" spans="1:24" ht="15.75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205" t="s">
        <v>315</v>
      </c>
      <c r="L346" s="1" t="s">
        <v>315</v>
      </c>
      <c r="M346" s="9"/>
      <c r="N346" s="14">
        <f>Tabela131617[[#This Row],[Valor_recibo]]</f>
        <v>0</v>
      </c>
      <c r="O346" s="16"/>
      <c r="P346" s="1" t="e">
        <f>VLOOKUP(Tabela131617[[#This Row],[DT]],Aprovados!A:A,1,0)</f>
        <v>#N/A</v>
      </c>
      <c r="R346" s="16"/>
      <c r="S346" s="16"/>
      <c r="T346" s="9"/>
      <c r="U346" s="1" t="s">
        <v>315</v>
      </c>
      <c r="W346" s="232"/>
      <c r="X346" s="304"/>
    </row>
    <row r="347" spans="1:24" ht="15.75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205" t="s">
        <v>315</v>
      </c>
      <c r="L347" s="1" t="s">
        <v>315</v>
      </c>
      <c r="M347" s="9"/>
      <c r="N347" s="14">
        <f>Tabela131617[[#This Row],[Valor_recibo]]</f>
        <v>0</v>
      </c>
      <c r="O347" s="16"/>
      <c r="P347" s="1" t="e">
        <f>VLOOKUP(Tabela131617[[#This Row],[DT]],Aprovados!A:A,1,0)</f>
        <v>#N/A</v>
      </c>
      <c r="R347" s="16"/>
      <c r="S347" s="16"/>
      <c r="T347" s="9"/>
      <c r="U347" s="1" t="s">
        <v>315</v>
      </c>
      <c r="W347" s="232"/>
      <c r="X347" s="304"/>
    </row>
    <row r="348" spans="1:24" ht="15.75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205" t="s">
        <v>315</v>
      </c>
      <c r="L348" s="1" t="s">
        <v>315</v>
      </c>
      <c r="M348" s="9"/>
      <c r="N348" s="14">
        <f>Tabela131617[[#This Row],[Valor_recibo]]</f>
        <v>0</v>
      </c>
      <c r="O348" s="16"/>
      <c r="P348" s="1" t="e">
        <f>VLOOKUP(Tabela131617[[#This Row],[DT]],Aprovados!A:A,1,0)</f>
        <v>#N/A</v>
      </c>
      <c r="R348" s="16"/>
      <c r="S348" s="16"/>
      <c r="T348" s="9"/>
      <c r="U348" s="1" t="s">
        <v>315</v>
      </c>
      <c r="W348" s="232"/>
      <c r="X348" s="304"/>
    </row>
    <row r="349" spans="1:24" ht="15.75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205" t="s">
        <v>315</v>
      </c>
      <c r="L349" s="1" t="s">
        <v>315</v>
      </c>
      <c r="M349" s="9"/>
      <c r="N349" s="14">
        <f>Tabela131617[[#This Row],[Valor_recibo]]</f>
        <v>0</v>
      </c>
      <c r="O349" s="16"/>
      <c r="P349" s="1" t="e">
        <f>VLOOKUP(Tabela131617[[#This Row],[DT]],Aprovados!A:A,1,0)</f>
        <v>#N/A</v>
      </c>
      <c r="R349" s="16"/>
      <c r="S349" s="16"/>
      <c r="T349" s="9"/>
      <c r="U349" s="1" t="s">
        <v>315</v>
      </c>
      <c r="W349" s="232"/>
      <c r="X349" s="304"/>
    </row>
    <row r="350" spans="1:24" ht="15.75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205" t="s">
        <v>315</v>
      </c>
      <c r="L350" s="1" t="s">
        <v>315</v>
      </c>
      <c r="M350" s="9"/>
      <c r="N350" s="14">
        <f>Tabela131617[[#This Row],[Valor_recibo]]</f>
        <v>0</v>
      </c>
      <c r="O350" s="16"/>
      <c r="P350" s="1" t="e">
        <f>VLOOKUP(Tabela131617[[#This Row],[DT]],Aprovados!A:A,1,0)</f>
        <v>#N/A</v>
      </c>
      <c r="R350" s="16"/>
      <c r="S350" s="16"/>
      <c r="T350" s="9"/>
      <c r="U350" s="1" t="s">
        <v>315</v>
      </c>
      <c r="W350" s="232"/>
      <c r="X350" s="304"/>
    </row>
    <row r="351" spans="1:24" ht="15.75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205" t="s">
        <v>315</v>
      </c>
      <c r="L351" s="1" t="s">
        <v>315</v>
      </c>
      <c r="M351" s="9"/>
      <c r="N351" s="14">
        <f>Tabela131617[[#This Row],[Valor_recibo]]</f>
        <v>0</v>
      </c>
      <c r="O351" s="16"/>
      <c r="P351" s="1" t="e">
        <f>VLOOKUP(Tabela131617[[#This Row],[DT]],Aprovados!A:A,1,0)</f>
        <v>#N/A</v>
      </c>
      <c r="R351" s="16"/>
      <c r="S351" s="16"/>
      <c r="T351" s="9"/>
      <c r="U351" s="1" t="s">
        <v>315</v>
      </c>
      <c r="W351" s="232"/>
      <c r="X351" s="304"/>
    </row>
    <row r="352" spans="1:24" ht="15.75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205" t="s">
        <v>315</v>
      </c>
      <c r="L352" s="1" t="s">
        <v>315</v>
      </c>
      <c r="M352" s="9"/>
      <c r="N352" s="14">
        <f>Tabela131617[[#This Row],[Valor_recibo]]</f>
        <v>0</v>
      </c>
      <c r="O352" s="16"/>
      <c r="P352" s="1" t="e">
        <f>VLOOKUP(Tabela131617[[#This Row],[DT]],Aprovados!A:A,1,0)</f>
        <v>#N/A</v>
      </c>
      <c r="R352" s="16"/>
      <c r="S352" s="16"/>
      <c r="T352" s="9"/>
      <c r="U352" s="1" t="s">
        <v>315</v>
      </c>
      <c r="W352" s="232"/>
      <c r="X352" s="304"/>
    </row>
    <row r="353" spans="1:24" ht="15.75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205" t="s">
        <v>315</v>
      </c>
      <c r="L353" s="1" t="s">
        <v>315</v>
      </c>
      <c r="M353" s="9"/>
      <c r="N353" s="14">
        <f>Tabela131617[[#This Row],[Valor_recibo]]</f>
        <v>0</v>
      </c>
      <c r="O353" s="16"/>
      <c r="P353" s="1" t="e">
        <f>VLOOKUP(Tabela131617[[#This Row],[DT]],Aprovados!A:A,1,0)</f>
        <v>#N/A</v>
      </c>
      <c r="R353" s="16"/>
      <c r="S353" s="16"/>
      <c r="T353" s="9"/>
      <c r="U353" s="1" t="s">
        <v>315</v>
      </c>
      <c r="W353" s="232"/>
      <c r="X353" s="304"/>
    </row>
    <row r="354" spans="1:24" ht="15.75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205" t="s">
        <v>315</v>
      </c>
      <c r="L354" s="1" t="s">
        <v>315</v>
      </c>
      <c r="M354" s="9"/>
      <c r="N354" s="14">
        <f>Tabela131617[[#This Row],[Valor_recibo]]</f>
        <v>0</v>
      </c>
      <c r="O354" s="16"/>
      <c r="P354" s="1" t="e">
        <f>VLOOKUP(Tabela131617[[#This Row],[DT]],Aprovados!A:A,1,0)</f>
        <v>#N/A</v>
      </c>
      <c r="R354" s="16"/>
      <c r="S354" s="16"/>
      <c r="T354" s="9"/>
      <c r="U354" s="1" t="s">
        <v>315</v>
      </c>
      <c r="W354" s="232"/>
      <c r="X354" s="304"/>
    </row>
    <row r="355" spans="1:24" ht="15.75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205" t="s">
        <v>315</v>
      </c>
      <c r="L355" s="1" t="s">
        <v>315</v>
      </c>
      <c r="M355" s="9"/>
      <c r="N355" s="14">
        <f>Tabela131617[[#This Row],[Valor_recibo]]</f>
        <v>0</v>
      </c>
      <c r="O355" s="16"/>
      <c r="P355" s="1" t="e">
        <f>VLOOKUP(Tabela131617[[#This Row],[DT]],Aprovados!A:A,1,0)</f>
        <v>#N/A</v>
      </c>
      <c r="R355" s="16"/>
      <c r="S355" s="16"/>
      <c r="T355" s="9"/>
      <c r="U355" s="1" t="s">
        <v>315</v>
      </c>
      <c r="W355" s="232"/>
      <c r="X355" s="304"/>
    </row>
    <row r="356" spans="1:24" ht="15.75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205" t="s">
        <v>315</v>
      </c>
      <c r="L356" s="1" t="s">
        <v>315</v>
      </c>
      <c r="M356" s="9"/>
      <c r="N356" s="14">
        <f>Tabela131617[[#This Row],[Valor_recibo]]</f>
        <v>0</v>
      </c>
      <c r="O356" s="16"/>
      <c r="P356" s="1" t="e">
        <f>VLOOKUP(Tabela131617[[#This Row],[DT]],Aprovados!A:A,1,0)</f>
        <v>#N/A</v>
      </c>
      <c r="R356" s="16"/>
      <c r="S356" s="16"/>
      <c r="T356" s="9"/>
      <c r="U356" s="1" t="s">
        <v>315</v>
      </c>
      <c r="W356" s="232"/>
      <c r="X356" s="304"/>
    </row>
    <row r="357" spans="1:24" ht="15.75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205" t="s">
        <v>315</v>
      </c>
      <c r="L357" s="1" t="s">
        <v>315</v>
      </c>
      <c r="M357" s="9"/>
      <c r="N357" s="14">
        <f>Tabela131617[[#This Row],[Valor_recibo]]</f>
        <v>0</v>
      </c>
      <c r="O357" s="16"/>
      <c r="P357" s="1" t="e">
        <f>VLOOKUP(Tabela131617[[#This Row],[DT]],Aprovados!A:A,1,0)</f>
        <v>#N/A</v>
      </c>
      <c r="R357" s="16"/>
      <c r="S357" s="16"/>
      <c r="T357" s="9"/>
      <c r="U357" s="1" t="s">
        <v>315</v>
      </c>
      <c r="W357" s="232"/>
      <c r="X357" s="304"/>
    </row>
    <row r="358" spans="1:24" ht="15.75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205" t="s">
        <v>315</v>
      </c>
      <c r="L358" s="1" t="s">
        <v>315</v>
      </c>
      <c r="M358" s="9"/>
      <c r="N358" s="14">
        <f>Tabela131617[[#This Row],[Valor_recibo]]</f>
        <v>0</v>
      </c>
      <c r="O358" s="16"/>
      <c r="P358" s="1" t="e">
        <f>VLOOKUP(Tabela131617[[#This Row],[DT]],Aprovados!A:A,1,0)</f>
        <v>#N/A</v>
      </c>
      <c r="R358" s="16"/>
      <c r="S358" s="16"/>
      <c r="T358" s="9"/>
      <c r="U358" s="1" t="s">
        <v>315</v>
      </c>
      <c r="W358" s="232"/>
      <c r="X358" s="304"/>
    </row>
    <row r="359" spans="1:24" ht="15.75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205" t="s">
        <v>315</v>
      </c>
      <c r="L359" s="1" t="s">
        <v>315</v>
      </c>
      <c r="M359" s="9"/>
      <c r="N359" s="14">
        <f>Tabela131617[[#This Row],[Valor_recibo]]</f>
        <v>0</v>
      </c>
      <c r="O359" s="16"/>
      <c r="P359" s="1" t="e">
        <f>VLOOKUP(Tabela131617[[#This Row],[DT]],Aprovados!A:A,1,0)</f>
        <v>#N/A</v>
      </c>
      <c r="R359" s="16"/>
      <c r="S359" s="16"/>
      <c r="T359" s="9"/>
      <c r="U359" s="1" t="s">
        <v>315</v>
      </c>
      <c r="W359" s="232"/>
      <c r="X359" s="304"/>
    </row>
    <row r="360" spans="1:24" ht="15.75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205" t="s">
        <v>315</v>
      </c>
      <c r="L360" s="1" t="s">
        <v>315</v>
      </c>
      <c r="M360" s="9"/>
      <c r="N360" s="14">
        <f>Tabela131617[[#This Row],[Valor_recibo]]</f>
        <v>0</v>
      </c>
      <c r="O360" s="16"/>
      <c r="P360" s="1" t="e">
        <f>VLOOKUP(Tabela131617[[#This Row],[DT]],Aprovados!A:A,1,0)</f>
        <v>#N/A</v>
      </c>
      <c r="R360" s="16"/>
      <c r="S360" s="16"/>
      <c r="T360" s="9"/>
      <c r="U360" s="1" t="s">
        <v>315</v>
      </c>
      <c r="W360" s="232"/>
      <c r="X360" s="304"/>
    </row>
    <row r="361" spans="1:24" ht="15.75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205" t="s">
        <v>315</v>
      </c>
      <c r="L361" s="1" t="s">
        <v>315</v>
      </c>
      <c r="M361" s="9"/>
      <c r="N361" s="14">
        <f>Tabela131617[[#This Row],[Valor_recibo]]</f>
        <v>0</v>
      </c>
      <c r="O361" s="16"/>
      <c r="P361" s="1" t="e">
        <f>VLOOKUP(Tabela131617[[#This Row],[DT]],Aprovados!A:A,1,0)</f>
        <v>#N/A</v>
      </c>
      <c r="R361" s="16"/>
      <c r="S361" s="16"/>
      <c r="T361" s="9"/>
      <c r="U361" s="1" t="s">
        <v>315</v>
      </c>
      <c r="W361" s="232"/>
      <c r="X361" s="304"/>
    </row>
    <row r="362" spans="1:24" ht="15.75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205" t="s">
        <v>315</v>
      </c>
      <c r="L362" s="1" t="s">
        <v>315</v>
      </c>
      <c r="M362" s="9"/>
      <c r="N362" s="14">
        <f>Tabela131617[[#This Row],[Valor_recibo]]</f>
        <v>0</v>
      </c>
      <c r="O362" s="16"/>
      <c r="P362" s="1" t="e">
        <f>VLOOKUP(Tabela131617[[#This Row],[DT]],Aprovados!A:A,1,0)</f>
        <v>#N/A</v>
      </c>
      <c r="R362" s="16"/>
      <c r="S362" s="16"/>
      <c r="T362" s="9"/>
      <c r="U362" s="1" t="s">
        <v>315</v>
      </c>
      <c r="W362" s="232"/>
      <c r="X362" s="304"/>
    </row>
    <row r="363" spans="1:24" ht="15.75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205" t="s">
        <v>315</v>
      </c>
      <c r="L363" s="1" t="s">
        <v>315</v>
      </c>
      <c r="M363" s="9"/>
      <c r="N363" s="14">
        <f>Tabela131617[[#This Row],[Valor_recibo]]</f>
        <v>0</v>
      </c>
      <c r="O363" s="16"/>
      <c r="P363" s="1" t="e">
        <f>VLOOKUP(Tabela131617[[#This Row],[DT]],Aprovados!A:A,1,0)</f>
        <v>#N/A</v>
      </c>
      <c r="R363" s="16"/>
      <c r="S363" s="16"/>
      <c r="T363" s="9"/>
      <c r="U363" s="1" t="s">
        <v>315</v>
      </c>
      <c r="W363" s="232"/>
      <c r="X363" s="304"/>
    </row>
    <row r="364" spans="1:24" ht="15.75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205" t="s">
        <v>315</v>
      </c>
      <c r="L364" s="1" t="s">
        <v>315</v>
      </c>
      <c r="M364" s="9"/>
      <c r="N364" s="14">
        <f>Tabela131617[[#This Row],[Valor_recibo]]</f>
        <v>0</v>
      </c>
      <c r="O364" s="16"/>
      <c r="P364" s="1" t="e">
        <f>VLOOKUP(Tabela131617[[#This Row],[DT]],Aprovados!A:A,1,0)</f>
        <v>#N/A</v>
      </c>
      <c r="R364" s="16"/>
      <c r="S364" s="16"/>
      <c r="T364" s="9"/>
      <c r="U364" s="1" t="s">
        <v>315</v>
      </c>
      <c r="W364" s="232"/>
      <c r="X364" s="304"/>
    </row>
    <row r="365" spans="1:24" ht="15.75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205" t="s">
        <v>315</v>
      </c>
      <c r="L365" s="1" t="s">
        <v>315</v>
      </c>
      <c r="M365" s="9"/>
      <c r="N365" s="14">
        <f>Tabela131617[[#This Row],[Valor_recibo]]</f>
        <v>0</v>
      </c>
      <c r="O365" s="16"/>
      <c r="P365" s="1" t="e">
        <f>VLOOKUP(Tabela131617[[#This Row],[DT]],Aprovados!A:A,1,0)</f>
        <v>#N/A</v>
      </c>
      <c r="R365" s="16"/>
      <c r="S365" s="16"/>
      <c r="T365" s="9"/>
      <c r="U365" s="1" t="s">
        <v>315</v>
      </c>
      <c r="W365" s="232"/>
      <c r="X365" s="304"/>
    </row>
    <row r="366" spans="1:24" ht="15.75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205" t="s">
        <v>315</v>
      </c>
      <c r="L366" s="1" t="s">
        <v>315</v>
      </c>
      <c r="M366" s="9"/>
      <c r="N366" s="14">
        <f>Tabela131617[[#This Row],[Valor_recibo]]</f>
        <v>0</v>
      </c>
      <c r="O366" s="16"/>
      <c r="P366" s="1" t="e">
        <f>VLOOKUP(Tabela131617[[#This Row],[DT]],Aprovados!A:A,1,0)</f>
        <v>#N/A</v>
      </c>
      <c r="R366" s="16"/>
      <c r="S366" s="16"/>
      <c r="T366" s="9"/>
      <c r="U366" s="1" t="s">
        <v>315</v>
      </c>
      <c r="W366" s="232"/>
      <c r="X366" s="304"/>
    </row>
    <row r="367" spans="1:24" ht="15.75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205" t="s">
        <v>315</v>
      </c>
      <c r="L367" s="1" t="s">
        <v>315</v>
      </c>
      <c r="M367" s="9"/>
      <c r="N367" s="14">
        <f>Tabela131617[[#This Row],[Valor_recibo]]</f>
        <v>0</v>
      </c>
      <c r="O367" s="16"/>
      <c r="P367" s="1" t="e">
        <f>VLOOKUP(Tabela131617[[#This Row],[DT]],Aprovados!A:A,1,0)</f>
        <v>#N/A</v>
      </c>
      <c r="R367" s="16"/>
      <c r="S367" s="16"/>
      <c r="T367" s="9"/>
      <c r="U367" s="1" t="s">
        <v>315</v>
      </c>
      <c r="W367" s="232"/>
      <c r="X367" s="304"/>
    </row>
    <row r="368" spans="1:24" ht="15.75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205" t="s">
        <v>315</v>
      </c>
      <c r="L368" s="1" t="s">
        <v>315</v>
      </c>
      <c r="M368" s="9"/>
      <c r="N368" s="14">
        <f>Tabela131617[[#This Row],[Valor_recibo]]</f>
        <v>0</v>
      </c>
      <c r="O368" s="16"/>
      <c r="P368" s="1" t="e">
        <f>VLOOKUP(Tabela131617[[#This Row],[DT]],Aprovados!A:A,1,0)</f>
        <v>#N/A</v>
      </c>
      <c r="R368" s="16"/>
      <c r="S368" s="16"/>
      <c r="T368" s="9"/>
      <c r="U368" s="1" t="s">
        <v>315</v>
      </c>
      <c r="W368" s="232"/>
      <c r="X368" s="304"/>
    </row>
    <row r="369" spans="1:24" ht="15.75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205" t="s">
        <v>315</v>
      </c>
      <c r="L369" s="1" t="s">
        <v>315</v>
      </c>
      <c r="M369" s="9"/>
      <c r="N369" s="14">
        <f>Tabela131617[[#This Row],[Valor_recibo]]</f>
        <v>0</v>
      </c>
      <c r="O369" s="16"/>
      <c r="P369" s="1" t="e">
        <f>VLOOKUP(Tabela131617[[#This Row],[DT]],Aprovados!A:A,1,0)</f>
        <v>#N/A</v>
      </c>
      <c r="R369" s="16"/>
      <c r="S369" s="16"/>
      <c r="T369" s="9"/>
      <c r="U369" s="1" t="s">
        <v>315</v>
      </c>
      <c r="W369" s="232"/>
      <c r="X369" s="304"/>
    </row>
    <row r="370" spans="1:24" ht="15.75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205" t="s">
        <v>315</v>
      </c>
      <c r="L370" s="1" t="s">
        <v>315</v>
      </c>
      <c r="M370" s="9"/>
      <c r="N370" s="14">
        <f>Tabela131617[[#This Row],[Valor_recibo]]</f>
        <v>0</v>
      </c>
      <c r="O370" s="16"/>
      <c r="P370" s="1" t="e">
        <f>VLOOKUP(Tabela131617[[#This Row],[DT]],Aprovados!A:A,1,0)</f>
        <v>#N/A</v>
      </c>
      <c r="R370" s="16"/>
      <c r="S370" s="16"/>
      <c r="T370" s="9"/>
      <c r="U370" s="1" t="s">
        <v>315</v>
      </c>
      <c r="W370" s="232"/>
      <c r="X370" s="304"/>
    </row>
    <row r="371" spans="1:24" ht="15.75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205" t="s">
        <v>315</v>
      </c>
      <c r="L371" s="1" t="s">
        <v>315</v>
      </c>
      <c r="M371" s="9"/>
      <c r="N371" s="14">
        <f>Tabela131617[[#This Row],[Valor_recibo]]</f>
        <v>0</v>
      </c>
      <c r="O371" s="16"/>
      <c r="P371" s="1" t="e">
        <f>VLOOKUP(Tabela131617[[#This Row],[DT]],Aprovados!A:A,1,0)</f>
        <v>#N/A</v>
      </c>
      <c r="R371" s="16"/>
      <c r="S371" s="16"/>
      <c r="T371" s="9"/>
      <c r="U371" s="1" t="s">
        <v>315</v>
      </c>
      <c r="W371" s="232"/>
      <c r="X371" s="304"/>
    </row>
    <row r="372" spans="1:24" ht="15.75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205" t="s">
        <v>315</v>
      </c>
      <c r="L372" s="1" t="s">
        <v>315</v>
      </c>
      <c r="M372" s="9"/>
      <c r="N372" s="14">
        <f>Tabela131617[[#This Row],[Valor_recibo]]</f>
        <v>0</v>
      </c>
      <c r="O372" s="16"/>
      <c r="P372" s="1" t="e">
        <f>VLOOKUP(Tabela131617[[#This Row],[DT]],Aprovados!A:A,1,0)</f>
        <v>#N/A</v>
      </c>
      <c r="R372" s="16"/>
      <c r="S372" s="16"/>
      <c r="T372" s="9"/>
      <c r="U372" s="1" t="s">
        <v>315</v>
      </c>
      <c r="W372" s="232"/>
      <c r="X372" s="304"/>
    </row>
    <row r="373" spans="1:24" ht="15.75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205" t="s">
        <v>315</v>
      </c>
      <c r="L373" s="1" t="s">
        <v>315</v>
      </c>
      <c r="M373" s="9"/>
      <c r="N373" s="14">
        <f>Tabela131617[[#This Row],[Valor_recibo]]</f>
        <v>0</v>
      </c>
      <c r="O373" s="16"/>
      <c r="P373" s="1" t="e">
        <f>VLOOKUP(Tabela131617[[#This Row],[DT]],Aprovados!A:A,1,0)</f>
        <v>#N/A</v>
      </c>
      <c r="R373" s="16"/>
      <c r="S373" s="16"/>
      <c r="T373" s="9"/>
      <c r="U373" s="1" t="s">
        <v>315</v>
      </c>
      <c r="W373" s="232"/>
      <c r="X373" s="304"/>
    </row>
    <row r="374" spans="1:24" ht="15.75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205" t="s">
        <v>315</v>
      </c>
      <c r="L374" s="1" t="s">
        <v>315</v>
      </c>
      <c r="M374" s="9"/>
      <c r="N374" s="14">
        <f>Tabela131617[[#This Row],[Valor_recibo]]</f>
        <v>0</v>
      </c>
      <c r="O374" s="16"/>
      <c r="P374" s="1" t="e">
        <f>VLOOKUP(Tabela131617[[#This Row],[DT]],Aprovados!A:A,1,0)</f>
        <v>#N/A</v>
      </c>
      <c r="R374" s="16"/>
      <c r="S374" s="16"/>
      <c r="T374" s="9"/>
      <c r="U374" s="1" t="s">
        <v>315</v>
      </c>
      <c r="W374" s="232"/>
      <c r="X374" s="304"/>
    </row>
    <row r="375" spans="1:24" ht="15.75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205" t="s">
        <v>315</v>
      </c>
      <c r="L375" s="1" t="s">
        <v>315</v>
      </c>
      <c r="M375" s="9"/>
      <c r="N375" s="14">
        <f>Tabela131617[[#This Row],[Valor_recibo]]</f>
        <v>0</v>
      </c>
      <c r="O375" s="16"/>
      <c r="P375" s="1" t="e">
        <f>VLOOKUP(Tabela131617[[#This Row],[DT]],Aprovados!A:A,1,0)</f>
        <v>#N/A</v>
      </c>
      <c r="R375" s="16"/>
      <c r="S375" s="16"/>
      <c r="T375" s="9"/>
      <c r="U375" s="1" t="s">
        <v>315</v>
      </c>
      <c r="W375" s="232"/>
      <c r="X375" s="304"/>
    </row>
    <row r="376" spans="1:24" ht="15.75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205" t="s">
        <v>315</v>
      </c>
      <c r="L376" s="1" t="s">
        <v>315</v>
      </c>
      <c r="M376" s="9"/>
      <c r="N376" s="14">
        <f>Tabela131617[[#This Row],[Valor_recibo]]</f>
        <v>0</v>
      </c>
      <c r="O376" s="16"/>
      <c r="P376" s="1" t="e">
        <f>VLOOKUP(Tabela131617[[#This Row],[DT]],Aprovados!A:A,1,0)</f>
        <v>#N/A</v>
      </c>
      <c r="R376" s="16"/>
      <c r="S376" s="16"/>
      <c r="T376" s="9"/>
      <c r="U376" s="1" t="s">
        <v>315</v>
      </c>
      <c r="W376" s="232"/>
      <c r="X376" s="304"/>
    </row>
    <row r="377" spans="1:24" ht="15.75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205" t="s">
        <v>315</v>
      </c>
      <c r="L377" s="1" t="s">
        <v>315</v>
      </c>
      <c r="M377" s="9"/>
      <c r="N377" s="14">
        <f>Tabela131617[[#This Row],[Valor_recibo]]</f>
        <v>0</v>
      </c>
      <c r="O377" s="16"/>
      <c r="P377" s="1" t="e">
        <f>VLOOKUP(Tabela131617[[#This Row],[DT]],Aprovados!A:A,1,0)</f>
        <v>#N/A</v>
      </c>
      <c r="R377" s="16"/>
      <c r="S377" s="16"/>
      <c r="T377" s="9"/>
      <c r="U377" s="1" t="s">
        <v>315</v>
      </c>
      <c r="W377" s="232"/>
      <c r="X377" s="304"/>
    </row>
    <row r="378" spans="1:24" ht="15.75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205" t="s">
        <v>315</v>
      </c>
      <c r="L378" s="1" t="s">
        <v>315</v>
      </c>
      <c r="M378" s="9"/>
      <c r="N378" s="14">
        <f>Tabela131617[[#This Row],[Valor_recibo]]</f>
        <v>0</v>
      </c>
      <c r="O378" s="16"/>
      <c r="P378" s="1" t="e">
        <f>VLOOKUP(Tabela131617[[#This Row],[DT]],Aprovados!A:A,1,0)</f>
        <v>#N/A</v>
      </c>
      <c r="R378" s="16"/>
      <c r="S378" s="16"/>
      <c r="T378" s="9"/>
      <c r="U378" s="1" t="s">
        <v>315</v>
      </c>
      <c r="W378" s="232"/>
      <c r="X378" s="304"/>
    </row>
    <row r="379" spans="1:24" ht="15.75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205" t="s">
        <v>315</v>
      </c>
      <c r="L379" s="1" t="s">
        <v>315</v>
      </c>
      <c r="M379" s="9"/>
      <c r="N379" s="14">
        <f>Tabela131617[[#This Row],[Valor_recibo]]</f>
        <v>0</v>
      </c>
      <c r="O379" s="16"/>
      <c r="P379" s="1" t="e">
        <f>VLOOKUP(Tabela131617[[#This Row],[DT]],Aprovados!A:A,1,0)</f>
        <v>#N/A</v>
      </c>
      <c r="R379" s="16"/>
      <c r="S379" s="16"/>
      <c r="T379" s="9"/>
      <c r="U379" s="1" t="s">
        <v>315</v>
      </c>
      <c r="W379" s="232"/>
      <c r="X379" s="304"/>
    </row>
    <row r="380" spans="1:24" ht="15.75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205" t="s">
        <v>315</v>
      </c>
      <c r="L380" s="1" t="s">
        <v>315</v>
      </c>
      <c r="M380" s="9"/>
      <c r="N380" s="14">
        <f>Tabela131617[[#This Row],[Valor_recibo]]</f>
        <v>0</v>
      </c>
      <c r="O380" s="16"/>
      <c r="P380" s="1" t="e">
        <f>VLOOKUP(Tabela131617[[#This Row],[DT]],Aprovados!A:A,1,0)</f>
        <v>#N/A</v>
      </c>
      <c r="R380" s="16"/>
      <c r="S380" s="16"/>
      <c r="T380" s="9"/>
      <c r="U380" s="1" t="s">
        <v>315</v>
      </c>
      <c r="W380" s="232"/>
      <c r="X380" s="304"/>
    </row>
    <row r="381" spans="1:24" ht="15.75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205" t="s">
        <v>315</v>
      </c>
      <c r="L381" s="1" t="s">
        <v>315</v>
      </c>
      <c r="M381" s="9"/>
      <c r="N381" s="14">
        <f>Tabela131617[[#This Row],[Valor_recibo]]</f>
        <v>0</v>
      </c>
      <c r="O381" s="16"/>
      <c r="P381" s="1" t="e">
        <f>VLOOKUP(Tabela131617[[#This Row],[DT]],Aprovados!A:A,1,0)</f>
        <v>#N/A</v>
      </c>
      <c r="R381" s="16"/>
      <c r="S381" s="16"/>
      <c r="T381" s="9"/>
      <c r="U381" s="1" t="s">
        <v>315</v>
      </c>
      <c r="W381" s="232"/>
      <c r="X381" s="304"/>
    </row>
    <row r="382" spans="1:24" ht="15.75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205" t="s">
        <v>315</v>
      </c>
      <c r="L382" s="1" t="s">
        <v>315</v>
      </c>
      <c r="M382" s="9"/>
      <c r="N382" s="14">
        <f>Tabela131617[[#This Row],[Valor_recibo]]</f>
        <v>0</v>
      </c>
      <c r="O382" s="16"/>
      <c r="P382" s="1" t="e">
        <f>VLOOKUP(Tabela131617[[#This Row],[DT]],Aprovados!A:A,1,0)</f>
        <v>#N/A</v>
      </c>
      <c r="R382" s="16"/>
      <c r="S382" s="16"/>
      <c r="T382" s="9"/>
      <c r="U382" s="1" t="s">
        <v>315</v>
      </c>
      <c r="W382" s="232"/>
      <c r="X382" s="304"/>
    </row>
    <row r="383" spans="1:24" ht="15.75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205" t="s">
        <v>315</v>
      </c>
      <c r="L383" s="1" t="s">
        <v>315</v>
      </c>
      <c r="M383" s="9"/>
      <c r="N383" s="14">
        <f>Tabela131617[[#This Row],[Valor_recibo]]</f>
        <v>0</v>
      </c>
      <c r="O383" s="16"/>
      <c r="P383" s="1" t="e">
        <f>VLOOKUP(Tabela131617[[#This Row],[DT]],Aprovados!A:A,1,0)</f>
        <v>#N/A</v>
      </c>
      <c r="R383" s="16"/>
      <c r="S383" s="16"/>
      <c r="T383" s="9"/>
      <c r="U383" s="1" t="s">
        <v>315</v>
      </c>
      <c r="W383" s="232"/>
      <c r="X383" s="304"/>
    </row>
    <row r="384" spans="1:24" ht="15.75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205" t="s">
        <v>315</v>
      </c>
      <c r="L384" s="1" t="s">
        <v>315</v>
      </c>
      <c r="M384" s="9"/>
      <c r="N384" s="14">
        <f>Tabela131617[[#This Row],[Valor_recibo]]</f>
        <v>0</v>
      </c>
      <c r="O384" s="16"/>
      <c r="P384" s="1" t="e">
        <f>VLOOKUP(Tabela131617[[#This Row],[DT]],Aprovados!A:A,1,0)</f>
        <v>#N/A</v>
      </c>
      <c r="R384" s="16"/>
      <c r="S384" s="16"/>
      <c r="T384" s="9"/>
      <c r="U384" s="1" t="s">
        <v>315</v>
      </c>
      <c r="W384" s="232"/>
      <c r="X384" s="304"/>
    </row>
    <row r="385" spans="1:24" ht="15.75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205" t="s">
        <v>315</v>
      </c>
      <c r="L385" s="1" t="s">
        <v>315</v>
      </c>
      <c r="M385" s="9"/>
      <c r="N385" s="14">
        <f>Tabela131617[[#This Row],[Valor_recibo]]</f>
        <v>0</v>
      </c>
      <c r="O385" s="16"/>
      <c r="P385" s="1" t="e">
        <f>VLOOKUP(Tabela131617[[#This Row],[DT]],Aprovados!A:A,1,0)</f>
        <v>#N/A</v>
      </c>
      <c r="R385" s="16"/>
      <c r="S385" s="16"/>
      <c r="T385" s="9"/>
      <c r="U385" s="1" t="s">
        <v>315</v>
      </c>
      <c r="W385" s="232"/>
      <c r="X385" s="304"/>
    </row>
    <row r="386" spans="1:24" ht="15.75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205" t="s">
        <v>315</v>
      </c>
      <c r="L386" s="1" t="s">
        <v>315</v>
      </c>
      <c r="M386" s="9"/>
      <c r="N386" s="14">
        <f>Tabela131617[[#This Row],[Valor_recibo]]</f>
        <v>0</v>
      </c>
      <c r="O386" s="16"/>
      <c r="P386" s="1" t="e">
        <f>VLOOKUP(Tabela131617[[#This Row],[DT]],Aprovados!A:A,1,0)</f>
        <v>#N/A</v>
      </c>
      <c r="R386" s="16"/>
      <c r="S386" s="16"/>
      <c r="T386" s="9"/>
      <c r="U386" s="1" t="s">
        <v>315</v>
      </c>
      <c r="W386" s="232"/>
      <c r="X386" s="304"/>
    </row>
    <row r="387" spans="1:24" ht="15.75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205" t="s">
        <v>315</v>
      </c>
      <c r="L387" s="1" t="s">
        <v>315</v>
      </c>
      <c r="M387" s="9"/>
      <c r="N387" s="14">
        <f>Tabela131617[[#This Row],[Valor_recibo]]</f>
        <v>0</v>
      </c>
      <c r="O387" s="16"/>
      <c r="P387" s="1" t="e">
        <f>VLOOKUP(Tabela131617[[#This Row],[DT]],Aprovados!A:A,1,0)</f>
        <v>#N/A</v>
      </c>
      <c r="R387" s="16"/>
      <c r="S387" s="16"/>
      <c r="T387" s="9"/>
      <c r="U387" s="1" t="s">
        <v>315</v>
      </c>
      <c r="W387" s="232"/>
      <c r="X387" s="304"/>
    </row>
    <row r="388" spans="1:24" ht="15.75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205" t="s">
        <v>315</v>
      </c>
      <c r="L388" s="1" t="s">
        <v>315</v>
      </c>
      <c r="M388" s="9"/>
      <c r="N388" s="14">
        <f>Tabela131617[[#This Row],[Valor_recibo]]</f>
        <v>0</v>
      </c>
      <c r="O388" s="16"/>
      <c r="P388" s="1" t="e">
        <f>VLOOKUP(Tabela131617[[#This Row],[DT]],Aprovados!A:A,1,0)</f>
        <v>#N/A</v>
      </c>
      <c r="R388" s="16"/>
      <c r="S388" s="16"/>
      <c r="T388" s="9"/>
      <c r="U388" s="1" t="s">
        <v>315</v>
      </c>
      <c r="W388" s="232"/>
      <c r="X388" s="304"/>
    </row>
    <row r="389" spans="1:24" ht="15.75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205" t="s">
        <v>315</v>
      </c>
      <c r="L389" s="1" t="s">
        <v>315</v>
      </c>
      <c r="M389" s="9"/>
      <c r="N389" s="14">
        <f>Tabela131617[[#This Row],[Valor_recibo]]</f>
        <v>0</v>
      </c>
      <c r="O389" s="16"/>
      <c r="P389" s="1" t="e">
        <f>VLOOKUP(Tabela131617[[#This Row],[DT]],Aprovados!A:A,1,0)</f>
        <v>#N/A</v>
      </c>
      <c r="R389" s="16"/>
      <c r="S389" s="16"/>
      <c r="T389" s="9"/>
      <c r="U389" s="1" t="s">
        <v>315</v>
      </c>
      <c r="W389" s="232"/>
      <c r="X389" s="304"/>
    </row>
    <row r="390" spans="1:24" ht="15.75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205" t="s">
        <v>315</v>
      </c>
      <c r="L390" s="1" t="s">
        <v>315</v>
      </c>
      <c r="M390" s="9"/>
      <c r="N390" s="14">
        <f>Tabela131617[[#This Row],[Valor_recibo]]</f>
        <v>0</v>
      </c>
      <c r="O390" s="16"/>
      <c r="P390" s="1" t="e">
        <f>VLOOKUP(Tabela131617[[#This Row],[DT]],Aprovados!A:A,1,0)</f>
        <v>#N/A</v>
      </c>
      <c r="R390" s="16"/>
      <c r="S390" s="16"/>
      <c r="T390" s="9"/>
      <c r="U390" s="1" t="s">
        <v>315</v>
      </c>
      <c r="W390" s="232"/>
      <c r="X390" s="304"/>
    </row>
    <row r="391" spans="1:24" ht="15.75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205" t="s">
        <v>315</v>
      </c>
      <c r="L391" s="1" t="s">
        <v>315</v>
      </c>
      <c r="M391" s="9"/>
      <c r="N391" s="14">
        <f>Tabela131617[[#This Row],[Valor_recibo]]</f>
        <v>0</v>
      </c>
      <c r="O391" s="16"/>
      <c r="P391" s="1" t="e">
        <f>VLOOKUP(Tabela131617[[#This Row],[DT]],Aprovados!A:A,1,0)</f>
        <v>#N/A</v>
      </c>
      <c r="R391" s="16"/>
      <c r="S391" s="16"/>
      <c r="T391" s="9"/>
      <c r="U391" s="1" t="s">
        <v>315</v>
      </c>
      <c r="W391" s="232"/>
      <c r="X391" s="304"/>
    </row>
    <row r="392" spans="1:24" ht="15.75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205" t="s">
        <v>315</v>
      </c>
      <c r="L392" s="1" t="s">
        <v>315</v>
      </c>
      <c r="M392" s="9"/>
      <c r="N392" s="14">
        <f>Tabela131617[[#This Row],[Valor_recibo]]</f>
        <v>0</v>
      </c>
      <c r="O392" s="16"/>
      <c r="P392" s="1" t="e">
        <f>VLOOKUP(Tabela131617[[#This Row],[DT]],Aprovados!A:A,1,0)</f>
        <v>#N/A</v>
      </c>
      <c r="R392" s="16"/>
      <c r="S392" s="16"/>
      <c r="T392" s="9"/>
      <c r="U392" s="1" t="s">
        <v>315</v>
      </c>
      <c r="W392" s="232"/>
      <c r="X392" s="304"/>
    </row>
    <row r="393" spans="1:24" ht="15.75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205" t="s">
        <v>315</v>
      </c>
      <c r="L393" s="1" t="s">
        <v>315</v>
      </c>
      <c r="M393" s="9"/>
      <c r="N393" s="14">
        <f>Tabela131617[[#This Row],[Valor_recibo]]</f>
        <v>0</v>
      </c>
      <c r="O393" s="16"/>
      <c r="P393" s="1" t="e">
        <f>VLOOKUP(Tabela131617[[#This Row],[DT]],Aprovados!A:A,1,0)</f>
        <v>#N/A</v>
      </c>
      <c r="R393" s="16"/>
      <c r="S393" s="16"/>
      <c r="T393" s="9"/>
      <c r="U393" s="1" t="s">
        <v>315</v>
      </c>
      <c r="W393" s="232"/>
      <c r="X393" s="304"/>
    </row>
    <row r="394" spans="1:24" ht="15.75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205" t="s">
        <v>315</v>
      </c>
      <c r="L394" s="1" t="s">
        <v>315</v>
      </c>
      <c r="M394" s="9"/>
      <c r="N394" s="14">
        <f>Tabela131617[[#This Row],[Valor_recibo]]</f>
        <v>0</v>
      </c>
      <c r="O394" s="16"/>
      <c r="P394" s="1" t="e">
        <f>VLOOKUP(Tabela131617[[#This Row],[DT]],Aprovados!A:A,1,0)</f>
        <v>#N/A</v>
      </c>
      <c r="R394" s="16"/>
      <c r="S394" s="16"/>
      <c r="T394" s="9"/>
      <c r="U394" s="1" t="s">
        <v>315</v>
      </c>
      <c r="W394" s="232"/>
      <c r="X394" s="304"/>
    </row>
    <row r="395" spans="1:24" ht="15.75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205" t="s">
        <v>315</v>
      </c>
      <c r="L395" s="1" t="s">
        <v>315</v>
      </c>
      <c r="M395" s="9"/>
      <c r="N395" s="14">
        <f>Tabela131617[[#This Row],[Valor_recibo]]</f>
        <v>0</v>
      </c>
      <c r="O395" s="16"/>
      <c r="P395" s="1" t="e">
        <f>VLOOKUP(Tabela131617[[#This Row],[DT]],Aprovados!A:A,1,0)</f>
        <v>#N/A</v>
      </c>
      <c r="R395" s="16"/>
      <c r="S395" s="16"/>
      <c r="T395" s="9"/>
      <c r="U395" s="1" t="s">
        <v>315</v>
      </c>
      <c r="W395" s="232"/>
      <c r="X395" s="304"/>
    </row>
    <row r="396" spans="1:24" ht="15.75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205" t="s">
        <v>315</v>
      </c>
      <c r="L396" s="1" t="s">
        <v>315</v>
      </c>
      <c r="M396" s="9"/>
      <c r="N396" s="14">
        <f>Tabela131617[[#This Row],[Valor_recibo]]</f>
        <v>0</v>
      </c>
      <c r="O396" s="16"/>
      <c r="P396" s="1" t="e">
        <f>VLOOKUP(Tabela131617[[#This Row],[DT]],Aprovados!A:A,1,0)</f>
        <v>#N/A</v>
      </c>
      <c r="R396" s="16"/>
      <c r="S396" s="16"/>
      <c r="T396" s="9"/>
      <c r="U396" s="1" t="s">
        <v>315</v>
      </c>
      <c r="W396" s="232"/>
      <c r="X396" s="304"/>
    </row>
    <row r="397" spans="1:24" ht="15.75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205" t="s">
        <v>315</v>
      </c>
      <c r="L397" s="1" t="s">
        <v>315</v>
      </c>
      <c r="M397" s="9"/>
      <c r="N397" s="14">
        <f>Tabela131617[[#This Row],[Valor_recibo]]</f>
        <v>0</v>
      </c>
      <c r="O397" s="16"/>
      <c r="P397" s="1" t="e">
        <f>VLOOKUP(Tabela131617[[#This Row],[DT]],Aprovados!A:A,1,0)</f>
        <v>#N/A</v>
      </c>
      <c r="R397" s="16"/>
      <c r="S397" s="16"/>
      <c r="T397" s="9"/>
      <c r="U397" s="1" t="s">
        <v>315</v>
      </c>
      <c r="W397" s="232"/>
      <c r="X397" s="304"/>
    </row>
    <row r="398" spans="1:24" ht="15.75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205" t="s">
        <v>315</v>
      </c>
      <c r="L398" s="1" t="s">
        <v>315</v>
      </c>
      <c r="M398" s="9"/>
      <c r="N398" s="14">
        <f>Tabela131617[[#This Row],[Valor_recibo]]</f>
        <v>0</v>
      </c>
      <c r="O398" s="16"/>
      <c r="P398" s="1" t="e">
        <f>VLOOKUP(Tabela131617[[#This Row],[DT]],Aprovados!A:A,1,0)</f>
        <v>#N/A</v>
      </c>
      <c r="R398" s="16"/>
      <c r="S398" s="16"/>
      <c r="T398" s="9"/>
      <c r="U398" s="1" t="s">
        <v>315</v>
      </c>
      <c r="W398" s="232"/>
      <c r="X398" s="304"/>
    </row>
    <row r="399" spans="1:24" ht="15.75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205" t="s">
        <v>315</v>
      </c>
      <c r="L399" s="1" t="s">
        <v>315</v>
      </c>
      <c r="M399" s="9"/>
      <c r="N399" s="14">
        <f>Tabela131617[[#This Row],[Valor_recibo]]</f>
        <v>0</v>
      </c>
      <c r="O399" s="16"/>
      <c r="P399" s="1" t="e">
        <f>VLOOKUP(Tabela131617[[#This Row],[DT]],Aprovados!A:A,1,0)</f>
        <v>#N/A</v>
      </c>
      <c r="R399" s="16"/>
      <c r="S399" s="16"/>
      <c r="T399" s="9"/>
      <c r="U399" s="1" t="s">
        <v>315</v>
      </c>
      <c r="W399" s="232"/>
      <c r="X399" s="304"/>
    </row>
    <row r="400" spans="1:24" ht="15.75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205" t="s">
        <v>315</v>
      </c>
      <c r="L400" s="1" t="s">
        <v>315</v>
      </c>
      <c r="M400" s="9"/>
      <c r="N400" s="14">
        <f>Tabela131617[[#This Row],[Valor_recibo]]</f>
        <v>0</v>
      </c>
      <c r="O400" s="16"/>
      <c r="P400" s="1" t="e">
        <f>VLOOKUP(Tabela131617[[#This Row],[DT]],Aprovados!A:A,1,0)</f>
        <v>#N/A</v>
      </c>
      <c r="R400" s="16"/>
      <c r="S400" s="16"/>
      <c r="T400" s="9"/>
      <c r="U400" s="1" t="s">
        <v>315</v>
      </c>
      <c r="W400" s="232"/>
      <c r="X400" s="304"/>
    </row>
    <row r="401" spans="1:24" ht="15.75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205" t="s">
        <v>315</v>
      </c>
      <c r="L401" s="1" t="s">
        <v>315</v>
      </c>
      <c r="M401" s="9"/>
      <c r="N401" s="14">
        <f>Tabela131617[[#This Row],[Valor_recibo]]</f>
        <v>0</v>
      </c>
      <c r="O401" s="16"/>
      <c r="P401" s="1" t="e">
        <f>VLOOKUP(Tabela131617[[#This Row],[DT]],Aprovados!A:A,1,0)</f>
        <v>#N/A</v>
      </c>
      <c r="R401" s="16"/>
      <c r="S401" s="16"/>
      <c r="T401" s="9"/>
      <c r="U401" s="1" t="s">
        <v>315</v>
      </c>
      <c r="W401" s="232"/>
      <c r="X401" s="304"/>
    </row>
    <row r="402" spans="1:24" ht="15.75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205" t="s">
        <v>315</v>
      </c>
      <c r="L402" s="1" t="s">
        <v>315</v>
      </c>
      <c r="M402" s="9"/>
      <c r="N402" s="14">
        <f>Tabela131617[[#This Row],[Valor_recibo]]</f>
        <v>0</v>
      </c>
      <c r="O402" s="16"/>
      <c r="P402" s="1" t="e">
        <f>VLOOKUP(Tabela131617[[#This Row],[DT]],Aprovados!A:A,1,0)</f>
        <v>#N/A</v>
      </c>
      <c r="R402" s="16"/>
      <c r="S402" s="16"/>
      <c r="T402" s="9"/>
      <c r="U402" s="1" t="s">
        <v>315</v>
      </c>
      <c r="W402" s="232"/>
      <c r="X402" s="304"/>
    </row>
    <row r="403" spans="1:24" ht="15.75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205" t="s">
        <v>315</v>
      </c>
      <c r="L403" s="1" t="s">
        <v>315</v>
      </c>
      <c r="M403" s="9"/>
      <c r="N403" s="14">
        <f>Tabela131617[[#This Row],[Valor_recibo]]</f>
        <v>0</v>
      </c>
      <c r="O403" s="16"/>
      <c r="P403" s="1" t="e">
        <f>VLOOKUP(Tabela131617[[#This Row],[DT]],Aprovados!A:A,1,0)</f>
        <v>#N/A</v>
      </c>
      <c r="R403" s="16"/>
      <c r="S403" s="16"/>
      <c r="T403" s="9"/>
      <c r="U403" s="1" t="s">
        <v>315</v>
      </c>
      <c r="W403" s="232"/>
      <c r="X403" s="304"/>
    </row>
    <row r="404" spans="1:24" ht="15.75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205" t="s">
        <v>315</v>
      </c>
      <c r="L404" s="1" t="s">
        <v>315</v>
      </c>
      <c r="M404" s="9"/>
      <c r="N404" s="14">
        <f>Tabela131617[[#This Row],[Valor_recibo]]</f>
        <v>0</v>
      </c>
      <c r="O404" s="16"/>
      <c r="P404" s="1" t="e">
        <f>VLOOKUP(Tabela131617[[#This Row],[DT]],Aprovados!A:A,1,0)</f>
        <v>#N/A</v>
      </c>
      <c r="R404" s="16"/>
      <c r="S404" s="16"/>
      <c r="T404" s="9"/>
      <c r="U404" s="1" t="s">
        <v>315</v>
      </c>
      <c r="W404" s="232"/>
      <c r="X404" s="304"/>
    </row>
    <row r="405" spans="1:24" ht="15.75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205" t="s">
        <v>315</v>
      </c>
      <c r="L405" s="1" t="s">
        <v>315</v>
      </c>
      <c r="M405" s="9"/>
      <c r="N405" s="14">
        <f>Tabela131617[[#This Row],[Valor_recibo]]</f>
        <v>0</v>
      </c>
      <c r="O405" s="16"/>
      <c r="P405" s="1" t="e">
        <f>VLOOKUP(Tabela131617[[#This Row],[DT]],Aprovados!A:A,1,0)</f>
        <v>#N/A</v>
      </c>
      <c r="R405" s="16"/>
      <c r="S405" s="16"/>
      <c r="T405" s="9"/>
      <c r="U405" s="1" t="s">
        <v>315</v>
      </c>
      <c r="W405" s="232"/>
      <c r="X405" s="304"/>
    </row>
    <row r="406" spans="1:24" ht="15.75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205" t="s">
        <v>315</v>
      </c>
      <c r="L406" s="1" t="s">
        <v>315</v>
      </c>
      <c r="M406" s="9"/>
      <c r="N406" s="14">
        <f>Tabela131617[[#This Row],[Valor_recibo]]</f>
        <v>0</v>
      </c>
      <c r="O406" s="16"/>
      <c r="P406" s="1" t="e">
        <f>VLOOKUP(Tabela131617[[#This Row],[DT]],Aprovados!A:A,1,0)</f>
        <v>#N/A</v>
      </c>
      <c r="R406" s="16"/>
      <c r="S406" s="16"/>
      <c r="T406" s="9"/>
      <c r="U406" s="1" t="s">
        <v>315</v>
      </c>
      <c r="W406" s="232"/>
      <c r="X406" s="304"/>
    </row>
    <row r="407" spans="1:24" ht="15.75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205" t="s">
        <v>315</v>
      </c>
      <c r="L407" s="1" t="s">
        <v>315</v>
      </c>
      <c r="M407" s="9"/>
      <c r="N407" s="14">
        <f>Tabela131617[[#This Row],[Valor_recibo]]</f>
        <v>0</v>
      </c>
      <c r="O407" s="16"/>
      <c r="P407" s="1" t="e">
        <f>VLOOKUP(Tabela131617[[#This Row],[DT]],Aprovados!A:A,1,0)</f>
        <v>#N/A</v>
      </c>
      <c r="R407" s="16"/>
      <c r="S407" s="16"/>
      <c r="T407" s="9"/>
      <c r="U407" s="1" t="s">
        <v>315</v>
      </c>
      <c r="W407" s="232"/>
      <c r="X407" s="304"/>
    </row>
    <row r="408" spans="1:24" ht="15.75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205" t="s">
        <v>315</v>
      </c>
      <c r="L408" s="1" t="s">
        <v>315</v>
      </c>
      <c r="M408" s="9"/>
      <c r="N408" s="14">
        <f>Tabela131617[[#This Row],[Valor_recibo]]</f>
        <v>0</v>
      </c>
      <c r="O408" s="16"/>
      <c r="P408" s="1" t="e">
        <f>VLOOKUP(Tabela131617[[#This Row],[DT]],Aprovados!A:A,1,0)</f>
        <v>#N/A</v>
      </c>
      <c r="R408" s="16"/>
      <c r="S408" s="16"/>
      <c r="T408" s="9"/>
      <c r="U408" s="1" t="s">
        <v>315</v>
      </c>
      <c r="W408" s="232"/>
      <c r="X408" s="304"/>
    </row>
    <row r="409" spans="1:24" ht="15.75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205" t="s">
        <v>315</v>
      </c>
      <c r="L409" s="1" t="s">
        <v>315</v>
      </c>
      <c r="M409" s="9"/>
      <c r="N409" s="14">
        <f>Tabela131617[[#This Row],[Valor_recibo]]</f>
        <v>0</v>
      </c>
      <c r="O409" s="16"/>
      <c r="P409" s="1" t="e">
        <f>VLOOKUP(Tabela131617[[#This Row],[DT]],Aprovados!A:A,1,0)</f>
        <v>#N/A</v>
      </c>
      <c r="R409" s="16"/>
      <c r="S409" s="16"/>
      <c r="T409" s="9"/>
      <c r="U409" s="1" t="s">
        <v>315</v>
      </c>
      <c r="W409" s="232"/>
      <c r="X409" s="304"/>
    </row>
    <row r="410" spans="1:24" ht="15.75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205" t="s">
        <v>315</v>
      </c>
      <c r="L410" s="1" t="s">
        <v>315</v>
      </c>
      <c r="M410" s="9"/>
      <c r="N410" s="14">
        <f>Tabela131617[[#This Row],[Valor_recibo]]</f>
        <v>0</v>
      </c>
      <c r="O410" s="16"/>
      <c r="P410" s="1" t="e">
        <f>VLOOKUP(Tabela131617[[#This Row],[DT]],Aprovados!A:A,1,0)</f>
        <v>#N/A</v>
      </c>
      <c r="R410" s="16"/>
      <c r="S410" s="16"/>
      <c r="T410" s="9"/>
      <c r="U410" s="1" t="s">
        <v>315</v>
      </c>
      <c r="W410" s="232"/>
      <c r="X410" s="304"/>
    </row>
    <row r="411" spans="1:24" ht="15.75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205" t="s">
        <v>315</v>
      </c>
      <c r="L411" s="1" t="s">
        <v>315</v>
      </c>
      <c r="M411" s="9"/>
      <c r="N411" s="14">
        <f>Tabela131617[[#This Row],[Valor_recibo]]</f>
        <v>0</v>
      </c>
      <c r="O411" s="16"/>
      <c r="P411" s="1" t="e">
        <f>VLOOKUP(Tabela131617[[#This Row],[DT]],Aprovados!A:A,1,0)</f>
        <v>#N/A</v>
      </c>
      <c r="R411" s="16"/>
      <c r="S411" s="16"/>
      <c r="T411" s="9"/>
      <c r="U411" s="1" t="s">
        <v>315</v>
      </c>
      <c r="W411" s="232"/>
      <c r="X411" s="304"/>
    </row>
    <row r="412" spans="1:24" ht="15.75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205" t="s">
        <v>315</v>
      </c>
      <c r="L412" s="1" t="s">
        <v>315</v>
      </c>
      <c r="M412" s="9"/>
      <c r="N412" s="14">
        <f>Tabela131617[[#This Row],[Valor_recibo]]</f>
        <v>0</v>
      </c>
      <c r="O412" s="16"/>
      <c r="P412" s="1" t="e">
        <f>VLOOKUP(Tabela131617[[#This Row],[DT]],Aprovados!A:A,1,0)</f>
        <v>#N/A</v>
      </c>
      <c r="R412" s="16"/>
      <c r="S412" s="16"/>
      <c r="T412" s="9"/>
      <c r="U412" s="1" t="s">
        <v>315</v>
      </c>
      <c r="W412" s="232"/>
      <c r="X412" s="304"/>
    </row>
    <row r="413" spans="1:24" ht="15.75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205" t="s">
        <v>315</v>
      </c>
      <c r="L413" s="1" t="s">
        <v>315</v>
      </c>
      <c r="M413" s="9"/>
      <c r="N413" s="14">
        <f>Tabela131617[[#This Row],[Valor_recibo]]</f>
        <v>0</v>
      </c>
      <c r="O413" s="16"/>
      <c r="P413" s="1" t="e">
        <f>VLOOKUP(Tabela131617[[#This Row],[DT]],Aprovados!A:A,1,0)</f>
        <v>#N/A</v>
      </c>
      <c r="R413" s="16"/>
      <c r="S413" s="16"/>
      <c r="T413" s="9"/>
      <c r="U413" s="1" t="s">
        <v>315</v>
      </c>
      <c r="W413" s="232"/>
      <c r="X413" s="304"/>
    </row>
    <row r="414" spans="1:24" ht="15.75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205" t="s">
        <v>315</v>
      </c>
      <c r="L414" s="1" t="s">
        <v>315</v>
      </c>
      <c r="M414" s="9"/>
      <c r="N414" s="14">
        <f>Tabela131617[[#This Row],[Valor_recibo]]</f>
        <v>0</v>
      </c>
      <c r="O414" s="16"/>
      <c r="P414" s="1" t="e">
        <f>VLOOKUP(Tabela131617[[#This Row],[DT]],Aprovados!A:A,1,0)</f>
        <v>#N/A</v>
      </c>
      <c r="R414" s="16"/>
      <c r="S414" s="16"/>
      <c r="T414" s="9"/>
      <c r="U414" s="1" t="s">
        <v>315</v>
      </c>
      <c r="W414" s="232"/>
      <c r="X414" s="304"/>
    </row>
    <row r="415" spans="1:24" ht="15.75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205" t="s">
        <v>315</v>
      </c>
      <c r="L415" s="1" t="s">
        <v>315</v>
      </c>
      <c r="M415" s="9"/>
      <c r="N415" s="14">
        <f>Tabela131617[[#This Row],[Valor_recibo]]</f>
        <v>0</v>
      </c>
      <c r="O415" s="16"/>
      <c r="P415" s="1" t="e">
        <f>VLOOKUP(Tabela131617[[#This Row],[DT]],Aprovados!A:A,1,0)</f>
        <v>#N/A</v>
      </c>
      <c r="R415" s="16"/>
      <c r="S415" s="16"/>
      <c r="T415" s="9"/>
      <c r="U415" s="1" t="s">
        <v>315</v>
      </c>
      <c r="W415" s="232"/>
      <c r="X415" s="304"/>
    </row>
    <row r="416" spans="1:24" ht="15.75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205" t="s">
        <v>315</v>
      </c>
      <c r="L416" s="1" t="s">
        <v>315</v>
      </c>
      <c r="M416" s="9"/>
      <c r="N416" s="14">
        <f>Tabela131617[[#This Row],[Valor_recibo]]</f>
        <v>0</v>
      </c>
      <c r="O416" s="16"/>
      <c r="P416" s="1" t="e">
        <f>VLOOKUP(Tabela131617[[#This Row],[DT]],Aprovados!A:A,1,0)</f>
        <v>#N/A</v>
      </c>
      <c r="R416" s="16"/>
      <c r="S416" s="16"/>
      <c r="T416" s="9"/>
      <c r="U416" s="1" t="s">
        <v>315</v>
      </c>
      <c r="W416" s="232"/>
      <c r="X416" s="304"/>
    </row>
    <row r="417" spans="1:24" ht="15.75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205" t="s">
        <v>315</v>
      </c>
      <c r="L417" s="1" t="s">
        <v>315</v>
      </c>
      <c r="M417" s="9"/>
      <c r="N417" s="14">
        <f>Tabela131617[[#This Row],[Valor_recibo]]</f>
        <v>0</v>
      </c>
      <c r="O417" s="16"/>
      <c r="P417" s="1" t="e">
        <f>VLOOKUP(Tabela131617[[#This Row],[DT]],Aprovados!A:A,1,0)</f>
        <v>#N/A</v>
      </c>
      <c r="R417" s="16"/>
      <c r="S417" s="16"/>
      <c r="T417" s="9"/>
      <c r="U417" s="1" t="s">
        <v>315</v>
      </c>
      <c r="W417" s="232"/>
      <c r="X417" s="304"/>
    </row>
    <row r="418" spans="1:24" ht="15.75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205" t="s">
        <v>315</v>
      </c>
      <c r="L418" s="1" t="s">
        <v>315</v>
      </c>
      <c r="M418" s="9"/>
      <c r="N418" s="14">
        <f>Tabela131617[[#This Row],[Valor_recibo]]</f>
        <v>0</v>
      </c>
      <c r="O418" s="16"/>
      <c r="P418" s="1" t="e">
        <f>VLOOKUP(Tabela131617[[#This Row],[DT]],Aprovados!A:A,1,0)</f>
        <v>#N/A</v>
      </c>
      <c r="R418" s="16"/>
      <c r="S418" s="16"/>
      <c r="T418" s="9"/>
      <c r="U418" s="1" t="s">
        <v>315</v>
      </c>
      <c r="W418" s="232"/>
      <c r="X418" s="304"/>
    </row>
    <row r="419" spans="1:24" ht="15.75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205" t="s">
        <v>315</v>
      </c>
      <c r="L419" s="1" t="s">
        <v>315</v>
      </c>
      <c r="M419" s="9"/>
      <c r="N419" s="14">
        <f>Tabela131617[[#This Row],[Valor_recibo]]</f>
        <v>0</v>
      </c>
      <c r="O419" s="16"/>
      <c r="P419" s="1" t="e">
        <f>VLOOKUP(Tabela131617[[#This Row],[DT]],Aprovados!A:A,1,0)</f>
        <v>#N/A</v>
      </c>
      <c r="R419" s="16"/>
      <c r="S419" s="16"/>
      <c r="T419" s="9"/>
      <c r="U419" s="1" t="s">
        <v>315</v>
      </c>
      <c r="W419" s="232"/>
      <c r="X419" s="304"/>
    </row>
    <row r="420" spans="1:24" ht="15.75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205" t="s">
        <v>315</v>
      </c>
      <c r="L420" s="1" t="s">
        <v>315</v>
      </c>
      <c r="M420" s="9"/>
      <c r="N420" s="14">
        <f>Tabela131617[[#This Row],[Valor_recibo]]</f>
        <v>0</v>
      </c>
      <c r="O420" s="16"/>
      <c r="P420" s="1" t="e">
        <f>VLOOKUP(Tabela131617[[#This Row],[DT]],Aprovados!A:A,1,0)</f>
        <v>#N/A</v>
      </c>
      <c r="R420" s="16"/>
      <c r="S420" s="16"/>
      <c r="T420" s="9"/>
      <c r="U420" s="1" t="s">
        <v>315</v>
      </c>
      <c r="W420" s="232"/>
      <c r="X420" s="304"/>
    </row>
    <row r="421" spans="1:24" ht="15.75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205" t="s">
        <v>315</v>
      </c>
      <c r="L421" s="1" t="s">
        <v>315</v>
      </c>
      <c r="M421" s="9"/>
      <c r="N421" s="14">
        <f>Tabela131617[[#This Row],[Valor_recibo]]</f>
        <v>0</v>
      </c>
      <c r="O421" s="16"/>
      <c r="P421" s="1" t="e">
        <f>VLOOKUP(Tabela131617[[#This Row],[DT]],Aprovados!A:A,1,0)</f>
        <v>#N/A</v>
      </c>
      <c r="R421" s="16"/>
      <c r="S421" s="16"/>
      <c r="T421" s="9"/>
      <c r="U421" s="1" t="s">
        <v>315</v>
      </c>
      <c r="W421" s="232"/>
      <c r="X421" s="304"/>
    </row>
    <row r="422" spans="1:24" ht="15.75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205" t="s">
        <v>315</v>
      </c>
      <c r="L422" s="1" t="s">
        <v>315</v>
      </c>
      <c r="M422" s="9"/>
      <c r="N422" s="14">
        <f>Tabela131617[[#This Row],[Valor_recibo]]</f>
        <v>0</v>
      </c>
      <c r="O422" s="16"/>
      <c r="P422" s="1" t="e">
        <f>VLOOKUP(Tabela131617[[#This Row],[DT]],Aprovados!A:A,1,0)</f>
        <v>#N/A</v>
      </c>
      <c r="R422" s="16"/>
      <c r="S422" s="16"/>
      <c r="T422" s="9"/>
      <c r="U422" s="1" t="s">
        <v>315</v>
      </c>
      <c r="W422" s="232"/>
      <c r="X422" s="304"/>
    </row>
    <row r="423" spans="1:24" ht="15.75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205" t="s">
        <v>315</v>
      </c>
      <c r="L423" s="1" t="s">
        <v>315</v>
      </c>
      <c r="M423" s="9"/>
      <c r="N423" s="14">
        <f>Tabela131617[[#This Row],[Valor_recibo]]</f>
        <v>0</v>
      </c>
      <c r="O423" s="16"/>
      <c r="P423" s="1" t="e">
        <f>VLOOKUP(Tabela131617[[#This Row],[DT]],Aprovados!A:A,1,0)</f>
        <v>#N/A</v>
      </c>
      <c r="R423" s="16"/>
      <c r="S423" s="16"/>
      <c r="T423" s="9"/>
      <c r="U423" s="1" t="s">
        <v>315</v>
      </c>
      <c r="W423" s="232"/>
      <c r="X423" s="304"/>
    </row>
    <row r="424" spans="1:24" ht="15.75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205" t="s">
        <v>315</v>
      </c>
      <c r="L424" s="1" t="s">
        <v>315</v>
      </c>
      <c r="M424" s="9"/>
      <c r="N424" s="14">
        <f>Tabela131617[[#This Row],[Valor_recibo]]</f>
        <v>0</v>
      </c>
      <c r="O424" s="16"/>
      <c r="P424" s="1" t="e">
        <f>VLOOKUP(Tabela131617[[#This Row],[DT]],Aprovados!A:A,1,0)</f>
        <v>#N/A</v>
      </c>
      <c r="R424" s="16"/>
      <c r="S424" s="16"/>
      <c r="T424" s="9"/>
      <c r="U424" s="1" t="s">
        <v>315</v>
      </c>
      <c r="W424" s="232"/>
      <c r="X424" s="304"/>
    </row>
    <row r="425" spans="1:24" ht="15.75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205" t="s">
        <v>315</v>
      </c>
      <c r="L425" s="1" t="s">
        <v>315</v>
      </c>
      <c r="M425" s="9"/>
      <c r="N425" s="14">
        <f>Tabela131617[[#This Row],[Valor_recibo]]</f>
        <v>0</v>
      </c>
      <c r="O425" s="16"/>
      <c r="P425" s="1" t="e">
        <f>VLOOKUP(Tabela131617[[#This Row],[DT]],Aprovados!A:A,1,0)</f>
        <v>#N/A</v>
      </c>
      <c r="R425" s="16"/>
      <c r="S425" s="16"/>
      <c r="T425" s="9"/>
      <c r="U425" s="1" t="s">
        <v>315</v>
      </c>
      <c r="W425" s="232"/>
      <c r="X425" s="304"/>
    </row>
    <row r="426" spans="1:24" ht="15.75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205" t="s">
        <v>315</v>
      </c>
      <c r="L426" s="1" t="s">
        <v>315</v>
      </c>
      <c r="M426" s="9"/>
      <c r="N426" s="14">
        <f>Tabela131617[[#This Row],[Valor_recibo]]</f>
        <v>0</v>
      </c>
      <c r="O426" s="16"/>
      <c r="P426" s="1" t="e">
        <f>VLOOKUP(Tabela131617[[#This Row],[DT]],Aprovados!A:A,1,0)</f>
        <v>#N/A</v>
      </c>
      <c r="R426" s="16"/>
      <c r="S426" s="16"/>
      <c r="T426" s="9"/>
      <c r="U426" s="1" t="s">
        <v>315</v>
      </c>
      <c r="W426" s="232"/>
      <c r="X426" s="304"/>
    </row>
    <row r="427" spans="1:24" ht="15.75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205" t="s">
        <v>315</v>
      </c>
      <c r="L427" s="1" t="s">
        <v>315</v>
      </c>
      <c r="M427" s="9"/>
      <c r="N427" s="14">
        <f>Tabela131617[[#This Row],[Valor_recibo]]</f>
        <v>0</v>
      </c>
      <c r="O427" s="16"/>
      <c r="P427" s="1" t="e">
        <f>VLOOKUP(Tabela131617[[#This Row],[DT]],Aprovados!A:A,1,0)</f>
        <v>#N/A</v>
      </c>
      <c r="R427" s="16"/>
      <c r="S427" s="16"/>
      <c r="T427" s="9"/>
      <c r="U427" s="1" t="s">
        <v>315</v>
      </c>
      <c r="W427" s="232"/>
      <c r="X427" s="304"/>
    </row>
    <row r="428" spans="1:24" ht="15.75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205" t="s">
        <v>315</v>
      </c>
      <c r="L428" s="1" t="s">
        <v>315</v>
      </c>
      <c r="M428" s="9"/>
      <c r="N428" s="14">
        <f>Tabela131617[[#This Row],[Valor_recibo]]</f>
        <v>0</v>
      </c>
      <c r="O428" s="16"/>
      <c r="P428" s="1" t="e">
        <f>VLOOKUP(Tabela131617[[#This Row],[DT]],Aprovados!A:A,1,0)</f>
        <v>#N/A</v>
      </c>
      <c r="R428" s="16"/>
      <c r="S428" s="16"/>
      <c r="T428" s="9"/>
      <c r="U428" s="1" t="s">
        <v>315</v>
      </c>
      <c r="W428" s="232"/>
      <c r="X428" s="304"/>
    </row>
    <row r="429" spans="1:24" ht="15.75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205" t="s">
        <v>315</v>
      </c>
      <c r="L429" s="1" t="s">
        <v>315</v>
      </c>
      <c r="M429" s="9"/>
      <c r="N429" s="14">
        <f>Tabela131617[[#This Row],[Valor_recibo]]</f>
        <v>0</v>
      </c>
      <c r="O429" s="16"/>
      <c r="P429" s="1" t="e">
        <f>VLOOKUP(Tabela131617[[#This Row],[DT]],Aprovados!A:A,1,0)</f>
        <v>#N/A</v>
      </c>
      <c r="R429" s="16"/>
      <c r="S429" s="16"/>
      <c r="T429" s="9"/>
      <c r="U429" s="1" t="s">
        <v>315</v>
      </c>
      <c r="W429" s="232"/>
      <c r="X429" s="304"/>
    </row>
    <row r="430" spans="1:24" ht="15.75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205" t="s">
        <v>315</v>
      </c>
      <c r="L430" s="1" t="s">
        <v>315</v>
      </c>
      <c r="M430" s="9"/>
      <c r="N430" s="14">
        <f>Tabela131617[[#This Row],[Valor_recibo]]</f>
        <v>0</v>
      </c>
      <c r="O430" s="16"/>
      <c r="P430" s="1" t="e">
        <f>VLOOKUP(Tabela131617[[#This Row],[DT]],Aprovados!A:A,1,0)</f>
        <v>#N/A</v>
      </c>
      <c r="R430" s="16"/>
      <c r="S430" s="16"/>
      <c r="T430" s="9"/>
      <c r="U430" s="1" t="s">
        <v>315</v>
      </c>
      <c r="W430" s="232"/>
      <c r="X430" s="304"/>
    </row>
    <row r="431" spans="1:24" ht="15.75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205" t="s">
        <v>315</v>
      </c>
      <c r="L431" s="1" t="s">
        <v>315</v>
      </c>
      <c r="M431" s="9"/>
      <c r="N431" s="14">
        <f>Tabela131617[[#This Row],[Valor_recibo]]</f>
        <v>0</v>
      </c>
      <c r="O431" s="16"/>
      <c r="P431" s="1" t="e">
        <f>VLOOKUP(Tabela131617[[#This Row],[DT]],Aprovados!A:A,1,0)</f>
        <v>#N/A</v>
      </c>
      <c r="R431" s="16"/>
      <c r="S431" s="16"/>
      <c r="T431" s="9"/>
      <c r="U431" s="1" t="s">
        <v>315</v>
      </c>
      <c r="W431" s="232"/>
      <c r="X431" s="304"/>
    </row>
    <row r="432" spans="1:24" ht="15.75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205" t="s">
        <v>315</v>
      </c>
      <c r="L432" s="1" t="s">
        <v>315</v>
      </c>
      <c r="M432" s="9"/>
      <c r="N432" s="14">
        <f>Tabela131617[[#This Row],[Valor_recibo]]</f>
        <v>0</v>
      </c>
      <c r="O432" s="16"/>
      <c r="P432" s="1" t="e">
        <f>VLOOKUP(Tabela131617[[#This Row],[DT]],Aprovados!A:A,1,0)</f>
        <v>#N/A</v>
      </c>
      <c r="R432" s="16"/>
      <c r="S432" s="16"/>
      <c r="T432" s="9"/>
      <c r="U432" s="1" t="s">
        <v>315</v>
      </c>
      <c r="W432" s="232"/>
      <c r="X432" s="304"/>
    </row>
    <row r="433" spans="1:24" ht="15.75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205" t="s">
        <v>315</v>
      </c>
      <c r="L433" s="1" t="s">
        <v>315</v>
      </c>
      <c r="M433" s="9"/>
      <c r="N433" s="14">
        <f>Tabela131617[[#This Row],[Valor_recibo]]</f>
        <v>0</v>
      </c>
      <c r="O433" s="16"/>
      <c r="P433" s="1" t="e">
        <f>VLOOKUP(Tabela131617[[#This Row],[DT]],Aprovados!A:A,1,0)</f>
        <v>#N/A</v>
      </c>
      <c r="R433" s="16"/>
      <c r="S433" s="16"/>
      <c r="T433" s="9"/>
      <c r="U433" s="1" t="s">
        <v>315</v>
      </c>
      <c r="W433" s="232"/>
      <c r="X433" s="304"/>
    </row>
    <row r="434" spans="1:24" ht="15.75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205" t="s">
        <v>315</v>
      </c>
      <c r="L434" s="1" t="s">
        <v>315</v>
      </c>
      <c r="M434" s="9"/>
      <c r="N434" s="14">
        <f>Tabela131617[[#This Row],[Valor_recibo]]</f>
        <v>0</v>
      </c>
      <c r="O434" s="16"/>
      <c r="P434" s="1" t="e">
        <f>VLOOKUP(Tabela131617[[#This Row],[DT]],Aprovados!A:A,1,0)</f>
        <v>#N/A</v>
      </c>
      <c r="R434" s="16"/>
      <c r="S434" s="16"/>
      <c r="T434" s="9"/>
      <c r="U434" s="1" t="s">
        <v>315</v>
      </c>
      <c r="W434" s="232"/>
      <c r="X434" s="304"/>
    </row>
    <row r="435" spans="1:24" ht="15.75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205" t="s">
        <v>315</v>
      </c>
      <c r="L435" s="1" t="s">
        <v>315</v>
      </c>
      <c r="M435" s="9"/>
      <c r="N435" s="14">
        <f>Tabela131617[[#This Row],[Valor_recibo]]</f>
        <v>0</v>
      </c>
      <c r="O435" s="16"/>
      <c r="P435" s="1" t="e">
        <f>VLOOKUP(Tabela131617[[#This Row],[DT]],Aprovados!A:A,1,0)</f>
        <v>#N/A</v>
      </c>
      <c r="R435" s="16"/>
      <c r="S435" s="16"/>
      <c r="T435" s="9"/>
      <c r="U435" s="1" t="s">
        <v>315</v>
      </c>
      <c r="W435" s="232"/>
      <c r="X435" s="304"/>
    </row>
    <row r="436" spans="1:24" ht="15.75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205" t="s">
        <v>315</v>
      </c>
      <c r="L436" s="1" t="s">
        <v>315</v>
      </c>
      <c r="M436" s="9"/>
      <c r="N436" s="14">
        <f>Tabela131617[[#This Row],[Valor_recibo]]</f>
        <v>0</v>
      </c>
      <c r="O436" s="16"/>
      <c r="P436" s="1" t="e">
        <f>VLOOKUP(Tabela131617[[#This Row],[DT]],Aprovados!A:A,1,0)</f>
        <v>#N/A</v>
      </c>
      <c r="R436" s="16"/>
      <c r="S436" s="16"/>
      <c r="T436" s="9"/>
      <c r="U436" s="1" t="s">
        <v>315</v>
      </c>
      <c r="W436" s="232"/>
      <c r="X436" s="304"/>
    </row>
    <row r="437" spans="1:24" ht="15.75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205" t="s">
        <v>315</v>
      </c>
      <c r="L437" s="1" t="s">
        <v>315</v>
      </c>
      <c r="M437" s="9"/>
      <c r="N437" s="14">
        <f>Tabela131617[[#This Row],[Valor_recibo]]</f>
        <v>0</v>
      </c>
      <c r="O437" s="16"/>
      <c r="P437" s="1" t="e">
        <f>VLOOKUP(Tabela131617[[#This Row],[DT]],Aprovados!A:A,1,0)</f>
        <v>#N/A</v>
      </c>
      <c r="R437" s="16"/>
      <c r="S437" s="16"/>
      <c r="T437" s="9"/>
      <c r="U437" s="1" t="s">
        <v>315</v>
      </c>
      <c r="W437" s="232"/>
      <c r="X437" s="304"/>
    </row>
    <row r="438" spans="1:24" ht="15.75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205" t="s">
        <v>315</v>
      </c>
      <c r="L438" s="1" t="s">
        <v>315</v>
      </c>
      <c r="M438" s="9"/>
      <c r="N438" s="14">
        <f>Tabela131617[[#This Row],[Valor_recibo]]</f>
        <v>0</v>
      </c>
      <c r="O438" s="16"/>
      <c r="P438" s="1" t="e">
        <f>VLOOKUP(Tabela131617[[#This Row],[DT]],Aprovados!A:A,1,0)</f>
        <v>#N/A</v>
      </c>
      <c r="R438" s="16"/>
      <c r="S438" s="16"/>
      <c r="T438" s="9"/>
      <c r="U438" s="1" t="s">
        <v>315</v>
      </c>
      <c r="W438" s="232"/>
      <c r="X438" s="304"/>
    </row>
    <row r="439" spans="1:24" ht="15.75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205" t="s">
        <v>315</v>
      </c>
      <c r="L439" s="1" t="s">
        <v>315</v>
      </c>
      <c r="M439" s="9"/>
      <c r="N439" s="14">
        <f>Tabela131617[[#This Row],[Valor_recibo]]</f>
        <v>0</v>
      </c>
      <c r="O439" s="16"/>
      <c r="P439" s="1" t="e">
        <f>VLOOKUP(Tabela131617[[#This Row],[DT]],Aprovados!A:A,1,0)</f>
        <v>#N/A</v>
      </c>
      <c r="R439" s="16"/>
      <c r="S439" s="16"/>
      <c r="T439" s="9"/>
      <c r="U439" s="1" t="s">
        <v>315</v>
      </c>
      <c r="W439" s="232"/>
      <c r="X439" s="304"/>
    </row>
    <row r="440" spans="1:24" ht="15.75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205" t="s">
        <v>315</v>
      </c>
      <c r="L440" s="1" t="s">
        <v>315</v>
      </c>
      <c r="M440" s="9"/>
      <c r="N440" s="14">
        <f>Tabela131617[[#This Row],[Valor_recibo]]</f>
        <v>0</v>
      </c>
      <c r="O440" s="16"/>
      <c r="P440" s="1" t="e">
        <f>VLOOKUP(Tabela131617[[#This Row],[DT]],Aprovados!A:A,1,0)</f>
        <v>#N/A</v>
      </c>
      <c r="R440" s="16"/>
      <c r="S440" s="16"/>
      <c r="T440" s="9"/>
      <c r="U440" s="1" t="s">
        <v>315</v>
      </c>
      <c r="W440" s="232"/>
      <c r="X440" s="304"/>
    </row>
    <row r="441" spans="1:24" ht="15.75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205" t="s">
        <v>315</v>
      </c>
      <c r="L441" s="1" t="s">
        <v>315</v>
      </c>
      <c r="M441" s="9"/>
      <c r="N441" s="14">
        <f>Tabela131617[[#This Row],[Valor_recibo]]</f>
        <v>0</v>
      </c>
      <c r="O441" s="16"/>
      <c r="P441" s="1" t="e">
        <f>VLOOKUP(Tabela131617[[#This Row],[DT]],Aprovados!A:A,1,0)</f>
        <v>#N/A</v>
      </c>
      <c r="R441" s="16"/>
      <c r="S441" s="16"/>
      <c r="T441" s="9"/>
      <c r="U441" s="1" t="s">
        <v>315</v>
      </c>
      <c r="W441" s="232"/>
      <c r="X441" s="304"/>
    </row>
    <row r="442" spans="1:24" ht="15.75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205" t="s">
        <v>315</v>
      </c>
      <c r="L442" s="1" t="s">
        <v>315</v>
      </c>
      <c r="M442" s="9"/>
      <c r="N442" s="14">
        <f>Tabela131617[[#This Row],[Valor_recibo]]</f>
        <v>0</v>
      </c>
      <c r="O442" s="16"/>
      <c r="P442" s="1" t="e">
        <f>VLOOKUP(Tabela131617[[#This Row],[DT]],Aprovados!A:A,1,0)</f>
        <v>#N/A</v>
      </c>
      <c r="R442" s="16"/>
      <c r="S442" s="16"/>
      <c r="T442" s="9"/>
      <c r="U442" s="1" t="s">
        <v>315</v>
      </c>
      <c r="W442" s="232"/>
      <c r="X442" s="304"/>
    </row>
    <row r="443" spans="1:24" ht="15.75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205" t="s">
        <v>315</v>
      </c>
      <c r="L443" s="1" t="s">
        <v>315</v>
      </c>
      <c r="M443" s="9"/>
      <c r="N443" s="14">
        <f>Tabela131617[[#This Row],[Valor_recibo]]</f>
        <v>0</v>
      </c>
      <c r="O443" s="16"/>
      <c r="P443" s="1" t="e">
        <f>VLOOKUP(Tabela131617[[#This Row],[DT]],Aprovados!A:A,1,0)</f>
        <v>#N/A</v>
      </c>
      <c r="R443" s="16"/>
      <c r="S443" s="16"/>
      <c r="T443" s="9"/>
      <c r="U443" s="1" t="s">
        <v>315</v>
      </c>
      <c r="W443" s="232"/>
      <c r="X443" s="304"/>
    </row>
    <row r="444" spans="1:24" ht="15.75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205" t="s">
        <v>315</v>
      </c>
      <c r="L444" s="1" t="s">
        <v>315</v>
      </c>
      <c r="M444" s="9"/>
      <c r="N444" s="14">
        <f>Tabela131617[[#This Row],[Valor_recibo]]</f>
        <v>0</v>
      </c>
      <c r="O444" s="16"/>
      <c r="P444" s="1" t="e">
        <f>VLOOKUP(Tabela131617[[#This Row],[DT]],Aprovados!A:A,1,0)</f>
        <v>#N/A</v>
      </c>
      <c r="R444" s="16"/>
      <c r="S444" s="16"/>
      <c r="T444" s="9"/>
      <c r="U444" s="1" t="s">
        <v>315</v>
      </c>
      <c r="W444" s="232"/>
      <c r="X444" s="304"/>
    </row>
    <row r="445" spans="1:24" ht="15.75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205" t="s">
        <v>315</v>
      </c>
      <c r="L445" s="1" t="s">
        <v>315</v>
      </c>
      <c r="M445" s="9"/>
      <c r="N445" s="14">
        <f>Tabela131617[[#This Row],[Valor_recibo]]</f>
        <v>0</v>
      </c>
      <c r="O445" s="16"/>
      <c r="P445" s="1" t="e">
        <f>VLOOKUP(Tabela131617[[#This Row],[DT]],Aprovados!A:A,1,0)</f>
        <v>#N/A</v>
      </c>
      <c r="R445" s="16"/>
      <c r="S445" s="16"/>
      <c r="T445" s="9"/>
      <c r="U445" s="1" t="s">
        <v>315</v>
      </c>
      <c r="W445" s="232"/>
      <c r="X445" s="304"/>
    </row>
    <row r="446" spans="1:24" ht="15.75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205" t="s">
        <v>315</v>
      </c>
      <c r="L446" s="1" t="s">
        <v>315</v>
      </c>
      <c r="M446" s="9"/>
      <c r="N446" s="14">
        <f>Tabela131617[[#This Row],[Valor_recibo]]</f>
        <v>0</v>
      </c>
      <c r="O446" s="16"/>
      <c r="P446" s="1" t="e">
        <f>VLOOKUP(Tabela131617[[#This Row],[DT]],Aprovados!A:A,1,0)</f>
        <v>#N/A</v>
      </c>
      <c r="R446" s="16"/>
      <c r="S446" s="16"/>
      <c r="T446" s="9"/>
      <c r="U446" s="1" t="s">
        <v>315</v>
      </c>
      <c r="W446" s="232"/>
      <c r="X446" s="304"/>
    </row>
    <row r="447" spans="1:24" ht="15.75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205" t="s">
        <v>315</v>
      </c>
      <c r="L447" s="1" t="s">
        <v>315</v>
      </c>
      <c r="M447" s="9"/>
      <c r="N447" s="14">
        <f>Tabela131617[[#This Row],[Valor_recibo]]</f>
        <v>0</v>
      </c>
      <c r="O447" s="16"/>
      <c r="P447" s="1" t="e">
        <f>VLOOKUP(Tabela131617[[#This Row],[DT]],Aprovados!A:A,1,0)</f>
        <v>#N/A</v>
      </c>
      <c r="R447" s="16"/>
      <c r="S447" s="16"/>
      <c r="T447" s="9"/>
      <c r="U447" s="1" t="s">
        <v>315</v>
      </c>
      <c r="W447" s="232"/>
      <c r="X447" s="304"/>
    </row>
    <row r="448" spans="1:24" ht="15.75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205" t="s">
        <v>315</v>
      </c>
      <c r="L448" s="1" t="s">
        <v>315</v>
      </c>
      <c r="M448" s="9"/>
      <c r="N448" s="14">
        <f>Tabela131617[[#This Row],[Valor_recibo]]</f>
        <v>0</v>
      </c>
      <c r="O448" s="16"/>
      <c r="P448" s="1" t="e">
        <f>VLOOKUP(Tabela131617[[#This Row],[DT]],Aprovados!A:A,1,0)</f>
        <v>#N/A</v>
      </c>
      <c r="R448" s="16"/>
      <c r="S448" s="16"/>
      <c r="T448" s="9"/>
      <c r="U448" s="1" t="s">
        <v>315</v>
      </c>
      <c r="W448" s="232"/>
      <c r="X448" s="304"/>
    </row>
    <row r="449" spans="1:24" ht="15.75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205" t="s">
        <v>315</v>
      </c>
      <c r="L449" s="1" t="s">
        <v>315</v>
      </c>
      <c r="M449" s="9"/>
      <c r="N449" s="14">
        <f>Tabela131617[[#This Row],[Valor_recibo]]</f>
        <v>0</v>
      </c>
      <c r="O449" s="16"/>
      <c r="P449" s="1" t="e">
        <f>VLOOKUP(Tabela131617[[#This Row],[DT]],Aprovados!A:A,1,0)</f>
        <v>#N/A</v>
      </c>
      <c r="R449" s="16"/>
      <c r="S449" s="16"/>
      <c r="T449" s="9"/>
      <c r="U449" s="1" t="s">
        <v>315</v>
      </c>
      <c r="W449" s="232"/>
      <c r="X449" s="304"/>
    </row>
    <row r="450" spans="1:24" ht="15.75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205" t="s">
        <v>315</v>
      </c>
      <c r="L450" s="1" t="s">
        <v>315</v>
      </c>
      <c r="M450" s="9"/>
      <c r="N450" s="14">
        <f>Tabela131617[[#This Row],[Valor_recibo]]</f>
        <v>0</v>
      </c>
      <c r="O450" s="16"/>
      <c r="P450" s="1" t="e">
        <f>VLOOKUP(Tabela131617[[#This Row],[DT]],Aprovados!A:A,1,0)</f>
        <v>#N/A</v>
      </c>
      <c r="R450" s="16"/>
      <c r="S450" s="16"/>
      <c r="T450" s="9"/>
      <c r="U450" s="1" t="s">
        <v>315</v>
      </c>
      <c r="W450" s="232"/>
      <c r="X450" s="304"/>
    </row>
    <row r="451" spans="1:24" ht="15.75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205" t="s">
        <v>315</v>
      </c>
      <c r="L451" s="1" t="s">
        <v>315</v>
      </c>
      <c r="M451" s="9"/>
      <c r="N451" s="14">
        <f>Tabela131617[[#This Row],[Valor_recibo]]</f>
        <v>0</v>
      </c>
      <c r="O451" s="16"/>
      <c r="P451" s="1" t="e">
        <f>VLOOKUP(Tabela131617[[#This Row],[DT]],Aprovados!A:A,1,0)</f>
        <v>#N/A</v>
      </c>
      <c r="R451" s="16"/>
      <c r="S451" s="16"/>
      <c r="T451" s="9"/>
      <c r="U451" s="1" t="s">
        <v>315</v>
      </c>
      <c r="W451" s="232"/>
      <c r="X451" s="304"/>
    </row>
    <row r="452" spans="1:24" ht="15.75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205" t="s">
        <v>315</v>
      </c>
      <c r="L452" s="1" t="s">
        <v>315</v>
      </c>
      <c r="M452" s="9"/>
      <c r="N452" s="14">
        <f>Tabela131617[[#This Row],[Valor_recibo]]</f>
        <v>0</v>
      </c>
      <c r="O452" s="16"/>
      <c r="P452" s="1" t="e">
        <f>VLOOKUP(Tabela131617[[#This Row],[DT]],Aprovados!A:A,1,0)</f>
        <v>#N/A</v>
      </c>
      <c r="R452" s="16"/>
      <c r="S452" s="16"/>
      <c r="T452" s="9"/>
      <c r="U452" s="1" t="s">
        <v>315</v>
      </c>
      <c r="W452" s="232"/>
      <c r="X452" s="304"/>
    </row>
    <row r="453" spans="1:24" ht="15.75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205" t="s">
        <v>315</v>
      </c>
      <c r="L453" s="1" t="s">
        <v>315</v>
      </c>
      <c r="M453" s="9"/>
      <c r="N453" s="14">
        <f>Tabela131617[[#This Row],[Valor_recibo]]</f>
        <v>0</v>
      </c>
      <c r="O453" s="16"/>
      <c r="P453" s="1" t="e">
        <f>VLOOKUP(Tabela131617[[#This Row],[DT]],Aprovados!A:A,1,0)</f>
        <v>#N/A</v>
      </c>
      <c r="R453" s="16"/>
      <c r="S453" s="16"/>
      <c r="T453" s="9"/>
      <c r="U453" s="1" t="s">
        <v>315</v>
      </c>
      <c r="W453" s="232"/>
      <c r="X453" s="304"/>
    </row>
    <row r="454" spans="1:24" ht="15.75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205" t="s">
        <v>315</v>
      </c>
      <c r="L454" s="1" t="s">
        <v>315</v>
      </c>
      <c r="M454" s="9"/>
      <c r="N454" s="14">
        <f>Tabela131617[[#This Row],[Valor_recibo]]</f>
        <v>0</v>
      </c>
      <c r="O454" s="16"/>
      <c r="P454" s="1" t="e">
        <f>VLOOKUP(Tabela131617[[#This Row],[DT]],Aprovados!A:A,1,0)</f>
        <v>#N/A</v>
      </c>
      <c r="R454" s="16"/>
      <c r="S454" s="16"/>
      <c r="T454" s="9"/>
      <c r="U454" s="1" t="s">
        <v>315</v>
      </c>
      <c r="W454" s="232"/>
      <c r="X454" s="304"/>
    </row>
    <row r="455" spans="1:24" ht="15.75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205" t="s">
        <v>315</v>
      </c>
      <c r="L455" s="1" t="s">
        <v>315</v>
      </c>
      <c r="M455" s="9"/>
      <c r="N455" s="14">
        <f>Tabela131617[[#This Row],[Valor_recibo]]</f>
        <v>0</v>
      </c>
      <c r="O455" s="16"/>
      <c r="P455" s="1" t="e">
        <f>VLOOKUP(Tabela131617[[#This Row],[DT]],Aprovados!A:A,1,0)</f>
        <v>#N/A</v>
      </c>
      <c r="R455" s="16"/>
      <c r="S455" s="16"/>
      <c r="T455" s="9"/>
      <c r="U455" s="1" t="s">
        <v>315</v>
      </c>
      <c r="W455" s="232"/>
      <c r="X455" s="304"/>
    </row>
    <row r="456" spans="1:24" ht="15.75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205" t="s">
        <v>315</v>
      </c>
      <c r="L456" s="1" t="s">
        <v>315</v>
      </c>
      <c r="M456" s="9"/>
      <c r="N456" s="14">
        <f>Tabela131617[[#This Row],[Valor_recibo]]</f>
        <v>0</v>
      </c>
      <c r="O456" s="16"/>
      <c r="P456" s="1" t="e">
        <f>VLOOKUP(Tabela131617[[#This Row],[DT]],Aprovados!A:A,1,0)</f>
        <v>#N/A</v>
      </c>
      <c r="R456" s="16"/>
      <c r="S456" s="16"/>
      <c r="T456" s="9"/>
      <c r="U456" s="1" t="s">
        <v>315</v>
      </c>
      <c r="W456" s="232"/>
      <c r="X456" s="304"/>
    </row>
    <row r="457" spans="1:24" ht="15.75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205" t="s">
        <v>315</v>
      </c>
      <c r="L457" s="1" t="s">
        <v>315</v>
      </c>
      <c r="M457" s="9"/>
      <c r="N457" s="14">
        <f>Tabela131617[[#This Row],[Valor_recibo]]</f>
        <v>0</v>
      </c>
      <c r="O457" s="16"/>
      <c r="P457" s="1" t="e">
        <f>VLOOKUP(Tabela131617[[#This Row],[DT]],Aprovados!A:A,1,0)</f>
        <v>#N/A</v>
      </c>
      <c r="R457" s="16"/>
      <c r="S457" s="16"/>
      <c r="T457" s="9"/>
      <c r="U457" s="1" t="s">
        <v>315</v>
      </c>
      <c r="W457" s="232"/>
      <c r="X457" s="304"/>
    </row>
    <row r="458" spans="1:24" ht="15.75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205" t="s">
        <v>315</v>
      </c>
      <c r="L458" s="1" t="s">
        <v>315</v>
      </c>
      <c r="M458" s="9"/>
      <c r="N458" s="14">
        <f>Tabela131617[[#This Row],[Valor_recibo]]</f>
        <v>0</v>
      </c>
      <c r="O458" s="16"/>
      <c r="P458" s="1" t="e">
        <f>VLOOKUP(Tabela131617[[#This Row],[DT]],Aprovados!A:A,1,0)</f>
        <v>#N/A</v>
      </c>
      <c r="R458" s="16"/>
      <c r="S458" s="16"/>
      <c r="T458" s="9"/>
      <c r="U458" s="1" t="s">
        <v>315</v>
      </c>
      <c r="W458" s="232"/>
      <c r="X458" s="304"/>
    </row>
    <row r="459" spans="1:24" ht="15.75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205" t="s">
        <v>315</v>
      </c>
      <c r="L459" s="1" t="s">
        <v>315</v>
      </c>
      <c r="M459" s="9"/>
      <c r="N459" s="14">
        <f>Tabela131617[[#This Row],[Valor_recibo]]</f>
        <v>0</v>
      </c>
      <c r="O459" s="16"/>
      <c r="P459" s="1" t="e">
        <f>VLOOKUP(Tabela131617[[#This Row],[DT]],Aprovados!A:A,1,0)</f>
        <v>#N/A</v>
      </c>
      <c r="R459" s="16"/>
      <c r="S459" s="16"/>
      <c r="T459" s="9"/>
      <c r="U459" s="1" t="s">
        <v>315</v>
      </c>
      <c r="W459" s="232"/>
      <c r="X459" s="304"/>
    </row>
    <row r="460" spans="1:24" ht="15.75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205" t="s">
        <v>315</v>
      </c>
      <c r="L460" s="1" t="s">
        <v>315</v>
      </c>
      <c r="M460" s="9"/>
      <c r="N460" s="14">
        <f>Tabela131617[[#This Row],[Valor_recibo]]</f>
        <v>0</v>
      </c>
      <c r="O460" s="16"/>
      <c r="P460" s="1" t="e">
        <f>VLOOKUP(Tabela131617[[#This Row],[DT]],Aprovados!A:A,1,0)</f>
        <v>#N/A</v>
      </c>
      <c r="R460" s="16"/>
      <c r="S460" s="16"/>
      <c r="T460" s="9"/>
      <c r="U460" s="1" t="s">
        <v>315</v>
      </c>
      <c r="W460" s="232"/>
      <c r="X460" s="304"/>
    </row>
    <row r="461" spans="1:24" ht="15.75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205" t="s">
        <v>315</v>
      </c>
      <c r="L461" s="1" t="s">
        <v>315</v>
      </c>
      <c r="M461" s="9"/>
      <c r="N461" s="14">
        <f>Tabela131617[[#This Row],[Valor_recibo]]</f>
        <v>0</v>
      </c>
      <c r="O461" s="16"/>
      <c r="P461" s="1" t="e">
        <f>VLOOKUP(Tabela131617[[#This Row],[DT]],Aprovados!A:A,1,0)</f>
        <v>#N/A</v>
      </c>
      <c r="R461" s="16"/>
      <c r="S461" s="16"/>
      <c r="T461" s="9"/>
      <c r="U461" s="1" t="s">
        <v>315</v>
      </c>
      <c r="W461" s="232"/>
      <c r="X461" s="304"/>
    </row>
    <row r="462" spans="1:24" ht="15.75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205" t="s">
        <v>315</v>
      </c>
      <c r="L462" s="1" t="s">
        <v>315</v>
      </c>
      <c r="M462" s="9"/>
      <c r="N462" s="14">
        <f>Tabela131617[[#This Row],[Valor_recibo]]</f>
        <v>0</v>
      </c>
      <c r="O462" s="16"/>
      <c r="P462" s="1" t="e">
        <f>VLOOKUP(Tabela131617[[#This Row],[DT]],Aprovados!A:A,1,0)</f>
        <v>#N/A</v>
      </c>
      <c r="R462" s="16"/>
      <c r="S462" s="16"/>
      <c r="T462" s="9"/>
      <c r="U462" s="1" t="s">
        <v>315</v>
      </c>
      <c r="W462" s="232"/>
      <c r="X462" s="304"/>
    </row>
    <row r="463" spans="1:24" ht="15.75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205" t="s">
        <v>315</v>
      </c>
      <c r="L463" s="1" t="s">
        <v>315</v>
      </c>
      <c r="M463" s="9"/>
      <c r="N463" s="14">
        <f>Tabela131617[[#This Row],[Valor_recibo]]</f>
        <v>0</v>
      </c>
      <c r="O463" s="16"/>
      <c r="P463" s="1" t="e">
        <f>VLOOKUP(Tabela131617[[#This Row],[DT]],Aprovados!A:A,1,0)</f>
        <v>#N/A</v>
      </c>
      <c r="R463" s="16"/>
      <c r="S463" s="16"/>
      <c r="T463" s="9"/>
      <c r="U463" s="1" t="s">
        <v>315</v>
      </c>
      <c r="W463" s="232"/>
      <c r="X463" s="304"/>
    </row>
    <row r="464" spans="1:24" ht="15.75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205" t="s">
        <v>315</v>
      </c>
      <c r="L464" s="1" t="s">
        <v>315</v>
      </c>
      <c r="M464" s="9"/>
      <c r="N464" s="14">
        <f>Tabela131617[[#This Row],[Valor_recibo]]</f>
        <v>0</v>
      </c>
      <c r="O464" s="16"/>
      <c r="P464" s="1" t="e">
        <f>VLOOKUP(Tabela131617[[#This Row],[DT]],Aprovados!A:A,1,0)</f>
        <v>#N/A</v>
      </c>
      <c r="R464" s="16"/>
      <c r="S464" s="16"/>
      <c r="T464" s="9"/>
      <c r="U464" s="1" t="s">
        <v>315</v>
      </c>
      <c r="W464" s="232"/>
      <c r="X464" s="304"/>
    </row>
    <row r="465" spans="1:24" ht="15.75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205" t="s">
        <v>315</v>
      </c>
      <c r="L465" s="1" t="s">
        <v>315</v>
      </c>
      <c r="M465" s="9"/>
      <c r="N465" s="14">
        <f>Tabela131617[[#This Row],[Valor_recibo]]</f>
        <v>0</v>
      </c>
      <c r="O465" s="16"/>
      <c r="P465" s="1" t="e">
        <f>VLOOKUP(Tabela131617[[#This Row],[DT]],Aprovados!A:A,1,0)</f>
        <v>#N/A</v>
      </c>
      <c r="R465" s="16"/>
      <c r="S465" s="16"/>
      <c r="T465" s="9"/>
      <c r="U465" s="1" t="s">
        <v>315</v>
      </c>
      <c r="W465" s="232"/>
      <c r="X465" s="304"/>
    </row>
    <row r="466" spans="1:24" ht="15.75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205" t="s">
        <v>315</v>
      </c>
      <c r="L466" s="1" t="s">
        <v>315</v>
      </c>
      <c r="M466" s="9"/>
      <c r="N466" s="14">
        <f>Tabela131617[[#This Row],[Valor_recibo]]</f>
        <v>0</v>
      </c>
      <c r="O466" s="16"/>
      <c r="P466" s="1" t="e">
        <f>VLOOKUP(Tabela131617[[#This Row],[DT]],Aprovados!A:A,1,0)</f>
        <v>#N/A</v>
      </c>
      <c r="R466" s="16"/>
      <c r="S466" s="16"/>
      <c r="T466" s="9"/>
      <c r="U466" s="1" t="s">
        <v>315</v>
      </c>
      <c r="W466" s="232"/>
      <c r="X466" s="304"/>
    </row>
    <row r="467" spans="1:24" ht="15.75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205" t="s">
        <v>315</v>
      </c>
      <c r="L467" s="1" t="s">
        <v>315</v>
      </c>
      <c r="M467" s="9"/>
      <c r="N467" s="14">
        <f>Tabela131617[[#This Row],[Valor_recibo]]</f>
        <v>0</v>
      </c>
      <c r="O467" s="16"/>
      <c r="P467" s="1" t="e">
        <f>VLOOKUP(Tabela131617[[#This Row],[DT]],Aprovados!A:A,1,0)</f>
        <v>#N/A</v>
      </c>
      <c r="R467" s="16"/>
      <c r="S467" s="16"/>
      <c r="T467" s="9"/>
      <c r="U467" s="1" t="s">
        <v>315</v>
      </c>
      <c r="W467" s="232"/>
      <c r="X467" s="304"/>
    </row>
    <row r="468" spans="1:24" ht="15.75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205" t="s">
        <v>315</v>
      </c>
      <c r="L468" s="1" t="s">
        <v>315</v>
      </c>
      <c r="M468" s="9"/>
      <c r="N468" s="14">
        <f>Tabela131617[[#This Row],[Valor_recibo]]</f>
        <v>0</v>
      </c>
      <c r="O468" s="16"/>
      <c r="P468" s="1" t="e">
        <f>VLOOKUP(Tabela131617[[#This Row],[DT]],Aprovados!A:A,1,0)</f>
        <v>#N/A</v>
      </c>
      <c r="R468" s="16"/>
      <c r="S468" s="16"/>
      <c r="T468" s="9"/>
      <c r="U468" s="1" t="s">
        <v>315</v>
      </c>
      <c r="W468" s="232"/>
      <c r="X468" s="304"/>
    </row>
    <row r="469" spans="1:24" ht="15.75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205" t="s">
        <v>315</v>
      </c>
      <c r="L469" s="1" t="s">
        <v>315</v>
      </c>
      <c r="M469" s="9"/>
      <c r="N469" s="14">
        <f>Tabela131617[[#This Row],[Valor_recibo]]</f>
        <v>0</v>
      </c>
      <c r="O469" s="16"/>
      <c r="P469" s="1" t="e">
        <f>VLOOKUP(Tabela131617[[#This Row],[DT]],Aprovados!A:A,1,0)</f>
        <v>#N/A</v>
      </c>
      <c r="R469" s="16"/>
      <c r="S469" s="16"/>
      <c r="T469" s="9"/>
      <c r="U469" s="1" t="s">
        <v>315</v>
      </c>
      <c r="W469" s="232"/>
      <c r="X469" s="304"/>
    </row>
    <row r="470" spans="1:24" ht="15.75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205" t="s">
        <v>315</v>
      </c>
      <c r="L470" s="1" t="s">
        <v>315</v>
      </c>
      <c r="M470" s="9"/>
      <c r="N470" s="14">
        <f>Tabela131617[[#This Row],[Valor_recibo]]</f>
        <v>0</v>
      </c>
      <c r="O470" s="16"/>
      <c r="P470" s="1" t="e">
        <f>VLOOKUP(Tabela131617[[#This Row],[DT]],Aprovados!A:A,1,0)</f>
        <v>#N/A</v>
      </c>
      <c r="R470" s="16"/>
      <c r="S470" s="16"/>
      <c r="T470" s="9"/>
      <c r="U470" s="1" t="s">
        <v>315</v>
      </c>
      <c r="W470" s="232"/>
      <c r="X470" s="304"/>
    </row>
    <row r="471" spans="1:24" ht="15.75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205" t="s">
        <v>315</v>
      </c>
      <c r="L471" s="1" t="s">
        <v>315</v>
      </c>
      <c r="M471" s="9"/>
      <c r="N471" s="14">
        <f>Tabela131617[[#This Row],[Valor_recibo]]</f>
        <v>0</v>
      </c>
      <c r="O471" s="16"/>
      <c r="P471" s="1" t="e">
        <f>VLOOKUP(Tabela131617[[#This Row],[DT]],Aprovados!A:A,1,0)</f>
        <v>#N/A</v>
      </c>
      <c r="R471" s="16"/>
      <c r="S471" s="16"/>
      <c r="T471" s="9"/>
      <c r="U471" s="1" t="s">
        <v>315</v>
      </c>
      <c r="W471" s="232"/>
      <c r="X471" s="304"/>
    </row>
    <row r="472" spans="1:24" ht="15.75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205" t="s">
        <v>315</v>
      </c>
      <c r="L472" s="1" t="s">
        <v>315</v>
      </c>
      <c r="M472" s="9"/>
      <c r="N472" s="14">
        <f>Tabela131617[[#This Row],[Valor_recibo]]</f>
        <v>0</v>
      </c>
      <c r="O472" s="16"/>
      <c r="P472" s="1" t="e">
        <f>VLOOKUP(Tabela131617[[#This Row],[DT]],Aprovados!A:A,1,0)</f>
        <v>#N/A</v>
      </c>
      <c r="R472" s="16"/>
      <c r="S472" s="16"/>
      <c r="T472" s="9"/>
      <c r="U472" s="1" t="s">
        <v>315</v>
      </c>
      <c r="W472" s="232"/>
      <c r="X472" s="304"/>
    </row>
    <row r="473" spans="1:24" ht="15.75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205" t="s">
        <v>315</v>
      </c>
      <c r="L473" s="1" t="s">
        <v>315</v>
      </c>
      <c r="M473" s="9"/>
      <c r="N473" s="14">
        <f>Tabela131617[[#This Row],[Valor_recibo]]</f>
        <v>0</v>
      </c>
      <c r="O473" s="16"/>
      <c r="P473" s="1" t="e">
        <f>VLOOKUP(Tabela131617[[#This Row],[DT]],Aprovados!A:A,1,0)</f>
        <v>#N/A</v>
      </c>
      <c r="R473" s="16"/>
      <c r="S473" s="16"/>
      <c r="T473" s="9"/>
      <c r="U473" s="1" t="s">
        <v>315</v>
      </c>
      <c r="W473" s="232"/>
      <c r="X473" s="304"/>
    </row>
    <row r="474" spans="1:24" ht="15.75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205" t="s">
        <v>315</v>
      </c>
      <c r="L474" s="1" t="s">
        <v>315</v>
      </c>
      <c r="M474" s="9"/>
      <c r="N474" s="14">
        <f>Tabela131617[[#This Row],[Valor_recibo]]</f>
        <v>0</v>
      </c>
      <c r="O474" s="16"/>
      <c r="P474" s="1" t="e">
        <f>VLOOKUP(Tabela131617[[#This Row],[DT]],Aprovados!A:A,1,0)</f>
        <v>#N/A</v>
      </c>
      <c r="R474" s="16"/>
      <c r="S474" s="16"/>
      <c r="T474" s="9"/>
      <c r="U474" s="1" t="s">
        <v>315</v>
      </c>
      <c r="W474" s="232"/>
      <c r="X474" s="304"/>
    </row>
    <row r="475" spans="1:24" ht="15.75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205" t="s">
        <v>315</v>
      </c>
      <c r="L475" s="1" t="s">
        <v>315</v>
      </c>
      <c r="M475" s="9"/>
      <c r="N475" s="14">
        <f>Tabela131617[[#This Row],[Valor_recibo]]</f>
        <v>0</v>
      </c>
      <c r="O475" s="16"/>
      <c r="P475" s="1" t="e">
        <f>VLOOKUP(Tabela131617[[#This Row],[DT]],Aprovados!A:A,1,0)</f>
        <v>#N/A</v>
      </c>
      <c r="R475" s="16"/>
      <c r="S475" s="16"/>
      <c r="T475" s="9"/>
      <c r="U475" s="1" t="s">
        <v>315</v>
      </c>
      <c r="W475" s="232"/>
      <c r="X475" s="304"/>
    </row>
    <row r="476" spans="1:24" ht="15.75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205" t="s">
        <v>315</v>
      </c>
      <c r="L476" s="1" t="s">
        <v>315</v>
      </c>
      <c r="M476" s="9"/>
      <c r="N476" s="14">
        <f>Tabela131617[[#This Row],[Valor_recibo]]</f>
        <v>0</v>
      </c>
      <c r="O476" s="16"/>
      <c r="P476" s="1" t="e">
        <f>VLOOKUP(Tabela131617[[#This Row],[DT]],Aprovados!A:A,1,0)</f>
        <v>#N/A</v>
      </c>
      <c r="R476" s="16"/>
      <c r="S476" s="16"/>
      <c r="T476" s="9"/>
      <c r="U476" s="1" t="s">
        <v>315</v>
      </c>
      <c r="W476" s="232"/>
      <c r="X476" s="304"/>
    </row>
    <row r="477" spans="1:24" ht="15.75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205" t="s">
        <v>315</v>
      </c>
      <c r="L477" s="1" t="s">
        <v>315</v>
      </c>
      <c r="M477" s="9"/>
      <c r="N477" s="14">
        <f>Tabela131617[[#This Row],[Valor_recibo]]</f>
        <v>0</v>
      </c>
      <c r="O477" s="16"/>
      <c r="P477" s="1" t="e">
        <f>VLOOKUP(Tabela131617[[#This Row],[DT]],Aprovados!A:A,1,0)</f>
        <v>#N/A</v>
      </c>
      <c r="R477" s="16"/>
      <c r="S477" s="16"/>
      <c r="T477" s="9"/>
      <c r="U477" s="1" t="s">
        <v>315</v>
      </c>
      <c r="W477" s="232"/>
      <c r="X477" s="304"/>
    </row>
    <row r="478" spans="1:24" ht="15.75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205" t="s">
        <v>315</v>
      </c>
      <c r="L478" s="1" t="s">
        <v>315</v>
      </c>
      <c r="M478" s="9"/>
      <c r="N478" s="14">
        <f>Tabela131617[[#This Row],[Valor_recibo]]</f>
        <v>0</v>
      </c>
      <c r="O478" s="16"/>
      <c r="P478" s="1" t="e">
        <f>VLOOKUP(Tabela131617[[#This Row],[DT]],Aprovados!A:A,1,0)</f>
        <v>#N/A</v>
      </c>
      <c r="R478" s="16"/>
      <c r="S478" s="16"/>
      <c r="T478" s="9"/>
      <c r="U478" s="1" t="s">
        <v>315</v>
      </c>
      <c r="W478" s="232"/>
      <c r="X478" s="304"/>
    </row>
    <row r="479" spans="1:24" ht="15.75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205" t="s">
        <v>315</v>
      </c>
      <c r="L479" s="1" t="s">
        <v>315</v>
      </c>
      <c r="M479" s="9"/>
      <c r="N479" s="14">
        <f>Tabela131617[[#This Row],[Valor_recibo]]</f>
        <v>0</v>
      </c>
      <c r="O479" s="16"/>
      <c r="P479" s="1" t="e">
        <f>VLOOKUP(Tabela131617[[#This Row],[DT]],Aprovados!A:A,1,0)</f>
        <v>#N/A</v>
      </c>
      <c r="R479" s="16"/>
      <c r="S479" s="16"/>
      <c r="T479" s="9"/>
      <c r="U479" s="1" t="s">
        <v>315</v>
      </c>
      <c r="W479" s="232"/>
      <c r="X479" s="304"/>
    </row>
    <row r="480" spans="1:24" ht="15.75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205" t="s">
        <v>315</v>
      </c>
      <c r="L480" s="1" t="s">
        <v>315</v>
      </c>
      <c r="M480" s="9"/>
      <c r="N480" s="14">
        <f>Tabela131617[[#This Row],[Valor_recibo]]</f>
        <v>0</v>
      </c>
      <c r="O480" s="16"/>
      <c r="P480" s="1" t="e">
        <f>VLOOKUP(Tabela131617[[#This Row],[DT]],Aprovados!A:A,1,0)</f>
        <v>#N/A</v>
      </c>
      <c r="R480" s="16"/>
      <c r="S480" s="16"/>
      <c r="T480" s="9"/>
      <c r="U480" s="1" t="s">
        <v>315</v>
      </c>
      <c r="W480" s="232"/>
      <c r="X480" s="304"/>
    </row>
    <row r="481" spans="1:24" ht="15.75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205" t="s">
        <v>315</v>
      </c>
      <c r="L481" s="1" t="s">
        <v>315</v>
      </c>
      <c r="M481" s="9"/>
      <c r="N481" s="14">
        <f>Tabela131617[[#This Row],[Valor_recibo]]</f>
        <v>0</v>
      </c>
      <c r="O481" s="16"/>
      <c r="P481" s="1" t="e">
        <f>VLOOKUP(Tabela131617[[#This Row],[DT]],Aprovados!A:A,1,0)</f>
        <v>#N/A</v>
      </c>
      <c r="R481" s="16"/>
      <c r="S481" s="16"/>
      <c r="T481" s="9"/>
      <c r="U481" s="1" t="s">
        <v>315</v>
      </c>
      <c r="W481" s="232"/>
      <c r="X481" s="304"/>
    </row>
    <row r="482" spans="1:24" ht="15.75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205" t="s">
        <v>315</v>
      </c>
      <c r="L482" s="1" t="s">
        <v>315</v>
      </c>
      <c r="M482" s="9"/>
      <c r="N482" s="14">
        <f>Tabela131617[[#This Row],[Valor_recibo]]</f>
        <v>0</v>
      </c>
      <c r="O482" s="16"/>
      <c r="P482" s="1" t="e">
        <f>VLOOKUP(Tabela131617[[#This Row],[DT]],Aprovados!A:A,1,0)</f>
        <v>#N/A</v>
      </c>
      <c r="R482" s="16"/>
      <c r="S482" s="16"/>
      <c r="T482" s="9"/>
      <c r="U482" s="1" t="s">
        <v>315</v>
      </c>
      <c r="W482" s="232"/>
      <c r="X482" s="304"/>
    </row>
    <row r="483" spans="1:24" ht="15.75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205" t="s">
        <v>315</v>
      </c>
      <c r="L483" s="1" t="s">
        <v>315</v>
      </c>
      <c r="M483" s="9"/>
      <c r="N483" s="14">
        <f>Tabela131617[[#This Row],[Valor_recibo]]</f>
        <v>0</v>
      </c>
      <c r="O483" s="16"/>
      <c r="P483" s="1" t="e">
        <f>VLOOKUP(Tabela131617[[#This Row],[DT]],Aprovados!A:A,1,0)</f>
        <v>#N/A</v>
      </c>
      <c r="R483" s="16"/>
      <c r="S483" s="16"/>
      <c r="T483" s="9"/>
      <c r="U483" s="1" t="s">
        <v>315</v>
      </c>
      <c r="W483" s="232"/>
      <c r="X483" s="304"/>
    </row>
    <row r="484" spans="1:24" ht="15.75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205" t="s">
        <v>315</v>
      </c>
      <c r="L484" s="1" t="s">
        <v>315</v>
      </c>
      <c r="M484" s="9"/>
      <c r="N484" s="14">
        <f>Tabela131617[[#This Row],[Valor_recibo]]</f>
        <v>0</v>
      </c>
      <c r="O484" s="16"/>
      <c r="P484" s="1" t="e">
        <f>VLOOKUP(Tabela131617[[#This Row],[DT]],Aprovados!A:A,1,0)</f>
        <v>#N/A</v>
      </c>
      <c r="R484" s="16"/>
      <c r="S484" s="16"/>
      <c r="T484" s="9"/>
      <c r="U484" s="1" t="s">
        <v>315</v>
      </c>
      <c r="W484" s="232"/>
      <c r="X484" s="304"/>
    </row>
    <row r="485" spans="1:24" ht="15.75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205" t="s">
        <v>315</v>
      </c>
      <c r="L485" s="1" t="s">
        <v>315</v>
      </c>
      <c r="M485" s="9"/>
      <c r="N485" s="14">
        <f>Tabela131617[[#This Row],[Valor_recibo]]</f>
        <v>0</v>
      </c>
      <c r="O485" s="16"/>
      <c r="P485" s="1" t="e">
        <f>VLOOKUP(Tabela131617[[#This Row],[DT]],Aprovados!A:A,1,0)</f>
        <v>#N/A</v>
      </c>
      <c r="R485" s="16"/>
      <c r="S485" s="16"/>
      <c r="T485" s="9"/>
      <c r="U485" s="1" t="s">
        <v>315</v>
      </c>
      <c r="W485" s="232"/>
      <c r="X485" s="304"/>
    </row>
    <row r="486" spans="1:24" ht="15.75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205" t="s">
        <v>315</v>
      </c>
      <c r="L486" s="1" t="s">
        <v>315</v>
      </c>
      <c r="M486" s="9"/>
      <c r="N486" s="14">
        <f>Tabela131617[[#This Row],[Valor_recibo]]</f>
        <v>0</v>
      </c>
      <c r="O486" s="16"/>
      <c r="P486" s="1" t="e">
        <f>VLOOKUP(Tabela131617[[#This Row],[DT]],Aprovados!A:A,1,0)</f>
        <v>#N/A</v>
      </c>
      <c r="R486" s="16"/>
      <c r="S486" s="16"/>
      <c r="T486" s="9"/>
      <c r="U486" s="1" t="s">
        <v>315</v>
      </c>
      <c r="W486" s="232"/>
      <c r="X486" s="304"/>
    </row>
    <row r="487" spans="1:24" ht="15.75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205" t="s">
        <v>315</v>
      </c>
      <c r="L487" s="1" t="s">
        <v>315</v>
      </c>
      <c r="M487" s="9"/>
      <c r="N487" s="14">
        <f>Tabela131617[[#This Row],[Valor_recibo]]</f>
        <v>0</v>
      </c>
      <c r="O487" s="16"/>
      <c r="P487" s="1" t="e">
        <f>VLOOKUP(Tabela131617[[#This Row],[DT]],Aprovados!A:A,1,0)</f>
        <v>#N/A</v>
      </c>
      <c r="R487" s="16"/>
      <c r="S487" s="16"/>
      <c r="T487" s="9"/>
      <c r="U487" s="1" t="s">
        <v>315</v>
      </c>
      <c r="W487" s="232"/>
      <c r="X487" s="304"/>
    </row>
    <row r="488" spans="1:24" ht="15.75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205" t="s">
        <v>315</v>
      </c>
      <c r="L488" s="1" t="s">
        <v>315</v>
      </c>
      <c r="M488" s="9"/>
      <c r="N488" s="14">
        <f>Tabela131617[[#This Row],[Valor_recibo]]</f>
        <v>0</v>
      </c>
      <c r="O488" s="16"/>
      <c r="P488" s="1" t="e">
        <f>VLOOKUP(Tabela131617[[#This Row],[DT]],Aprovados!A:A,1,0)</f>
        <v>#N/A</v>
      </c>
      <c r="R488" s="16"/>
      <c r="S488" s="16"/>
      <c r="T488" s="9"/>
      <c r="U488" s="1" t="s">
        <v>315</v>
      </c>
      <c r="W488" s="232"/>
      <c r="X488" s="304"/>
    </row>
    <row r="489" spans="1:24" ht="15.75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205" t="s">
        <v>315</v>
      </c>
      <c r="L489" s="1" t="s">
        <v>315</v>
      </c>
      <c r="M489" s="9"/>
      <c r="N489" s="14">
        <f>Tabela131617[[#This Row],[Valor_recibo]]</f>
        <v>0</v>
      </c>
      <c r="O489" s="16"/>
      <c r="P489" s="1" t="e">
        <f>VLOOKUP(Tabela131617[[#This Row],[DT]],Aprovados!A:A,1,0)</f>
        <v>#N/A</v>
      </c>
      <c r="R489" s="16"/>
      <c r="S489" s="16"/>
      <c r="T489" s="9"/>
      <c r="U489" s="1" t="s">
        <v>315</v>
      </c>
      <c r="W489" s="232"/>
      <c r="X489" s="304"/>
    </row>
    <row r="490" spans="1:24" ht="15.75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205" t="s">
        <v>315</v>
      </c>
      <c r="L490" s="1" t="s">
        <v>315</v>
      </c>
      <c r="M490" s="9"/>
      <c r="N490" s="14">
        <f>Tabela131617[[#This Row],[Valor_recibo]]</f>
        <v>0</v>
      </c>
      <c r="O490" s="16"/>
      <c r="P490" s="1" t="e">
        <f>VLOOKUP(Tabela131617[[#This Row],[DT]],Aprovados!A:A,1,0)</f>
        <v>#N/A</v>
      </c>
      <c r="R490" s="16"/>
      <c r="S490" s="16"/>
      <c r="T490" s="9"/>
      <c r="U490" s="1" t="s">
        <v>315</v>
      </c>
      <c r="W490" s="232"/>
      <c r="X490" s="304"/>
    </row>
    <row r="491" spans="1:24" ht="15.75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205" t="s">
        <v>315</v>
      </c>
      <c r="L491" s="1" t="s">
        <v>315</v>
      </c>
      <c r="M491" s="9"/>
      <c r="N491" s="14">
        <f>Tabela131617[[#This Row],[Valor_recibo]]</f>
        <v>0</v>
      </c>
      <c r="O491" s="16"/>
      <c r="P491" s="1" t="e">
        <f>VLOOKUP(Tabela131617[[#This Row],[DT]],Aprovados!A:A,1,0)</f>
        <v>#N/A</v>
      </c>
      <c r="R491" s="16"/>
      <c r="S491" s="16"/>
      <c r="T491" s="9"/>
      <c r="U491" s="1" t="s">
        <v>315</v>
      </c>
      <c r="W491" s="232"/>
      <c r="X491" s="304"/>
    </row>
    <row r="492" spans="1:24" ht="15.75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205" t="s">
        <v>315</v>
      </c>
      <c r="L492" s="1" t="s">
        <v>315</v>
      </c>
      <c r="M492" s="9"/>
      <c r="N492" s="14">
        <f>Tabela131617[[#This Row],[Valor_recibo]]</f>
        <v>0</v>
      </c>
      <c r="O492" s="16"/>
      <c r="P492" s="1" t="e">
        <f>VLOOKUP(Tabela131617[[#This Row],[DT]],Aprovados!A:A,1,0)</f>
        <v>#N/A</v>
      </c>
      <c r="R492" s="16"/>
      <c r="S492" s="16"/>
      <c r="T492" s="9"/>
      <c r="U492" s="1" t="s">
        <v>315</v>
      </c>
      <c r="W492" s="232"/>
      <c r="X492" s="304"/>
    </row>
    <row r="493" spans="1:24" ht="15.75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205" t="s">
        <v>315</v>
      </c>
      <c r="L493" s="1" t="s">
        <v>315</v>
      </c>
      <c r="M493" s="9"/>
      <c r="N493" s="14">
        <f>Tabela131617[[#This Row],[Valor_recibo]]</f>
        <v>0</v>
      </c>
      <c r="O493" s="16"/>
      <c r="P493" s="1" t="e">
        <f>VLOOKUP(Tabela131617[[#This Row],[DT]],Aprovados!A:A,1,0)</f>
        <v>#N/A</v>
      </c>
      <c r="R493" s="16"/>
      <c r="S493" s="16"/>
      <c r="T493" s="9"/>
      <c r="U493" s="1" t="s">
        <v>315</v>
      </c>
      <c r="W493" s="232"/>
      <c r="X493" s="304"/>
    </row>
    <row r="494" spans="1:24" ht="15.75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205" t="s">
        <v>315</v>
      </c>
      <c r="L494" s="1" t="s">
        <v>315</v>
      </c>
      <c r="M494" s="9"/>
      <c r="N494" s="14">
        <f>Tabela131617[[#This Row],[Valor_recibo]]</f>
        <v>0</v>
      </c>
      <c r="O494" s="16"/>
      <c r="P494" s="1" t="e">
        <f>VLOOKUP(Tabela131617[[#This Row],[DT]],Aprovados!A:A,1,0)</f>
        <v>#N/A</v>
      </c>
      <c r="R494" s="16"/>
      <c r="S494" s="16"/>
      <c r="T494" s="9"/>
      <c r="U494" s="1" t="s">
        <v>315</v>
      </c>
      <c r="W494" s="232"/>
      <c r="X494" s="304"/>
    </row>
    <row r="495" spans="1:24" ht="15.75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205" t="s">
        <v>315</v>
      </c>
      <c r="L495" s="1" t="s">
        <v>315</v>
      </c>
      <c r="M495" s="9"/>
      <c r="N495" s="14">
        <f>Tabela131617[[#This Row],[Valor_recibo]]</f>
        <v>0</v>
      </c>
      <c r="O495" s="16"/>
      <c r="P495" s="1" t="e">
        <f>VLOOKUP(Tabela131617[[#This Row],[DT]],Aprovados!A:A,1,0)</f>
        <v>#N/A</v>
      </c>
      <c r="R495" s="16"/>
      <c r="S495" s="16"/>
      <c r="T495" s="9"/>
      <c r="U495" s="1" t="s">
        <v>315</v>
      </c>
      <c r="W495" s="232"/>
      <c r="X495" s="304"/>
    </row>
    <row r="496" spans="1:24" ht="15.75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205" t="s">
        <v>315</v>
      </c>
      <c r="L496" s="1" t="s">
        <v>315</v>
      </c>
      <c r="M496" s="9"/>
      <c r="N496" s="14">
        <f>Tabela131617[[#This Row],[Valor_recibo]]</f>
        <v>0</v>
      </c>
      <c r="O496" s="16"/>
      <c r="P496" s="1" t="e">
        <f>VLOOKUP(Tabela131617[[#This Row],[DT]],Aprovados!A:A,1,0)</f>
        <v>#N/A</v>
      </c>
      <c r="R496" s="16"/>
      <c r="S496" s="16"/>
      <c r="T496" s="9"/>
      <c r="U496" s="1" t="s">
        <v>315</v>
      </c>
      <c r="W496" s="232"/>
      <c r="X496" s="304"/>
    </row>
    <row r="497" spans="1:24" ht="15.75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205" t="s">
        <v>315</v>
      </c>
      <c r="L497" s="1" t="s">
        <v>315</v>
      </c>
      <c r="M497" s="9"/>
      <c r="N497" s="14">
        <f>Tabela131617[[#This Row],[Valor_recibo]]</f>
        <v>0</v>
      </c>
      <c r="O497" s="16"/>
      <c r="P497" s="1" t="e">
        <f>VLOOKUP(Tabela131617[[#This Row],[DT]],Aprovados!A:A,1,0)</f>
        <v>#N/A</v>
      </c>
      <c r="R497" s="16"/>
      <c r="S497" s="16"/>
      <c r="T497" s="9"/>
      <c r="U497" s="1" t="s">
        <v>315</v>
      </c>
      <c r="W497" s="232"/>
      <c r="X497" s="304"/>
    </row>
    <row r="498" spans="1:24" ht="15.75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205" t="s">
        <v>315</v>
      </c>
      <c r="L498" s="1" t="s">
        <v>315</v>
      </c>
      <c r="M498" s="9"/>
      <c r="N498" s="14">
        <f>Tabela131617[[#This Row],[Valor_recibo]]</f>
        <v>0</v>
      </c>
      <c r="O498" s="16"/>
      <c r="P498" s="1" t="e">
        <f>VLOOKUP(Tabela131617[[#This Row],[DT]],Aprovados!A:A,1,0)</f>
        <v>#N/A</v>
      </c>
      <c r="R498" s="16"/>
      <c r="S498" s="16"/>
      <c r="T498" s="9"/>
      <c r="U498" s="1" t="s">
        <v>315</v>
      </c>
      <c r="W498" s="232"/>
      <c r="X498" s="304"/>
    </row>
    <row r="499" spans="1:24" ht="15.75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205" t="s">
        <v>315</v>
      </c>
      <c r="L499" s="1" t="s">
        <v>315</v>
      </c>
      <c r="M499" s="9"/>
      <c r="N499" s="14">
        <f>Tabela131617[[#This Row],[Valor_recibo]]</f>
        <v>0</v>
      </c>
      <c r="O499" s="16"/>
      <c r="P499" s="1" t="e">
        <f>VLOOKUP(Tabela131617[[#This Row],[DT]],Aprovados!A:A,1,0)</f>
        <v>#N/A</v>
      </c>
      <c r="R499" s="16"/>
      <c r="S499" s="16"/>
      <c r="T499" s="9"/>
      <c r="U499" s="1" t="s">
        <v>315</v>
      </c>
      <c r="W499" s="232"/>
      <c r="X499" s="304"/>
    </row>
    <row r="500" spans="1:24" ht="15.75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205" t="s">
        <v>315</v>
      </c>
      <c r="L500" s="1" t="s">
        <v>315</v>
      </c>
      <c r="M500" s="9"/>
      <c r="N500" s="14">
        <f>Tabela131617[[#This Row],[Valor_recibo]]</f>
        <v>0</v>
      </c>
      <c r="O500" s="16"/>
      <c r="P500" s="1" t="e">
        <f>VLOOKUP(Tabela131617[[#This Row],[DT]],Aprovados!A:A,1,0)</f>
        <v>#N/A</v>
      </c>
      <c r="R500" s="16"/>
      <c r="S500" s="16"/>
      <c r="T500" s="9"/>
      <c r="U500" s="1" t="s">
        <v>315</v>
      </c>
      <c r="W500" s="232"/>
      <c r="X500" s="304"/>
    </row>
    <row r="501" spans="1:24" ht="15.75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205" t="s">
        <v>315</v>
      </c>
      <c r="L501" s="1" t="s">
        <v>315</v>
      </c>
      <c r="M501" s="9"/>
      <c r="N501" s="14">
        <f>Tabela131617[[#This Row],[Valor_recibo]]</f>
        <v>0</v>
      </c>
      <c r="O501" s="16"/>
      <c r="P501" s="1" t="e">
        <f>VLOOKUP(Tabela131617[[#This Row],[DT]],Aprovados!A:A,1,0)</f>
        <v>#N/A</v>
      </c>
      <c r="R501" s="16"/>
      <c r="S501" s="16"/>
      <c r="T501" s="9"/>
      <c r="U501" s="1" t="s">
        <v>315</v>
      </c>
      <c r="W501" s="232"/>
      <c r="X501" s="304"/>
    </row>
    <row r="502" spans="1:24" ht="15.75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205" t="s">
        <v>315</v>
      </c>
      <c r="L502" s="1" t="s">
        <v>315</v>
      </c>
      <c r="M502" s="9"/>
      <c r="N502" s="14">
        <f>Tabela131617[[#This Row],[Valor_recibo]]</f>
        <v>0</v>
      </c>
      <c r="O502" s="16"/>
      <c r="P502" s="1" t="e">
        <f>VLOOKUP(Tabela131617[[#This Row],[DT]],Aprovados!A:A,1,0)</f>
        <v>#N/A</v>
      </c>
      <c r="R502" s="16"/>
      <c r="S502" s="16"/>
      <c r="T502" s="9"/>
      <c r="U502" s="1" t="s">
        <v>315</v>
      </c>
      <c r="W502" s="232"/>
      <c r="X502" s="304"/>
    </row>
    <row r="503" spans="1:24" ht="15.75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205" t="s">
        <v>315</v>
      </c>
      <c r="L503" s="1" t="s">
        <v>315</v>
      </c>
      <c r="M503" s="9"/>
      <c r="N503" s="14">
        <f>Tabela131617[[#This Row],[Valor_recibo]]</f>
        <v>0</v>
      </c>
      <c r="O503" s="16"/>
      <c r="P503" s="1" t="e">
        <f>VLOOKUP(Tabela131617[[#This Row],[DT]],Aprovados!A:A,1,0)</f>
        <v>#N/A</v>
      </c>
      <c r="R503" s="16"/>
      <c r="S503" s="16"/>
      <c r="T503" s="9"/>
      <c r="U503" s="1" t="s">
        <v>315</v>
      </c>
      <c r="W503" s="232"/>
      <c r="X503" s="304"/>
    </row>
    <row r="504" spans="1:24" ht="15.75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205" t="s">
        <v>315</v>
      </c>
      <c r="L504" s="1" t="s">
        <v>315</v>
      </c>
      <c r="M504" s="9"/>
      <c r="N504" s="14">
        <f>Tabela131617[[#This Row],[Valor_recibo]]</f>
        <v>0</v>
      </c>
      <c r="O504" s="16"/>
      <c r="P504" s="1" t="e">
        <f>VLOOKUP(Tabela131617[[#This Row],[DT]],Aprovados!A:A,1,0)</f>
        <v>#N/A</v>
      </c>
      <c r="R504" s="16"/>
      <c r="S504" s="16"/>
      <c r="T504" s="9"/>
      <c r="U504" s="1" t="s">
        <v>315</v>
      </c>
      <c r="W504" s="232"/>
      <c r="X504" s="304"/>
    </row>
    <row r="505" spans="1:24" ht="15.75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205" t="s">
        <v>315</v>
      </c>
      <c r="L505" s="1" t="s">
        <v>315</v>
      </c>
      <c r="M505" s="9"/>
      <c r="N505" s="14">
        <f>Tabela131617[[#This Row],[Valor_recibo]]</f>
        <v>0</v>
      </c>
      <c r="O505" s="16"/>
      <c r="P505" s="1" t="e">
        <f>VLOOKUP(Tabela131617[[#This Row],[DT]],Aprovados!A:A,1,0)</f>
        <v>#N/A</v>
      </c>
      <c r="R505" s="16"/>
      <c r="S505" s="16"/>
      <c r="T505" s="9"/>
      <c r="U505" s="1" t="s">
        <v>315</v>
      </c>
      <c r="W505" s="232"/>
      <c r="X505" s="304"/>
    </row>
    <row r="506" spans="1:24" ht="15.75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205" t="s">
        <v>315</v>
      </c>
      <c r="L506" s="1" t="s">
        <v>315</v>
      </c>
      <c r="M506" s="9"/>
      <c r="N506" s="14">
        <f>Tabela131617[[#This Row],[Valor_recibo]]</f>
        <v>0</v>
      </c>
      <c r="O506" s="16"/>
      <c r="P506" s="1" t="e">
        <f>VLOOKUP(Tabela131617[[#This Row],[DT]],Aprovados!A:A,1,0)</f>
        <v>#N/A</v>
      </c>
      <c r="R506" s="16"/>
      <c r="S506" s="16"/>
      <c r="T506" s="9"/>
      <c r="U506" s="1" t="s">
        <v>315</v>
      </c>
      <c r="W506" s="232"/>
      <c r="X506" s="304"/>
    </row>
    <row r="507" spans="1:24" ht="15.75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205" t="s">
        <v>315</v>
      </c>
      <c r="L507" s="1" t="s">
        <v>315</v>
      </c>
      <c r="M507" s="9"/>
      <c r="N507" s="14">
        <f>Tabela131617[[#This Row],[Valor_recibo]]</f>
        <v>0</v>
      </c>
      <c r="O507" s="16"/>
      <c r="P507" s="1" t="e">
        <f>VLOOKUP(Tabela131617[[#This Row],[DT]],Aprovados!A:A,1,0)</f>
        <v>#N/A</v>
      </c>
      <c r="R507" s="16"/>
      <c r="S507" s="16"/>
      <c r="T507" s="9"/>
      <c r="U507" s="1" t="s">
        <v>315</v>
      </c>
      <c r="W507" s="232"/>
      <c r="X507" s="304"/>
    </row>
    <row r="508" spans="1:24" ht="15.75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205" t="s">
        <v>315</v>
      </c>
      <c r="L508" s="1" t="s">
        <v>315</v>
      </c>
      <c r="M508" s="9"/>
      <c r="N508" s="14">
        <f>Tabela131617[[#This Row],[Valor_recibo]]</f>
        <v>0</v>
      </c>
      <c r="O508" s="16"/>
      <c r="P508" s="1" t="e">
        <f>VLOOKUP(Tabela131617[[#This Row],[DT]],Aprovados!A:A,1,0)</f>
        <v>#N/A</v>
      </c>
      <c r="R508" s="16"/>
      <c r="S508" s="16"/>
      <c r="T508" s="9"/>
      <c r="U508" s="1" t="s">
        <v>315</v>
      </c>
      <c r="W508" s="232"/>
      <c r="X508" s="304"/>
    </row>
    <row r="509" spans="1:24" ht="15.75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205" t="s">
        <v>315</v>
      </c>
      <c r="L509" s="1" t="s">
        <v>315</v>
      </c>
      <c r="M509" s="9"/>
      <c r="N509" s="14">
        <f>Tabela131617[[#This Row],[Valor_recibo]]</f>
        <v>0</v>
      </c>
      <c r="O509" s="16"/>
      <c r="P509" s="1" t="e">
        <f>VLOOKUP(Tabela131617[[#This Row],[DT]],Aprovados!A:A,1,0)</f>
        <v>#N/A</v>
      </c>
      <c r="R509" s="16"/>
      <c r="S509" s="16"/>
      <c r="T509" s="9"/>
      <c r="U509" s="1" t="s">
        <v>315</v>
      </c>
      <c r="W509" s="232"/>
      <c r="X509" s="304"/>
    </row>
    <row r="510" spans="1:24" ht="15.75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205" t="s">
        <v>315</v>
      </c>
      <c r="L510" s="1" t="s">
        <v>315</v>
      </c>
      <c r="M510" s="9"/>
      <c r="N510" s="14">
        <f>Tabela131617[[#This Row],[Valor_recibo]]</f>
        <v>0</v>
      </c>
      <c r="O510" s="16"/>
      <c r="P510" s="1" t="e">
        <f>VLOOKUP(Tabela131617[[#This Row],[DT]],Aprovados!A:A,1,0)</f>
        <v>#N/A</v>
      </c>
      <c r="R510" s="16"/>
      <c r="S510" s="16"/>
      <c r="T510" s="9"/>
      <c r="U510" s="1" t="s">
        <v>315</v>
      </c>
      <c r="W510" s="232"/>
      <c r="X510" s="304"/>
    </row>
    <row r="511" spans="1:24" ht="15.75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205" t="s">
        <v>315</v>
      </c>
      <c r="L511" s="1" t="s">
        <v>315</v>
      </c>
      <c r="M511" s="9"/>
      <c r="N511" s="14">
        <f>Tabela131617[[#This Row],[Valor_recibo]]</f>
        <v>0</v>
      </c>
      <c r="O511" s="16"/>
      <c r="P511" s="1" t="e">
        <f>VLOOKUP(Tabela131617[[#This Row],[DT]],Aprovados!A:A,1,0)</f>
        <v>#N/A</v>
      </c>
      <c r="R511" s="16"/>
      <c r="S511" s="16"/>
      <c r="T511" s="9"/>
      <c r="U511" s="1" t="s">
        <v>315</v>
      </c>
      <c r="W511" s="232"/>
      <c r="X511" s="304"/>
    </row>
    <row r="512" spans="1:24" ht="15.75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205" t="s">
        <v>315</v>
      </c>
      <c r="L512" s="1" t="s">
        <v>315</v>
      </c>
      <c r="M512" s="9"/>
      <c r="N512" s="14">
        <f>Tabela131617[[#This Row],[Valor_recibo]]</f>
        <v>0</v>
      </c>
      <c r="O512" s="16"/>
      <c r="P512" s="1" t="e">
        <f>VLOOKUP(Tabela131617[[#This Row],[DT]],Aprovados!A:A,1,0)</f>
        <v>#N/A</v>
      </c>
      <c r="R512" s="16"/>
      <c r="S512" s="16"/>
      <c r="T512" s="9"/>
      <c r="U512" s="1" t="s">
        <v>315</v>
      </c>
      <c r="W512" s="232"/>
      <c r="X512" s="304"/>
    </row>
    <row r="513" spans="1:24" ht="15.75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205" t="s">
        <v>315</v>
      </c>
      <c r="L513" s="1" t="s">
        <v>315</v>
      </c>
      <c r="M513" s="9"/>
      <c r="N513" s="14">
        <f>Tabela131617[[#This Row],[Valor_recibo]]</f>
        <v>0</v>
      </c>
      <c r="O513" s="16"/>
      <c r="P513" s="1" t="e">
        <f>VLOOKUP(Tabela131617[[#This Row],[DT]],Aprovados!A:A,1,0)</f>
        <v>#N/A</v>
      </c>
      <c r="R513" s="16"/>
      <c r="S513" s="16"/>
      <c r="T513" s="9"/>
      <c r="U513" s="1" t="s">
        <v>315</v>
      </c>
      <c r="W513" s="232"/>
      <c r="X513" s="304"/>
    </row>
    <row r="514" spans="1:24" ht="15.75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205" t="s">
        <v>315</v>
      </c>
      <c r="L514" s="1" t="s">
        <v>315</v>
      </c>
      <c r="M514" s="9"/>
      <c r="N514" s="14">
        <f>Tabela131617[[#This Row],[Valor_recibo]]</f>
        <v>0</v>
      </c>
      <c r="O514" s="16"/>
      <c r="P514" s="1" t="e">
        <f>VLOOKUP(Tabela131617[[#This Row],[DT]],Aprovados!A:A,1,0)</f>
        <v>#N/A</v>
      </c>
      <c r="R514" s="16"/>
      <c r="S514" s="16"/>
      <c r="T514" s="9"/>
      <c r="U514" s="1" t="s">
        <v>315</v>
      </c>
      <c r="W514" s="232"/>
      <c r="X514" s="304"/>
    </row>
    <row r="515" spans="1:24" ht="15.75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205" t="s">
        <v>315</v>
      </c>
      <c r="L515" s="1" t="s">
        <v>315</v>
      </c>
      <c r="M515" s="9"/>
      <c r="N515" s="14">
        <f>Tabela131617[[#This Row],[Valor_recibo]]</f>
        <v>0</v>
      </c>
      <c r="O515" s="16"/>
      <c r="P515" s="1" t="e">
        <f>VLOOKUP(Tabela131617[[#This Row],[DT]],Aprovados!A:A,1,0)</f>
        <v>#N/A</v>
      </c>
      <c r="R515" s="16"/>
      <c r="S515" s="16"/>
      <c r="T515" s="9"/>
      <c r="U515" s="1" t="s">
        <v>315</v>
      </c>
      <c r="W515" s="232"/>
      <c r="X515" s="304"/>
    </row>
    <row r="516" spans="1:24" ht="15.75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205" t="s">
        <v>315</v>
      </c>
      <c r="L516" s="1" t="s">
        <v>315</v>
      </c>
      <c r="M516" s="9"/>
      <c r="N516" s="14">
        <f>Tabela131617[[#This Row],[Valor_recibo]]</f>
        <v>0</v>
      </c>
      <c r="O516" s="16"/>
      <c r="P516" s="1" t="e">
        <f>VLOOKUP(Tabela131617[[#This Row],[DT]],Aprovados!A:A,1,0)</f>
        <v>#N/A</v>
      </c>
      <c r="R516" s="16"/>
      <c r="S516" s="16"/>
      <c r="T516" s="9"/>
      <c r="U516" s="1" t="s">
        <v>315</v>
      </c>
      <c r="W516" s="232"/>
      <c r="X516" s="304"/>
    </row>
    <row r="517" spans="1:24" ht="15.75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205" t="s">
        <v>315</v>
      </c>
      <c r="L517" s="1" t="s">
        <v>315</v>
      </c>
      <c r="M517" s="9"/>
      <c r="N517" s="14">
        <f>Tabela131617[[#This Row],[Valor_recibo]]</f>
        <v>0</v>
      </c>
      <c r="O517" s="16"/>
      <c r="P517" s="1" t="e">
        <f>VLOOKUP(Tabela131617[[#This Row],[DT]],Aprovados!A:A,1,0)</f>
        <v>#N/A</v>
      </c>
      <c r="R517" s="16"/>
      <c r="S517" s="16"/>
      <c r="T517" s="9"/>
      <c r="U517" s="1" t="s">
        <v>315</v>
      </c>
      <c r="W517" s="232"/>
      <c r="X517" s="304"/>
    </row>
    <row r="518" spans="1:24" ht="15.75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205" t="s">
        <v>315</v>
      </c>
      <c r="L518" s="1" t="s">
        <v>315</v>
      </c>
      <c r="M518" s="9"/>
      <c r="N518" s="14">
        <f>Tabela131617[[#This Row],[Valor_recibo]]</f>
        <v>0</v>
      </c>
      <c r="O518" s="16"/>
      <c r="P518" s="1" t="e">
        <f>VLOOKUP(Tabela131617[[#This Row],[DT]],Aprovados!A:A,1,0)</f>
        <v>#N/A</v>
      </c>
      <c r="R518" s="16"/>
      <c r="S518" s="16"/>
      <c r="T518" s="9"/>
      <c r="U518" s="1" t="s">
        <v>315</v>
      </c>
      <c r="W518" s="232"/>
      <c r="X518" s="304"/>
    </row>
    <row r="519" spans="1:24" ht="15.75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205" t="s">
        <v>315</v>
      </c>
      <c r="L519" s="1" t="s">
        <v>315</v>
      </c>
      <c r="M519" s="9"/>
      <c r="N519" s="14">
        <f>Tabela131617[[#This Row],[Valor_recibo]]</f>
        <v>0</v>
      </c>
      <c r="O519" s="16"/>
      <c r="P519" s="1" t="e">
        <f>VLOOKUP(Tabela131617[[#This Row],[DT]],Aprovados!A:A,1,0)</f>
        <v>#N/A</v>
      </c>
      <c r="R519" s="16"/>
      <c r="S519" s="16"/>
      <c r="T519" s="9"/>
      <c r="U519" s="1" t="s">
        <v>315</v>
      </c>
      <c r="W519" s="232"/>
      <c r="X519" s="304"/>
    </row>
    <row r="520" spans="1:24" ht="15.75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205" t="s">
        <v>315</v>
      </c>
      <c r="L520" s="1" t="s">
        <v>315</v>
      </c>
      <c r="M520" s="9"/>
      <c r="N520" s="14">
        <f>Tabela131617[[#This Row],[Valor_recibo]]</f>
        <v>0</v>
      </c>
      <c r="O520" s="16"/>
      <c r="P520" s="1" t="e">
        <f>VLOOKUP(Tabela131617[[#This Row],[DT]],Aprovados!A:A,1,0)</f>
        <v>#N/A</v>
      </c>
      <c r="R520" s="16"/>
      <c r="S520" s="16"/>
      <c r="T520" s="9"/>
      <c r="U520" s="1" t="s">
        <v>315</v>
      </c>
      <c r="W520" s="232"/>
      <c r="X520" s="304"/>
    </row>
    <row r="521" spans="1:24" ht="15.75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205" t="s">
        <v>315</v>
      </c>
      <c r="L521" s="1" t="s">
        <v>315</v>
      </c>
      <c r="M521" s="9"/>
      <c r="N521" s="14">
        <f>Tabela131617[[#This Row],[Valor_recibo]]</f>
        <v>0</v>
      </c>
      <c r="O521" s="16"/>
      <c r="P521" s="1" t="e">
        <f>VLOOKUP(Tabela131617[[#This Row],[DT]],Aprovados!A:A,1,0)</f>
        <v>#N/A</v>
      </c>
      <c r="R521" s="16"/>
      <c r="S521" s="16"/>
      <c r="T521" s="9"/>
      <c r="U521" s="1" t="s">
        <v>315</v>
      </c>
      <c r="W521" s="232"/>
      <c r="X521" s="304"/>
    </row>
    <row r="522" spans="1:24" ht="15.75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205" t="s">
        <v>315</v>
      </c>
      <c r="L522" s="1" t="s">
        <v>315</v>
      </c>
      <c r="M522" s="9"/>
      <c r="N522" s="14">
        <f>Tabela131617[[#This Row],[Valor_recibo]]</f>
        <v>0</v>
      </c>
      <c r="O522" s="16"/>
      <c r="P522" s="1" t="e">
        <f>VLOOKUP(Tabela131617[[#This Row],[DT]],Aprovados!A:A,1,0)</f>
        <v>#N/A</v>
      </c>
      <c r="R522" s="16"/>
      <c r="S522" s="16"/>
      <c r="T522" s="9"/>
      <c r="U522" s="1" t="s">
        <v>315</v>
      </c>
      <c r="W522" s="232"/>
      <c r="X522" s="304"/>
    </row>
    <row r="523" spans="1:24" ht="15.75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205" t="s">
        <v>315</v>
      </c>
      <c r="L523" s="1" t="s">
        <v>315</v>
      </c>
      <c r="M523" s="9"/>
      <c r="N523" s="14">
        <f>Tabela131617[[#This Row],[Valor_recibo]]</f>
        <v>0</v>
      </c>
      <c r="O523" s="16"/>
      <c r="P523" s="1" t="e">
        <f>VLOOKUP(Tabela131617[[#This Row],[DT]],Aprovados!A:A,1,0)</f>
        <v>#N/A</v>
      </c>
      <c r="R523" s="16"/>
      <c r="S523" s="16"/>
      <c r="T523" s="9"/>
      <c r="U523" s="1" t="s">
        <v>315</v>
      </c>
      <c r="W523" s="232"/>
      <c r="X523" s="304"/>
    </row>
    <row r="524" spans="1:24" ht="15.75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205" t="s">
        <v>315</v>
      </c>
      <c r="L524" s="1" t="s">
        <v>315</v>
      </c>
      <c r="M524" s="9"/>
      <c r="N524" s="14">
        <f>Tabela131617[[#This Row],[Valor_recibo]]</f>
        <v>0</v>
      </c>
      <c r="O524" s="16"/>
      <c r="P524" s="1" t="e">
        <f>VLOOKUP(Tabela131617[[#This Row],[DT]],Aprovados!A:A,1,0)</f>
        <v>#N/A</v>
      </c>
      <c r="R524" s="16"/>
      <c r="S524" s="16"/>
      <c r="T524" s="9"/>
      <c r="U524" s="1" t="s">
        <v>315</v>
      </c>
      <c r="W524" s="232"/>
      <c r="X524" s="304"/>
    </row>
    <row r="525" spans="1:24" ht="15.75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205" t="s">
        <v>315</v>
      </c>
      <c r="L525" s="1" t="s">
        <v>315</v>
      </c>
      <c r="M525" s="9"/>
      <c r="N525" s="14">
        <f>Tabela131617[[#This Row],[Valor_recibo]]</f>
        <v>0</v>
      </c>
      <c r="O525" s="16"/>
      <c r="P525" s="1" t="e">
        <f>VLOOKUP(Tabela131617[[#This Row],[DT]],Aprovados!A:A,1,0)</f>
        <v>#N/A</v>
      </c>
      <c r="R525" s="16"/>
      <c r="S525" s="16"/>
      <c r="T525" s="9"/>
      <c r="U525" s="1" t="s">
        <v>315</v>
      </c>
      <c r="W525" s="232"/>
      <c r="X525" s="304"/>
    </row>
    <row r="526" spans="1:24" ht="15.75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205" t="s">
        <v>315</v>
      </c>
      <c r="L526" s="1" t="s">
        <v>315</v>
      </c>
      <c r="M526" s="9"/>
      <c r="N526" s="14">
        <f>Tabela131617[[#This Row],[Valor_recibo]]</f>
        <v>0</v>
      </c>
      <c r="O526" s="16"/>
      <c r="P526" s="1" t="e">
        <f>VLOOKUP(Tabela131617[[#This Row],[DT]],Aprovados!A:A,1,0)</f>
        <v>#N/A</v>
      </c>
      <c r="R526" s="16"/>
      <c r="S526" s="16"/>
      <c r="T526" s="9"/>
      <c r="U526" s="1" t="s">
        <v>315</v>
      </c>
      <c r="W526" s="232"/>
      <c r="X526" s="304"/>
    </row>
    <row r="527" spans="1:24" ht="15.75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205" t="s">
        <v>315</v>
      </c>
      <c r="L527" s="1" t="s">
        <v>315</v>
      </c>
      <c r="M527" s="9"/>
      <c r="N527" s="14">
        <f>Tabela131617[[#This Row],[Valor_recibo]]</f>
        <v>0</v>
      </c>
      <c r="O527" s="16"/>
      <c r="P527" s="1" t="e">
        <f>VLOOKUP(Tabela131617[[#This Row],[DT]],Aprovados!A:A,1,0)</f>
        <v>#N/A</v>
      </c>
      <c r="R527" s="16"/>
      <c r="S527" s="16"/>
      <c r="T527" s="9"/>
      <c r="U527" s="1" t="s">
        <v>315</v>
      </c>
      <c r="W527" s="232"/>
      <c r="X527" s="304"/>
    </row>
    <row r="528" spans="1:24" ht="15.75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205" t="s">
        <v>315</v>
      </c>
      <c r="L528" s="1" t="s">
        <v>315</v>
      </c>
      <c r="M528" s="9"/>
      <c r="N528" s="14">
        <f>Tabela131617[[#This Row],[Valor_recibo]]</f>
        <v>0</v>
      </c>
      <c r="O528" s="16"/>
      <c r="P528" s="1" t="e">
        <f>VLOOKUP(Tabela131617[[#This Row],[DT]],Aprovados!A:A,1,0)</f>
        <v>#N/A</v>
      </c>
      <c r="R528" s="16"/>
      <c r="S528" s="16"/>
      <c r="T528" s="9"/>
      <c r="U528" s="1" t="s">
        <v>315</v>
      </c>
      <c r="W528" s="232"/>
      <c r="X528" s="304"/>
    </row>
    <row r="529" spans="1:24" ht="15.75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205" t="s">
        <v>315</v>
      </c>
      <c r="L529" s="1" t="s">
        <v>315</v>
      </c>
      <c r="M529" s="9"/>
      <c r="N529" s="14">
        <f>Tabela131617[[#This Row],[Valor_recibo]]</f>
        <v>0</v>
      </c>
      <c r="O529" s="16"/>
      <c r="P529" s="1" t="e">
        <f>VLOOKUP(Tabela131617[[#This Row],[DT]],Aprovados!A:A,1,0)</f>
        <v>#N/A</v>
      </c>
      <c r="R529" s="16"/>
      <c r="S529" s="16"/>
      <c r="T529" s="9"/>
      <c r="U529" s="1" t="s">
        <v>315</v>
      </c>
      <c r="W529" s="232"/>
      <c r="X529" s="304"/>
    </row>
    <row r="530" spans="1:24" ht="15.75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205" t="s">
        <v>315</v>
      </c>
      <c r="L530" s="1" t="s">
        <v>315</v>
      </c>
      <c r="M530" s="9"/>
      <c r="N530" s="14">
        <f>Tabela131617[[#This Row],[Valor_recibo]]</f>
        <v>0</v>
      </c>
      <c r="O530" s="16"/>
      <c r="P530" s="1" t="e">
        <f>VLOOKUP(Tabela131617[[#This Row],[DT]],Aprovados!A:A,1,0)</f>
        <v>#N/A</v>
      </c>
      <c r="R530" s="16"/>
      <c r="S530" s="16"/>
      <c r="T530" s="9"/>
      <c r="U530" s="1" t="s">
        <v>315</v>
      </c>
      <c r="W530" s="232"/>
      <c r="X530" s="304"/>
    </row>
    <row r="531" spans="1:24" ht="15.75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205" t="s">
        <v>315</v>
      </c>
      <c r="L531" s="1" t="s">
        <v>315</v>
      </c>
      <c r="M531" s="9"/>
      <c r="N531" s="14">
        <f>Tabela131617[[#This Row],[Valor_recibo]]</f>
        <v>0</v>
      </c>
      <c r="O531" s="16"/>
      <c r="P531" s="1" t="e">
        <f>VLOOKUP(Tabela131617[[#This Row],[DT]],Aprovados!A:A,1,0)</f>
        <v>#N/A</v>
      </c>
      <c r="R531" s="16"/>
      <c r="S531" s="16"/>
      <c r="T531" s="9"/>
      <c r="U531" s="1" t="s">
        <v>315</v>
      </c>
      <c r="W531" s="232"/>
      <c r="X531" s="304"/>
    </row>
    <row r="532" spans="1:24" ht="15.75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205" t="s">
        <v>315</v>
      </c>
      <c r="L532" s="1" t="s">
        <v>315</v>
      </c>
      <c r="M532" s="9"/>
      <c r="N532" s="14">
        <f>Tabela131617[[#This Row],[Valor_recibo]]</f>
        <v>0</v>
      </c>
      <c r="O532" s="16"/>
      <c r="P532" s="1" t="e">
        <f>VLOOKUP(Tabela131617[[#This Row],[DT]],Aprovados!A:A,1,0)</f>
        <v>#N/A</v>
      </c>
      <c r="R532" s="16"/>
      <c r="S532" s="16"/>
      <c r="T532" s="9"/>
      <c r="U532" s="1" t="s">
        <v>315</v>
      </c>
      <c r="W532" s="232"/>
      <c r="X532" s="304"/>
    </row>
    <row r="533" spans="1:24" ht="15.75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205" t="s">
        <v>315</v>
      </c>
      <c r="L533" s="1" t="s">
        <v>315</v>
      </c>
      <c r="M533" s="9"/>
      <c r="N533" s="14">
        <f>Tabela131617[[#This Row],[Valor_recibo]]</f>
        <v>0</v>
      </c>
      <c r="O533" s="16"/>
      <c r="P533" s="1" t="e">
        <f>VLOOKUP(Tabela131617[[#This Row],[DT]],Aprovados!A:A,1,0)</f>
        <v>#N/A</v>
      </c>
      <c r="R533" s="16"/>
      <c r="S533" s="16"/>
      <c r="T533" s="9"/>
      <c r="U533" s="1" t="s">
        <v>315</v>
      </c>
      <c r="W533" s="232"/>
      <c r="X533" s="304"/>
    </row>
    <row r="534" spans="1:24" ht="15.75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205" t="s">
        <v>315</v>
      </c>
      <c r="L534" s="1" t="s">
        <v>315</v>
      </c>
      <c r="M534" s="9"/>
      <c r="N534" s="14">
        <f>Tabela131617[[#This Row],[Valor_recibo]]</f>
        <v>0</v>
      </c>
      <c r="O534" s="16"/>
      <c r="P534" s="1" t="e">
        <f>VLOOKUP(Tabela131617[[#This Row],[DT]],Aprovados!A:A,1,0)</f>
        <v>#N/A</v>
      </c>
      <c r="R534" s="16"/>
      <c r="S534" s="16"/>
      <c r="T534" s="9"/>
      <c r="U534" s="1" t="s">
        <v>315</v>
      </c>
      <c r="W534" s="232"/>
      <c r="X534" s="304"/>
    </row>
    <row r="535" spans="1:24" ht="15.75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205" t="s">
        <v>315</v>
      </c>
      <c r="L535" s="1" t="s">
        <v>315</v>
      </c>
      <c r="M535" s="9"/>
      <c r="N535" s="14">
        <f>Tabela131617[[#This Row],[Valor_recibo]]</f>
        <v>0</v>
      </c>
      <c r="O535" s="16"/>
      <c r="P535" s="1" t="e">
        <f>VLOOKUP(Tabela131617[[#This Row],[DT]],Aprovados!A:A,1,0)</f>
        <v>#N/A</v>
      </c>
      <c r="R535" s="16"/>
      <c r="S535" s="16"/>
      <c r="T535" s="9"/>
      <c r="U535" s="1" t="s">
        <v>315</v>
      </c>
      <c r="W535" s="232"/>
      <c r="X535" s="304"/>
    </row>
    <row r="536" spans="1:24" ht="15.75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205" t="s">
        <v>315</v>
      </c>
      <c r="L536" s="1" t="s">
        <v>315</v>
      </c>
      <c r="M536" s="9"/>
      <c r="N536" s="14">
        <f>Tabela131617[[#This Row],[Valor_recibo]]</f>
        <v>0</v>
      </c>
      <c r="O536" s="16"/>
      <c r="P536" s="1" t="e">
        <f>VLOOKUP(Tabela131617[[#This Row],[DT]],Aprovados!A:A,1,0)</f>
        <v>#N/A</v>
      </c>
      <c r="R536" s="16"/>
      <c r="S536" s="16"/>
      <c r="T536" s="9"/>
      <c r="U536" s="1" t="s">
        <v>315</v>
      </c>
      <c r="W536" s="232"/>
      <c r="X536" s="304"/>
    </row>
    <row r="537" spans="1:24" ht="15.75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205" t="s">
        <v>315</v>
      </c>
      <c r="L537" s="1" t="s">
        <v>315</v>
      </c>
      <c r="M537" s="9"/>
      <c r="N537" s="14">
        <f>Tabela131617[[#This Row],[Valor_recibo]]</f>
        <v>0</v>
      </c>
      <c r="O537" s="16"/>
      <c r="P537" s="1" t="e">
        <f>VLOOKUP(Tabela131617[[#This Row],[DT]],Aprovados!A:A,1,0)</f>
        <v>#N/A</v>
      </c>
      <c r="R537" s="16"/>
      <c r="S537" s="16"/>
      <c r="T537" s="9"/>
      <c r="U537" s="1" t="s">
        <v>315</v>
      </c>
      <c r="W537" s="232"/>
      <c r="X537" s="304"/>
    </row>
    <row r="538" spans="1:24" ht="15.75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205" t="s">
        <v>315</v>
      </c>
      <c r="L538" s="1" t="s">
        <v>315</v>
      </c>
      <c r="M538" s="9"/>
      <c r="N538" s="14">
        <f>Tabela131617[[#This Row],[Valor_recibo]]</f>
        <v>0</v>
      </c>
      <c r="O538" s="16"/>
      <c r="P538" s="1" t="e">
        <f>VLOOKUP(Tabela131617[[#This Row],[DT]],Aprovados!A:A,1,0)</f>
        <v>#N/A</v>
      </c>
      <c r="R538" s="16"/>
      <c r="S538" s="16"/>
      <c r="T538" s="9"/>
      <c r="U538" s="1" t="s">
        <v>315</v>
      </c>
      <c r="W538" s="232"/>
      <c r="X538" s="304"/>
    </row>
    <row r="539" spans="1:24" ht="15.75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205" t="s">
        <v>315</v>
      </c>
      <c r="L539" s="1" t="s">
        <v>315</v>
      </c>
      <c r="M539" s="9"/>
      <c r="N539" s="14">
        <f>Tabela131617[[#This Row],[Valor_recibo]]</f>
        <v>0</v>
      </c>
      <c r="O539" s="16"/>
      <c r="P539" s="1" t="e">
        <f>VLOOKUP(Tabela131617[[#This Row],[DT]],Aprovados!A:A,1,0)</f>
        <v>#N/A</v>
      </c>
      <c r="R539" s="16"/>
      <c r="S539" s="16"/>
      <c r="T539" s="9"/>
      <c r="U539" s="1" t="s">
        <v>315</v>
      </c>
      <c r="W539" s="232"/>
      <c r="X539" s="304"/>
    </row>
    <row r="540" spans="1:24" ht="15.75">
      <c r="A540" s="1"/>
      <c r="B540" s="7"/>
      <c r="C540" s="6"/>
      <c r="D540" s="6"/>
      <c r="E540" s="6"/>
      <c r="F540" s="1"/>
      <c r="G540" s="9"/>
      <c r="H540" s="9"/>
      <c r="I540" s="11"/>
      <c r="J540" s="1"/>
      <c r="K540" s="205" t="s">
        <v>315</v>
      </c>
      <c r="L540" s="1" t="s">
        <v>315</v>
      </c>
      <c r="M540" s="9"/>
      <c r="N540" s="14">
        <f>Tabela131617[[#This Row],[Valor_recibo]]</f>
        <v>0</v>
      </c>
      <c r="O540" s="16"/>
      <c r="P540" s="1" t="e">
        <f>VLOOKUP(Tabela131617[[#This Row],[DT]],Aprovados!A:A,1,0)</f>
        <v>#N/A</v>
      </c>
      <c r="R540" s="16"/>
      <c r="S540" s="16"/>
      <c r="T540" s="9"/>
      <c r="U540" s="1" t="s">
        <v>315</v>
      </c>
      <c r="W540" s="232"/>
      <c r="X540" s="304"/>
    </row>
    <row r="541" spans="1:24" ht="15.75">
      <c r="A541" s="1"/>
      <c r="B541" s="7"/>
      <c r="C541" s="59"/>
      <c r="D541" s="6"/>
      <c r="E541" s="6"/>
      <c r="F541" s="1"/>
      <c r="G541" s="9"/>
      <c r="H541" s="9"/>
      <c r="I541" s="11"/>
      <c r="J541" s="1"/>
      <c r="K541" s="205" t="s">
        <v>315</v>
      </c>
      <c r="L541" s="1" t="s">
        <v>315</v>
      </c>
      <c r="M541" s="9"/>
      <c r="N541" s="14">
        <f>Tabela131617[[#This Row],[Valor_recibo]]</f>
        <v>0</v>
      </c>
      <c r="O541" s="16"/>
      <c r="P541" s="1" t="e">
        <f>VLOOKUP(Tabela131617[[#This Row],[DT]],Aprovados!A:A,1,0)</f>
        <v>#N/A</v>
      </c>
      <c r="R541" s="16"/>
      <c r="S541" s="16"/>
      <c r="T541" s="9"/>
      <c r="U541" s="1" t="s">
        <v>315</v>
      </c>
      <c r="W541" s="232"/>
      <c r="X541" s="304"/>
    </row>
    <row r="542" spans="1:24" ht="15.75">
      <c r="A542" s="1"/>
      <c r="B542" s="7"/>
      <c r="C542" s="59"/>
      <c r="D542" s="6"/>
      <c r="E542" s="6"/>
      <c r="F542" s="1"/>
      <c r="G542" s="9"/>
      <c r="H542" s="9"/>
      <c r="I542" s="11"/>
      <c r="J542" s="1"/>
      <c r="K542" s="205" t="s">
        <v>315</v>
      </c>
      <c r="L542" s="1" t="s">
        <v>315</v>
      </c>
      <c r="M542" s="9"/>
      <c r="N542" s="14">
        <f>Tabela131617[[#This Row],[Valor_recibo]]</f>
        <v>0</v>
      </c>
      <c r="O542" s="16"/>
      <c r="P542" s="1" t="e">
        <f>VLOOKUP(Tabela131617[[#This Row],[DT]],Aprovados!A:A,1,0)</f>
        <v>#N/A</v>
      </c>
      <c r="R542" s="16"/>
      <c r="S542" s="16"/>
      <c r="T542" s="9"/>
      <c r="U542" s="1" t="s">
        <v>315</v>
      </c>
      <c r="W542" s="232"/>
      <c r="X542" s="304"/>
    </row>
    <row r="543" spans="1:24" ht="15.75">
      <c r="A543" s="1"/>
      <c r="B543" s="7"/>
      <c r="C543" s="59"/>
      <c r="D543" s="6"/>
      <c r="E543" s="62"/>
      <c r="F543" s="1"/>
      <c r="G543" s="9"/>
      <c r="H543" s="9"/>
      <c r="I543" s="11"/>
      <c r="J543" s="1"/>
      <c r="K543" s="205" t="s">
        <v>315</v>
      </c>
      <c r="L543" s="1" t="s">
        <v>315</v>
      </c>
      <c r="M543" s="9"/>
      <c r="N543" s="14">
        <f>Tabela131617[[#This Row],[Valor_recibo]]</f>
        <v>0</v>
      </c>
      <c r="O543" s="16"/>
      <c r="P543" s="1" t="e">
        <f>VLOOKUP(Tabela131617[[#This Row],[DT]],Aprovados!A:A,1,0)</f>
        <v>#N/A</v>
      </c>
      <c r="R543" s="16"/>
      <c r="S543" s="16"/>
      <c r="T543" s="9"/>
      <c r="U543" s="1" t="s">
        <v>315</v>
      </c>
      <c r="W543" s="232"/>
      <c r="X543" s="304"/>
    </row>
    <row r="544" spans="1:24" ht="15.75">
      <c r="A544" s="1"/>
      <c r="B544" s="7"/>
      <c r="C544" s="59"/>
      <c r="D544" s="6"/>
      <c r="E544" s="6"/>
      <c r="F544" s="1"/>
      <c r="G544" s="9"/>
      <c r="H544" s="9"/>
      <c r="I544" s="11"/>
      <c r="J544" s="1"/>
      <c r="K544" s="205" t="s">
        <v>315</v>
      </c>
      <c r="L544" s="1" t="s">
        <v>315</v>
      </c>
      <c r="M544" s="9"/>
      <c r="N544" s="14">
        <f>Tabela131617[[#This Row],[Valor_recibo]]</f>
        <v>0</v>
      </c>
      <c r="O544" s="16"/>
      <c r="P544" s="1" t="e">
        <f>VLOOKUP(Tabela131617[[#This Row],[DT]],Aprovados!A:A,1,0)</f>
        <v>#N/A</v>
      </c>
      <c r="R544" s="16"/>
      <c r="S544" s="16"/>
      <c r="T544" s="9"/>
      <c r="U544" s="1" t="s">
        <v>315</v>
      </c>
      <c r="W544" s="232"/>
      <c r="X544" s="304"/>
    </row>
    <row r="545" spans="1:24" ht="15.75">
      <c r="A545" s="1"/>
      <c r="B545" s="7"/>
      <c r="C545" s="59"/>
      <c r="D545" s="6"/>
      <c r="E545" s="6"/>
      <c r="F545" s="1"/>
      <c r="G545" s="9"/>
      <c r="H545" s="9"/>
      <c r="I545" s="11"/>
      <c r="J545" s="1"/>
      <c r="K545" s="205" t="s">
        <v>315</v>
      </c>
      <c r="L545" s="1" t="s">
        <v>315</v>
      </c>
      <c r="M545" s="9"/>
      <c r="N545" s="14">
        <f>Tabela131617[[#This Row],[Valor_recibo]]</f>
        <v>0</v>
      </c>
      <c r="O545" s="16"/>
      <c r="P545" s="1" t="e">
        <f>VLOOKUP(Tabela131617[[#This Row],[DT]],Aprovados!A:A,1,0)</f>
        <v>#N/A</v>
      </c>
      <c r="R545" s="16"/>
      <c r="S545" s="16"/>
      <c r="T545" s="9"/>
      <c r="U545" s="1" t="s">
        <v>315</v>
      </c>
      <c r="W545" s="232"/>
      <c r="X545" s="304"/>
    </row>
    <row r="546" spans="1:24" ht="15.75">
      <c r="A546" s="1"/>
      <c r="B546" s="7"/>
      <c r="C546" s="59"/>
      <c r="D546" s="6"/>
      <c r="E546" s="6"/>
      <c r="F546" s="1"/>
      <c r="G546" s="9"/>
      <c r="H546" s="9"/>
      <c r="I546" s="11"/>
      <c r="J546" s="1"/>
      <c r="K546" s="205" t="s">
        <v>315</v>
      </c>
      <c r="L546" s="1" t="s">
        <v>315</v>
      </c>
      <c r="M546" s="9"/>
      <c r="N546" s="14">
        <f>Tabela131617[[#This Row],[Valor_recibo]]</f>
        <v>0</v>
      </c>
      <c r="O546" s="16"/>
      <c r="P546" s="1" t="e">
        <f>VLOOKUP(Tabela131617[[#This Row],[DT]],Aprovados!A:A,1,0)</f>
        <v>#N/A</v>
      </c>
      <c r="R546" s="16"/>
      <c r="S546" s="16"/>
      <c r="T546" s="9"/>
      <c r="U546" s="1" t="s">
        <v>315</v>
      </c>
      <c r="W546" s="232"/>
      <c r="X546" s="304"/>
    </row>
    <row r="547" spans="1:24" ht="15.75">
      <c r="A547" s="1"/>
      <c r="B547" s="7"/>
      <c r="C547" s="59"/>
      <c r="D547" s="6"/>
      <c r="E547" s="6"/>
      <c r="F547" s="1"/>
      <c r="G547" s="9"/>
      <c r="H547" s="9"/>
      <c r="I547" s="11"/>
      <c r="J547" s="1"/>
      <c r="K547" s="205" t="s">
        <v>315</v>
      </c>
      <c r="L547" s="1" t="s">
        <v>315</v>
      </c>
      <c r="M547" s="9"/>
      <c r="N547" s="14">
        <f>Tabela131617[[#This Row],[Valor_recibo]]</f>
        <v>0</v>
      </c>
      <c r="O547" s="16"/>
      <c r="P547" s="1" t="e">
        <f>VLOOKUP(Tabela131617[[#This Row],[DT]],Aprovados!A:A,1,0)</f>
        <v>#N/A</v>
      </c>
      <c r="R547" s="16"/>
      <c r="S547" s="16"/>
      <c r="T547" s="9"/>
      <c r="U547" s="1" t="s">
        <v>315</v>
      </c>
      <c r="W547" s="232"/>
      <c r="X547" s="304"/>
    </row>
    <row r="548" spans="1:24" ht="15.75">
      <c r="A548" s="63"/>
      <c r="B548" s="9"/>
      <c r="D548" s="1"/>
      <c r="F548" s="1"/>
      <c r="G548" s="9"/>
      <c r="H548" s="9"/>
      <c r="I548" s="11"/>
      <c r="J548" s="1"/>
      <c r="K548" s="205" t="s">
        <v>315</v>
      </c>
      <c r="L548" s="1" t="s">
        <v>315</v>
      </c>
      <c r="M548" s="9"/>
      <c r="N548" s="14">
        <f>Tabela131617[[#This Row],[Valor_recibo]]</f>
        <v>0</v>
      </c>
      <c r="O548" s="16"/>
      <c r="P548" s="1" t="e">
        <f>VLOOKUP(Tabela131617[[#This Row],[DT]],Aprovados!A:A,1,0)</f>
        <v>#N/A</v>
      </c>
      <c r="R548" s="16"/>
      <c r="S548" s="16"/>
      <c r="T548" s="9"/>
      <c r="U548" s="1" t="s">
        <v>315</v>
      </c>
      <c r="W548" s="232"/>
      <c r="X548" s="304"/>
    </row>
    <row r="549" spans="1:24" ht="15.75">
      <c r="A549" s="1"/>
      <c r="B549" s="7"/>
      <c r="C549" s="59"/>
      <c r="D549" s="6"/>
      <c r="E549" s="64"/>
      <c r="F549" s="1"/>
      <c r="G549" s="9"/>
      <c r="H549" s="9"/>
      <c r="I549" s="11"/>
      <c r="J549" s="1"/>
      <c r="K549" s="205" t="s">
        <v>315</v>
      </c>
      <c r="L549" s="1" t="s">
        <v>315</v>
      </c>
      <c r="M549" s="9"/>
      <c r="N549" s="14">
        <f>Tabela131617[[#This Row],[Valor_recibo]]</f>
        <v>0</v>
      </c>
      <c r="O549" s="16"/>
      <c r="P549" s="1" t="e">
        <f>VLOOKUP(Tabela131617[[#This Row],[DT]],Aprovados!A:A,1,0)</f>
        <v>#N/A</v>
      </c>
      <c r="R549" s="16"/>
      <c r="S549" s="16"/>
      <c r="T549" s="9"/>
      <c r="U549" s="1" t="s">
        <v>315</v>
      </c>
      <c r="W549" s="232"/>
      <c r="X549" s="304"/>
    </row>
    <row r="550" spans="1:24" ht="15.75">
      <c r="A550" s="1"/>
      <c r="B550" s="7"/>
      <c r="C550" s="59"/>
      <c r="D550" s="6"/>
      <c r="E550" s="6"/>
      <c r="F550" s="1"/>
      <c r="G550" s="9"/>
      <c r="H550" s="9"/>
      <c r="I550" s="11"/>
      <c r="J550" s="1"/>
      <c r="K550" s="205" t="s">
        <v>315</v>
      </c>
      <c r="L550" s="1" t="s">
        <v>315</v>
      </c>
      <c r="M550" s="9"/>
      <c r="N550" s="14">
        <f>Tabela131617[[#This Row],[Valor_recibo]]</f>
        <v>0</v>
      </c>
      <c r="O550" s="16"/>
      <c r="P550" s="1" t="e">
        <f>VLOOKUP(Tabela131617[[#This Row],[DT]],Aprovados!A:A,1,0)</f>
        <v>#N/A</v>
      </c>
      <c r="R550" s="16"/>
      <c r="S550" s="16"/>
      <c r="T550" s="9"/>
      <c r="U550" s="1" t="s">
        <v>315</v>
      </c>
      <c r="W550" s="232"/>
      <c r="X550" s="304"/>
    </row>
    <row r="551" spans="1:24" ht="15.75">
      <c r="A551" s="65"/>
      <c r="B551" s="9"/>
      <c r="D551" s="1"/>
      <c r="F551" s="1"/>
      <c r="G551" s="9"/>
      <c r="H551" s="9"/>
      <c r="I551" s="11"/>
      <c r="J551" s="1"/>
      <c r="K551" s="205" t="s">
        <v>315</v>
      </c>
      <c r="L551" s="1" t="s">
        <v>315</v>
      </c>
      <c r="M551" s="9"/>
      <c r="N551" s="14">
        <f>Tabela131617[[#This Row],[Valor_recibo]]</f>
        <v>0</v>
      </c>
      <c r="O551" s="16"/>
      <c r="P551" s="1" t="e">
        <f>VLOOKUP(Tabela131617[[#This Row],[DT]],Aprovados!A:A,1,0)</f>
        <v>#N/A</v>
      </c>
      <c r="R551" s="16"/>
      <c r="S551" s="16"/>
      <c r="T551" s="9"/>
      <c r="U551" s="1" t="s">
        <v>315</v>
      </c>
      <c r="W551" s="232"/>
      <c r="X551" s="304"/>
    </row>
    <row r="552" spans="1:24" ht="15.75">
      <c r="A552" s="1"/>
      <c r="B552" s="7"/>
      <c r="C552" s="59"/>
      <c r="D552" s="6"/>
      <c r="E552" s="6"/>
      <c r="F552" s="1"/>
      <c r="G552" s="9"/>
      <c r="H552" s="9"/>
      <c r="I552" s="11"/>
      <c r="J552" s="1"/>
      <c r="K552" s="205" t="s">
        <v>315</v>
      </c>
      <c r="L552" s="1" t="s">
        <v>315</v>
      </c>
      <c r="M552" s="9"/>
      <c r="N552" s="14">
        <f>Tabela131617[[#This Row],[Valor_recibo]]</f>
        <v>0</v>
      </c>
      <c r="O552" s="16"/>
      <c r="P552" s="1" t="e">
        <f>VLOOKUP(Tabela131617[[#This Row],[DT]],Aprovados!A:A,1,0)</f>
        <v>#N/A</v>
      </c>
      <c r="R552" s="16"/>
      <c r="S552" s="16"/>
      <c r="T552" s="9"/>
      <c r="U552" s="1" t="s">
        <v>315</v>
      </c>
      <c r="W552" s="232"/>
      <c r="X552" s="304"/>
    </row>
    <row r="553" spans="1:24" ht="15.75">
      <c r="A553" s="1"/>
      <c r="B553" s="7"/>
      <c r="C553" s="59"/>
      <c r="D553" s="59"/>
      <c r="E553" s="6"/>
      <c r="F553" s="1"/>
      <c r="G553" s="9"/>
      <c r="H553" s="9"/>
      <c r="I553" s="11"/>
      <c r="J553" s="1"/>
      <c r="K553" s="205" t="s">
        <v>315</v>
      </c>
      <c r="L553" s="1" t="s">
        <v>315</v>
      </c>
      <c r="M553" s="9"/>
      <c r="N553" s="14">
        <f>Tabela131617[[#This Row],[Valor_recibo]]</f>
        <v>0</v>
      </c>
      <c r="O553" s="16"/>
      <c r="P553" s="1" t="e">
        <f>VLOOKUP(Tabela131617[[#This Row],[DT]],Aprovados!A:A,1,0)</f>
        <v>#N/A</v>
      </c>
      <c r="R553" s="16"/>
      <c r="S553" s="16"/>
      <c r="T553" s="9"/>
      <c r="U553" s="1" t="s">
        <v>315</v>
      </c>
      <c r="W553" s="232"/>
      <c r="X553" s="304"/>
    </row>
    <row r="554" spans="1:24" ht="15.75">
      <c r="A554" s="1"/>
      <c r="B554" s="7"/>
      <c r="C554" s="59"/>
      <c r="D554" s="6"/>
      <c r="E554" s="6"/>
      <c r="F554" s="1"/>
      <c r="G554" s="9"/>
      <c r="H554" s="9"/>
      <c r="I554" s="11"/>
      <c r="J554" s="1"/>
      <c r="K554" s="205" t="s">
        <v>315</v>
      </c>
      <c r="L554" s="1" t="s">
        <v>315</v>
      </c>
      <c r="M554" s="9"/>
      <c r="N554" s="14">
        <f>Tabela131617[[#This Row],[Valor_recibo]]</f>
        <v>0</v>
      </c>
      <c r="O554" s="16"/>
      <c r="P554" s="1" t="e">
        <f>VLOOKUP(Tabela131617[[#This Row],[DT]],Aprovados!A:A,1,0)</f>
        <v>#N/A</v>
      </c>
      <c r="R554" s="16"/>
      <c r="S554" s="16"/>
      <c r="T554" s="9"/>
      <c r="U554" s="1" t="s">
        <v>315</v>
      </c>
      <c r="W554" s="232"/>
      <c r="X554" s="304"/>
    </row>
    <row r="555" spans="1:24" ht="15.75">
      <c r="A555" s="1"/>
      <c r="B555" s="7"/>
      <c r="C555" s="59"/>
      <c r="D555" s="6"/>
      <c r="E555" s="6"/>
      <c r="F555" s="1"/>
      <c r="G555" s="9"/>
      <c r="H555" s="9"/>
      <c r="I555" s="11"/>
      <c r="J555" s="1"/>
      <c r="K555" s="205" t="s">
        <v>315</v>
      </c>
      <c r="L555" s="1" t="s">
        <v>315</v>
      </c>
      <c r="M555" s="9"/>
      <c r="N555" s="14">
        <f>Tabela131617[[#This Row],[Valor_recibo]]</f>
        <v>0</v>
      </c>
      <c r="O555" s="16"/>
      <c r="P555" s="1" t="e">
        <f>VLOOKUP(Tabela131617[[#This Row],[DT]],Aprovados!A:A,1,0)</f>
        <v>#N/A</v>
      </c>
      <c r="R555" s="16"/>
      <c r="S555" s="16"/>
      <c r="T555" s="9"/>
      <c r="U555" s="1" t="s">
        <v>315</v>
      </c>
      <c r="W555" s="232"/>
      <c r="X555" s="304"/>
    </row>
    <row r="556" spans="1:24" ht="15.75">
      <c r="A556" s="1"/>
      <c r="B556" s="7"/>
      <c r="C556" s="59"/>
      <c r="D556" s="59"/>
      <c r="E556" s="59"/>
      <c r="F556" s="1"/>
      <c r="G556" s="9"/>
      <c r="H556" s="9"/>
      <c r="I556" s="11"/>
      <c r="J556" s="1"/>
      <c r="K556" s="205" t="s">
        <v>315</v>
      </c>
      <c r="L556" s="1" t="s">
        <v>315</v>
      </c>
      <c r="M556" s="9"/>
      <c r="N556" s="14">
        <f>Tabela131617[[#This Row],[Valor_recibo]]</f>
        <v>0</v>
      </c>
      <c r="O556" s="16"/>
      <c r="P556" s="1" t="e">
        <f>VLOOKUP(Tabela131617[[#This Row],[DT]],Aprovados!A:A,1,0)</f>
        <v>#N/A</v>
      </c>
      <c r="R556" s="16"/>
      <c r="S556" s="16"/>
      <c r="T556" s="9"/>
      <c r="U556" s="1" t="s">
        <v>315</v>
      </c>
      <c r="W556" s="232"/>
      <c r="X556" s="304"/>
    </row>
    <row r="557" spans="1:24" ht="15.75">
      <c r="A557" s="1"/>
      <c r="B557" s="7"/>
      <c r="C557" s="59"/>
      <c r="D557" s="6"/>
      <c r="E557" s="6"/>
      <c r="F557" s="1"/>
      <c r="G557" s="9"/>
      <c r="H557" s="9"/>
      <c r="I557" s="11"/>
      <c r="J557" s="1"/>
      <c r="K557" s="205" t="s">
        <v>315</v>
      </c>
      <c r="L557" s="1" t="s">
        <v>315</v>
      </c>
      <c r="M557" s="9"/>
      <c r="N557" s="14">
        <f>Tabela131617[[#This Row],[Valor_recibo]]</f>
        <v>0</v>
      </c>
      <c r="O557" s="16"/>
      <c r="P557" s="1" t="e">
        <f>VLOOKUP(Tabela131617[[#This Row],[DT]],Aprovados!A:A,1,0)</f>
        <v>#N/A</v>
      </c>
      <c r="R557" s="16"/>
      <c r="S557" s="16"/>
      <c r="T557" s="9"/>
      <c r="U557" s="1" t="s">
        <v>315</v>
      </c>
      <c r="W557" s="232"/>
      <c r="X557" s="304"/>
    </row>
    <row r="558" spans="1:24" ht="15.75">
      <c r="A558" s="1"/>
      <c r="B558" s="7"/>
      <c r="C558" s="59"/>
      <c r="D558" s="6"/>
      <c r="E558" s="6"/>
      <c r="F558" s="1"/>
      <c r="G558" s="9"/>
      <c r="H558" s="9"/>
      <c r="I558" s="11"/>
      <c r="J558" s="1"/>
      <c r="K558" s="205" t="s">
        <v>315</v>
      </c>
      <c r="L558" s="1" t="s">
        <v>315</v>
      </c>
      <c r="M558" s="9"/>
      <c r="N558" s="14">
        <f>Tabela131617[[#This Row],[Valor_recibo]]</f>
        <v>0</v>
      </c>
      <c r="O558" s="16"/>
      <c r="P558" s="1" t="e">
        <f>VLOOKUP(Tabela131617[[#This Row],[DT]],Aprovados!A:A,1,0)</f>
        <v>#N/A</v>
      </c>
      <c r="R558" s="16"/>
      <c r="S558" s="16"/>
      <c r="T558" s="9"/>
      <c r="U558" s="1" t="s">
        <v>315</v>
      </c>
      <c r="W558" s="232"/>
      <c r="X558" s="304"/>
    </row>
    <row r="559" spans="1:24" ht="15.75">
      <c r="A559" s="1"/>
      <c r="B559" s="7"/>
      <c r="C559" s="59"/>
      <c r="D559" s="59"/>
      <c r="E559" s="6"/>
      <c r="F559" s="1"/>
      <c r="G559" s="9"/>
      <c r="H559" s="9"/>
      <c r="I559" s="11"/>
      <c r="J559" s="1"/>
      <c r="K559" s="205" t="s">
        <v>315</v>
      </c>
      <c r="L559" s="1" t="s">
        <v>315</v>
      </c>
      <c r="M559" s="9"/>
      <c r="N559" s="14">
        <f>Tabela131617[[#This Row],[Valor_recibo]]</f>
        <v>0</v>
      </c>
      <c r="O559" s="16"/>
      <c r="P559" s="1" t="e">
        <f>VLOOKUP(Tabela131617[[#This Row],[DT]],Aprovados!A:A,1,0)</f>
        <v>#N/A</v>
      </c>
      <c r="R559" s="16"/>
      <c r="S559" s="16"/>
      <c r="T559" s="9"/>
      <c r="U559" s="1" t="s">
        <v>315</v>
      </c>
      <c r="W559" s="232"/>
      <c r="X559" s="304"/>
    </row>
    <row r="560" spans="1:24" ht="15.75">
      <c r="A560" s="1"/>
      <c r="B560" s="7"/>
      <c r="C560" s="59"/>
      <c r="D560" s="6"/>
      <c r="E560" s="6"/>
      <c r="F560" s="1"/>
      <c r="G560" s="9"/>
      <c r="H560" s="9"/>
      <c r="I560" s="11"/>
      <c r="J560" s="1"/>
      <c r="K560" s="205" t="s">
        <v>315</v>
      </c>
      <c r="L560" s="1" t="s">
        <v>315</v>
      </c>
      <c r="M560" s="9"/>
      <c r="N560" s="14">
        <f>Tabela131617[[#This Row],[Valor_recibo]]</f>
        <v>0</v>
      </c>
      <c r="O560" s="16"/>
      <c r="P560" s="1" t="e">
        <f>VLOOKUP(Tabela131617[[#This Row],[DT]],Aprovados!A:A,1,0)</f>
        <v>#N/A</v>
      </c>
      <c r="R560" s="16"/>
      <c r="S560" s="16"/>
      <c r="T560" s="9"/>
      <c r="U560" s="1" t="s">
        <v>315</v>
      </c>
      <c r="W560" s="232"/>
      <c r="X560" s="304"/>
    </row>
    <row r="561" spans="1:64" ht="15.75">
      <c r="A561" s="1"/>
      <c r="B561" s="7"/>
      <c r="C561" s="59"/>
      <c r="D561" s="59"/>
      <c r="E561" s="59"/>
      <c r="F561" s="1"/>
      <c r="G561" s="9"/>
      <c r="H561" s="9"/>
      <c r="I561" s="11"/>
      <c r="J561" s="1"/>
      <c r="K561" s="205" t="s">
        <v>315</v>
      </c>
      <c r="L561" s="1" t="s">
        <v>315</v>
      </c>
      <c r="M561" s="9"/>
      <c r="N561" s="14">
        <f>Tabela131617[[#This Row],[Valor_recibo]]</f>
        <v>0</v>
      </c>
      <c r="O561" s="16"/>
      <c r="P561" s="1" t="e">
        <f>VLOOKUP(Tabela131617[[#This Row],[DT]],Aprovados!A:A,1,0)</f>
        <v>#N/A</v>
      </c>
      <c r="R561" s="16"/>
      <c r="S561" s="16"/>
      <c r="T561" s="9"/>
      <c r="U561" s="1" t="s">
        <v>315</v>
      </c>
      <c r="W561" s="232"/>
      <c r="X561" s="304"/>
    </row>
    <row r="562" spans="1:64" ht="15.75">
      <c r="A562" s="1"/>
      <c r="B562" s="7"/>
      <c r="C562" s="139"/>
      <c r="D562" s="6"/>
      <c r="E562" s="59"/>
      <c r="F562" s="1"/>
      <c r="G562" s="9"/>
      <c r="H562" s="9"/>
      <c r="I562" s="11"/>
      <c r="J562" s="1"/>
      <c r="K562" s="205" t="s">
        <v>315</v>
      </c>
      <c r="L562" s="1" t="s">
        <v>315</v>
      </c>
      <c r="M562" s="9"/>
      <c r="N562" s="14">
        <f>Tabela131617[[#This Row],[Valor_recibo]]</f>
        <v>0</v>
      </c>
      <c r="O562" s="16"/>
      <c r="P562" s="1" t="e">
        <f>VLOOKUP(Tabela131617[[#This Row],[DT]],Aprovados!A:A,1,0)</f>
        <v>#N/A</v>
      </c>
      <c r="R562" s="16"/>
      <c r="S562" s="16"/>
      <c r="T562" s="9"/>
      <c r="U562" s="1" t="s">
        <v>315</v>
      </c>
      <c r="W562" s="232"/>
      <c r="X562" s="304"/>
    </row>
    <row r="563" spans="1:64" ht="15.75">
      <c r="A563" s="1"/>
      <c r="B563" s="7"/>
      <c r="C563" s="59"/>
      <c r="D563" s="59"/>
      <c r="E563" s="59"/>
      <c r="F563" s="1"/>
      <c r="G563" s="9"/>
      <c r="H563" s="9"/>
      <c r="I563" s="11"/>
      <c r="J563" s="1"/>
      <c r="K563" s="205" t="s">
        <v>315</v>
      </c>
      <c r="L563" s="1" t="s">
        <v>315</v>
      </c>
      <c r="M563" s="9"/>
      <c r="N563" s="14">
        <f>Tabela131617[[#This Row],[Valor_recibo]]</f>
        <v>0</v>
      </c>
      <c r="O563" s="16"/>
      <c r="P563" s="1" t="e">
        <f>VLOOKUP(Tabela131617[[#This Row],[DT]],Aprovados!A:A,1,0)</f>
        <v>#N/A</v>
      </c>
      <c r="R563" s="16"/>
      <c r="S563" s="16"/>
      <c r="T563" s="9"/>
      <c r="U563" s="1" t="s">
        <v>315</v>
      </c>
      <c r="W563" s="232"/>
      <c r="X563" s="304"/>
    </row>
    <row r="564" spans="1:64" ht="15.75">
      <c r="A564" s="1"/>
      <c r="B564" s="7"/>
      <c r="C564" s="59"/>
      <c r="D564" s="59"/>
      <c r="E564" s="59"/>
      <c r="F564" s="1"/>
      <c r="G564" s="9"/>
      <c r="H564" s="9"/>
      <c r="I564" s="11"/>
      <c r="J564" s="1"/>
      <c r="K564" s="205" t="s">
        <v>315</v>
      </c>
      <c r="L564" s="1" t="s">
        <v>315</v>
      </c>
      <c r="M564" s="9"/>
      <c r="N564" s="14">
        <f>Tabela131617[[#This Row],[Valor_recibo]]</f>
        <v>0</v>
      </c>
      <c r="O564" s="16"/>
      <c r="P564" s="1" t="e">
        <f>VLOOKUP(Tabela131617[[#This Row],[DT]],Aprovados!A:A,1,0)</f>
        <v>#N/A</v>
      </c>
      <c r="R564" s="16"/>
      <c r="S564" s="16"/>
      <c r="T564" s="9"/>
      <c r="U564" s="1" t="s">
        <v>315</v>
      </c>
      <c r="W564" s="232"/>
      <c r="X564" s="304"/>
    </row>
    <row r="565" spans="1:64" ht="15.75">
      <c r="A565" s="1"/>
      <c r="B565" s="7"/>
      <c r="C565" s="59"/>
      <c r="D565" s="59"/>
      <c r="E565" s="59"/>
      <c r="F565" s="1"/>
      <c r="G565" s="9"/>
      <c r="H565" s="9"/>
      <c r="I565" s="11"/>
      <c r="J565" s="1"/>
      <c r="K565" s="205" t="s">
        <v>315</v>
      </c>
      <c r="L565" s="1" t="s">
        <v>315</v>
      </c>
      <c r="M565" s="9"/>
      <c r="N565" s="14">
        <f>Tabela131617[[#This Row],[Valor_recibo]]</f>
        <v>0</v>
      </c>
      <c r="O565" s="16"/>
      <c r="P565" s="1" t="e">
        <f>VLOOKUP(Tabela131617[[#This Row],[DT]],Aprovados!A:A,1,0)</f>
        <v>#N/A</v>
      </c>
      <c r="R565" s="16"/>
      <c r="S565" s="16"/>
      <c r="T565" s="9"/>
      <c r="U565" s="1" t="s">
        <v>315</v>
      </c>
      <c r="W565" s="232"/>
      <c r="X565" s="304"/>
    </row>
    <row r="566" spans="1:64">
      <c r="W566" s="230"/>
      <c r="X566" s="304"/>
    </row>
    <row r="567" spans="1:64" ht="15" customHeight="1">
      <c r="W567" s="230"/>
      <c r="X567" s="304"/>
    </row>
    <row r="568" spans="1:64" ht="15" customHeight="1">
      <c r="W568" s="230"/>
      <c r="X568" s="304"/>
    </row>
    <row r="569" spans="1:64" ht="15" customHeight="1">
      <c r="W569" s="230"/>
      <c r="X569" s="304"/>
    </row>
    <row r="570" spans="1:64" ht="15" customHeight="1">
      <c r="W570" s="230"/>
      <c r="X570" s="304"/>
    </row>
    <row r="571" spans="1:64" ht="15" customHeight="1">
      <c r="J571" t="s">
        <v>527</v>
      </c>
      <c r="W571" s="230"/>
      <c r="X571" s="304"/>
    </row>
    <row r="572" spans="1:64" ht="15" customHeight="1">
      <c r="W572" s="230"/>
      <c r="X572" s="304"/>
      <c r="BL572" t="s">
        <v>528</v>
      </c>
    </row>
    <row r="573" spans="1:64" ht="15" customHeight="1">
      <c r="X573" s="304"/>
    </row>
    <row r="574" spans="1:64" ht="15" customHeight="1">
      <c r="X574" s="304"/>
    </row>
    <row r="575" spans="1:64" ht="15" customHeight="1">
      <c r="X575" s="304"/>
    </row>
    <row r="576" spans="1:64" ht="15" customHeight="1">
      <c r="X576" s="304"/>
    </row>
    <row r="577" spans="24:24" ht="15" customHeight="1">
      <c r="X577" s="304"/>
    </row>
    <row r="578" spans="24:24" ht="15" customHeight="1">
      <c r="X578" s="304"/>
    </row>
    <row r="579" spans="24:24" ht="15" customHeight="1">
      <c r="X579" s="304"/>
    </row>
    <row r="580" spans="24:24" ht="15" customHeight="1">
      <c r="X580" s="304"/>
    </row>
    <row r="581" spans="24:24" ht="15" customHeight="1">
      <c r="X581" s="304"/>
    </row>
    <row r="582" spans="24:24" ht="15" customHeight="1">
      <c r="X582" s="304"/>
    </row>
    <row r="583" spans="24:24" ht="15" customHeight="1">
      <c r="X583" s="304"/>
    </row>
    <row r="584" spans="24:24" ht="15" customHeight="1">
      <c r="X584" s="304"/>
    </row>
    <row r="585" spans="24:24" ht="15" customHeight="1">
      <c r="X585" s="304"/>
    </row>
    <row r="586" spans="24:24" ht="15" customHeight="1">
      <c r="X586" s="304"/>
    </row>
    <row r="587" spans="24:24" ht="15" customHeight="1">
      <c r="X587" s="304"/>
    </row>
    <row r="588" spans="24:24" ht="15" customHeight="1">
      <c r="X588" s="304"/>
    </row>
    <row r="589" spans="24:24" ht="15" customHeight="1">
      <c r="X589" s="304"/>
    </row>
    <row r="590" spans="24:24" ht="15" customHeight="1">
      <c r="X590" s="304"/>
    </row>
    <row r="591" spans="24:24" ht="15" customHeight="1">
      <c r="X591" s="304"/>
    </row>
    <row r="592" spans="24:24" ht="15" customHeight="1">
      <c r="X592" s="304"/>
    </row>
    <row r="593" spans="24:24" ht="15" customHeight="1">
      <c r="X593" s="304"/>
    </row>
    <row r="594" spans="24:24" ht="15" customHeight="1">
      <c r="X594" s="304"/>
    </row>
    <row r="595" spans="24:24" ht="15" customHeight="1">
      <c r="X595" s="304"/>
    </row>
    <row r="596" spans="24:24" ht="15" customHeight="1">
      <c r="X596" s="304"/>
    </row>
  </sheetData>
  <autoFilter ref="W2" xr:uid="{5608C59C-1D94-4074-A792-35B31458FFA3}"/>
  <conditionalFormatting sqref="A1:A2 A8:A1048576">
    <cfRule type="duplicateValues" dxfId="285" priority="72"/>
  </conditionalFormatting>
  <conditionalFormatting sqref="A3:A7">
    <cfRule type="duplicateValues" dxfId="284" priority="4"/>
  </conditionalFormatting>
  <conditionalFormatting sqref="A548">
    <cfRule type="duplicateValues" dxfId="283" priority="75"/>
  </conditionalFormatting>
  <conditionalFormatting sqref="A551">
    <cfRule type="duplicateValues" dxfId="282" priority="74"/>
  </conditionalFormatting>
  <conditionalFormatting sqref="C562">
    <cfRule type="cellIs" dxfId="281" priority="73" operator="equal">
      <formula>"CANCELADO"</formula>
    </cfRule>
  </conditionalFormatting>
  <conditionalFormatting sqref="F62">
    <cfRule type="duplicateValues" dxfId="280" priority="62"/>
  </conditionalFormatting>
  <conditionalFormatting sqref="K3:K565">
    <cfRule type="cellIs" dxfId="279" priority="11" operator="equal">
      <formula>"PENDENTE"</formula>
    </cfRule>
    <cfRule type="cellIs" dxfId="278" priority="20" operator="equal">
      <formula>"LANÇADO"</formula>
    </cfRule>
    <cfRule type="containsText" dxfId="277" priority="24" operator="containsText" text="APROVADO;PENDENTE">
      <formula>NOT(ISERROR(SEARCH("APROVADO;PENDENTE",K3)))</formula>
    </cfRule>
    <cfRule type="cellIs" dxfId="276" priority="25" operator="equal">
      <formula>"LANÇADO"</formula>
    </cfRule>
  </conditionalFormatting>
  <conditionalFormatting sqref="K6:K7 K9:K23 K25:K58 K60:K105 K107:K113 K115:K120 K215">
    <cfRule type="cellIs" dxfId="275" priority="17" operator="equal">
      <formula>"LANÇADO"</formula>
    </cfRule>
    <cfRule type="containsText" dxfId="274" priority="19" operator="containsText" text="APROVADO;PENDENTE">
      <formula>NOT(ISERROR(SEARCH("APROVADO;PENDENTE",K6)))</formula>
    </cfRule>
  </conditionalFormatting>
  <conditionalFormatting sqref="K122:K124 K126:K130 K132:K153 K155:K158 K160 K163:K164 K166:K179 K181:K188 K190:K199 K201:K206 K209 K212 K218:K222 K224:K233 K235 K237:K249">
    <cfRule type="cellIs" dxfId="273" priority="7" operator="equal">
      <formula>"LANÇADO"</formula>
    </cfRule>
    <cfRule type="containsText" dxfId="272" priority="9" operator="containsText" text="APROVADO;PENDENTE">
      <formula>NOT(ISERROR(SEARCH("APROVADO;PENDENTE",K122)))</formula>
    </cfRule>
    <cfRule type="cellIs" dxfId="271" priority="10" operator="equal">
      <formula>"LANÇADO"</formula>
    </cfRule>
  </conditionalFormatting>
  <conditionalFormatting sqref="L3:L565">
    <cfRule type="cellIs" dxfId="270" priority="5" operator="equal">
      <formula>"LANÇADO"</formula>
    </cfRule>
    <cfRule type="cellIs" dxfId="269" priority="6" operator="equal">
      <formula>"PENDENTE"</formula>
    </cfRule>
  </conditionalFormatting>
  <conditionalFormatting sqref="L3:M65 U8:W565 M66 L67:M80 M81 L82:M90 M91 L92:M97 M98 L99:M121 M122:M124 L125:M125 M126:M130 L131:M131 M132:M153 L154:M154 M155:M158 L159:M159 M160 L161:M162 M163:M164 L165:M165 M166:M179 L180:M180 M181:M188 L189:M189 M190:M199 L200:M200 M201:M206 L207:M208 M209 L210:M211 M212 L213:M217 M218:M222 L223:M223 M224:M233 L234:M234 M235 L236:M236 M237:M249 L250:M565">
    <cfRule type="cellIs" dxfId="268" priority="76" operator="equal">
      <formula>"LANÇADO"</formula>
    </cfRule>
    <cfRule type="cellIs" dxfId="267" priority="77" operator="equal">
      <formula>"PENDENTE"</formula>
    </cfRule>
  </conditionalFormatting>
  <conditionalFormatting sqref="O3:T8 R9:T9 O10:T10 R11:T11 O12:T13 R14:T14 O15:T48 O1:P1 O2 O9:P9 O11:P11 O14:P14 T33:T244 O49:R61 O62:P62 R62 O63:R65 O66:P66 R66 O67:R68 O69:P69 R69 O70:R125 O126:P126 R126 O127:R244 O245:T1048576">
    <cfRule type="cellIs" dxfId="266" priority="78" operator="lessThan">
      <formula>0</formula>
    </cfRule>
  </conditionalFormatting>
  <conditionalFormatting sqref="Q9">
    <cfRule type="duplicateValues" dxfId="265" priority="33"/>
  </conditionalFormatting>
  <conditionalFormatting sqref="S3:S48">
    <cfRule type="containsText" dxfId="264" priority="66" operator="containsText" text="RECEBIDO">
      <formula>NOT(ISERROR(SEARCH("RECEBIDO",S3)))</formula>
    </cfRule>
    <cfRule type="containsText" dxfId="263" priority="67" operator="containsText" text="PENDENTE">
      <formula>NOT(ISERROR(SEARCH("PENDENTE",S3)))</formula>
    </cfRule>
  </conditionalFormatting>
  <conditionalFormatting sqref="S50:S61">
    <cfRule type="cellIs" dxfId="262" priority="64" operator="equal">
      <formula>"LANÇADO"</formula>
    </cfRule>
    <cfRule type="cellIs" dxfId="261" priority="65" operator="equal">
      <formula>"PENDENTE"</formula>
    </cfRule>
  </conditionalFormatting>
  <conditionalFormatting sqref="S63:S244">
    <cfRule type="cellIs" dxfId="260" priority="43" operator="equal">
      <formula>"LANÇADO"</formula>
    </cfRule>
    <cfRule type="cellIs" dxfId="259" priority="44" operator="equal">
      <formula>"PENDENTE"</formula>
    </cfRule>
  </conditionalFormatting>
  <conditionalFormatting sqref="S49:T49">
    <cfRule type="cellIs" dxfId="258" priority="68" operator="equal">
      <formula>"LANÇADO"</formula>
    </cfRule>
    <cfRule type="cellIs" dxfId="257" priority="69" operator="equal">
      <formula>"PENDENTE"</formula>
    </cfRule>
  </conditionalFormatting>
  <conditionalFormatting sqref="S62:T62">
    <cfRule type="cellIs" dxfId="256" priority="70" operator="equal">
      <formula>"LANÇADO"</formula>
    </cfRule>
    <cfRule type="cellIs" dxfId="255" priority="71" operator="equal">
      <formula>"PENDENTE"</formula>
    </cfRule>
  </conditionalFormatting>
  <conditionalFormatting sqref="T49:T53">
    <cfRule type="cellIs" dxfId="254" priority="34" operator="equal">
      <formula>"LANÇADO"</formula>
    </cfRule>
    <cfRule type="cellIs" dxfId="253" priority="35" operator="equal">
      <formula>"PENDENTE"</formula>
    </cfRule>
  </conditionalFormatting>
  <conditionalFormatting sqref="T56:T58">
    <cfRule type="cellIs" dxfId="252" priority="60" operator="equal">
      <formula>"LANÇADO"</formula>
    </cfRule>
    <cfRule type="cellIs" dxfId="251" priority="61" operator="equal">
      <formula>"PENDENTE"</formula>
    </cfRule>
  </conditionalFormatting>
  <conditionalFormatting sqref="T61">
    <cfRule type="cellIs" dxfId="250" priority="40" operator="equal">
      <formula>"LANÇADO"</formula>
    </cfRule>
    <cfRule type="cellIs" dxfId="249" priority="41" operator="equal">
      <formula>"PENDENTE"</formula>
    </cfRule>
  </conditionalFormatting>
  <conditionalFormatting sqref="T63:T65">
    <cfRule type="cellIs" dxfId="248" priority="38" operator="equal">
      <formula>"LANÇADO"</formula>
    </cfRule>
    <cfRule type="cellIs" dxfId="247" priority="39" operator="equal">
      <formula>"PENDENTE"</formula>
    </cfRule>
  </conditionalFormatting>
  <conditionalFormatting sqref="T69">
    <cfRule type="cellIs" dxfId="246" priority="45" operator="equal">
      <formula>"LANÇADO"</formula>
    </cfRule>
    <cfRule type="cellIs" dxfId="245" priority="46" operator="equal">
      <formula>"PENDENTE"</formula>
    </cfRule>
  </conditionalFormatting>
  <conditionalFormatting sqref="U3:U7 W3:W7">
    <cfRule type="cellIs" dxfId="244" priority="1" operator="equal">
      <formula>"LANÇADO"</formula>
    </cfRule>
    <cfRule type="cellIs" dxfId="243" priority="2" operator="equal">
      <formula>"PENDENTE"</formula>
    </cfRule>
  </conditionalFormatting>
  <conditionalFormatting sqref="V3:V7">
    <cfRule type="cellIs" dxfId="242" priority="3" operator="lessThan">
      <formula>0</formula>
    </cfRule>
  </conditionalFormatting>
  <dataValidations count="5">
    <dataValidation type="list" allowBlank="1" showInputMessage="1" showErrorMessage="1" sqref="S3:S48" xr:uid="{F9D850BA-9556-41C3-9696-04E6B47551EE}">
      <formula1>"PENDENTE,RECEBIDO"</formula1>
    </dataValidation>
    <dataValidation allowBlank="1" showInputMessage="1" showErrorMessage="1" sqref="M1:M1048576 W1:W572 V8:V565" xr:uid="{36805294-301B-42E8-A604-2051DEBB866D}"/>
    <dataValidation type="list" allowBlank="1" showInputMessage="1" showErrorMessage="1" sqref="L3:L565 S49:S244 U3:U565" xr:uid="{76934A1D-D9C5-4C93-95E0-E1EBF2218C19}">
      <formula1>"LANÇADO,PENDENTE"</formula1>
    </dataValidation>
    <dataValidation type="list" allowBlank="1" showInputMessage="1" showErrorMessage="1" sqref="J3:J402" xr:uid="{F37F3F91-DCA6-4E6E-8405-13648AF6F59D}">
      <formula1>"PENDENTE,OK"</formula1>
    </dataValidation>
    <dataValidation type="list" allowBlank="1" showInputMessage="1" showErrorMessage="1" sqref="K3:K565" xr:uid="{A38E2232-554A-42CE-A866-ADAFF76FE309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ABA6-23CC-492F-A6D2-BA9831C55817}">
  <dimension ref="A1:BL596"/>
  <sheetViews>
    <sheetView showGridLines="0" topLeftCell="E1" zoomScale="60" zoomScaleNormal="60" workbookViewId="0">
      <pane ySplit="2" topLeftCell="A3" activePane="bottomLeft" state="frozen"/>
      <selection pane="bottomLeft" activeCell="W18" sqref="W18"/>
    </sheetView>
  </sheetViews>
  <sheetFormatPr defaultRowHeight="15" customHeight="1"/>
  <cols>
    <col min="1" max="1" width="19.42578125" customWidth="1"/>
    <col min="2" max="2" width="25.7109375" customWidth="1"/>
    <col min="3" max="3" width="45.28515625" customWidth="1"/>
    <col min="4" max="4" width="34.85546875" customWidth="1"/>
    <col min="5" max="5" width="22" customWidth="1"/>
    <col min="6" max="6" width="64.28515625" customWidth="1"/>
    <col min="7" max="7" width="22.5703125" style="10" customWidth="1"/>
    <col min="8" max="8" width="19.140625" style="10" customWidth="1"/>
    <col min="9" max="9" width="13.42578125" style="12" customWidth="1"/>
    <col min="10" max="10" width="15" customWidth="1"/>
    <col min="11" max="11" width="20.42578125" customWidth="1"/>
    <col min="12" max="12" width="18.28515625" customWidth="1"/>
    <col min="13" max="13" width="25.7109375" style="10" customWidth="1"/>
    <col min="14" max="14" width="16" style="15" customWidth="1"/>
    <col min="15" max="16" width="26" customWidth="1"/>
    <col min="17" max="17" width="9.140625" style="1" customWidth="1"/>
    <col min="18" max="18" width="17.85546875" style="1" customWidth="1"/>
    <col min="19" max="19" width="21.5703125" customWidth="1"/>
    <col min="20" max="20" width="21.5703125" style="10" customWidth="1"/>
    <col min="21" max="21" width="28.85546875" customWidth="1"/>
    <col min="22" max="22" width="16.85546875" style="12" customWidth="1"/>
    <col min="23" max="23" width="44.140625" style="233" customWidth="1"/>
    <col min="24" max="24" width="35.140625" bestFit="1" customWidth="1"/>
  </cols>
  <sheetData>
    <row r="1" spans="1:24">
      <c r="G1"/>
      <c r="K1" s="279">
        <f>SUBTOTAL(9,Tabela13161718[Valor_recibo])</f>
        <v>0</v>
      </c>
      <c r="N1" s="15">
        <f>SUBTOTAL(9,Tabela13161718[Match_Planilha])</f>
        <v>0</v>
      </c>
      <c r="O1" s="15">
        <f>SUBTOTAL(9,O3:O574)</f>
        <v>0</v>
      </c>
      <c r="P1" s="275"/>
      <c r="Q1" s="224"/>
      <c r="R1" s="224">
        <f>SUBTOTAL(9,R3:R196)</f>
        <v>0</v>
      </c>
      <c r="S1" s="224" t="s">
        <v>372</v>
      </c>
      <c r="T1" s="227"/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529</v>
      </c>
      <c r="W2" s="231" t="s">
        <v>317</v>
      </c>
      <c r="X2" s="299" t="s">
        <v>15</v>
      </c>
    </row>
    <row r="3" spans="1:24" ht="15.75">
      <c r="A3" s="6"/>
      <c r="B3" s="7"/>
      <c r="C3" s="6"/>
      <c r="D3" s="6"/>
      <c r="E3" s="6"/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>
        <f>Tabela13161718[[#This Row],[Valor_recibo]]</f>
        <v>0</v>
      </c>
      <c r="O3" s="16"/>
      <c r="P3" s="1" t="e">
        <f>VLOOKUP(Tabela13161718[[#This Row],[DT]],Aprovados!A:A,1,0)</f>
        <v>#N/A</v>
      </c>
      <c r="Q3" s="16"/>
      <c r="R3" s="16"/>
      <c r="S3" s="16" t="s">
        <v>315</v>
      </c>
      <c r="T3" s="9"/>
      <c r="U3" s="1" t="s">
        <v>315</v>
      </c>
      <c r="V3" s="11"/>
      <c r="W3" s="239"/>
      <c r="X3" s="304"/>
    </row>
    <row r="4" spans="1:24" ht="15.75">
      <c r="A4" s="6"/>
      <c r="B4" s="7"/>
      <c r="C4" s="6"/>
      <c r="D4" s="6"/>
      <c r="E4" s="6"/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>
        <f>Tabela13161718[[#This Row],[Valor_recibo]]</f>
        <v>0</v>
      </c>
      <c r="O4" s="16"/>
      <c r="P4" s="1" t="e">
        <f>VLOOKUP(Tabela13161718[[#This Row],[DT]],Aprovados!A:A,1,0)</f>
        <v>#N/A</v>
      </c>
      <c r="Q4" s="16"/>
      <c r="R4" s="16"/>
      <c r="S4" s="16" t="s">
        <v>315</v>
      </c>
      <c r="T4" s="9"/>
      <c r="U4" s="1" t="s">
        <v>315</v>
      </c>
      <c r="V4" s="11"/>
      <c r="W4" s="239"/>
      <c r="X4" s="304"/>
    </row>
    <row r="5" spans="1:24" ht="15.75">
      <c r="A5" s="6"/>
      <c r="B5" s="7"/>
      <c r="C5" s="6"/>
      <c r="D5" s="6"/>
      <c r="E5" s="6"/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>
        <f>Tabela13161718[[#This Row],[Valor_recibo]]</f>
        <v>0</v>
      </c>
      <c r="O5" s="16"/>
      <c r="P5" s="1" t="e">
        <f>VLOOKUP(Tabela13161718[[#This Row],[DT]],Aprovados!A:A,1,0)</f>
        <v>#N/A</v>
      </c>
      <c r="Q5" s="16"/>
      <c r="R5" s="16"/>
      <c r="S5" s="16" t="s">
        <v>315</v>
      </c>
      <c r="T5" s="9"/>
      <c r="U5" s="1" t="s">
        <v>315</v>
      </c>
      <c r="V5" s="11"/>
      <c r="W5" s="239"/>
      <c r="X5" s="304"/>
    </row>
    <row r="6" spans="1:24" ht="15.75">
      <c r="A6" s="6"/>
      <c r="B6" s="7"/>
      <c r="C6" s="6"/>
      <c r="D6" s="6"/>
      <c r="E6" s="6"/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>
        <f>Tabela13161718[[#This Row],[Valor_recibo]]</f>
        <v>0</v>
      </c>
      <c r="O6" s="16"/>
      <c r="P6" s="1" t="e">
        <f>VLOOKUP(Tabela13161718[[#This Row],[DT]],Aprovados!A:A,1,0)</f>
        <v>#N/A</v>
      </c>
      <c r="Q6" s="16"/>
      <c r="R6" s="16"/>
      <c r="S6" s="16" t="s">
        <v>315</v>
      </c>
      <c r="T6" s="9"/>
      <c r="U6" s="1" t="s">
        <v>315</v>
      </c>
      <c r="V6" s="11"/>
      <c r="W6" s="239"/>
      <c r="X6" s="304"/>
    </row>
    <row r="7" spans="1:24" ht="15.75">
      <c r="A7" s="6"/>
      <c r="B7" s="7"/>
      <c r="C7" s="6"/>
      <c r="D7" s="6"/>
      <c r="E7" s="6"/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>
        <f>Tabela13161718[[#This Row],[Valor_recibo]]</f>
        <v>0</v>
      </c>
      <c r="O7" s="16"/>
      <c r="P7" s="1" t="e">
        <f>VLOOKUP(Tabela13161718[[#This Row],[DT]],Aprovados!A:A,1,0)</f>
        <v>#N/A</v>
      </c>
      <c r="Q7" s="16"/>
      <c r="R7" s="16"/>
      <c r="S7" s="16" t="s">
        <v>315</v>
      </c>
      <c r="T7" s="9"/>
      <c r="U7" s="1" t="s">
        <v>315</v>
      </c>
      <c r="V7" s="11"/>
      <c r="W7" s="239"/>
      <c r="X7" s="304"/>
    </row>
    <row r="8" spans="1:24" ht="15.75">
      <c r="A8" s="6"/>
      <c r="B8" s="7"/>
      <c r="C8" s="6"/>
      <c r="D8" s="6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>
        <f>Tabela13161718[[#This Row],[Valor_recibo]]</f>
        <v>0</v>
      </c>
      <c r="O8" s="16"/>
      <c r="P8" s="1" t="e">
        <f>VLOOKUP(Tabela13161718[[#This Row],[DT]],Aprovados!A:A,1,0)</f>
        <v>#N/A</v>
      </c>
      <c r="Q8" s="16"/>
      <c r="R8" s="16"/>
      <c r="S8" s="16" t="s">
        <v>315</v>
      </c>
      <c r="T8" s="9"/>
      <c r="U8" s="1" t="s">
        <v>315</v>
      </c>
      <c r="V8" s="11"/>
      <c r="W8" s="239"/>
      <c r="X8" s="304"/>
    </row>
    <row r="9" spans="1:24" ht="15.75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Tabela13161718[[#This Row],[Valor_recibo]]</f>
        <v>0</v>
      </c>
      <c r="O9" s="16"/>
      <c r="P9" s="1" t="e">
        <f>VLOOKUP(Tabela13161718[[#This Row],[DT]],Aprovados!A:A,1,0)</f>
        <v>#N/A</v>
      </c>
      <c r="Q9" s="16"/>
      <c r="R9" s="16"/>
      <c r="S9" s="16" t="s">
        <v>315</v>
      </c>
      <c r="T9" s="9"/>
      <c r="U9" s="1" t="s">
        <v>315</v>
      </c>
      <c r="V9" s="11"/>
      <c r="W9" s="239"/>
      <c r="X9" s="304"/>
    </row>
    <row r="10" spans="1:24" ht="15.75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>
        <f>Tabela13161718[[#This Row],[Valor_recibo]]</f>
        <v>0</v>
      </c>
      <c r="O10" s="16"/>
      <c r="P10" s="1" t="e">
        <f>VLOOKUP(Tabela13161718[[#This Row],[DT]],Aprovados!A:A,1,0)</f>
        <v>#N/A</v>
      </c>
      <c r="Q10" s="16"/>
      <c r="R10" s="16"/>
      <c r="S10" s="16" t="s">
        <v>315</v>
      </c>
      <c r="T10" s="9"/>
      <c r="U10" s="1" t="s">
        <v>315</v>
      </c>
      <c r="V10" s="11"/>
      <c r="W10" s="239"/>
      <c r="X10" s="304"/>
    </row>
    <row r="11" spans="1:24" ht="15.75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>
        <f>Tabela13161718[[#This Row],[Valor_recibo]]</f>
        <v>0</v>
      </c>
      <c r="O11" s="16"/>
      <c r="P11" s="1" t="e">
        <f>VLOOKUP(Tabela13161718[[#This Row],[DT]],Aprovados!A:A,1,0)</f>
        <v>#N/A</v>
      </c>
      <c r="Q11" s="16"/>
      <c r="R11" s="16"/>
      <c r="S11" s="16" t="s">
        <v>315</v>
      </c>
      <c r="T11" s="9"/>
      <c r="U11" s="1" t="s">
        <v>315</v>
      </c>
      <c r="V11" s="11"/>
      <c r="W11" s="239"/>
      <c r="X11" s="304"/>
    </row>
    <row r="12" spans="1:24" ht="15.75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>
        <f>Tabela13161718[[#This Row],[Valor_recibo]]</f>
        <v>0</v>
      </c>
      <c r="O12" s="16"/>
      <c r="P12" s="1" t="e">
        <f>VLOOKUP(Tabela13161718[[#This Row],[DT]],Aprovados!A:A,1,0)</f>
        <v>#N/A</v>
      </c>
      <c r="Q12" s="16"/>
      <c r="R12" s="16"/>
      <c r="S12" s="16" t="s">
        <v>315</v>
      </c>
      <c r="T12" s="9"/>
      <c r="U12" s="1" t="s">
        <v>315</v>
      </c>
      <c r="V12" s="11"/>
      <c r="W12" s="239"/>
      <c r="X12" s="304"/>
    </row>
    <row r="13" spans="1:24" ht="15.75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>
        <f>Tabela13161718[[#This Row],[Valor_recibo]]</f>
        <v>0</v>
      </c>
      <c r="O13" s="16"/>
      <c r="P13" s="1" t="e">
        <f>VLOOKUP(Tabela13161718[[#This Row],[DT]],Aprovados!A:A,1,0)</f>
        <v>#N/A</v>
      </c>
      <c r="Q13" s="16"/>
      <c r="R13" s="16"/>
      <c r="S13" s="16" t="s">
        <v>315</v>
      </c>
      <c r="T13" s="9"/>
      <c r="U13" s="1" t="s">
        <v>315</v>
      </c>
      <c r="V13" s="11"/>
      <c r="W13" s="239"/>
      <c r="X13" s="304"/>
    </row>
    <row r="14" spans="1:24" ht="15.75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>
        <f>Tabela13161718[[#This Row],[Valor_recibo]]</f>
        <v>0</v>
      </c>
      <c r="O14" s="16"/>
      <c r="P14" s="1" t="e">
        <f>VLOOKUP(Tabela13161718[[#This Row],[DT]],Aprovados!A:A,1,0)</f>
        <v>#N/A</v>
      </c>
      <c r="Q14" s="16"/>
      <c r="R14" s="16"/>
      <c r="S14" s="16" t="s">
        <v>315</v>
      </c>
      <c r="T14" s="9"/>
      <c r="U14" s="1" t="s">
        <v>315</v>
      </c>
      <c r="V14" s="11"/>
      <c r="W14" s="239"/>
      <c r="X14" s="304"/>
    </row>
    <row r="15" spans="1:24" ht="15.75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>
        <f>Tabela13161718[[#This Row],[Valor_recibo]]</f>
        <v>0</v>
      </c>
      <c r="O15" s="16"/>
      <c r="P15" s="1" t="e">
        <f>VLOOKUP(Tabela13161718[[#This Row],[DT]],Aprovados!A:A,1,0)</f>
        <v>#N/A</v>
      </c>
      <c r="Q15" s="16"/>
      <c r="R15" s="16"/>
      <c r="S15" s="16" t="s">
        <v>315</v>
      </c>
      <c r="T15" s="9"/>
      <c r="U15" s="1" t="s">
        <v>315</v>
      </c>
      <c r="V15" s="11"/>
      <c r="W15" s="239"/>
      <c r="X15" s="304"/>
    </row>
    <row r="16" spans="1:24" ht="15.75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>
        <f>Tabela13161718[[#This Row],[Valor_recibo]]</f>
        <v>0</v>
      </c>
      <c r="O16" s="16"/>
      <c r="P16" s="1" t="e">
        <f>VLOOKUP(Tabela13161718[[#This Row],[DT]],Aprovados!A:A,1,0)</f>
        <v>#N/A</v>
      </c>
      <c r="Q16" s="16"/>
      <c r="R16" s="16"/>
      <c r="S16" s="16" t="s">
        <v>315</v>
      </c>
      <c r="T16" s="9"/>
      <c r="U16" s="1" t="s">
        <v>315</v>
      </c>
      <c r="V16" s="11"/>
      <c r="W16" s="239"/>
      <c r="X16" s="304"/>
    </row>
    <row r="17" spans="1:24" ht="15.75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>
        <f>Tabela13161718[[#This Row],[Valor_recibo]]</f>
        <v>0</v>
      </c>
      <c r="O17" s="16"/>
      <c r="P17" s="1" t="e">
        <f>VLOOKUP(Tabela13161718[[#This Row],[DT]],Aprovados!A:A,1,0)</f>
        <v>#N/A</v>
      </c>
      <c r="Q17" s="16"/>
      <c r="R17" s="16"/>
      <c r="S17" s="16" t="s">
        <v>315</v>
      </c>
      <c r="T17" s="9"/>
      <c r="U17" s="1" t="s">
        <v>315</v>
      </c>
      <c r="V17" s="11"/>
      <c r="W17" s="239"/>
      <c r="X17" s="304"/>
    </row>
    <row r="18" spans="1:24" ht="15.75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>
        <f>Tabela13161718[[#This Row],[Valor_recibo]]</f>
        <v>0</v>
      </c>
      <c r="O18" s="16"/>
      <c r="P18" s="1" t="e">
        <f>VLOOKUP(Tabela13161718[[#This Row],[DT]],Aprovados!A:A,1,0)</f>
        <v>#N/A</v>
      </c>
      <c r="Q18" s="16"/>
      <c r="R18" s="16"/>
      <c r="S18" s="16" t="s">
        <v>315</v>
      </c>
      <c r="T18" s="9"/>
      <c r="U18" s="1" t="s">
        <v>315</v>
      </c>
      <c r="V18" s="11"/>
      <c r="W18" s="239"/>
      <c r="X18" s="304"/>
    </row>
    <row r="19" spans="1:24" ht="15.75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>
        <f>Tabela13161718[[#This Row],[Valor_recibo]]</f>
        <v>0</v>
      </c>
      <c r="O19" s="16"/>
      <c r="P19" s="1" t="e">
        <f>VLOOKUP(Tabela13161718[[#This Row],[DT]],Aprovados!A:A,1,0)</f>
        <v>#N/A</v>
      </c>
      <c r="Q19" s="16"/>
      <c r="R19" s="16"/>
      <c r="S19" s="16" t="s">
        <v>315</v>
      </c>
      <c r="T19" s="9"/>
      <c r="U19" s="1" t="s">
        <v>315</v>
      </c>
      <c r="V19" s="11"/>
      <c r="W19" s="239"/>
      <c r="X19" s="304"/>
    </row>
    <row r="20" spans="1:24" ht="15.75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>
        <f>Tabela13161718[[#This Row],[Valor_recibo]]</f>
        <v>0</v>
      </c>
      <c r="O20" s="16"/>
      <c r="P20" s="1" t="e">
        <f>VLOOKUP(Tabela13161718[[#This Row],[DT]],Aprovados!A:A,1,0)</f>
        <v>#N/A</v>
      </c>
      <c r="Q20" s="16"/>
      <c r="R20" s="16"/>
      <c r="S20" s="16" t="s">
        <v>315</v>
      </c>
      <c r="T20" s="9"/>
      <c r="U20" s="1" t="s">
        <v>315</v>
      </c>
      <c r="V20" s="11"/>
      <c r="W20" s="239"/>
      <c r="X20" s="304"/>
    </row>
    <row r="21" spans="1:24" ht="15.75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>
        <f>Tabela13161718[[#This Row],[Valor_recibo]]</f>
        <v>0</v>
      </c>
      <c r="O21" s="16"/>
      <c r="P21" s="1" t="e">
        <f>VLOOKUP(Tabela13161718[[#This Row],[DT]],Aprovados!A:A,1,0)</f>
        <v>#N/A</v>
      </c>
      <c r="Q21" s="16"/>
      <c r="R21" s="16"/>
      <c r="S21" s="16" t="s">
        <v>315</v>
      </c>
      <c r="T21" s="9"/>
      <c r="U21" s="1" t="s">
        <v>315</v>
      </c>
      <c r="V21" s="11"/>
      <c r="W21" s="239"/>
      <c r="X21" s="304"/>
    </row>
    <row r="22" spans="1:24" ht="15.75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>
        <f>Tabela13161718[[#This Row],[Valor_recibo]]</f>
        <v>0</v>
      </c>
      <c r="O22" s="16"/>
      <c r="P22" s="1" t="e">
        <f>VLOOKUP(Tabela13161718[[#This Row],[DT]],Aprovados!A:A,1,0)</f>
        <v>#N/A</v>
      </c>
      <c r="Q22" s="16"/>
      <c r="R22" s="16"/>
      <c r="S22" s="16" t="s">
        <v>315</v>
      </c>
      <c r="T22" s="9"/>
      <c r="U22" s="1" t="s">
        <v>315</v>
      </c>
      <c r="V22" s="11"/>
      <c r="W22" s="239"/>
      <c r="X22" s="304"/>
    </row>
    <row r="23" spans="1:24" ht="15.75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>
        <f>Tabela13161718[[#This Row],[Valor_recibo]]</f>
        <v>0</v>
      </c>
      <c r="O23" s="16"/>
      <c r="P23" s="1" t="e">
        <f>VLOOKUP(Tabela13161718[[#This Row],[DT]],Aprovados!A:A,1,0)</f>
        <v>#N/A</v>
      </c>
      <c r="Q23" s="16"/>
      <c r="R23" s="16"/>
      <c r="S23" s="16" t="s">
        <v>315</v>
      </c>
      <c r="T23" s="9"/>
      <c r="U23" s="1" t="s">
        <v>315</v>
      </c>
      <c r="V23" s="11"/>
      <c r="W23" s="239"/>
      <c r="X23" s="304"/>
    </row>
    <row r="24" spans="1:24" ht="15.75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>
        <f>Tabela13161718[[#This Row],[Valor_recibo]]</f>
        <v>0</v>
      </c>
      <c r="O24" s="16"/>
      <c r="P24" s="1" t="e">
        <f>VLOOKUP(Tabela13161718[[#This Row],[DT]],Aprovados!A:A,1,0)</f>
        <v>#N/A</v>
      </c>
      <c r="Q24" s="16"/>
      <c r="R24" s="16"/>
      <c r="S24" s="16" t="s">
        <v>315</v>
      </c>
      <c r="T24" s="9"/>
      <c r="U24" s="1" t="s">
        <v>315</v>
      </c>
      <c r="V24" s="11"/>
      <c r="W24" s="239"/>
      <c r="X24" s="304"/>
    </row>
    <row r="25" spans="1:24" ht="15.75">
      <c r="A25" s="6"/>
      <c r="B25" s="7"/>
      <c r="C25" s="6"/>
      <c r="D25" s="6"/>
      <c r="E25" s="6"/>
      <c r="F25" s="1"/>
      <c r="G25" s="9"/>
      <c r="H25" s="9"/>
      <c r="I25" s="11"/>
      <c r="J25" s="1"/>
      <c r="K25" s="205" t="s">
        <v>315</v>
      </c>
      <c r="L25" s="1" t="s">
        <v>315</v>
      </c>
      <c r="M25" s="9"/>
      <c r="N25" s="14">
        <f>Tabela13161718[[#This Row],[Valor_recibo]]</f>
        <v>0</v>
      </c>
      <c r="O25" s="16"/>
      <c r="P25" s="1" t="e">
        <f>VLOOKUP(Tabela13161718[[#This Row],[DT]],Aprovados!A:A,1,0)</f>
        <v>#N/A</v>
      </c>
      <c r="Q25" s="16"/>
      <c r="R25" s="16"/>
      <c r="S25" s="16" t="s">
        <v>315</v>
      </c>
      <c r="T25" s="9"/>
      <c r="U25" s="1" t="s">
        <v>315</v>
      </c>
      <c r="V25" s="11"/>
      <c r="W25" s="239"/>
      <c r="X25" s="304"/>
    </row>
    <row r="26" spans="1:24" ht="15.75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>
        <f>Tabela13161718[[#This Row],[Valor_recibo]]</f>
        <v>0</v>
      </c>
      <c r="O26" s="16"/>
      <c r="P26" s="1" t="e">
        <f>VLOOKUP(Tabela13161718[[#This Row],[DT]],Aprovados!A:A,1,0)</f>
        <v>#N/A</v>
      </c>
      <c r="Q26" s="16"/>
      <c r="R26" s="16"/>
      <c r="S26" s="16" t="s">
        <v>315</v>
      </c>
      <c r="T26" s="9"/>
      <c r="U26" s="1" t="s">
        <v>315</v>
      </c>
      <c r="V26" s="11"/>
      <c r="W26" s="239"/>
      <c r="X26" s="304"/>
    </row>
    <row r="27" spans="1:24" ht="15.75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>
        <f>Tabela13161718[[#This Row],[Valor_recibo]]</f>
        <v>0</v>
      </c>
      <c r="O27" s="16"/>
      <c r="P27" s="1" t="e">
        <f>VLOOKUP(Tabela13161718[[#This Row],[DT]],Aprovados!A:A,1,0)</f>
        <v>#N/A</v>
      </c>
      <c r="Q27" s="16"/>
      <c r="R27" s="16"/>
      <c r="S27" s="16" t="s">
        <v>315</v>
      </c>
      <c r="T27" s="9"/>
      <c r="U27" s="1" t="s">
        <v>315</v>
      </c>
      <c r="V27" s="11"/>
      <c r="W27" s="232"/>
      <c r="X27" s="304"/>
    </row>
    <row r="28" spans="1:24" ht="15.75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>
        <f>Tabela13161718[[#This Row],[Valor_recibo]]</f>
        <v>0</v>
      </c>
      <c r="O28" s="16"/>
      <c r="P28" s="1" t="e">
        <f>VLOOKUP(Tabela13161718[[#This Row],[DT]],Aprovados!A:A,1,0)</f>
        <v>#N/A</v>
      </c>
      <c r="Q28" s="16"/>
      <c r="R28" s="16"/>
      <c r="S28" s="16" t="s">
        <v>315</v>
      </c>
      <c r="T28" s="9"/>
      <c r="U28" s="1" t="s">
        <v>315</v>
      </c>
      <c r="V28" s="11"/>
      <c r="W28" s="232"/>
      <c r="X28" s="304"/>
    </row>
    <row r="29" spans="1:24" ht="15.75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>
        <f>Tabela13161718[[#This Row],[Valor_recibo]]</f>
        <v>0</v>
      </c>
      <c r="O29" s="16"/>
      <c r="P29" s="1" t="e">
        <f>VLOOKUP(Tabela13161718[[#This Row],[DT]],Aprovados!A:A,1,0)</f>
        <v>#N/A</v>
      </c>
      <c r="Q29" s="16"/>
      <c r="R29" s="16"/>
      <c r="S29" s="16" t="s">
        <v>315</v>
      </c>
      <c r="T29" s="9"/>
      <c r="U29" s="1" t="s">
        <v>315</v>
      </c>
      <c r="V29" s="11"/>
      <c r="W29" s="239"/>
      <c r="X29" s="304"/>
    </row>
    <row r="30" spans="1:24" ht="15.75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>
        <f>Tabela13161718[[#This Row],[Valor_recibo]]</f>
        <v>0</v>
      </c>
      <c r="O30" s="16"/>
      <c r="P30" s="1" t="e">
        <f>VLOOKUP(Tabela13161718[[#This Row],[DT]],Aprovados!A:A,1,0)</f>
        <v>#N/A</v>
      </c>
      <c r="Q30" s="16"/>
      <c r="R30" s="16"/>
      <c r="S30" s="16" t="s">
        <v>315</v>
      </c>
      <c r="T30" s="9"/>
      <c r="U30" s="1" t="s">
        <v>315</v>
      </c>
      <c r="V30" s="11"/>
      <c r="W30" s="239"/>
      <c r="X30" s="304"/>
    </row>
    <row r="31" spans="1:24" ht="15.75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>
        <f>Tabela13161718[[#This Row],[Valor_recibo]]</f>
        <v>0</v>
      </c>
      <c r="O31" s="16"/>
      <c r="P31" s="1" t="e">
        <f>VLOOKUP(Tabela13161718[[#This Row],[DT]],Aprovados!A:A,1,0)</f>
        <v>#N/A</v>
      </c>
      <c r="Q31" s="16"/>
      <c r="R31" s="16"/>
      <c r="S31" s="16" t="s">
        <v>315</v>
      </c>
      <c r="T31" s="9"/>
      <c r="U31" s="1" t="s">
        <v>315</v>
      </c>
      <c r="V31" s="11"/>
      <c r="W31" s="239"/>
      <c r="X31" s="304"/>
    </row>
    <row r="32" spans="1:24" ht="15.75">
      <c r="A32" s="6"/>
      <c r="B32" s="7"/>
      <c r="C32" s="6"/>
      <c r="D32" s="6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>
        <f>Tabela13161718[[#This Row],[Valor_recibo]]</f>
        <v>0</v>
      </c>
      <c r="O32" s="16"/>
      <c r="P32" s="1" t="e">
        <f>VLOOKUP(Tabela13161718[[#This Row],[DT]],Aprovados!A:A,1,0)</f>
        <v>#N/A</v>
      </c>
      <c r="Q32" s="16"/>
      <c r="R32" s="16"/>
      <c r="S32" s="16" t="s">
        <v>315</v>
      </c>
      <c r="T32" s="9"/>
      <c r="U32" s="1" t="s">
        <v>315</v>
      </c>
      <c r="V32" s="11"/>
      <c r="W32" s="239"/>
      <c r="X32" s="304"/>
    </row>
    <row r="33" spans="1:24" ht="15.75">
      <c r="A33" s="6"/>
      <c r="B33" s="7"/>
      <c r="C33" s="6"/>
      <c r="D33" s="6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>
        <f>Tabela13161718[[#This Row],[Valor_recibo]]</f>
        <v>0</v>
      </c>
      <c r="O33" s="16"/>
      <c r="P33" s="1" t="e">
        <f>VLOOKUP(Tabela13161718[[#This Row],[DT]],Aprovados!A:A,1,0)</f>
        <v>#N/A</v>
      </c>
      <c r="Q33" s="16"/>
      <c r="R33" s="16"/>
      <c r="S33" s="16" t="s">
        <v>315</v>
      </c>
      <c r="T33" s="9"/>
      <c r="U33" s="1" t="s">
        <v>315</v>
      </c>
      <c r="V33" s="11"/>
      <c r="W33" s="239"/>
      <c r="X33" s="304"/>
    </row>
    <row r="34" spans="1:24" ht="15.75">
      <c r="A34" s="6"/>
      <c r="B34" s="7"/>
      <c r="C34" s="6"/>
      <c r="D34" s="6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>
        <f>Tabela13161718[[#This Row],[Valor_recibo]]</f>
        <v>0</v>
      </c>
      <c r="O34" s="16"/>
      <c r="P34" s="1" t="e">
        <f>VLOOKUP(Tabela13161718[[#This Row],[DT]],Aprovados!A:A,1,0)</f>
        <v>#N/A</v>
      </c>
      <c r="Q34" s="16"/>
      <c r="R34" s="16"/>
      <c r="S34" s="16" t="s">
        <v>315</v>
      </c>
      <c r="T34" s="9"/>
      <c r="U34" s="1" t="s">
        <v>315</v>
      </c>
      <c r="V34" s="11"/>
      <c r="W34" s="239"/>
      <c r="X34" s="304"/>
    </row>
    <row r="35" spans="1:24" ht="15.75">
      <c r="A35" s="6"/>
      <c r="B35" s="7"/>
      <c r="C35" s="6"/>
      <c r="D35" s="6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>
        <f>Tabela13161718[[#This Row],[Valor_recibo]]</f>
        <v>0</v>
      </c>
      <c r="O35" s="16"/>
      <c r="P35" s="1" t="e">
        <f>VLOOKUP(Tabela13161718[[#This Row],[DT]],Aprovados!A:A,1,0)</f>
        <v>#N/A</v>
      </c>
      <c r="Q35" s="16"/>
      <c r="R35" s="16"/>
      <c r="S35" s="16" t="s">
        <v>315</v>
      </c>
      <c r="T35" s="9"/>
      <c r="U35" s="1" t="s">
        <v>315</v>
      </c>
      <c r="V35" s="11"/>
      <c r="W35" s="239"/>
      <c r="X35" s="304"/>
    </row>
    <row r="36" spans="1:24" ht="15.75">
      <c r="A36" s="6"/>
      <c r="B36" s="7"/>
      <c r="C36" s="6"/>
      <c r="D36" s="6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>
        <f>Tabela13161718[[#This Row],[Valor_recibo]]</f>
        <v>0</v>
      </c>
      <c r="O36" s="16"/>
      <c r="P36" s="1" t="e">
        <f>VLOOKUP(Tabela13161718[[#This Row],[DT]],Aprovados!A:A,1,0)</f>
        <v>#N/A</v>
      </c>
      <c r="Q36" s="16"/>
      <c r="R36" s="16"/>
      <c r="S36" s="16" t="s">
        <v>315</v>
      </c>
      <c r="T36" s="9"/>
      <c r="U36" s="1" t="s">
        <v>315</v>
      </c>
      <c r="V36" s="11"/>
      <c r="W36" s="239"/>
      <c r="X36" s="304"/>
    </row>
    <row r="37" spans="1:24" ht="15.75">
      <c r="A37" s="6"/>
      <c r="B37" s="7"/>
      <c r="C37" s="6"/>
      <c r="D37" s="6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>
        <f>Tabela13161718[[#This Row],[Valor_recibo]]</f>
        <v>0</v>
      </c>
      <c r="O37" s="16"/>
      <c r="P37" s="1" t="e">
        <f>VLOOKUP(Tabela13161718[[#This Row],[DT]],Aprovados!A:A,1,0)</f>
        <v>#N/A</v>
      </c>
      <c r="Q37" s="16"/>
      <c r="R37" s="16"/>
      <c r="S37" s="16" t="s">
        <v>315</v>
      </c>
      <c r="T37" s="9"/>
      <c r="U37" s="1" t="s">
        <v>315</v>
      </c>
      <c r="V37" s="11"/>
      <c r="W37" s="239"/>
      <c r="X37" s="304"/>
    </row>
    <row r="38" spans="1:24" ht="15.75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>
        <f>Tabela13161718[[#This Row],[Valor_recibo]]</f>
        <v>0</v>
      </c>
      <c r="O38" s="16"/>
      <c r="P38" s="1" t="e">
        <f>VLOOKUP(Tabela13161718[[#This Row],[DT]],Aprovados!A:A,1,0)</f>
        <v>#N/A</v>
      </c>
      <c r="Q38" s="16"/>
      <c r="R38" s="16"/>
      <c r="S38" s="16" t="s">
        <v>315</v>
      </c>
      <c r="T38" s="9"/>
      <c r="U38" s="1" t="s">
        <v>315</v>
      </c>
      <c r="V38" s="11"/>
      <c r="W38" s="239"/>
      <c r="X38" s="304"/>
    </row>
    <row r="39" spans="1:24" ht="15.75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>
        <f>Tabela13161718[[#This Row],[Valor_recibo]]</f>
        <v>0</v>
      </c>
      <c r="O39" s="16"/>
      <c r="P39" s="1" t="e">
        <f>VLOOKUP(Tabela13161718[[#This Row],[DT]],Aprovados!A:A,1,0)</f>
        <v>#N/A</v>
      </c>
      <c r="Q39" s="16"/>
      <c r="R39" s="16"/>
      <c r="S39" s="16" t="s">
        <v>315</v>
      </c>
      <c r="T39" s="9"/>
      <c r="U39" s="1" t="s">
        <v>315</v>
      </c>
      <c r="V39" s="11"/>
      <c r="W39" s="239"/>
      <c r="X39" s="304"/>
    </row>
    <row r="40" spans="1:24" ht="15.75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>
        <f>Tabela13161718[[#This Row],[Valor_recibo]]</f>
        <v>0</v>
      </c>
      <c r="O40" s="16"/>
      <c r="P40" s="1" t="e">
        <f>VLOOKUP(Tabela13161718[[#This Row],[DT]],Aprovados!A:A,1,0)</f>
        <v>#N/A</v>
      </c>
      <c r="Q40" s="16"/>
      <c r="R40" s="16"/>
      <c r="S40" s="16" t="s">
        <v>315</v>
      </c>
      <c r="T40" s="9"/>
      <c r="U40" s="1" t="s">
        <v>315</v>
      </c>
      <c r="V40" s="11"/>
      <c r="W40" s="239"/>
      <c r="X40" s="304"/>
    </row>
    <row r="41" spans="1:24" ht="15.75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>
        <f>Tabela13161718[[#This Row],[Valor_recibo]]</f>
        <v>0</v>
      </c>
      <c r="O41" s="16"/>
      <c r="P41" s="1" t="e">
        <f>VLOOKUP(Tabela13161718[[#This Row],[DT]],Aprovados!A:A,1,0)</f>
        <v>#N/A</v>
      </c>
      <c r="Q41" s="16"/>
      <c r="R41" s="16"/>
      <c r="S41" s="16" t="s">
        <v>315</v>
      </c>
      <c r="T41" s="9"/>
      <c r="U41" s="1" t="s">
        <v>315</v>
      </c>
      <c r="V41" s="11"/>
      <c r="W41" s="239"/>
      <c r="X41" s="304"/>
    </row>
    <row r="42" spans="1:24" ht="15.75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>
        <f>Tabela13161718[[#This Row],[Valor_recibo]]</f>
        <v>0</v>
      </c>
      <c r="O42" s="16"/>
      <c r="P42" s="1" t="e">
        <f>VLOOKUP(Tabela13161718[[#This Row],[DT]],Aprovados!A:A,1,0)</f>
        <v>#N/A</v>
      </c>
      <c r="Q42" s="16"/>
      <c r="R42" s="16"/>
      <c r="S42" s="16" t="s">
        <v>315</v>
      </c>
      <c r="T42" s="9"/>
      <c r="U42" s="1" t="s">
        <v>315</v>
      </c>
      <c r="V42" s="11"/>
      <c r="W42" s="239"/>
      <c r="X42" s="304"/>
    </row>
    <row r="43" spans="1:24" ht="15.75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>
        <f>Tabela13161718[[#This Row],[Valor_recibo]]</f>
        <v>0</v>
      </c>
      <c r="O43" s="16"/>
      <c r="P43" s="1" t="e">
        <f>VLOOKUP(Tabela13161718[[#This Row],[DT]],Aprovados!A:A,1,0)</f>
        <v>#N/A</v>
      </c>
      <c r="Q43" s="16"/>
      <c r="R43" s="16"/>
      <c r="S43" s="16" t="s">
        <v>315</v>
      </c>
      <c r="T43" s="9"/>
      <c r="U43" s="1" t="s">
        <v>315</v>
      </c>
      <c r="V43" s="11"/>
      <c r="W43" s="239"/>
      <c r="X43" s="304" t="s">
        <v>530</v>
      </c>
    </row>
    <row r="44" spans="1:24" ht="15.75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>
        <f>Tabela13161718[[#This Row],[Valor_recibo]]</f>
        <v>0</v>
      </c>
      <c r="O44" s="16"/>
      <c r="P44" s="1" t="e">
        <f>VLOOKUP(Tabela13161718[[#This Row],[DT]],Aprovados!A:A,1,0)</f>
        <v>#N/A</v>
      </c>
      <c r="Q44" s="16"/>
      <c r="R44" s="16"/>
      <c r="S44" s="16" t="s">
        <v>315</v>
      </c>
      <c r="T44" s="9"/>
      <c r="U44" s="1" t="s">
        <v>315</v>
      </c>
      <c r="V44" s="11"/>
      <c r="W44" s="239"/>
      <c r="X44" s="304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>
        <f>Tabela13161718[[#This Row],[Valor_recibo]]</f>
        <v>0</v>
      </c>
      <c r="O45" s="16"/>
      <c r="P45" s="1" t="e">
        <f>VLOOKUP(Tabela13161718[[#This Row],[DT]],Aprovados!A:A,1,0)</f>
        <v>#N/A</v>
      </c>
      <c r="Q45" s="16"/>
      <c r="R45" s="16"/>
      <c r="S45" s="16" t="s">
        <v>315</v>
      </c>
      <c r="T45" s="9"/>
      <c r="U45" s="1" t="s">
        <v>315</v>
      </c>
      <c r="V45" s="11"/>
      <c r="W45" s="239"/>
      <c r="X45" s="304"/>
    </row>
    <row r="46" spans="1:24" ht="15.75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>
        <f>Tabela13161718[[#This Row],[Valor_recibo]]</f>
        <v>0</v>
      </c>
      <c r="O46" s="16"/>
      <c r="P46" s="1" t="e">
        <f>VLOOKUP(Tabela13161718[[#This Row],[DT]],Aprovados!A:A,1,0)</f>
        <v>#N/A</v>
      </c>
      <c r="Q46" s="16"/>
      <c r="R46" s="16"/>
      <c r="S46" s="16" t="s">
        <v>315</v>
      </c>
      <c r="T46" s="9"/>
      <c r="U46" s="1" t="s">
        <v>315</v>
      </c>
      <c r="V46" s="11"/>
      <c r="W46" s="239"/>
      <c r="X46" s="304"/>
    </row>
    <row r="47" spans="1:24" ht="15.75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>
        <f>Tabela13161718[[#This Row],[Valor_recibo]]</f>
        <v>0</v>
      </c>
      <c r="O47" s="16"/>
      <c r="P47" s="1" t="e">
        <f>VLOOKUP(Tabela13161718[[#This Row],[DT]],Aprovados!A:A,1,0)</f>
        <v>#N/A</v>
      </c>
      <c r="Q47" s="16"/>
      <c r="R47" s="16"/>
      <c r="S47" s="16" t="s">
        <v>315</v>
      </c>
      <c r="T47" s="9"/>
      <c r="U47" s="1" t="s">
        <v>315</v>
      </c>
      <c r="V47" s="11"/>
      <c r="W47" s="239"/>
      <c r="X47" s="304"/>
    </row>
    <row r="48" spans="1:24" ht="15.75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>
        <f>Tabela13161718[[#This Row],[Valor_recibo]]</f>
        <v>0</v>
      </c>
      <c r="O48" s="16"/>
      <c r="P48" s="1" t="e">
        <f>VLOOKUP(Tabela13161718[[#This Row],[DT]],Aprovados!A:A,1,0)</f>
        <v>#N/A</v>
      </c>
      <c r="Q48" s="16"/>
      <c r="R48" s="16"/>
      <c r="S48" s="16" t="s">
        <v>315</v>
      </c>
      <c r="T48" s="9"/>
      <c r="U48" s="1" t="s">
        <v>315</v>
      </c>
      <c r="V48" s="11"/>
      <c r="W48" s="239"/>
      <c r="X48" s="304"/>
    </row>
    <row r="49" spans="1:24" ht="15.75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Tabela13161718[[#This Row],[Valor_recibo]]</f>
        <v>0</v>
      </c>
      <c r="O49" s="16"/>
      <c r="P49" s="1" t="e">
        <f>VLOOKUP(Tabela13161718[[#This Row],[DT]],Aprovados!A:A,1,0)</f>
        <v>#N/A</v>
      </c>
      <c r="Q49" s="16"/>
      <c r="R49" s="16"/>
      <c r="S49" s="16" t="s">
        <v>315</v>
      </c>
      <c r="T49" s="9"/>
      <c r="U49" s="1" t="s">
        <v>315</v>
      </c>
      <c r="V49" s="11"/>
      <c r="W49" s="239"/>
      <c r="X49" s="304"/>
    </row>
    <row r="50" spans="1:24" ht="15.75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Tabela13161718[[#This Row],[Valor_recibo]]</f>
        <v>0</v>
      </c>
      <c r="O50" s="16"/>
      <c r="P50" s="1" t="e">
        <f>VLOOKUP(Tabela13161718[[#This Row],[DT]],Aprovados!A:A,1,0)</f>
        <v>#N/A</v>
      </c>
      <c r="Q50" s="16"/>
      <c r="R50" s="16"/>
      <c r="S50" s="16" t="s">
        <v>315</v>
      </c>
      <c r="T50" s="9"/>
      <c r="U50" s="1" t="s">
        <v>315</v>
      </c>
      <c r="V50" s="11"/>
      <c r="W50" s="239"/>
      <c r="X50" s="304"/>
    </row>
    <row r="51" spans="1:24" ht="15.75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>
        <f>Tabela13161718[[#This Row],[Valor_recibo]]</f>
        <v>0</v>
      </c>
      <c r="O51" s="16"/>
      <c r="P51" s="1" t="e">
        <f>VLOOKUP(Tabela13161718[[#This Row],[DT]],Aprovados!A:A,1,0)</f>
        <v>#N/A</v>
      </c>
      <c r="Q51" s="16"/>
      <c r="R51" s="16"/>
      <c r="S51" s="16" t="s">
        <v>315</v>
      </c>
      <c r="T51" s="9"/>
      <c r="U51" s="1" t="s">
        <v>315</v>
      </c>
      <c r="V51" s="11"/>
      <c r="W51" s="239"/>
      <c r="X51" s="304"/>
    </row>
    <row r="52" spans="1:24" ht="15.75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>
        <f>Tabela13161718[[#This Row],[Valor_recibo]]</f>
        <v>0</v>
      </c>
      <c r="O52" s="16"/>
      <c r="P52" s="1" t="e">
        <f>VLOOKUP(Tabela13161718[[#This Row],[DT]],Aprovados!A:A,1,0)</f>
        <v>#N/A</v>
      </c>
      <c r="Q52" s="16"/>
      <c r="R52" s="16"/>
      <c r="S52" s="16" t="s">
        <v>315</v>
      </c>
      <c r="T52" s="9"/>
      <c r="U52" s="1" t="s">
        <v>315</v>
      </c>
      <c r="V52" s="11"/>
      <c r="W52" s="239"/>
      <c r="X52" s="304"/>
    </row>
    <row r="53" spans="1:24" ht="15.75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>
        <f>Tabela13161718[[#This Row],[Valor_recibo]]</f>
        <v>0</v>
      </c>
      <c r="O53" s="16"/>
      <c r="P53" s="1" t="e">
        <f>VLOOKUP(Tabela13161718[[#This Row],[DT]],Aprovados!A:A,1,0)</f>
        <v>#N/A</v>
      </c>
      <c r="Q53" s="16"/>
      <c r="R53" s="16"/>
      <c r="S53" s="16" t="s">
        <v>315</v>
      </c>
      <c r="T53" s="9"/>
      <c r="U53" s="1" t="s">
        <v>315</v>
      </c>
      <c r="V53" s="11"/>
      <c r="W53" s="239"/>
      <c r="X53" s="304"/>
    </row>
    <row r="54" spans="1:24" ht="15.75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>
        <f>Tabela13161718[[#This Row],[Valor_recibo]]</f>
        <v>0</v>
      </c>
      <c r="O54" s="16"/>
      <c r="P54" s="1" t="e">
        <f>VLOOKUP(Tabela13161718[[#This Row],[DT]],Aprovados!A:A,1,0)</f>
        <v>#N/A</v>
      </c>
      <c r="Q54" s="16"/>
      <c r="R54" s="16"/>
      <c r="S54" s="16" t="s">
        <v>315</v>
      </c>
      <c r="T54" s="9"/>
      <c r="U54" s="1" t="s">
        <v>315</v>
      </c>
      <c r="V54" s="11"/>
      <c r="W54" s="239"/>
      <c r="X54" s="304"/>
    </row>
    <row r="55" spans="1:24" ht="15.75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>
        <f>Tabela13161718[[#This Row],[Valor_recibo]]</f>
        <v>0</v>
      </c>
      <c r="O55" s="16"/>
      <c r="P55" s="1" t="e">
        <f>VLOOKUP(Tabela13161718[[#This Row],[DT]],Aprovados!A:A,1,0)</f>
        <v>#N/A</v>
      </c>
      <c r="Q55" s="16"/>
      <c r="R55" s="16"/>
      <c r="S55" s="16" t="s">
        <v>315</v>
      </c>
      <c r="T55" s="9"/>
      <c r="U55" s="1" t="s">
        <v>315</v>
      </c>
      <c r="V55" s="11"/>
      <c r="W55" s="239"/>
      <c r="X55" s="304"/>
    </row>
    <row r="56" spans="1:24" ht="15.75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>
        <f>Tabela13161718[[#This Row],[Valor_recibo]]</f>
        <v>0</v>
      </c>
      <c r="O56" s="16"/>
      <c r="P56" s="1" t="e">
        <f>VLOOKUP(Tabela13161718[[#This Row],[DT]],Aprovados!A:A,1,0)</f>
        <v>#N/A</v>
      </c>
      <c r="Q56" s="16"/>
      <c r="R56" s="16"/>
      <c r="S56" s="16" t="s">
        <v>315</v>
      </c>
      <c r="T56" s="9"/>
      <c r="U56" s="1" t="s">
        <v>315</v>
      </c>
      <c r="V56" s="11"/>
      <c r="W56" s="239"/>
      <c r="X56" s="304"/>
    </row>
    <row r="57" spans="1:24" ht="15.75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>
        <f>Tabela13161718[[#This Row],[Valor_recibo]]</f>
        <v>0</v>
      </c>
      <c r="O57" s="16"/>
      <c r="P57" s="1" t="e">
        <f>VLOOKUP(Tabela13161718[[#This Row],[DT]],Aprovados!A:A,1,0)</f>
        <v>#N/A</v>
      </c>
      <c r="R57" s="16"/>
      <c r="S57" s="16" t="s">
        <v>315</v>
      </c>
      <c r="T57" s="9"/>
      <c r="U57" s="1" t="s">
        <v>315</v>
      </c>
      <c r="V57" s="11"/>
      <c r="W57" s="232"/>
      <c r="X57" s="304"/>
    </row>
    <row r="58" spans="1:24" ht="15.75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>
        <f>Tabela13161718[[#This Row],[Valor_recibo]]</f>
        <v>0</v>
      </c>
      <c r="O58" s="16"/>
      <c r="P58" s="1" t="e">
        <f>VLOOKUP(Tabela13161718[[#This Row],[DT]],Aprovados!A:A,1,0)</f>
        <v>#N/A</v>
      </c>
      <c r="Q58" s="16"/>
      <c r="R58" s="16"/>
      <c r="S58" s="16" t="s">
        <v>315</v>
      </c>
      <c r="T58" s="9"/>
      <c r="U58" s="1" t="s">
        <v>315</v>
      </c>
      <c r="V58" s="11"/>
      <c r="W58" s="232"/>
      <c r="X58" s="304"/>
    </row>
    <row r="59" spans="1:24" ht="15.75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>
        <f>Tabela13161718[[#This Row],[Valor_recibo]]</f>
        <v>0</v>
      </c>
      <c r="O59" s="16"/>
      <c r="P59" s="1" t="e">
        <f>VLOOKUP(Tabela13161718[[#This Row],[DT]],Aprovados!A:A,1,0)</f>
        <v>#N/A</v>
      </c>
      <c r="Q59" s="16"/>
      <c r="R59" s="16"/>
      <c r="S59" s="16" t="s">
        <v>315</v>
      </c>
      <c r="T59" s="9"/>
      <c r="U59" s="1" t="s">
        <v>315</v>
      </c>
      <c r="V59" s="11"/>
      <c r="W59" s="232"/>
      <c r="X59" s="304"/>
    </row>
    <row r="60" spans="1:24" ht="15.75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>
        <f>Tabela13161718[[#This Row],[Valor_recibo]]</f>
        <v>0</v>
      </c>
      <c r="O60" s="16"/>
      <c r="P60" s="1" t="e">
        <f>VLOOKUP(Tabela13161718[[#This Row],[DT]],Aprovados!A:A,1,0)</f>
        <v>#N/A</v>
      </c>
      <c r="Q60" s="16"/>
      <c r="R60" s="16"/>
      <c r="S60" s="16" t="s">
        <v>315</v>
      </c>
      <c r="T60" s="9"/>
      <c r="U60" s="1" t="s">
        <v>315</v>
      </c>
      <c r="V60" s="11"/>
      <c r="W60" s="232"/>
      <c r="X60" s="304"/>
    </row>
    <row r="61" spans="1:24" ht="15.75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>
        <f>Tabela13161718[[#This Row],[Valor_recibo]]</f>
        <v>0</v>
      </c>
      <c r="O61" s="16"/>
      <c r="P61" s="1" t="e">
        <f>VLOOKUP(Tabela13161718[[#This Row],[DT]],Aprovados!A:A,1,0)</f>
        <v>#N/A</v>
      </c>
      <c r="Q61" s="16"/>
      <c r="R61" s="16"/>
      <c r="S61" s="16" t="s">
        <v>315</v>
      </c>
      <c r="T61" s="9"/>
      <c r="U61" s="1" t="s">
        <v>315</v>
      </c>
      <c r="V61" s="11"/>
      <c r="W61" s="232"/>
      <c r="X61" s="304"/>
    </row>
    <row r="62" spans="1:24" ht="15.75">
      <c r="A62" s="6"/>
      <c r="B62" s="7"/>
      <c r="C62" s="6"/>
      <c r="D62" s="6"/>
      <c r="E62" s="6"/>
      <c r="F62" s="6"/>
      <c r="G62" s="9"/>
      <c r="H62" s="9"/>
      <c r="I62" s="11"/>
      <c r="J62" s="1"/>
      <c r="K62" s="205" t="s">
        <v>315</v>
      </c>
      <c r="L62" s="1" t="s">
        <v>315</v>
      </c>
      <c r="M62" s="9"/>
      <c r="N62" s="14">
        <f>Tabela13161718[[#This Row],[Valor_recibo]]</f>
        <v>0</v>
      </c>
      <c r="O62" s="16"/>
      <c r="P62" s="1" t="e">
        <f>VLOOKUP(Tabela13161718[[#This Row],[DT]],Aprovados!A:A,1,0)</f>
        <v>#N/A</v>
      </c>
      <c r="Q62" s="229"/>
      <c r="R62" s="16"/>
      <c r="S62" s="16" t="s">
        <v>315</v>
      </c>
      <c r="T62" s="9"/>
      <c r="U62" s="1" t="s">
        <v>315</v>
      </c>
      <c r="V62" s="11"/>
      <c r="W62" s="232"/>
      <c r="X62" s="304"/>
    </row>
    <row r="63" spans="1:24" ht="15.75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>
        <f>Tabela13161718[[#This Row],[Valor_recibo]]</f>
        <v>0</v>
      </c>
      <c r="O63" s="16"/>
      <c r="P63" s="1" t="e">
        <f>VLOOKUP(Tabela13161718[[#This Row],[DT]],Aprovados!A:A,1,0)</f>
        <v>#N/A</v>
      </c>
      <c r="Q63" s="16"/>
      <c r="R63" s="16"/>
      <c r="S63" s="16" t="s">
        <v>315</v>
      </c>
      <c r="T63" s="9"/>
      <c r="U63" s="1" t="s">
        <v>315</v>
      </c>
      <c r="V63" s="11"/>
      <c r="W63" s="232"/>
      <c r="X63" s="304"/>
    </row>
    <row r="64" spans="1:24" ht="15.75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>
        <f>Tabela13161718[[#This Row],[Valor_recibo]]</f>
        <v>0</v>
      </c>
      <c r="O64" s="16"/>
      <c r="P64" s="1" t="e">
        <f>VLOOKUP(Tabela13161718[[#This Row],[DT]],Aprovados!A:A,1,0)</f>
        <v>#N/A</v>
      </c>
      <c r="Q64" s="16"/>
      <c r="R64" s="16"/>
      <c r="S64" s="16" t="s">
        <v>315</v>
      </c>
      <c r="T64" s="9"/>
      <c r="U64" s="1" t="s">
        <v>315</v>
      </c>
      <c r="V64" s="11"/>
      <c r="W64" s="232"/>
      <c r="X64" s="304"/>
    </row>
    <row r="65" spans="1:24" ht="15.75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>
        <f>Tabela13161718[[#This Row],[Valor_recibo]]</f>
        <v>0</v>
      </c>
      <c r="O65" s="16"/>
      <c r="P65" s="1" t="e">
        <f>VLOOKUP(Tabela13161718[[#This Row],[DT]],Aprovados!A:A,1,0)</f>
        <v>#N/A</v>
      </c>
      <c r="Q65" s="75"/>
      <c r="R65" s="16"/>
      <c r="S65" s="16" t="s">
        <v>315</v>
      </c>
      <c r="T65" s="9"/>
      <c r="U65" s="1" t="s">
        <v>315</v>
      </c>
      <c r="V65" s="11"/>
      <c r="W65" s="232"/>
      <c r="X65" s="304"/>
    </row>
    <row r="66" spans="1:24" ht="15.75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>
        <f>Tabela13161718[[#This Row],[Valor_recibo]]</f>
        <v>0</v>
      </c>
      <c r="O66" s="16"/>
      <c r="P66" s="1" t="e">
        <f>VLOOKUP(Tabela13161718[[#This Row],[DT]],Aprovados!A:A,1,0)</f>
        <v>#N/A</v>
      </c>
      <c r="Q66" s="16"/>
      <c r="R66" s="16"/>
      <c r="S66" s="16" t="s">
        <v>315</v>
      </c>
      <c r="T66" s="9"/>
      <c r="U66" s="1" t="s">
        <v>315</v>
      </c>
      <c r="V66" s="11"/>
      <c r="W66" s="232"/>
      <c r="X66" s="304"/>
    </row>
    <row r="67" spans="1:24" ht="15.75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>
        <f>Tabela13161718[[#This Row],[Valor_recibo]]</f>
        <v>0</v>
      </c>
      <c r="O67" s="16"/>
      <c r="P67" s="1" t="e">
        <f>VLOOKUP(Tabela13161718[[#This Row],[DT]],Aprovados!A:A,1,0)</f>
        <v>#N/A</v>
      </c>
      <c r="Q67" s="16"/>
      <c r="R67" s="16"/>
      <c r="S67" s="16" t="s">
        <v>315</v>
      </c>
      <c r="T67" s="9"/>
      <c r="U67" s="1" t="s">
        <v>315</v>
      </c>
      <c r="V67" s="11"/>
      <c r="W67" s="232"/>
      <c r="X67" s="304"/>
    </row>
    <row r="68" spans="1:24" ht="15.75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>
        <f>Tabela13161718[[#This Row],[Valor_recibo]]</f>
        <v>0</v>
      </c>
      <c r="O68" s="16"/>
      <c r="P68" s="1" t="e">
        <f>VLOOKUP(Tabela13161718[[#This Row],[DT]],Aprovados!A:A,1,0)</f>
        <v>#N/A</v>
      </c>
      <c r="Q68" s="16"/>
      <c r="R68" s="16"/>
      <c r="S68" s="16" t="s">
        <v>315</v>
      </c>
      <c r="T68" s="9"/>
      <c r="U68" s="1" t="s">
        <v>315</v>
      </c>
      <c r="V68" s="11"/>
      <c r="W68" s="232"/>
      <c r="X68" s="304"/>
    </row>
    <row r="69" spans="1:24" ht="15.75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>
        <f>Tabela13161718[[#This Row],[Valor_recibo]]</f>
        <v>0</v>
      </c>
      <c r="O69" s="16"/>
      <c r="P69" s="1" t="e">
        <f>VLOOKUP(Tabela13161718[[#This Row],[DT]],Aprovados!A:A,1,0)</f>
        <v>#N/A</v>
      </c>
      <c r="Q69" s="99"/>
      <c r="R69" s="16"/>
      <c r="S69" s="16" t="s">
        <v>315</v>
      </c>
      <c r="T69" s="9"/>
      <c r="U69" s="1" t="s">
        <v>315</v>
      </c>
      <c r="V69" s="11"/>
      <c r="W69" s="232"/>
      <c r="X69" s="304"/>
    </row>
    <row r="70" spans="1:24" ht="15.75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>
        <f>Tabela13161718[[#This Row],[Valor_recibo]]</f>
        <v>0</v>
      </c>
      <c r="O70" s="16"/>
      <c r="P70" s="1" t="e">
        <f>VLOOKUP(Tabela13161718[[#This Row],[DT]],Aprovados!A:A,1,0)</f>
        <v>#N/A</v>
      </c>
      <c r="Q70" s="16"/>
      <c r="R70" s="16"/>
      <c r="S70" s="16" t="s">
        <v>315</v>
      </c>
      <c r="T70" s="9"/>
      <c r="U70" s="1" t="s">
        <v>315</v>
      </c>
      <c r="V70" s="11"/>
      <c r="W70" s="232"/>
      <c r="X70" s="304"/>
    </row>
    <row r="71" spans="1:24" ht="15.75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>
        <f>Tabela13161718[[#This Row],[Valor_recibo]]</f>
        <v>0</v>
      </c>
      <c r="O71" s="16"/>
      <c r="P71" s="1" t="e">
        <f>VLOOKUP(Tabela13161718[[#This Row],[DT]],Aprovados!A:A,1,0)</f>
        <v>#N/A</v>
      </c>
      <c r="Q71" s="16"/>
      <c r="R71" s="16"/>
      <c r="S71" s="16" t="s">
        <v>315</v>
      </c>
      <c r="T71" s="9"/>
      <c r="U71" s="1" t="s">
        <v>315</v>
      </c>
      <c r="V71" s="11"/>
      <c r="W71" s="232"/>
      <c r="X71" s="304"/>
    </row>
    <row r="72" spans="1:24" ht="15.75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>
        <f>Tabela13161718[[#This Row],[Valor_recibo]]</f>
        <v>0</v>
      </c>
      <c r="O72" s="16"/>
      <c r="P72" s="1" t="e">
        <f>VLOOKUP(Tabela13161718[[#This Row],[DT]],Aprovados!A:A,1,0)</f>
        <v>#N/A</v>
      </c>
      <c r="Q72" s="16"/>
      <c r="R72" s="16"/>
      <c r="S72" s="16" t="s">
        <v>315</v>
      </c>
      <c r="T72" s="9"/>
      <c r="U72" s="1" t="s">
        <v>315</v>
      </c>
      <c r="V72" s="11"/>
      <c r="W72" s="232"/>
      <c r="X72" s="304"/>
    </row>
    <row r="73" spans="1:24" ht="15.75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>
        <f>Tabela13161718[[#This Row],[Valor_recibo]]</f>
        <v>0</v>
      </c>
      <c r="O73" s="16"/>
      <c r="P73" s="1" t="e">
        <f>VLOOKUP(Tabela13161718[[#This Row],[DT]],Aprovados!A:A,1,0)</f>
        <v>#N/A</v>
      </c>
      <c r="Q73" s="16"/>
      <c r="R73" s="16"/>
      <c r="S73" s="16" t="s">
        <v>315</v>
      </c>
      <c r="T73" s="9"/>
      <c r="U73" s="1" t="s">
        <v>315</v>
      </c>
      <c r="V73" s="11"/>
      <c r="W73" s="232"/>
      <c r="X73" s="304"/>
    </row>
    <row r="74" spans="1:24" ht="15.75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>
        <f>Tabela13161718[[#This Row],[Valor_recibo]]</f>
        <v>0</v>
      </c>
      <c r="O74" s="16"/>
      <c r="P74" s="1" t="e">
        <f>VLOOKUP(Tabela13161718[[#This Row],[DT]],Aprovados!A:A,1,0)</f>
        <v>#N/A</v>
      </c>
      <c r="Q74" s="16"/>
      <c r="R74" s="16"/>
      <c r="S74" s="16" t="s">
        <v>315</v>
      </c>
      <c r="T74" s="9"/>
      <c r="U74" s="1" t="s">
        <v>315</v>
      </c>
      <c r="V74" s="11"/>
      <c r="W74" s="232"/>
      <c r="X74" s="304"/>
    </row>
    <row r="75" spans="1:24" ht="15.75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>
        <f>Tabela13161718[[#This Row],[Valor_recibo]]</f>
        <v>0</v>
      </c>
      <c r="O75" s="16"/>
      <c r="P75" s="1" t="e">
        <f>VLOOKUP(Tabela13161718[[#This Row],[DT]],Aprovados!A:A,1,0)</f>
        <v>#N/A</v>
      </c>
      <c r="Q75" s="16"/>
      <c r="R75" s="16"/>
      <c r="S75" s="16" t="s">
        <v>315</v>
      </c>
      <c r="T75" s="9"/>
      <c r="U75" s="1" t="s">
        <v>315</v>
      </c>
      <c r="V75" s="11"/>
      <c r="W75" s="232"/>
      <c r="X75" s="304"/>
    </row>
    <row r="76" spans="1:24" ht="15.75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>
        <f>Tabela13161718[[#This Row],[Valor_recibo]]</f>
        <v>0</v>
      </c>
      <c r="O76" s="16"/>
      <c r="P76" s="1" t="e">
        <f>VLOOKUP(Tabela13161718[[#This Row],[DT]],Aprovados!A:A,1,0)</f>
        <v>#N/A</v>
      </c>
      <c r="Q76" s="16"/>
      <c r="R76" s="16"/>
      <c r="S76" s="16" t="s">
        <v>315</v>
      </c>
      <c r="T76" s="9"/>
      <c r="U76" s="1" t="s">
        <v>315</v>
      </c>
      <c r="V76" s="11"/>
      <c r="W76" s="232"/>
      <c r="X76" s="304"/>
    </row>
    <row r="77" spans="1:24" ht="15.75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>
        <f>Tabela13161718[[#This Row],[Valor_recibo]]</f>
        <v>0</v>
      </c>
      <c r="O77" s="16"/>
      <c r="P77" s="1" t="e">
        <f>VLOOKUP(Tabela13161718[[#This Row],[DT]],Aprovados!A:A,1,0)</f>
        <v>#N/A</v>
      </c>
      <c r="Q77" s="16"/>
      <c r="R77" s="16"/>
      <c r="S77" s="16" t="s">
        <v>315</v>
      </c>
      <c r="T77" s="9"/>
      <c r="U77" s="1" t="s">
        <v>315</v>
      </c>
      <c r="V77" s="11"/>
      <c r="W77" s="232"/>
      <c r="X77" s="304"/>
    </row>
    <row r="78" spans="1:24" ht="15.75">
      <c r="A78" s="6"/>
      <c r="B78" s="7"/>
      <c r="C78" s="6"/>
      <c r="D78" s="6"/>
      <c r="E78" s="6"/>
      <c r="F78" s="1"/>
      <c r="G78" s="9"/>
      <c r="H78" s="9"/>
      <c r="I78" s="11"/>
      <c r="J78" s="1"/>
      <c r="K78" s="205" t="s">
        <v>315</v>
      </c>
      <c r="L78" s="1" t="s">
        <v>315</v>
      </c>
      <c r="M78" s="9"/>
      <c r="N78" s="14">
        <f>Tabela13161718[[#This Row],[Valor_recibo]]</f>
        <v>0</v>
      </c>
      <c r="O78" s="16"/>
      <c r="P78" s="1" t="e">
        <f>VLOOKUP(Tabela13161718[[#This Row],[DT]],Aprovados!A:A,1,0)</f>
        <v>#N/A</v>
      </c>
      <c r="Q78" s="16"/>
      <c r="R78" s="16"/>
      <c r="S78" s="16" t="s">
        <v>315</v>
      </c>
      <c r="T78" s="9"/>
      <c r="U78" s="1" t="s">
        <v>315</v>
      </c>
      <c r="V78" s="11"/>
      <c r="W78" s="232"/>
      <c r="X78" s="304"/>
    </row>
    <row r="79" spans="1:24" ht="15.75">
      <c r="A79" s="6"/>
      <c r="B79" s="7"/>
      <c r="C79" s="6"/>
      <c r="D79" s="6"/>
      <c r="E79" s="6"/>
      <c r="F79" s="1"/>
      <c r="G79" s="9"/>
      <c r="H79" s="9"/>
      <c r="I79" s="11"/>
      <c r="J79" s="1"/>
      <c r="K79" s="205" t="s">
        <v>315</v>
      </c>
      <c r="L79" s="1" t="s">
        <v>315</v>
      </c>
      <c r="M79" s="9"/>
      <c r="N79" s="14">
        <f>Tabela13161718[[#This Row],[Valor_recibo]]</f>
        <v>0</v>
      </c>
      <c r="O79" s="16"/>
      <c r="P79" s="1" t="e">
        <f>VLOOKUP(Tabela13161718[[#This Row],[DT]],Aprovados!A:A,1,0)</f>
        <v>#N/A</v>
      </c>
      <c r="Q79" s="16"/>
      <c r="R79" s="16"/>
      <c r="S79" s="16" t="s">
        <v>315</v>
      </c>
      <c r="T79" s="9"/>
      <c r="U79" s="1" t="s">
        <v>315</v>
      </c>
      <c r="V79" s="11"/>
      <c r="W79" s="232"/>
      <c r="X79" s="304"/>
    </row>
    <row r="80" spans="1:24" ht="15.75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>
        <f>Tabela13161718[[#This Row],[Valor_recibo]]</f>
        <v>0</v>
      </c>
      <c r="O80" s="16"/>
      <c r="P80" s="1" t="e">
        <f>VLOOKUP(Tabela13161718[[#This Row],[DT]],Aprovados!A:A,1,0)</f>
        <v>#N/A</v>
      </c>
      <c r="Q80" s="16"/>
      <c r="R80" s="16"/>
      <c r="S80" s="16" t="s">
        <v>315</v>
      </c>
      <c r="T80" s="9"/>
      <c r="U80" s="1" t="s">
        <v>315</v>
      </c>
      <c r="V80" s="11"/>
      <c r="W80" s="232"/>
      <c r="X80" s="304"/>
    </row>
    <row r="81" spans="1:24" ht="15.75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>
        <f>Tabela13161718[[#This Row],[Valor_recibo]]</f>
        <v>0</v>
      </c>
      <c r="O81" s="16"/>
      <c r="P81" s="1" t="e">
        <f>VLOOKUP(Tabela13161718[[#This Row],[DT]],Aprovados!A:A,1,0)</f>
        <v>#N/A</v>
      </c>
      <c r="Q81" s="16"/>
      <c r="R81" s="16"/>
      <c r="S81" s="16" t="s">
        <v>315</v>
      </c>
      <c r="T81" s="9"/>
      <c r="U81" s="1" t="s">
        <v>315</v>
      </c>
      <c r="V81" s="11"/>
      <c r="W81" s="232"/>
      <c r="X81" s="304"/>
    </row>
    <row r="82" spans="1:24" ht="15.75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>
        <f>Tabela13161718[[#This Row],[Valor_recibo]]</f>
        <v>0</v>
      </c>
      <c r="O82" s="16"/>
      <c r="P82" s="1" t="e">
        <f>VLOOKUP(Tabela13161718[[#This Row],[DT]],Aprovados!A:A,1,0)</f>
        <v>#N/A</v>
      </c>
      <c r="Q82" s="16"/>
      <c r="R82" s="16"/>
      <c r="S82" s="16" t="s">
        <v>315</v>
      </c>
      <c r="T82" s="9"/>
      <c r="U82" s="1" t="s">
        <v>315</v>
      </c>
      <c r="V82" s="11"/>
      <c r="W82" s="232"/>
      <c r="X82" s="304"/>
    </row>
    <row r="83" spans="1:24" ht="15.75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>
        <f>Tabela13161718[[#This Row],[Valor_recibo]]</f>
        <v>0</v>
      </c>
      <c r="O83" s="16"/>
      <c r="P83" s="1" t="e">
        <f>VLOOKUP(Tabela13161718[[#This Row],[DT]],Aprovados!A:A,1,0)</f>
        <v>#N/A</v>
      </c>
      <c r="Q83" s="16"/>
      <c r="R83" s="16"/>
      <c r="S83" s="16" t="s">
        <v>315</v>
      </c>
      <c r="T83" s="9"/>
      <c r="U83" s="1" t="s">
        <v>315</v>
      </c>
      <c r="V83" s="11"/>
      <c r="W83" s="232"/>
      <c r="X83" s="304"/>
    </row>
    <row r="84" spans="1:24" ht="15.75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>
        <f>Tabela13161718[[#This Row],[Valor_recibo]]</f>
        <v>0</v>
      </c>
      <c r="O84" s="16"/>
      <c r="P84" s="1" t="e">
        <f>VLOOKUP(Tabela13161718[[#This Row],[DT]],Aprovados!A:A,1,0)</f>
        <v>#N/A</v>
      </c>
      <c r="Q84" s="16"/>
      <c r="R84" s="16"/>
      <c r="S84" s="16" t="s">
        <v>315</v>
      </c>
      <c r="T84" s="9"/>
      <c r="U84" s="1" t="s">
        <v>315</v>
      </c>
      <c r="V84" s="11"/>
      <c r="W84" s="232"/>
      <c r="X84" s="304"/>
    </row>
    <row r="85" spans="1:24" ht="15.75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>
        <f>Tabela13161718[[#This Row],[Valor_recibo]]</f>
        <v>0</v>
      </c>
      <c r="O85" s="16"/>
      <c r="P85" s="1" t="e">
        <f>VLOOKUP(Tabela13161718[[#This Row],[DT]],Aprovados!A:A,1,0)</f>
        <v>#N/A</v>
      </c>
      <c r="Q85" s="16"/>
      <c r="R85" s="16"/>
      <c r="S85" s="16" t="s">
        <v>315</v>
      </c>
      <c r="T85" s="9"/>
      <c r="U85" s="1" t="s">
        <v>315</v>
      </c>
      <c r="V85" s="11"/>
      <c r="W85" s="232"/>
      <c r="X85" s="304"/>
    </row>
    <row r="86" spans="1:24" ht="15.75">
      <c r="A86" s="6"/>
      <c r="B86" s="7"/>
      <c r="C86" s="6"/>
      <c r="D86" s="6"/>
      <c r="E86" s="6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>
        <f>Tabela13161718[[#This Row],[Valor_recibo]]</f>
        <v>0</v>
      </c>
      <c r="O86" s="16"/>
      <c r="P86" s="1" t="e">
        <f>VLOOKUP(Tabela13161718[[#This Row],[DT]],Aprovados!A:A,1,0)</f>
        <v>#N/A</v>
      </c>
      <c r="Q86" s="16"/>
      <c r="R86" s="16"/>
      <c r="S86" s="16" t="s">
        <v>315</v>
      </c>
      <c r="T86" s="9"/>
      <c r="U86" s="1" t="s">
        <v>315</v>
      </c>
      <c r="V86" s="11"/>
      <c r="W86" s="232"/>
      <c r="X86" s="304"/>
    </row>
    <row r="87" spans="1:24" ht="15.75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>
        <f>Tabela13161718[[#This Row],[Valor_recibo]]</f>
        <v>0</v>
      </c>
      <c r="O87" s="16"/>
      <c r="P87" s="1" t="e">
        <f>VLOOKUP(Tabela13161718[[#This Row],[DT]],Aprovados!A:A,1,0)</f>
        <v>#N/A</v>
      </c>
      <c r="Q87" s="16"/>
      <c r="R87" s="16"/>
      <c r="S87" s="16" t="s">
        <v>315</v>
      </c>
      <c r="T87" s="9"/>
      <c r="U87" s="1" t="s">
        <v>315</v>
      </c>
      <c r="V87" s="11"/>
      <c r="W87" s="232"/>
      <c r="X87" s="304"/>
    </row>
    <row r="88" spans="1:24" ht="15.75">
      <c r="A88" s="1"/>
      <c r="B88" s="7"/>
      <c r="C88" s="67"/>
      <c r="D88" s="6"/>
      <c r="E88" s="255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>
        <f>Tabela13161718[[#This Row],[Valor_recibo]]</f>
        <v>0</v>
      </c>
      <c r="O88" s="16"/>
      <c r="P88" s="1" t="e">
        <f>VLOOKUP(Tabela13161718[[#This Row],[DT]],Aprovados!A:A,1,0)</f>
        <v>#N/A</v>
      </c>
      <c r="Q88" s="16"/>
      <c r="R88" s="16"/>
      <c r="S88" s="16" t="s">
        <v>315</v>
      </c>
      <c r="T88" s="9"/>
      <c r="U88" s="1" t="s">
        <v>315</v>
      </c>
      <c r="V88" s="11"/>
      <c r="W88" s="232"/>
      <c r="X88" s="304"/>
    </row>
    <row r="89" spans="1:24" ht="15.75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>
        <f>Tabela13161718[[#This Row],[Valor_recibo]]</f>
        <v>0</v>
      </c>
      <c r="O89" s="16"/>
      <c r="P89" s="1" t="e">
        <f>VLOOKUP(Tabela13161718[[#This Row],[DT]],Aprovados!A:A,1,0)</f>
        <v>#N/A</v>
      </c>
      <c r="Q89" s="16"/>
      <c r="R89" s="16"/>
      <c r="S89" s="16" t="s">
        <v>315</v>
      </c>
      <c r="T89" s="9"/>
      <c r="U89" s="1" t="s">
        <v>315</v>
      </c>
      <c r="V89" s="11"/>
      <c r="W89" s="232"/>
      <c r="X89" s="304"/>
    </row>
    <row r="90" spans="1:24" ht="15.75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>
        <f>Tabela13161718[[#This Row],[Valor_recibo]]</f>
        <v>0</v>
      </c>
      <c r="O90" s="16"/>
      <c r="P90" s="1" t="e">
        <f>VLOOKUP(Tabela13161718[[#This Row],[DT]],Aprovados!A:A,1,0)</f>
        <v>#N/A</v>
      </c>
      <c r="Q90" s="16"/>
      <c r="R90" s="16"/>
      <c r="S90" s="16" t="s">
        <v>315</v>
      </c>
      <c r="T90" s="9"/>
      <c r="U90" s="1" t="s">
        <v>315</v>
      </c>
      <c r="V90" s="11"/>
      <c r="W90" s="232"/>
      <c r="X90" s="304"/>
    </row>
    <row r="91" spans="1:24" ht="15.75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>
        <f>Tabela13161718[[#This Row],[Valor_recibo]]</f>
        <v>0</v>
      </c>
      <c r="O91" s="16"/>
      <c r="P91" s="1" t="e">
        <f>VLOOKUP(Tabela13161718[[#This Row],[DT]],Aprovados!A:A,1,0)</f>
        <v>#N/A</v>
      </c>
      <c r="Q91" s="16"/>
      <c r="R91" s="16"/>
      <c r="S91" s="16" t="s">
        <v>315</v>
      </c>
      <c r="T91" s="9"/>
      <c r="U91" s="1" t="s">
        <v>315</v>
      </c>
      <c r="V91" s="253"/>
      <c r="W91" s="232"/>
      <c r="X91" s="304"/>
    </row>
    <row r="92" spans="1:24" ht="15.75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>
        <f>Tabela13161718[[#This Row],[Valor_recibo]]</f>
        <v>0</v>
      </c>
      <c r="O92" s="16"/>
      <c r="P92" s="1" t="e">
        <f>VLOOKUP(Tabela13161718[[#This Row],[DT]],Aprovados!A:A,1,0)</f>
        <v>#N/A</v>
      </c>
      <c r="Q92" s="16"/>
      <c r="R92" s="16"/>
      <c r="S92" s="16" t="s">
        <v>315</v>
      </c>
      <c r="T92" s="9"/>
      <c r="U92" s="1" t="s">
        <v>315</v>
      </c>
      <c r="V92" s="11"/>
      <c r="W92" s="232"/>
      <c r="X92" s="304"/>
    </row>
    <row r="93" spans="1:24" ht="15.75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Tabela13161718[[#This Row],[Valor_recibo]]</f>
        <v>0</v>
      </c>
      <c r="O93" s="16"/>
      <c r="P93" s="1" t="e">
        <f>VLOOKUP(Tabela13161718[[#This Row],[DT]],Aprovados!A:A,1,0)</f>
        <v>#N/A</v>
      </c>
      <c r="Q93" s="16"/>
      <c r="R93" s="16"/>
      <c r="S93" s="16" t="s">
        <v>315</v>
      </c>
      <c r="T93" s="9"/>
      <c r="U93" s="1" t="s">
        <v>315</v>
      </c>
      <c r="V93" s="11"/>
      <c r="W93" s="232"/>
      <c r="X93" s="304"/>
    </row>
    <row r="94" spans="1:24" ht="15.75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Tabela13161718[[#This Row],[Valor_recibo]]</f>
        <v>0</v>
      </c>
      <c r="O94" s="16"/>
      <c r="P94" s="1" t="e">
        <f>VLOOKUP(Tabela13161718[[#This Row],[DT]],Aprovados!A:A,1,0)</f>
        <v>#N/A</v>
      </c>
      <c r="Q94" s="16"/>
      <c r="R94" s="16"/>
      <c r="S94" s="16" t="s">
        <v>315</v>
      </c>
      <c r="T94" s="9"/>
      <c r="U94" s="1" t="s">
        <v>315</v>
      </c>
      <c r="V94" s="11"/>
      <c r="W94" s="232"/>
      <c r="X94" s="304"/>
    </row>
    <row r="95" spans="1:24" ht="15.75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>
        <f>Tabela13161718[[#This Row],[Valor_recibo]]</f>
        <v>0</v>
      </c>
      <c r="O95" s="16"/>
      <c r="P95" s="1" t="e">
        <f>VLOOKUP(Tabela13161718[[#This Row],[DT]],Aprovados!A:A,1,0)</f>
        <v>#N/A</v>
      </c>
      <c r="Q95" s="16"/>
      <c r="R95" s="16"/>
      <c r="S95" s="16" t="s">
        <v>315</v>
      </c>
      <c r="T95" s="9"/>
      <c r="U95" s="1" t="s">
        <v>315</v>
      </c>
      <c r="V95" s="11"/>
      <c r="W95" s="232"/>
      <c r="X95" s="304"/>
    </row>
    <row r="96" spans="1:24" ht="15.75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>
        <f>Tabela13161718[[#This Row],[Valor_recibo]]</f>
        <v>0</v>
      </c>
      <c r="O96" s="16"/>
      <c r="P96" s="1" t="e">
        <f>VLOOKUP(Tabela13161718[[#This Row],[DT]],Aprovados!A:A,1,0)</f>
        <v>#N/A</v>
      </c>
      <c r="Q96" s="16"/>
      <c r="R96" s="16"/>
      <c r="S96" s="16" t="s">
        <v>315</v>
      </c>
      <c r="T96" s="9"/>
      <c r="U96" s="1" t="s">
        <v>315</v>
      </c>
      <c r="V96" s="11"/>
      <c r="W96" s="232"/>
      <c r="X96" s="304"/>
    </row>
    <row r="97" spans="1:24" ht="15.75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>
        <f>Tabela13161718[[#This Row],[Valor_recibo]]</f>
        <v>0</v>
      </c>
      <c r="O97" s="16"/>
      <c r="P97" s="1" t="e">
        <f>VLOOKUP(Tabela13161718[[#This Row],[DT]],Aprovados!A:A,1,0)</f>
        <v>#N/A</v>
      </c>
      <c r="Q97" s="16"/>
      <c r="R97" s="16"/>
      <c r="S97" s="16" t="s">
        <v>315</v>
      </c>
      <c r="T97" s="9"/>
      <c r="U97" s="1" t="s">
        <v>315</v>
      </c>
      <c r="V97" s="11"/>
      <c r="W97" s="232"/>
      <c r="X97" s="304"/>
    </row>
    <row r="98" spans="1:24" ht="15.75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>
        <f>Tabela13161718[[#This Row],[Valor_recibo]]</f>
        <v>0</v>
      </c>
      <c r="O98" s="16"/>
      <c r="P98" s="1" t="e">
        <f>VLOOKUP(Tabela13161718[[#This Row],[DT]],Aprovados!A:A,1,0)</f>
        <v>#N/A</v>
      </c>
      <c r="Q98" s="16"/>
      <c r="R98" s="16"/>
      <c r="S98" s="16" t="s">
        <v>315</v>
      </c>
      <c r="T98" s="9"/>
      <c r="U98" s="1" t="s">
        <v>315</v>
      </c>
      <c r="V98" s="11"/>
      <c r="W98" s="232"/>
      <c r="X98" s="304"/>
    </row>
    <row r="99" spans="1:24" ht="15.75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Tabela13161718[[#This Row],[Valor_recibo]]</f>
        <v>0</v>
      </c>
      <c r="O99" s="16"/>
      <c r="P99" s="1" t="e">
        <f>VLOOKUP(Tabela13161718[[#This Row],[DT]],Aprovados!A:A,1,0)</f>
        <v>#N/A</v>
      </c>
      <c r="Q99" s="16"/>
      <c r="R99" s="16"/>
      <c r="S99" s="16" t="s">
        <v>315</v>
      </c>
      <c r="T99" s="9"/>
      <c r="U99" s="1" t="s">
        <v>315</v>
      </c>
      <c r="V99" s="11"/>
      <c r="W99" s="232"/>
      <c r="X99" s="304"/>
    </row>
    <row r="100" spans="1:24" ht="15.75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>
        <f>Tabela13161718[[#This Row],[Valor_recibo]]</f>
        <v>0</v>
      </c>
      <c r="O100" s="16"/>
      <c r="P100" s="1" t="e">
        <f>VLOOKUP(Tabela13161718[[#This Row],[DT]],Aprovados!A:A,1,0)</f>
        <v>#N/A</v>
      </c>
      <c r="Q100" s="16"/>
      <c r="R100" s="16"/>
      <c r="S100" s="16" t="s">
        <v>315</v>
      </c>
      <c r="T100" s="9"/>
      <c r="U100" s="1" t="s">
        <v>315</v>
      </c>
      <c r="V100" s="11"/>
      <c r="W100" s="232"/>
      <c r="X100" s="304"/>
    </row>
    <row r="101" spans="1:24" ht="15.75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>
        <f>Tabela13161718[[#This Row],[Valor_recibo]]</f>
        <v>0</v>
      </c>
      <c r="O101" s="16"/>
      <c r="P101" s="1" t="e">
        <f>VLOOKUP(Tabela13161718[[#This Row],[DT]],Aprovados!A:A,1,0)</f>
        <v>#N/A</v>
      </c>
      <c r="Q101" s="16"/>
      <c r="R101" s="16"/>
      <c r="S101" s="16" t="s">
        <v>315</v>
      </c>
      <c r="T101" s="9"/>
      <c r="U101" s="1" t="s">
        <v>315</v>
      </c>
      <c r="V101" s="11"/>
      <c r="W101" s="232"/>
      <c r="X101" s="304"/>
    </row>
    <row r="102" spans="1:24" ht="15.75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Tabela13161718[[#This Row],[Valor_recibo]]</f>
        <v>0</v>
      </c>
      <c r="O102" s="16"/>
      <c r="P102" s="1" t="e">
        <f>VLOOKUP(Tabela13161718[[#This Row],[DT]],Aprovados!A:A,1,0)</f>
        <v>#N/A</v>
      </c>
      <c r="Q102" s="16"/>
      <c r="R102" s="16"/>
      <c r="S102" s="16" t="s">
        <v>315</v>
      </c>
      <c r="T102" s="9"/>
      <c r="U102" s="1" t="s">
        <v>315</v>
      </c>
      <c r="V102" s="11"/>
      <c r="W102" s="232"/>
      <c r="X102" s="304"/>
    </row>
    <row r="103" spans="1:24" ht="15.75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>
        <f>Tabela13161718[[#This Row],[Valor_recibo]]</f>
        <v>0</v>
      </c>
      <c r="O103" s="16"/>
      <c r="P103" s="1" t="e">
        <f>VLOOKUP(Tabela13161718[[#This Row],[DT]],Aprovados!A:A,1,0)</f>
        <v>#N/A</v>
      </c>
      <c r="Q103" s="16"/>
      <c r="R103" s="16"/>
      <c r="S103" s="16" t="s">
        <v>315</v>
      </c>
      <c r="T103" s="9"/>
      <c r="U103" s="1" t="s">
        <v>315</v>
      </c>
      <c r="V103" s="11"/>
      <c r="W103" s="232"/>
      <c r="X103" s="304"/>
    </row>
    <row r="104" spans="1:24" ht="15.75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>
        <f>Tabela13161718[[#This Row],[Valor_recibo]]</f>
        <v>0</v>
      </c>
      <c r="O104" s="16"/>
      <c r="P104" s="1" t="e">
        <f>VLOOKUP(Tabela13161718[[#This Row],[DT]],Aprovados!A:A,1,0)</f>
        <v>#N/A</v>
      </c>
      <c r="Q104" s="16"/>
      <c r="R104" s="16"/>
      <c r="S104" s="16" t="s">
        <v>315</v>
      </c>
      <c r="T104" s="9"/>
      <c r="U104" s="1" t="s">
        <v>315</v>
      </c>
      <c r="V104" s="11"/>
      <c r="W104" s="232"/>
      <c r="X104" s="304"/>
    </row>
    <row r="105" spans="1:24" ht="15.75">
      <c r="A105" s="6"/>
      <c r="B105" s="7"/>
      <c r="C105" s="6"/>
      <c r="D105" s="6"/>
      <c r="E105" s="6"/>
      <c r="F105" s="1"/>
      <c r="G105" s="9"/>
      <c r="H105" s="9"/>
      <c r="I105" s="11"/>
      <c r="J105" s="1"/>
      <c r="K105" s="205" t="s">
        <v>315</v>
      </c>
      <c r="L105" s="1" t="s">
        <v>315</v>
      </c>
      <c r="M105" s="9"/>
      <c r="N105" s="14">
        <f>Tabela13161718[[#This Row],[Valor_recibo]]</f>
        <v>0</v>
      </c>
      <c r="O105" s="16"/>
      <c r="P105" s="1" t="e">
        <f>VLOOKUP(Tabela13161718[[#This Row],[DT]],Aprovados!A:A,1,0)</f>
        <v>#N/A</v>
      </c>
      <c r="Q105" s="16"/>
      <c r="R105" s="16"/>
      <c r="S105" s="16" t="s">
        <v>315</v>
      </c>
      <c r="T105" s="9"/>
      <c r="U105" s="1" t="s">
        <v>315</v>
      </c>
      <c r="V105" s="11"/>
      <c r="W105" s="232"/>
      <c r="X105" s="304"/>
    </row>
    <row r="106" spans="1:24" ht="15.75">
      <c r="A106" s="6"/>
      <c r="B106" s="7"/>
      <c r="C106" s="6"/>
      <c r="D106" s="6"/>
      <c r="E106" s="6"/>
      <c r="F106" s="1"/>
      <c r="G106" s="9"/>
      <c r="H106" s="9"/>
      <c r="I106" s="11"/>
      <c r="J106" s="1"/>
      <c r="K106" s="205" t="s">
        <v>315</v>
      </c>
      <c r="L106" s="1" t="s">
        <v>315</v>
      </c>
      <c r="M106" s="9"/>
      <c r="N106" s="14">
        <f>Tabela13161718[[#This Row],[Valor_recibo]]</f>
        <v>0</v>
      </c>
      <c r="O106" s="16"/>
      <c r="P106" s="1" t="e">
        <f>VLOOKUP(Tabela13161718[[#This Row],[DT]],Aprovados!A:A,1,0)</f>
        <v>#N/A</v>
      </c>
      <c r="Q106" s="16"/>
      <c r="R106" s="16"/>
      <c r="S106" s="16" t="s">
        <v>315</v>
      </c>
      <c r="T106" s="9"/>
      <c r="U106" s="1" t="s">
        <v>315</v>
      </c>
      <c r="V106" s="11"/>
      <c r="W106" s="232"/>
      <c r="X106" s="304"/>
    </row>
    <row r="107" spans="1:24" ht="15.75">
      <c r="A107" s="6"/>
      <c r="B107" s="7"/>
      <c r="C107" s="6"/>
      <c r="D107" s="6"/>
      <c r="E107" s="6"/>
      <c r="F107" s="1"/>
      <c r="G107" s="9"/>
      <c r="H107" s="9"/>
      <c r="I107" s="11"/>
      <c r="J107" s="1"/>
      <c r="K107" s="205" t="s">
        <v>315</v>
      </c>
      <c r="L107" s="1" t="s">
        <v>315</v>
      </c>
      <c r="M107" s="9"/>
      <c r="N107" s="14">
        <f>Tabela13161718[[#This Row],[Valor_recibo]]</f>
        <v>0</v>
      </c>
      <c r="O107" s="16"/>
      <c r="P107" s="1" t="e">
        <f>VLOOKUP(Tabela13161718[[#This Row],[DT]],Aprovados!A:A,1,0)</f>
        <v>#N/A</v>
      </c>
      <c r="Q107" s="16"/>
      <c r="R107" s="16"/>
      <c r="S107" s="16" t="s">
        <v>315</v>
      </c>
      <c r="T107" s="9"/>
      <c r="U107" s="1" t="s">
        <v>315</v>
      </c>
      <c r="V107" s="11"/>
      <c r="W107" s="232"/>
      <c r="X107" s="304"/>
    </row>
    <row r="108" spans="1:24" ht="15.75">
      <c r="A108" s="6"/>
      <c r="B108" s="7"/>
      <c r="C108" s="6"/>
      <c r="D108" s="6"/>
      <c r="E108" s="6"/>
      <c r="F108" s="1"/>
      <c r="G108" s="9"/>
      <c r="H108" s="9"/>
      <c r="I108" s="11"/>
      <c r="J108" s="1"/>
      <c r="K108" s="205" t="s">
        <v>315</v>
      </c>
      <c r="L108" s="1" t="s">
        <v>315</v>
      </c>
      <c r="M108" s="9"/>
      <c r="N108" s="14">
        <f>Tabela13161718[[#This Row],[Valor_recibo]]</f>
        <v>0</v>
      </c>
      <c r="O108" s="16"/>
      <c r="P108" s="1" t="e">
        <f>VLOOKUP(Tabela13161718[[#This Row],[DT]],Aprovados!A:A,1,0)</f>
        <v>#N/A</v>
      </c>
      <c r="Q108" s="16"/>
      <c r="R108" s="16"/>
      <c r="S108" s="16" t="s">
        <v>315</v>
      </c>
      <c r="T108" s="9"/>
      <c r="U108" s="1" t="s">
        <v>315</v>
      </c>
      <c r="V108" s="11"/>
      <c r="W108" s="232"/>
      <c r="X108" s="304"/>
    </row>
    <row r="109" spans="1:24" ht="15.75">
      <c r="A109" s="6"/>
      <c r="B109" s="7"/>
      <c r="C109" s="6"/>
      <c r="D109" s="6"/>
      <c r="E109" s="6"/>
      <c r="F109" s="1"/>
      <c r="G109" s="9"/>
      <c r="H109" s="9"/>
      <c r="I109" s="11"/>
      <c r="J109" s="1"/>
      <c r="K109" s="205" t="s">
        <v>315</v>
      </c>
      <c r="L109" s="1" t="s">
        <v>315</v>
      </c>
      <c r="M109" s="9"/>
      <c r="N109" s="14">
        <f>Tabela13161718[[#This Row],[Valor_recibo]]</f>
        <v>0</v>
      </c>
      <c r="O109" s="16"/>
      <c r="P109" s="1" t="e">
        <f>VLOOKUP(Tabela13161718[[#This Row],[DT]],Aprovados!A:A,1,0)</f>
        <v>#N/A</v>
      </c>
      <c r="Q109" s="16"/>
      <c r="R109" s="16"/>
      <c r="S109" s="16" t="s">
        <v>315</v>
      </c>
      <c r="T109" s="9"/>
      <c r="U109" s="1" t="s">
        <v>315</v>
      </c>
      <c r="V109" s="11"/>
      <c r="W109" s="232"/>
      <c r="X109" s="304"/>
    </row>
    <row r="110" spans="1:24" ht="15.75">
      <c r="A110" s="67"/>
      <c r="B110" s="68"/>
      <c r="C110" s="67"/>
      <c r="D110" s="67"/>
      <c r="E110" s="67"/>
      <c r="F110" s="71"/>
      <c r="G110" s="72"/>
      <c r="H110" s="72"/>
      <c r="I110" s="256"/>
      <c r="J110" s="71"/>
      <c r="K110" s="205" t="s">
        <v>315</v>
      </c>
      <c r="L110" s="1" t="s">
        <v>315</v>
      </c>
      <c r="M110" s="72"/>
      <c r="N110" s="83">
        <f>Tabela13161718[[#This Row],[Valor_recibo]]</f>
        <v>0</v>
      </c>
      <c r="O110" s="81"/>
      <c r="P110" s="71" t="e">
        <f>VLOOKUP(Tabela13161718[[#This Row],[DT]],Aprovados!A:A,1,0)</f>
        <v>#N/A</v>
      </c>
      <c r="Q110" s="81"/>
      <c r="R110" s="81"/>
      <c r="S110" s="16" t="s">
        <v>315</v>
      </c>
      <c r="T110" s="72"/>
      <c r="U110" s="1" t="s">
        <v>315</v>
      </c>
      <c r="V110" s="256"/>
      <c r="W110" s="232"/>
      <c r="X110" s="304"/>
    </row>
    <row r="111" spans="1:24" ht="15.75">
      <c r="A111" s="67"/>
      <c r="B111" s="68"/>
      <c r="C111" s="67"/>
      <c r="D111" s="67"/>
      <c r="E111" s="67"/>
      <c r="F111" s="71"/>
      <c r="G111" s="72"/>
      <c r="H111" s="72"/>
      <c r="I111" s="256"/>
      <c r="J111" s="71"/>
      <c r="K111" s="205" t="s">
        <v>315</v>
      </c>
      <c r="L111" s="1" t="s">
        <v>315</v>
      </c>
      <c r="M111" s="72"/>
      <c r="N111" s="83">
        <f>Tabela13161718[[#This Row],[Valor_recibo]]</f>
        <v>0</v>
      </c>
      <c r="O111" s="81"/>
      <c r="P111" s="71" t="e">
        <f>VLOOKUP(Tabela13161718[[#This Row],[DT]],Aprovados!A:A,1,0)</f>
        <v>#N/A</v>
      </c>
      <c r="Q111" s="81"/>
      <c r="R111" s="81"/>
      <c r="S111" s="16" t="s">
        <v>315</v>
      </c>
      <c r="T111" s="72"/>
      <c r="U111" s="1" t="s">
        <v>315</v>
      </c>
      <c r="V111" s="256"/>
      <c r="W111" s="232"/>
      <c r="X111" s="304"/>
    </row>
    <row r="112" spans="1:24" ht="15.75">
      <c r="A112" s="67"/>
      <c r="B112" s="68"/>
      <c r="C112" s="67"/>
      <c r="D112" s="67"/>
      <c r="E112" s="67"/>
      <c r="F112" s="71"/>
      <c r="G112" s="72"/>
      <c r="H112" s="72"/>
      <c r="I112" s="256"/>
      <c r="J112" s="71"/>
      <c r="K112" s="205" t="s">
        <v>315</v>
      </c>
      <c r="L112" s="1" t="s">
        <v>315</v>
      </c>
      <c r="M112" s="72"/>
      <c r="N112" s="83">
        <f>Tabela13161718[[#This Row],[Valor_recibo]]</f>
        <v>0</v>
      </c>
      <c r="O112" s="81"/>
      <c r="P112" s="71" t="e">
        <f>VLOOKUP(Tabela13161718[[#This Row],[DT]],Aprovados!A:A,1,0)</f>
        <v>#N/A</v>
      </c>
      <c r="Q112" s="81"/>
      <c r="R112" s="81"/>
      <c r="S112" s="16" t="s">
        <v>315</v>
      </c>
      <c r="T112" s="72"/>
      <c r="U112" s="1" t="s">
        <v>315</v>
      </c>
      <c r="V112" s="256"/>
      <c r="W112" s="232"/>
      <c r="X112" s="304"/>
    </row>
    <row r="113" spans="1:24" ht="15.75">
      <c r="A113" s="67"/>
      <c r="B113" s="68"/>
      <c r="C113" s="67"/>
      <c r="D113" s="67"/>
      <c r="E113" s="67"/>
      <c r="F113" s="71"/>
      <c r="G113" s="72"/>
      <c r="H113" s="72"/>
      <c r="I113" s="256"/>
      <c r="J113" s="71"/>
      <c r="K113" s="205" t="s">
        <v>315</v>
      </c>
      <c r="L113" s="1" t="s">
        <v>315</v>
      </c>
      <c r="M113" s="72"/>
      <c r="N113" s="83">
        <f>Tabela13161718[[#This Row],[Valor_recibo]]</f>
        <v>0</v>
      </c>
      <c r="O113" s="81"/>
      <c r="P113" s="71" t="e">
        <f>VLOOKUP(Tabela13161718[[#This Row],[DT]],Aprovados!A:A,1,0)</f>
        <v>#N/A</v>
      </c>
      <c r="Q113" s="81"/>
      <c r="R113" s="81"/>
      <c r="S113" s="16" t="s">
        <v>315</v>
      </c>
      <c r="T113" s="72"/>
      <c r="U113" s="1" t="s">
        <v>315</v>
      </c>
      <c r="V113" s="256"/>
      <c r="W113" s="232"/>
      <c r="X113" s="304"/>
    </row>
    <row r="114" spans="1:24" ht="15.75">
      <c r="A114" s="67"/>
      <c r="B114" s="68"/>
      <c r="C114" s="67"/>
      <c r="D114" s="67"/>
      <c r="E114" s="67"/>
      <c r="F114" s="71"/>
      <c r="G114" s="72"/>
      <c r="H114" s="72"/>
      <c r="I114" s="256"/>
      <c r="J114" s="71"/>
      <c r="K114" s="205" t="s">
        <v>315</v>
      </c>
      <c r="L114" s="1" t="s">
        <v>315</v>
      </c>
      <c r="M114" s="72"/>
      <c r="N114" s="83">
        <f>Tabela13161718[[#This Row],[Valor_recibo]]</f>
        <v>0</v>
      </c>
      <c r="O114" s="81"/>
      <c r="P114" s="71" t="e">
        <f>VLOOKUP(Tabela13161718[[#This Row],[DT]],Aprovados!A:A,1,0)</f>
        <v>#N/A</v>
      </c>
      <c r="Q114" s="81"/>
      <c r="R114" s="81"/>
      <c r="S114" s="16" t="s">
        <v>315</v>
      </c>
      <c r="T114" s="72"/>
      <c r="U114" s="1" t="s">
        <v>315</v>
      </c>
      <c r="V114" s="256"/>
      <c r="W114" s="232"/>
      <c r="X114" s="304"/>
    </row>
    <row r="115" spans="1:24" ht="15.75">
      <c r="A115" s="67"/>
      <c r="B115" s="68"/>
      <c r="C115" s="67"/>
      <c r="D115" s="67"/>
      <c r="E115" s="67"/>
      <c r="F115" s="71"/>
      <c r="G115" s="72"/>
      <c r="H115" s="72"/>
      <c r="I115" s="256"/>
      <c r="J115" s="71"/>
      <c r="K115" s="205" t="s">
        <v>315</v>
      </c>
      <c r="L115" s="1" t="s">
        <v>315</v>
      </c>
      <c r="M115" s="72"/>
      <c r="N115" s="83">
        <f>Tabela13161718[[#This Row],[Valor_recibo]]</f>
        <v>0</v>
      </c>
      <c r="O115" s="81"/>
      <c r="P115" s="71" t="e">
        <f>VLOOKUP(Tabela13161718[[#This Row],[DT]],Aprovados!A:A,1,0)</f>
        <v>#N/A</v>
      </c>
      <c r="Q115" s="81"/>
      <c r="R115" s="81"/>
      <c r="S115" s="16" t="s">
        <v>315</v>
      </c>
      <c r="T115" s="72"/>
      <c r="U115" s="1" t="s">
        <v>315</v>
      </c>
      <c r="V115" s="256"/>
      <c r="W115" s="232"/>
      <c r="X115" s="304"/>
    </row>
    <row r="116" spans="1:24" ht="15.75">
      <c r="A116" s="67"/>
      <c r="B116" s="68"/>
      <c r="C116" s="67"/>
      <c r="D116" s="67"/>
      <c r="E116" s="67"/>
      <c r="F116" s="71"/>
      <c r="G116" s="72"/>
      <c r="H116" s="72"/>
      <c r="I116" s="256"/>
      <c r="J116" s="71"/>
      <c r="K116" s="205" t="s">
        <v>315</v>
      </c>
      <c r="L116" s="1" t="s">
        <v>315</v>
      </c>
      <c r="M116" s="72"/>
      <c r="N116" s="83">
        <f>Tabela13161718[[#This Row],[Valor_recibo]]</f>
        <v>0</v>
      </c>
      <c r="O116" s="81"/>
      <c r="P116" s="71" t="e">
        <f>VLOOKUP(Tabela13161718[[#This Row],[DT]],Aprovados!A:A,1,0)</f>
        <v>#N/A</v>
      </c>
      <c r="Q116" s="81"/>
      <c r="R116" s="81"/>
      <c r="S116" s="16" t="s">
        <v>315</v>
      </c>
      <c r="T116" s="72"/>
      <c r="U116" s="1" t="s">
        <v>315</v>
      </c>
      <c r="V116" s="256"/>
      <c r="W116" s="232"/>
      <c r="X116" s="304"/>
    </row>
    <row r="117" spans="1:24" ht="15.75">
      <c r="A117" s="67"/>
      <c r="B117" s="68"/>
      <c r="C117" s="67"/>
      <c r="D117" s="67"/>
      <c r="E117" s="67"/>
      <c r="F117" s="71"/>
      <c r="G117" s="72"/>
      <c r="H117" s="72"/>
      <c r="I117" s="256"/>
      <c r="J117" s="71"/>
      <c r="K117" s="205" t="s">
        <v>315</v>
      </c>
      <c r="L117" s="1" t="s">
        <v>315</v>
      </c>
      <c r="M117" s="72"/>
      <c r="N117" s="83">
        <f>Tabela13161718[[#This Row],[Valor_recibo]]</f>
        <v>0</v>
      </c>
      <c r="O117" s="81"/>
      <c r="P117" s="71" t="e">
        <f>VLOOKUP(Tabela13161718[[#This Row],[DT]],Aprovados!A:A,1,0)</f>
        <v>#N/A</v>
      </c>
      <c r="Q117" s="81"/>
      <c r="R117" s="81"/>
      <c r="S117" s="16" t="s">
        <v>315</v>
      </c>
      <c r="T117" s="72"/>
      <c r="U117" s="1" t="s">
        <v>315</v>
      </c>
      <c r="V117" s="256"/>
      <c r="W117" s="232"/>
      <c r="X117" s="304"/>
    </row>
    <row r="118" spans="1:24" ht="15.75">
      <c r="A118" s="67"/>
      <c r="B118" s="68"/>
      <c r="C118" s="67"/>
      <c r="D118" s="67"/>
      <c r="E118" s="67"/>
      <c r="F118" s="71"/>
      <c r="G118" s="72"/>
      <c r="H118" s="72"/>
      <c r="I118" s="256"/>
      <c r="J118" s="71"/>
      <c r="K118" s="205" t="s">
        <v>315</v>
      </c>
      <c r="L118" s="1" t="s">
        <v>315</v>
      </c>
      <c r="M118" s="72"/>
      <c r="N118" s="83">
        <f>Tabela13161718[[#This Row],[Valor_recibo]]</f>
        <v>0</v>
      </c>
      <c r="O118" s="81"/>
      <c r="P118" s="71" t="e">
        <f>VLOOKUP(Tabela13161718[[#This Row],[DT]],Aprovados!A:A,1,0)</f>
        <v>#N/A</v>
      </c>
      <c r="Q118" s="81"/>
      <c r="R118" s="81"/>
      <c r="S118" s="16" t="s">
        <v>315</v>
      </c>
      <c r="T118" s="72"/>
      <c r="U118" s="1" t="s">
        <v>315</v>
      </c>
      <c r="V118" s="256"/>
      <c r="W118" s="232"/>
      <c r="X118" s="304"/>
    </row>
    <row r="119" spans="1:24" ht="15.75">
      <c r="A119" s="67"/>
      <c r="B119" s="68"/>
      <c r="C119" s="67"/>
      <c r="D119" s="67"/>
      <c r="E119" s="67"/>
      <c r="F119" s="71"/>
      <c r="G119" s="72"/>
      <c r="H119" s="72"/>
      <c r="I119" s="256"/>
      <c r="J119" s="71"/>
      <c r="K119" s="205" t="s">
        <v>315</v>
      </c>
      <c r="L119" s="1" t="s">
        <v>315</v>
      </c>
      <c r="M119" s="72"/>
      <c r="N119" s="83">
        <f>Tabela13161718[[#This Row],[Valor_recibo]]</f>
        <v>0</v>
      </c>
      <c r="O119" s="81"/>
      <c r="P119" s="71" t="e">
        <f>VLOOKUP(Tabela13161718[[#This Row],[DT]],Aprovados!A:A,1,0)</f>
        <v>#N/A</v>
      </c>
      <c r="Q119" s="81"/>
      <c r="R119" s="81"/>
      <c r="S119" s="16" t="s">
        <v>315</v>
      </c>
      <c r="T119" s="72"/>
      <c r="U119" s="1" t="s">
        <v>315</v>
      </c>
      <c r="V119" s="256"/>
      <c r="W119" s="232"/>
      <c r="X119" s="304"/>
    </row>
    <row r="120" spans="1:24" ht="15.75">
      <c r="A120" s="67"/>
      <c r="B120" s="68"/>
      <c r="C120" s="67"/>
      <c r="D120" s="67"/>
      <c r="E120" s="67"/>
      <c r="F120" s="71"/>
      <c r="G120" s="72"/>
      <c r="H120" s="72"/>
      <c r="I120" s="256"/>
      <c r="J120" s="71"/>
      <c r="K120" s="205" t="s">
        <v>315</v>
      </c>
      <c r="L120" s="1" t="s">
        <v>315</v>
      </c>
      <c r="M120" s="72"/>
      <c r="N120" s="83">
        <f>Tabela13161718[[#This Row],[Valor_recibo]]</f>
        <v>0</v>
      </c>
      <c r="O120" s="81"/>
      <c r="P120" s="71" t="e">
        <f>VLOOKUP(Tabela13161718[[#This Row],[DT]],Aprovados!A:A,1,0)</f>
        <v>#N/A</v>
      </c>
      <c r="Q120" s="81"/>
      <c r="R120" s="81"/>
      <c r="S120" s="16" t="s">
        <v>315</v>
      </c>
      <c r="T120" s="72"/>
      <c r="U120" s="1" t="s">
        <v>315</v>
      </c>
      <c r="V120" s="256"/>
      <c r="W120" s="232"/>
      <c r="X120" s="304"/>
    </row>
    <row r="121" spans="1:24" ht="15.75">
      <c r="A121" s="67"/>
      <c r="B121" s="68"/>
      <c r="C121" s="67"/>
      <c r="D121" s="67"/>
      <c r="E121" s="67"/>
      <c r="F121" s="71"/>
      <c r="G121" s="72"/>
      <c r="H121" s="72"/>
      <c r="I121" s="256"/>
      <c r="J121" s="71"/>
      <c r="K121" s="205" t="s">
        <v>315</v>
      </c>
      <c r="L121" s="1" t="s">
        <v>315</v>
      </c>
      <c r="M121" s="72"/>
      <c r="N121" s="83">
        <f>Tabela13161718[[#This Row],[Valor_recibo]]</f>
        <v>0</v>
      </c>
      <c r="O121" s="81"/>
      <c r="P121" s="71" t="e">
        <f>VLOOKUP(Tabela13161718[[#This Row],[DT]],Aprovados!A:A,1,0)</f>
        <v>#N/A</v>
      </c>
      <c r="Q121" s="81"/>
      <c r="R121" s="81"/>
      <c r="S121" s="16" t="s">
        <v>315</v>
      </c>
      <c r="T121" s="72"/>
      <c r="U121" s="1" t="s">
        <v>315</v>
      </c>
      <c r="V121" s="256"/>
      <c r="W121" s="232"/>
      <c r="X121" s="304"/>
    </row>
    <row r="122" spans="1:24" ht="15.75">
      <c r="A122" s="67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Tabela13161718[[#This Row],[Valor_recibo]]</f>
        <v>0</v>
      </c>
      <c r="O122" s="16"/>
      <c r="P122" s="1" t="e">
        <f>VLOOKUP(Tabela13161718[[#This Row],[DT]],Aprovados!A:A,1,0)</f>
        <v>#N/A</v>
      </c>
      <c r="Q122" s="16"/>
      <c r="R122" s="16"/>
      <c r="S122" s="16" t="s">
        <v>315</v>
      </c>
      <c r="T122" s="9"/>
      <c r="U122" s="1" t="s">
        <v>315</v>
      </c>
      <c r="V122" s="11"/>
      <c r="W122" s="232"/>
      <c r="X122" s="304"/>
    </row>
    <row r="123" spans="1:24" ht="15.75">
      <c r="A123" s="67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>
        <f>Tabela13161718[[#This Row],[Valor_recibo]]</f>
        <v>0</v>
      </c>
      <c r="O123" s="16"/>
      <c r="P123" s="1" t="e">
        <f>VLOOKUP(Tabela13161718[[#This Row],[DT]],Aprovados!A:A,1,0)</f>
        <v>#N/A</v>
      </c>
      <c r="Q123" s="16"/>
      <c r="R123" s="16"/>
      <c r="S123" s="16" t="s">
        <v>315</v>
      </c>
      <c r="T123" s="9"/>
      <c r="U123" s="1" t="s">
        <v>315</v>
      </c>
      <c r="V123" s="11"/>
      <c r="W123" s="232"/>
      <c r="X123" s="304"/>
    </row>
    <row r="124" spans="1:24" ht="15.75">
      <c r="A124" s="67"/>
      <c r="B124" s="7"/>
      <c r="C124" s="6"/>
      <c r="D124" s="6"/>
      <c r="E124" s="6"/>
      <c r="F124" s="9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>
        <f>Tabela13161718[[#This Row],[Valor_recibo]]</f>
        <v>0</v>
      </c>
      <c r="O124" s="16"/>
      <c r="P124" s="1" t="e">
        <f>VLOOKUP(Tabela13161718[[#This Row],[DT]],Aprovados!A:A,1,0)</f>
        <v>#N/A</v>
      </c>
      <c r="Q124" s="16"/>
      <c r="R124" s="16"/>
      <c r="S124" s="16" t="s">
        <v>315</v>
      </c>
      <c r="T124" s="9"/>
      <c r="U124" s="1" t="s">
        <v>315</v>
      </c>
      <c r="V124" s="11"/>
      <c r="W124" s="232"/>
      <c r="X124" s="304"/>
    </row>
    <row r="125" spans="1:24" ht="15.75">
      <c r="A125" s="67"/>
      <c r="B125" s="7"/>
      <c r="C125" s="6"/>
      <c r="D125" s="6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>
        <f>Tabela13161718[[#This Row],[Valor_recibo]]</f>
        <v>0</v>
      </c>
      <c r="O125" s="16"/>
      <c r="P125" s="1" t="e">
        <f>VLOOKUP(Tabela13161718[[#This Row],[DT]],Aprovados!A:A,1,0)</f>
        <v>#N/A</v>
      </c>
      <c r="Q125" s="16"/>
      <c r="R125" s="16"/>
      <c r="S125" s="16" t="s">
        <v>315</v>
      </c>
      <c r="T125" s="9"/>
      <c r="U125" s="1" t="s">
        <v>315</v>
      </c>
      <c r="V125" s="11"/>
      <c r="W125" s="232"/>
      <c r="X125" s="304"/>
    </row>
    <row r="126" spans="1:24" ht="15.75">
      <c r="A126" s="67"/>
      <c r="B126" s="7"/>
      <c r="C126" s="6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>
        <f>Tabela13161718[[#This Row],[Valor_recibo]]</f>
        <v>0</v>
      </c>
      <c r="O126" s="16"/>
      <c r="P126" s="1" t="e">
        <f>VLOOKUP(Tabela13161718[[#This Row],[DT]],Aprovados!A:A,1,0)</f>
        <v>#N/A</v>
      </c>
      <c r="Q126" s="16"/>
      <c r="R126" s="16"/>
      <c r="S126" s="16" t="s">
        <v>315</v>
      </c>
      <c r="T126" s="9"/>
      <c r="U126" s="1" t="s">
        <v>315</v>
      </c>
      <c r="V126" s="11"/>
      <c r="W126" s="232"/>
      <c r="X126" s="304"/>
    </row>
    <row r="127" spans="1:24" ht="15.75">
      <c r="A127" s="67"/>
      <c r="B127" s="7"/>
      <c r="C127" s="6"/>
      <c r="D127" s="6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Tabela13161718[[#This Row],[Valor_recibo]]</f>
        <v>0</v>
      </c>
      <c r="O127" s="16"/>
      <c r="P127" s="1" t="e">
        <f>VLOOKUP(Tabela13161718[[#This Row],[DT]],Aprovados!A:A,1,0)</f>
        <v>#N/A</v>
      </c>
      <c r="Q127" s="16"/>
      <c r="R127" s="16"/>
      <c r="S127" s="16" t="s">
        <v>315</v>
      </c>
      <c r="T127" s="9"/>
      <c r="U127" s="1" t="s">
        <v>315</v>
      </c>
      <c r="V127" s="11"/>
      <c r="W127" s="232"/>
      <c r="X127" s="304"/>
    </row>
    <row r="128" spans="1:24" ht="15.75">
      <c r="A128" s="6"/>
      <c r="B128" s="7"/>
      <c r="C128" s="6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>
        <f>Tabela13161718[[#This Row],[Valor_recibo]]</f>
        <v>0</v>
      </c>
      <c r="O128" s="16"/>
      <c r="P128" s="1" t="e">
        <f>VLOOKUP(Tabela13161718[[#This Row],[DT]],Aprovados!A:A,1,0)</f>
        <v>#N/A</v>
      </c>
      <c r="Q128" s="16"/>
      <c r="R128" s="16"/>
      <c r="S128" s="16" t="s">
        <v>315</v>
      </c>
      <c r="T128" s="9"/>
      <c r="U128" s="1" t="s">
        <v>315</v>
      </c>
      <c r="V128" s="11"/>
      <c r="W128" s="232"/>
      <c r="X128" s="304"/>
    </row>
    <row r="129" spans="1:24" ht="15.75">
      <c r="A129" s="67"/>
      <c r="B129" s="7"/>
      <c r="C129" s="6"/>
      <c r="D129" s="6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Tabela13161718[[#This Row],[Valor_recibo]]</f>
        <v>0</v>
      </c>
      <c r="O129" s="16"/>
      <c r="P129" s="1" t="e">
        <f>VLOOKUP(Tabela13161718[[#This Row],[DT]],Aprovados!A:A,1,0)</f>
        <v>#N/A</v>
      </c>
      <c r="Q129" s="16"/>
      <c r="R129" s="16"/>
      <c r="S129" s="16" t="s">
        <v>315</v>
      </c>
      <c r="T129" s="9"/>
      <c r="U129" s="1" t="s">
        <v>315</v>
      </c>
      <c r="V129" s="11"/>
      <c r="W129" s="232"/>
      <c r="X129" s="304"/>
    </row>
    <row r="130" spans="1:24" ht="15.75">
      <c r="A130" s="67"/>
      <c r="B130" s="7"/>
      <c r="C130" s="258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>
        <f>Tabela13161718[[#This Row],[Valor_recibo]]</f>
        <v>0</v>
      </c>
      <c r="O130" s="16"/>
      <c r="P130" s="1" t="e">
        <f>VLOOKUP(Tabela13161718[[#This Row],[DT]],Aprovados!A:A,1,0)</f>
        <v>#N/A</v>
      </c>
      <c r="Q130" s="16"/>
      <c r="R130" s="16"/>
      <c r="S130" s="16" t="s">
        <v>315</v>
      </c>
      <c r="T130" s="9"/>
      <c r="U130" s="1" t="s">
        <v>315</v>
      </c>
      <c r="V130" s="11"/>
      <c r="W130" s="232"/>
      <c r="X130" s="304"/>
    </row>
    <row r="131" spans="1:24" ht="15.75">
      <c r="A131" s="67"/>
      <c r="B131" s="7"/>
      <c r="C131" s="6"/>
      <c r="D131" s="6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Tabela13161718[[#This Row],[Valor_recibo]]</f>
        <v>0</v>
      </c>
      <c r="O131" s="16"/>
      <c r="P131" s="1" t="e">
        <f>VLOOKUP(Tabela13161718[[#This Row],[DT]],Aprovados!A:A,1,0)</f>
        <v>#N/A</v>
      </c>
      <c r="Q131" s="16"/>
      <c r="R131" s="16"/>
      <c r="S131" s="16" t="s">
        <v>315</v>
      </c>
      <c r="T131" s="9"/>
      <c r="U131" s="1" t="s">
        <v>315</v>
      </c>
      <c r="V131" s="11"/>
      <c r="W131" s="232"/>
      <c r="X131" s="304"/>
    </row>
    <row r="132" spans="1:24" ht="15.75">
      <c r="A132" s="67"/>
      <c r="B132" s="7"/>
      <c r="C132" s="258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>
        <f>Tabela13161718[[#This Row],[Valor_recibo]]</f>
        <v>0</v>
      </c>
      <c r="O132" s="16"/>
      <c r="P132" s="1" t="e">
        <f>VLOOKUP(Tabela13161718[[#This Row],[DT]],Aprovados!A:A,1,0)</f>
        <v>#N/A</v>
      </c>
      <c r="Q132" s="16"/>
      <c r="R132" s="16"/>
      <c r="S132" s="16" t="s">
        <v>315</v>
      </c>
      <c r="T132" s="9"/>
      <c r="U132" s="1" t="s">
        <v>315</v>
      </c>
      <c r="V132" s="11"/>
      <c r="W132" s="232"/>
      <c r="X132" s="304"/>
    </row>
    <row r="133" spans="1:24" ht="15.75">
      <c r="A133" s="67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>
        <f>Tabela13161718[[#This Row],[Valor_recibo]]</f>
        <v>0</v>
      </c>
      <c r="O133" s="16"/>
      <c r="P133" s="1" t="e">
        <f>VLOOKUP(Tabela13161718[[#This Row],[DT]],Aprovados!A:A,1,0)</f>
        <v>#N/A</v>
      </c>
      <c r="Q133" s="16"/>
      <c r="R133" s="16"/>
      <c r="S133" s="16" t="s">
        <v>315</v>
      </c>
      <c r="T133" s="9"/>
      <c r="U133" s="1" t="s">
        <v>315</v>
      </c>
      <c r="V133" s="11"/>
      <c r="W133" s="232"/>
      <c r="X133" s="304"/>
    </row>
    <row r="134" spans="1:24" ht="15.75">
      <c r="A134" s="67"/>
      <c r="B134" s="7"/>
      <c r="C134" s="258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>
        <f>Tabela13161718[[#This Row],[Valor_recibo]]</f>
        <v>0</v>
      </c>
      <c r="O134" s="16"/>
      <c r="P134" s="1" t="e">
        <f>VLOOKUP(Tabela13161718[[#This Row],[DT]],Aprovados!A:A,1,0)</f>
        <v>#N/A</v>
      </c>
      <c r="Q134" s="16"/>
      <c r="R134" s="16"/>
      <c r="S134" s="16" t="s">
        <v>315</v>
      </c>
      <c r="T134" s="9"/>
      <c r="U134" s="1" t="s">
        <v>315</v>
      </c>
      <c r="V134" s="11"/>
      <c r="W134" s="232"/>
      <c r="X134" s="304"/>
    </row>
    <row r="135" spans="1:24" ht="15.75">
      <c r="A135" s="259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Tabela13161718[[#This Row],[Valor_recibo]]</f>
        <v>0</v>
      </c>
      <c r="O135" s="16"/>
      <c r="P135" s="1" t="e">
        <f>VLOOKUP(Tabela13161718[[#This Row],[DT]],Aprovados!A:A,1,0)</f>
        <v>#N/A</v>
      </c>
      <c r="Q135" s="16"/>
      <c r="R135" s="16"/>
      <c r="S135" s="16" t="s">
        <v>315</v>
      </c>
      <c r="T135" s="9"/>
      <c r="U135" s="1" t="s">
        <v>315</v>
      </c>
      <c r="V135" s="11"/>
      <c r="W135" s="232"/>
      <c r="X135" s="304"/>
    </row>
    <row r="136" spans="1:24" ht="15.75">
      <c r="A136" s="67"/>
      <c r="B136" s="7"/>
      <c r="C136" s="258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Tabela13161718[[#This Row],[Valor_recibo]]</f>
        <v>0</v>
      </c>
      <c r="O136" s="16"/>
      <c r="P136" s="1" t="e">
        <f>VLOOKUP(Tabela13161718[[#This Row],[DT]],Aprovados!A:A,1,0)</f>
        <v>#N/A</v>
      </c>
      <c r="Q136" s="16"/>
      <c r="R136" s="16"/>
      <c r="S136" s="16" t="s">
        <v>315</v>
      </c>
      <c r="T136" s="9"/>
      <c r="U136" s="1" t="s">
        <v>315</v>
      </c>
      <c r="V136" s="11"/>
      <c r="W136" s="232"/>
      <c r="X136" s="304"/>
    </row>
    <row r="137" spans="1:24" ht="15.75">
      <c r="A137" s="67"/>
      <c r="B137" s="7"/>
      <c r="C137" s="6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>
        <f>Tabela13161718[[#This Row],[Valor_recibo]]</f>
        <v>0</v>
      </c>
      <c r="O137" s="16"/>
      <c r="P137" s="1" t="e">
        <f>VLOOKUP(Tabela13161718[[#This Row],[DT]],Aprovados!A:A,1,0)</f>
        <v>#N/A</v>
      </c>
      <c r="Q137" s="16"/>
      <c r="R137" s="16"/>
      <c r="S137" s="16" t="s">
        <v>315</v>
      </c>
      <c r="T137" s="9"/>
      <c r="U137" s="1" t="s">
        <v>315</v>
      </c>
      <c r="V137" s="11"/>
      <c r="W137" s="232"/>
      <c r="X137" s="304"/>
    </row>
    <row r="138" spans="1:24" ht="15.75">
      <c r="A138" s="67"/>
      <c r="B138" s="7"/>
      <c r="C138" s="258"/>
      <c r="D138" s="6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>
        <f>Tabela13161718[[#This Row],[Valor_recibo]]</f>
        <v>0</v>
      </c>
      <c r="O138" s="16"/>
      <c r="P138" s="1" t="e">
        <f>VLOOKUP(Tabela13161718[[#This Row],[DT]],Aprovados!A:A,1,0)</f>
        <v>#N/A</v>
      </c>
      <c r="Q138" s="16"/>
      <c r="R138" s="16"/>
      <c r="S138" s="16" t="s">
        <v>315</v>
      </c>
      <c r="T138" s="9"/>
      <c r="U138" s="1" t="s">
        <v>315</v>
      </c>
      <c r="V138" s="11"/>
      <c r="W138" s="232"/>
      <c r="X138" s="304"/>
    </row>
    <row r="139" spans="1:24" ht="15.75">
      <c r="A139" s="67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>
        <f>Tabela13161718[[#This Row],[Valor_recibo]]</f>
        <v>0</v>
      </c>
      <c r="O139" s="16"/>
      <c r="P139" s="1" t="e">
        <f>VLOOKUP(Tabela13161718[[#This Row],[DT]],Aprovados!A:A,1,0)</f>
        <v>#N/A</v>
      </c>
      <c r="Q139" s="16"/>
      <c r="R139" s="16"/>
      <c r="S139" s="16" t="s">
        <v>315</v>
      </c>
      <c r="T139" s="9"/>
      <c r="U139" s="1" t="s">
        <v>315</v>
      </c>
      <c r="V139" s="11"/>
      <c r="W139" s="232"/>
      <c r="X139" s="304"/>
    </row>
    <row r="140" spans="1:24" ht="15.75">
      <c r="A140" s="67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>
        <f>Tabela13161718[[#This Row],[Valor_recibo]]</f>
        <v>0</v>
      </c>
      <c r="O140" s="16"/>
      <c r="P140" s="1" t="e">
        <f>VLOOKUP(Tabela13161718[[#This Row],[DT]],Aprovados!A:A,1,0)</f>
        <v>#N/A</v>
      </c>
      <c r="Q140" s="16"/>
      <c r="R140" s="16"/>
      <c r="S140" s="16" t="s">
        <v>315</v>
      </c>
      <c r="T140" s="9"/>
      <c r="U140" s="1" t="s">
        <v>315</v>
      </c>
      <c r="V140" s="11"/>
      <c r="W140" s="232"/>
      <c r="X140" s="304"/>
    </row>
    <row r="141" spans="1:24" ht="15.75">
      <c r="A141" s="67"/>
      <c r="B141" s="7"/>
      <c r="C141" s="6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>
        <f>Tabela13161718[[#This Row],[Valor_recibo]]</f>
        <v>0</v>
      </c>
      <c r="O141" s="16"/>
      <c r="P141" s="1" t="e">
        <f>VLOOKUP(Tabela13161718[[#This Row],[DT]],Aprovados!A:A,1,0)</f>
        <v>#N/A</v>
      </c>
      <c r="Q141" s="16"/>
      <c r="R141" s="16"/>
      <c r="S141" s="16" t="s">
        <v>315</v>
      </c>
      <c r="T141" s="9"/>
      <c r="U141" s="1" t="s">
        <v>315</v>
      </c>
      <c r="V141" s="11"/>
      <c r="W141" s="232"/>
      <c r="X141" s="304"/>
    </row>
    <row r="142" spans="1:24" ht="15.75">
      <c r="A142" s="67"/>
      <c r="B142" s="7"/>
      <c r="C142" s="6"/>
      <c r="D142" s="6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Tabela13161718[[#This Row],[Valor_recibo]]</f>
        <v>0</v>
      </c>
      <c r="O142" s="16"/>
      <c r="P142" s="1" t="e">
        <f>VLOOKUP(Tabela13161718[[#This Row],[DT]],Aprovados!A:A,1,0)</f>
        <v>#N/A</v>
      </c>
      <c r="Q142" s="16"/>
      <c r="R142" s="16"/>
      <c r="S142" s="16" t="s">
        <v>315</v>
      </c>
      <c r="T142" s="9"/>
      <c r="U142" s="1" t="s">
        <v>315</v>
      </c>
      <c r="V142" s="11"/>
      <c r="W142" s="232"/>
      <c r="X142" s="304"/>
    </row>
    <row r="143" spans="1:24" ht="15.75">
      <c r="A143" s="67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>
        <f>Tabela13161718[[#This Row],[Valor_recibo]]</f>
        <v>0</v>
      </c>
      <c r="O143" s="16"/>
      <c r="P143" s="1" t="e">
        <f>VLOOKUP(Tabela13161718[[#This Row],[DT]],Aprovados!A:A,1,0)</f>
        <v>#N/A</v>
      </c>
      <c r="Q143" s="16"/>
      <c r="R143" s="16"/>
      <c r="S143" s="16" t="s">
        <v>315</v>
      </c>
      <c r="T143" s="9"/>
      <c r="U143" s="1" t="s">
        <v>315</v>
      </c>
      <c r="V143" s="11"/>
      <c r="W143" s="232"/>
      <c r="X143" s="304"/>
    </row>
    <row r="144" spans="1:24" ht="15.75">
      <c r="A144" s="67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>
        <f>Tabela13161718[[#This Row],[Valor_recibo]]</f>
        <v>0</v>
      </c>
      <c r="O144" s="16"/>
      <c r="P144" s="1" t="e">
        <f>VLOOKUP(Tabela13161718[[#This Row],[DT]],Aprovados!A:A,1,0)</f>
        <v>#N/A</v>
      </c>
      <c r="Q144" s="16"/>
      <c r="R144" s="16"/>
      <c r="S144" s="16" t="s">
        <v>315</v>
      </c>
      <c r="T144" s="9"/>
      <c r="U144" s="1" t="s">
        <v>315</v>
      </c>
      <c r="V144" s="11"/>
      <c r="W144" s="232"/>
      <c r="X144" s="304"/>
    </row>
    <row r="145" spans="1:24" ht="15.75">
      <c r="A145" s="67"/>
      <c r="B145" s="7"/>
      <c r="C145" s="258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Tabela13161718[[#This Row],[Valor_recibo]]</f>
        <v>0</v>
      </c>
      <c r="O145" s="16"/>
      <c r="P145" s="1" t="e">
        <f>VLOOKUP(Tabela13161718[[#This Row],[DT]],Aprovados!A:A,1,0)</f>
        <v>#N/A</v>
      </c>
      <c r="Q145" s="16"/>
      <c r="R145" s="16"/>
      <c r="S145" s="16" t="s">
        <v>315</v>
      </c>
      <c r="T145" s="9"/>
      <c r="U145" s="1" t="s">
        <v>315</v>
      </c>
      <c r="V145" s="11"/>
      <c r="W145" s="232"/>
      <c r="X145" s="304"/>
    </row>
    <row r="146" spans="1:24" ht="15.75">
      <c r="A146" s="67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>
        <f>Tabela13161718[[#This Row],[Valor_recibo]]</f>
        <v>0</v>
      </c>
      <c r="O146" s="16"/>
      <c r="P146" s="1" t="e">
        <f>VLOOKUP(Tabela13161718[[#This Row],[DT]],Aprovados!A:A,1,0)</f>
        <v>#N/A</v>
      </c>
      <c r="Q146" s="16"/>
      <c r="R146" s="16"/>
      <c r="S146" s="16" t="s">
        <v>315</v>
      </c>
      <c r="T146" s="9"/>
      <c r="U146" s="1" t="s">
        <v>315</v>
      </c>
      <c r="V146" s="11"/>
      <c r="W146" s="232"/>
      <c r="X146" s="304"/>
    </row>
    <row r="147" spans="1:24" ht="15.75">
      <c r="A147" s="67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>
        <f>Tabela13161718[[#This Row],[Valor_recibo]]</f>
        <v>0</v>
      </c>
      <c r="O147" s="16"/>
      <c r="P147" s="1" t="e">
        <f>VLOOKUP(Tabela13161718[[#This Row],[DT]],Aprovados!A:A,1,0)</f>
        <v>#N/A</v>
      </c>
      <c r="Q147" s="16"/>
      <c r="R147" s="16"/>
      <c r="S147" s="16" t="s">
        <v>315</v>
      </c>
      <c r="T147" s="9"/>
      <c r="U147" s="1" t="s">
        <v>315</v>
      </c>
      <c r="V147" s="11"/>
      <c r="W147" s="232"/>
      <c r="X147" s="304"/>
    </row>
    <row r="148" spans="1:24" ht="15.75">
      <c r="A148" s="67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>
        <f>Tabela13161718[[#This Row],[Valor_recibo]]</f>
        <v>0</v>
      </c>
      <c r="O148" s="16"/>
      <c r="P148" s="1" t="e">
        <f>VLOOKUP(Tabela13161718[[#This Row],[DT]],Aprovados!A:A,1,0)</f>
        <v>#N/A</v>
      </c>
      <c r="Q148" s="16"/>
      <c r="R148" s="16"/>
      <c r="S148" s="16" t="s">
        <v>315</v>
      </c>
      <c r="T148" s="9"/>
      <c r="U148" s="1" t="s">
        <v>315</v>
      </c>
      <c r="V148" s="11"/>
      <c r="W148" s="232"/>
      <c r="X148" s="304"/>
    </row>
    <row r="149" spans="1:24" ht="15.75">
      <c r="A149" s="67"/>
      <c r="B149" s="7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Tabela13161718[[#This Row],[Valor_recibo]]</f>
        <v>0</v>
      </c>
      <c r="O149" s="16"/>
      <c r="P149" s="1" t="e">
        <f>VLOOKUP(Tabela13161718[[#This Row],[DT]],Aprovados!A:A,1,0)</f>
        <v>#N/A</v>
      </c>
      <c r="Q149" s="16"/>
      <c r="R149" s="16"/>
      <c r="S149" s="16" t="s">
        <v>315</v>
      </c>
      <c r="T149" s="9"/>
      <c r="U149" s="1" t="s">
        <v>315</v>
      </c>
      <c r="V149" s="11"/>
      <c r="W149" s="232"/>
      <c r="X149" s="304"/>
    </row>
    <row r="150" spans="1:24" ht="15.75">
      <c r="A150" s="67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Tabela13161718[[#This Row],[Valor_recibo]]</f>
        <v>0</v>
      </c>
      <c r="O150" s="16"/>
      <c r="P150" s="1" t="e">
        <f>VLOOKUP(Tabela13161718[[#This Row],[DT]],Aprovados!A:A,1,0)</f>
        <v>#N/A</v>
      </c>
      <c r="Q150" s="16"/>
      <c r="R150" s="16"/>
      <c r="S150" s="16" t="s">
        <v>315</v>
      </c>
      <c r="T150" s="9"/>
      <c r="U150" s="1" t="s">
        <v>315</v>
      </c>
      <c r="V150" s="11"/>
      <c r="W150" s="232"/>
      <c r="X150" s="304"/>
    </row>
    <row r="151" spans="1:24" ht="15.75">
      <c r="A151" s="67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Tabela13161718[[#This Row],[Valor_recibo]]</f>
        <v>0</v>
      </c>
      <c r="O151" s="16"/>
      <c r="P151" s="1" t="e">
        <f>VLOOKUP(Tabela13161718[[#This Row],[DT]],Aprovados!A:A,1,0)</f>
        <v>#N/A</v>
      </c>
      <c r="Q151" s="16"/>
      <c r="R151" s="16"/>
      <c r="S151" s="16" t="s">
        <v>315</v>
      </c>
      <c r="T151" s="9"/>
      <c r="U151" s="1" t="s">
        <v>315</v>
      </c>
      <c r="V151" s="11"/>
      <c r="W151" s="232"/>
      <c r="X151" s="304"/>
    </row>
    <row r="152" spans="1:24" ht="15.75">
      <c r="A152" s="67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Tabela13161718[[#This Row],[Valor_recibo]]</f>
        <v>0</v>
      </c>
      <c r="O152" s="16"/>
      <c r="P152" s="1" t="e">
        <f>VLOOKUP(Tabela13161718[[#This Row],[DT]],Aprovados!A:A,1,0)</f>
        <v>#N/A</v>
      </c>
      <c r="Q152" s="16"/>
      <c r="R152" s="16"/>
      <c r="S152" s="16" t="s">
        <v>315</v>
      </c>
      <c r="T152" s="9"/>
      <c r="U152" s="1" t="s">
        <v>315</v>
      </c>
      <c r="V152" s="11"/>
      <c r="W152" s="232"/>
      <c r="X152" s="304"/>
    </row>
    <row r="153" spans="1:24" ht="15.75">
      <c r="A153" s="67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>
        <f>Tabela13161718[[#This Row],[Valor_recibo]]</f>
        <v>0</v>
      </c>
      <c r="O153" s="16"/>
      <c r="P153" s="1" t="e">
        <f>VLOOKUP(Tabela13161718[[#This Row],[DT]],Aprovados!A:A,1,0)</f>
        <v>#N/A</v>
      </c>
      <c r="Q153" s="16"/>
      <c r="R153" s="16"/>
      <c r="S153" s="16" t="s">
        <v>315</v>
      </c>
      <c r="T153" s="9"/>
      <c r="U153" s="1" t="s">
        <v>315</v>
      </c>
      <c r="V153" s="11"/>
      <c r="W153" s="232"/>
      <c r="X153" s="304"/>
    </row>
    <row r="154" spans="1:24" ht="15.75">
      <c r="A154" s="67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>
        <f>Tabela13161718[[#This Row],[Valor_recibo]]</f>
        <v>0</v>
      </c>
      <c r="O154" s="16"/>
      <c r="P154" s="1" t="e">
        <f>VLOOKUP(Tabela13161718[[#This Row],[DT]],Aprovados!A:A,1,0)</f>
        <v>#N/A</v>
      </c>
      <c r="Q154" s="16"/>
      <c r="R154" s="16"/>
      <c r="S154" s="16" t="s">
        <v>315</v>
      </c>
      <c r="T154" s="9"/>
      <c r="U154" s="1" t="s">
        <v>315</v>
      </c>
      <c r="V154" s="11"/>
      <c r="W154" s="232"/>
      <c r="X154" s="304"/>
    </row>
    <row r="155" spans="1:24" ht="15.75">
      <c r="A155" s="67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Tabela13161718[[#This Row],[Valor_recibo]]</f>
        <v>0</v>
      </c>
      <c r="O155" s="16"/>
      <c r="P155" s="1" t="e">
        <f>VLOOKUP(Tabela13161718[[#This Row],[DT]],Aprovados!A:A,1,0)</f>
        <v>#N/A</v>
      </c>
      <c r="Q155" s="16"/>
      <c r="R155" s="16"/>
      <c r="S155" s="16" t="s">
        <v>315</v>
      </c>
      <c r="T155" s="9"/>
      <c r="U155" s="1" t="s">
        <v>315</v>
      </c>
      <c r="V155" s="11"/>
      <c r="W155" s="232"/>
      <c r="X155" s="304"/>
    </row>
    <row r="156" spans="1:24" ht="15.75">
      <c r="A156" s="67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>
        <f>Tabela13161718[[#This Row],[Valor_recibo]]</f>
        <v>0</v>
      </c>
      <c r="O156" s="16"/>
      <c r="P156" s="1" t="e">
        <f>VLOOKUP(Tabela13161718[[#This Row],[DT]],Aprovados!A:A,1,0)</f>
        <v>#N/A</v>
      </c>
      <c r="Q156" s="16"/>
      <c r="R156" s="16"/>
      <c r="S156" s="16" t="s">
        <v>315</v>
      </c>
      <c r="T156" s="9"/>
      <c r="U156" s="1" t="s">
        <v>315</v>
      </c>
      <c r="V156" s="11"/>
      <c r="W156" s="232"/>
      <c r="X156" s="304"/>
    </row>
    <row r="157" spans="1:24" ht="15.75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Tabela13161718[[#This Row],[Valor_recibo]]</f>
        <v>0</v>
      </c>
      <c r="O157" s="16"/>
      <c r="P157" s="1" t="e">
        <f>VLOOKUP(Tabela13161718[[#This Row],[DT]],Aprovados!A:A,1,0)</f>
        <v>#N/A</v>
      </c>
      <c r="Q157" s="16"/>
      <c r="R157" s="16"/>
      <c r="S157" s="16" t="s">
        <v>315</v>
      </c>
      <c r="T157" s="9"/>
      <c r="U157" s="1" t="s">
        <v>315</v>
      </c>
      <c r="V157" s="11"/>
      <c r="W157" s="232"/>
      <c r="X157" s="304"/>
    </row>
    <row r="158" spans="1:24" ht="15.75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Tabela13161718[[#This Row],[Valor_recibo]]</f>
        <v>0</v>
      </c>
      <c r="O158" s="16"/>
      <c r="P158" s="1" t="e">
        <f>VLOOKUP(Tabela13161718[[#This Row],[DT]],Aprovados!A:A,1,0)</f>
        <v>#N/A</v>
      </c>
      <c r="Q158" s="16"/>
      <c r="R158" s="16"/>
      <c r="S158" s="16" t="s">
        <v>315</v>
      </c>
      <c r="T158" s="9"/>
      <c r="U158" s="1" t="s">
        <v>315</v>
      </c>
      <c r="V158" s="11"/>
      <c r="W158" s="232"/>
      <c r="X158" s="304"/>
    </row>
    <row r="159" spans="1:24" ht="15.75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>
        <f>Tabela13161718[[#This Row],[Valor_recibo]]</f>
        <v>0</v>
      </c>
      <c r="O159" s="16"/>
      <c r="P159" s="1" t="e">
        <f>VLOOKUP(Tabela13161718[[#This Row],[DT]],Aprovados!A:A,1,0)</f>
        <v>#N/A</v>
      </c>
      <c r="Q159" s="16"/>
      <c r="R159" s="16"/>
      <c r="S159" s="16" t="s">
        <v>315</v>
      </c>
      <c r="T159" s="9"/>
      <c r="U159" s="1" t="s">
        <v>315</v>
      </c>
      <c r="V159" s="11"/>
      <c r="W159" s="232"/>
      <c r="X159" s="304"/>
    </row>
    <row r="160" spans="1:24" ht="15.75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>
        <f>Tabela13161718[[#This Row],[Valor_recibo]]</f>
        <v>0</v>
      </c>
      <c r="O160" s="16"/>
      <c r="P160" s="1" t="e">
        <f>VLOOKUP(Tabela13161718[[#This Row],[DT]],Aprovados!A:A,1,0)</f>
        <v>#N/A</v>
      </c>
      <c r="Q160" s="16"/>
      <c r="R160" s="16"/>
      <c r="S160" s="16" t="s">
        <v>315</v>
      </c>
      <c r="T160" s="9"/>
      <c r="U160" s="1" t="s">
        <v>315</v>
      </c>
      <c r="V160" s="11"/>
      <c r="W160" s="232"/>
      <c r="X160" s="304"/>
    </row>
    <row r="161" spans="1:24" ht="15.75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Tabela13161718[[#This Row],[Valor_recibo]]</f>
        <v>0</v>
      </c>
      <c r="O161" s="16"/>
      <c r="P161" s="1" t="e">
        <f>VLOOKUP(Tabela13161718[[#This Row],[DT]],Aprovados!A:A,1,0)</f>
        <v>#N/A</v>
      </c>
      <c r="Q161" s="16"/>
      <c r="R161" s="16"/>
      <c r="S161" s="16" t="s">
        <v>315</v>
      </c>
      <c r="T161" s="9"/>
      <c r="U161" s="1" t="s">
        <v>315</v>
      </c>
      <c r="V161" s="11"/>
      <c r="W161" s="232"/>
      <c r="X161" s="304"/>
    </row>
    <row r="162" spans="1:24" ht="15.75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Tabela13161718[[#This Row],[Valor_recibo]]</f>
        <v>0</v>
      </c>
      <c r="O162" s="16"/>
      <c r="P162" s="1" t="e">
        <f>VLOOKUP(Tabela13161718[[#This Row],[DT]],Aprovados!A:A,1,0)</f>
        <v>#N/A</v>
      </c>
      <c r="Q162" s="16"/>
      <c r="R162" s="16"/>
      <c r="S162" s="16" t="s">
        <v>315</v>
      </c>
      <c r="T162" s="9"/>
      <c r="U162" s="1" t="s">
        <v>315</v>
      </c>
      <c r="V162" s="11"/>
      <c r="W162" s="232"/>
      <c r="X162" s="304"/>
    </row>
    <row r="163" spans="1:24" ht="15.75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>
        <f>Tabela13161718[[#This Row],[Valor_recibo]]</f>
        <v>0</v>
      </c>
      <c r="O163" s="16"/>
      <c r="P163" s="1" t="e">
        <f>VLOOKUP(Tabela13161718[[#This Row],[DT]],Aprovados!A:A,1,0)</f>
        <v>#N/A</v>
      </c>
      <c r="Q163" s="16"/>
      <c r="R163" s="16"/>
      <c r="S163" s="16" t="s">
        <v>315</v>
      </c>
      <c r="T163" s="9"/>
      <c r="U163" s="1" t="s">
        <v>315</v>
      </c>
      <c r="V163" s="11"/>
      <c r="W163" s="232"/>
      <c r="X163" s="304"/>
    </row>
    <row r="164" spans="1:24" ht="15.75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Tabela13161718[[#This Row],[Valor_recibo]]</f>
        <v>0</v>
      </c>
      <c r="O164" s="16"/>
      <c r="P164" s="1" t="e">
        <f>VLOOKUP(Tabela13161718[[#This Row],[DT]],Aprovados!A:A,1,0)</f>
        <v>#N/A</v>
      </c>
      <c r="Q164" s="16"/>
      <c r="R164" s="16"/>
      <c r="S164" s="16" t="s">
        <v>315</v>
      </c>
      <c r="T164" s="9"/>
      <c r="U164" s="1" t="s">
        <v>315</v>
      </c>
      <c r="V164" s="11"/>
      <c r="W164" s="232"/>
      <c r="X164" s="304"/>
    </row>
    <row r="165" spans="1:24" ht="15.75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Tabela13161718[[#This Row],[Valor_recibo]]</f>
        <v>0</v>
      </c>
      <c r="O165" s="16"/>
      <c r="P165" s="1" t="e">
        <f>VLOOKUP(Tabela13161718[[#This Row],[DT]],Aprovados!A:A,1,0)</f>
        <v>#N/A</v>
      </c>
      <c r="Q165" s="16"/>
      <c r="R165" s="16"/>
      <c r="S165" s="16" t="s">
        <v>315</v>
      </c>
      <c r="T165" s="9"/>
      <c r="U165" s="1" t="s">
        <v>315</v>
      </c>
      <c r="V165" s="11"/>
      <c r="W165" s="232"/>
      <c r="X165" s="304"/>
    </row>
    <row r="166" spans="1:24" ht="15.75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Tabela13161718[[#This Row],[Valor_recibo]]</f>
        <v>0</v>
      </c>
      <c r="O166" s="16"/>
      <c r="P166" s="1" t="e">
        <f>VLOOKUP(Tabela13161718[[#This Row],[DT]],Aprovados!A:A,1,0)</f>
        <v>#N/A</v>
      </c>
      <c r="Q166" s="16"/>
      <c r="R166" s="16"/>
      <c r="S166" s="16" t="s">
        <v>315</v>
      </c>
      <c r="T166" s="9"/>
      <c r="U166" s="1" t="s">
        <v>315</v>
      </c>
      <c r="V166" s="11"/>
      <c r="W166" s="232"/>
      <c r="X166" s="304"/>
    </row>
    <row r="167" spans="1:24" ht="15.75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Tabela13161718[[#This Row],[Valor_recibo]]</f>
        <v>0</v>
      </c>
      <c r="O167" s="16"/>
      <c r="P167" s="1" t="e">
        <f>VLOOKUP(Tabela13161718[[#This Row],[DT]],Aprovados!A:A,1,0)</f>
        <v>#N/A</v>
      </c>
      <c r="Q167" s="16"/>
      <c r="R167" s="16"/>
      <c r="S167" s="16" t="s">
        <v>315</v>
      </c>
      <c r="T167" s="9"/>
      <c r="U167" s="1" t="s">
        <v>315</v>
      </c>
      <c r="V167" s="11"/>
      <c r="W167" s="232"/>
      <c r="X167" s="304"/>
    </row>
    <row r="168" spans="1:24" ht="15.75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Tabela13161718[[#This Row],[Valor_recibo]]</f>
        <v>0</v>
      </c>
      <c r="O168" s="16"/>
      <c r="P168" s="1" t="e">
        <f>VLOOKUP(Tabela13161718[[#This Row],[DT]],Aprovados!A:A,1,0)</f>
        <v>#N/A</v>
      </c>
      <c r="Q168" s="16"/>
      <c r="R168" s="16"/>
      <c r="S168" s="16" t="s">
        <v>315</v>
      </c>
      <c r="T168" s="9"/>
      <c r="U168" s="1" t="s">
        <v>315</v>
      </c>
      <c r="V168" s="11"/>
      <c r="W168" s="232"/>
      <c r="X168" s="304"/>
    </row>
    <row r="169" spans="1:24" ht="15.75">
      <c r="A169" s="6"/>
      <c r="B169" s="7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Tabela13161718[[#This Row],[Valor_recibo]]</f>
        <v>0</v>
      </c>
      <c r="O169" s="16"/>
      <c r="P169" s="1" t="e">
        <f>VLOOKUP(Tabela13161718[[#This Row],[DT]],Aprovados!A:A,1,0)</f>
        <v>#N/A</v>
      </c>
      <c r="Q169" s="16"/>
      <c r="R169" s="16"/>
      <c r="S169" s="16" t="s">
        <v>315</v>
      </c>
      <c r="T169" s="9"/>
      <c r="U169" s="1" t="s">
        <v>315</v>
      </c>
      <c r="V169" s="11"/>
      <c r="W169" s="232"/>
      <c r="X169" s="304"/>
    </row>
    <row r="170" spans="1:24" ht="15.75">
      <c r="A170" s="6"/>
      <c r="B170" s="7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>
        <f>Tabela13161718[[#This Row],[Valor_recibo]]</f>
        <v>0</v>
      </c>
      <c r="O170" s="16"/>
      <c r="P170" s="1" t="e">
        <f>VLOOKUP(Tabela13161718[[#This Row],[DT]],Aprovados!A:A,1,0)</f>
        <v>#N/A</v>
      </c>
      <c r="Q170" s="16"/>
      <c r="R170" s="16"/>
      <c r="S170" s="16" t="s">
        <v>315</v>
      </c>
      <c r="T170" s="9"/>
      <c r="U170" s="1" t="s">
        <v>315</v>
      </c>
      <c r="V170" s="11"/>
      <c r="W170" s="232"/>
      <c r="X170" s="304"/>
    </row>
    <row r="171" spans="1:24" ht="15.75">
      <c r="A171" s="6"/>
      <c r="B171" s="7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Tabela13161718[[#This Row],[Valor_recibo]]</f>
        <v>0</v>
      </c>
      <c r="O171" s="16"/>
      <c r="P171" s="1" t="e">
        <f>VLOOKUP(Tabela13161718[[#This Row],[DT]],Aprovados!A:A,1,0)</f>
        <v>#N/A</v>
      </c>
      <c r="Q171" s="16"/>
      <c r="R171" s="16"/>
      <c r="S171" s="16" t="s">
        <v>315</v>
      </c>
      <c r="T171" s="9"/>
      <c r="U171" s="1" t="s">
        <v>315</v>
      </c>
      <c r="V171" s="11"/>
      <c r="W171" s="232"/>
      <c r="X171" s="304"/>
    </row>
    <row r="172" spans="1:24" ht="15.75">
      <c r="A172" s="6"/>
      <c r="B172" s="7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Tabela13161718[[#This Row],[Valor_recibo]]</f>
        <v>0</v>
      </c>
      <c r="O172" s="16"/>
      <c r="P172" s="1" t="e">
        <f>VLOOKUP(Tabela13161718[[#This Row],[DT]],Aprovados!A:A,1,0)</f>
        <v>#N/A</v>
      </c>
      <c r="Q172" s="16"/>
      <c r="R172" s="16"/>
      <c r="S172" s="16" t="s">
        <v>315</v>
      </c>
      <c r="T172" s="9"/>
      <c r="U172" s="1" t="s">
        <v>315</v>
      </c>
      <c r="V172" s="11"/>
      <c r="W172" s="232"/>
      <c r="X172" s="304"/>
    </row>
    <row r="173" spans="1:24" ht="15.75">
      <c r="A173" s="6"/>
      <c r="B173" s="7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Tabela13161718[[#This Row],[Valor_recibo]]</f>
        <v>0</v>
      </c>
      <c r="O173" s="16"/>
      <c r="P173" s="1" t="e">
        <f>VLOOKUP(Tabela13161718[[#This Row],[DT]],Aprovados!A:A,1,0)</f>
        <v>#N/A</v>
      </c>
      <c r="Q173" s="16"/>
      <c r="R173" s="16"/>
      <c r="S173" s="16" t="s">
        <v>315</v>
      </c>
      <c r="T173" s="9"/>
      <c r="U173" s="1" t="s">
        <v>315</v>
      </c>
      <c r="V173" s="11"/>
      <c r="W173" s="232"/>
      <c r="X173" s="304"/>
    </row>
    <row r="174" spans="1:24" ht="15.75">
      <c r="A174" s="6"/>
      <c r="B174" s="7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Tabela13161718[[#This Row],[Valor_recibo]]</f>
        <v>0</v>
      </c>
      <c r="O174" s="16"/>
      <c r="P174" s="1" t="e">
        <f>VLOOKUP(Tabela13161718[[#This Row],[DT]],Aprovados!A:A,1,0)</f>
        <v>#N/A</v>
      </c>
      <c r="Q174" s="16"/>
      <c r="R174" s="16"/>
      <c r="S174" s="16" t="s">
        <v>315</v>
      </c>
      <c r="T174" s="9"/>
      <c r="U174" s="1" t="s">
        <v>315</v>
      </c>
      <c r="V174" s="11"/>
      <c r="W174" s="232"/>
      <c r="X174" s="304"/>
    </row>
    <row r="175" spans="1:24" ht="15.75">
      <c r="A175" s="6"/>
      <c r="B175" s="7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Tabela13161718[[#This Row],[Valor_recibo]]</f>
        <v>0</v>
      </c>
      <c r="O175" s="16"/>
      <c r="P175" s="1" t="e">
        <f>VLOOKUP(Tabela13161718[[#This Row],[DT]],Aprovados!A:A,1,0)</f>
        <v>#N/A</v>
      </c>
      <c r="Q175" s="16"/>
      <c r="R175" s="16"/>
      <c r="S175" s="16" t="s">
        <v>315</v>
      </c>
      <c r="T175" s="9"/>
      <c r="U175" s="1" t="s">
        <v>315</v>
      </c>
      <c r="V175" s="11"/>
      <c r="W175" s="232"/>
      <c r="X175" s="304"/>
    </row>
    <row r="176" spans="1:24" ht="15.75">
      <c r="A176" s="6"/>
      <c r="B176" s="7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Tabela13161718[[#This Row],[Valor_recibo]]</f>
        <v>0</v>
      </c>
      <c r="O176" s="16"/>
      <c r="P176" s="1" t="e">
        <f>VLOOKUP(Tabela13161718[[#This Row],[DT]],Aprovados!A:A,1,0)</f>
        <v>#N/A</v>
      </c>
      <c r="Q176" s="16"/>
      <c r="R176" s="16"/>
      <c r="S176" s="16" t="s">
        <v>315</v>
      </c>
      <c r="T176" s="9"/>
      <c r="U176" s="1" t="s">
        <v>315</v>
      </c>
      <c r="V176" s="11"/>
      <c r="W176" s="232"/>
      <c r="X176" s="304"/>
    </row>
    <row r="177" spans="1:24" ht="15.75">
      <c r="A177" s="6"/>
      <c r="B177" s="7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Tabela13161718[[#This Row],[Valor_recibo]]</f>
        <v>0</v>
      </c>
      <c r="O177" s="16"/>
      <c r="P177" s="1" t="e">
        <f>VLOOKUP(Tabela13161718[[#This Row],[DT]],Aprovados!A:A,1,0)</f>
        <v>#N/A</v>
      </c>
      <c r="Q177" s="16"/>
      <c r="R177" s="16"/>
      <c r="S177" s="16" t="s">
        <v>315</v>
      </c>
      <c r="T177" s="9"/>
      <c r="U177" s="1" t="s">
        <v>315</v>
      </c>
      <c r="V177" s="11"/>
      <c r="W177" s="232"/>
      <c r="X177" s="304"/>
    </row>
    <row r="178" spans="1:24" ht="15.75">
      <c r="A178" s="6"/>
      <c r="B178" s="7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>
        <f>Tabela13161718[[#This Row],[Valor_recibo]]</f>
        <v>0</v>
      </c>
      <c r="O178" s="16"/>
      <c r="P178" s="1" t="e">
        <f>VLOOKUP(Tabela13161718[[#This Row],[DT]],Aprovados!A:A,1,0)</f>
        <v>#N/A</v>
      </c>
      <c r="Q178" s="16"/>
      <c r="R178" s="16"/>
      <c r="S178" s="16" t="s">
        <v>315</v>
      </c>
      <c r="T178" s="9"/>
      <c r="U178" s="1" t="s">
        <v>315</v>
      </c>
      <c r="V178" s="11"/>
      <c r="W178" s="232"/>
      <c r="X178" s="304"/>
    </row>
    <row r="179" spans="1:24" ht="15.75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Tabela13161718[[#This Row],[Valor_recibo]]</f>
        <v>0</v>
      </c>
      <c r="O179" s="16"/>
      <c r="P179" s="1" t="e">
        <f>VLOOKUP(Tabela13161718[[#This Row],[DT]],Aprovados!A:A,1,0)</f>
        <v>#N/A</v>
      </c>
      <c r="Q179" s="16"/>
      <c r="R179" s="16"/>
      <c r="S179" s="16" t="s">
        <v>315</v>
      </c>
      <c r="T179" s="9"/>
      <c r="U179" s="1" t="s">
        <v>315</v>
      </c>
      <c r="V179" s="11"/>
      <c r="W179" s="232"/>
      <c r="X179" s="304"/>
    </row>
    <row r="180" spans="1:24" ht="15.75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531</v>
      </c>
      <c r="L180" s="1" t="s">
        <v>315</v>
      </c>
      <c r="M180" s="9"/>
      <c r="N180" s="14">
        <f>Tabela13161718[[#This Row],[Valor_recibo]]</f>
        <v>0</v>
      </c>
      <c r="O180" s="16"/>
      <c r="P180" s="1" t="e">
        <f>VLOOKUP(Tabela13161718[[#This Row],[DT]],Aprovados!A:A,1,0)</f>
        <v>#N/A</v>
      </c>
      <c r="Q180" s="16"/>
      <c r="R180" s="16"/>
      <c r="S180" s="16" t="s">
        <v>315</v>
      </c>
      <c r="T180" s="9"/>
      <c r="U180" s="1" t="s">
        <v>315</v>
      </c>
      <c r="V180" s="11"/>
      <c r="W180" s="232"/>
      <c r="X180" s="304"/>
    </row>
    <row r="181" spans="1:24" ht="15.75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Tabela13161718[[#This Row],[Valor_recibo]]</f>
        <v>0</v>
      </c>
      <c r="O181" s="16"/>
      <c r="P181" s="1" t="e">
        <f>VLOOKUP(Tabela13161718[[#This Row],[DT]],Aprovados!A:A,1,0)</f>
        <v>#N/A</v>
      </c>
      <c r="Q181" s="16"/>
      <c r="R181" s="16"/>
      <c r="S181" s="16" t="s">
        <v>315</v>
      </c>
      <c r="T181" s="9"/>
      <c r="U181" s="1" t="s">
        <v>315</v>
      </c>
      <c r="V181" s="11"/>
      <c r="W181" s="232"/>
      <c r="X181" s="304"/>
    </row>
    <row r="182" spans="1:24" ht="15.75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Tabela13161718[[#This Row],[Valor_recibo]]</f>
        <v>0</v>
      </c>
      <c r="O182" s="16"/>
      <c r="P182" s="1" t="e">
        <f>VLOOKUP(Tabela13161718[[#This Row],[DT]],Aprovados!A:A,1,0)</f>
        <v>#N/A</v>
      </c>
      <c r="Q182" s="16"/>
      <c r="R182" s="16"/>
      <c r="S182" s="16" t="s">
        <v>315</v>
      </c>
      <c r="T182" s="9"/>
      <c r="U182" s="1" t="s">
        <v>315</v>
      </c>
      <c r="V182" s="11"/>
      <c r="W182" s="232"/>
      <c r="X182" s="304"/>
    </row>
    <row r="183" spans="1:24" ht="15.75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Tabela13161718[[#This Row],[Valor_recibo]]</f>
        <v>0</v>
      </c>
      <c r="O183" s="16"/>
      <c r="P183" s="1" t="e">
        <f>VLOOKUP(Tabela13161718[[#This Row],[DT]],Aprovados!A:A,1,0)</f>
        <v>#N/A</v>
      </c>
      <c r="Q183" s="16"/>
      <c r="R183" s="16"/>
      <c r="S183" s="16" t="s">
        <v>315</v>
      </c>
      <c r="T183" s="9"/>
      <c r="U183" s="1" t="s">
        <v>315</v>
      </c>
      <c r="V183" s="11"/>
      <c r="W183" s="232"/>
      <c r="X183" s="304"/>
    </row>
    <row r="184" spans="1:24" ht="15.75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Tabela13161718[[#This Row],[Valor_recibo]]</f>
        <v>0</v>
      </c>
      <c r="O184" s="16"/>
      <c r="P184" s="1" t="e">
        <f>VLOOKUP(Tabela13161718[[#This Row],[DT]],Aprovados!A:A,1,0)</f>
        <v>#N/A</v>
      </c>
      <c r="Q184" s="16"/>
      <c r="R184" s="16"/>
      <c r="S184" s="16" t="s">
        <v>315</v>
      </c>
      <c r="T184" s="9"/>
      <c r="U184" s="1" t="s">
        <v>315</v>
      </c>
      <c r="V184" s="11"/>
      <c r="W184" s="232"/>
      <c r="X184" s="304"/>
    </row>
    <row r="185" spans="1:24" ht="15.75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Tabela13161718[[#This Row],[Valor_recibo]]</f>
        <v>0</v>
      </c>
      <c r="O185" s="16"/>
      <c r="P185" s="1" t="e">
        <f>VLOOKUP(Tabela13161718[[#This Row],[DT]],Aprovados!A:A,1,0)</f>
        <v>#N/A</v>
      </c>
      <c r="Q185" s="16"/>
      <c r="R185" s="16"/>
      <c r="S185" s="16" t="s">
        <v>315</v>
      </c>
      <c r="T185" s="9"/>
      <c r="U185" s="1" t="s">
        <v>315</v>
      </c>
      <c r="V185" s="11"/>
      <c r="W185" s="232"/>
      <c r="X185" s="304"/>
    </row>
    <row r="186" spans="1:24" ht="15.75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Tabela13161718[[#This Row],[Valor_recibo]]</f>
        <v>0</v>
      </c>
      <c r="O186" s="16"/>
      <c r="P186" s="1" t="e">
        <f>VLOOKUP(Tabela13161718[[#This Row],[DT]],Aprovados!A:A,1,0)</f>
        <v>#N/A</v>
      </c>
      <c r="Q186" s="16"/>
      <c r="R186" s="16"/>
      <c r="S186" s="16" t="s">
        <v>315</v>
      </c>
      <c r="T186" s="9"/>
      <c r="U186" s="1" t="s">
        <v>315</v>
      </c>
      <c r="V186" s="11"/>
      <c r="W186" s="232"/>
      <c r="X186" s="304"/>
    </row>
    <row r="187" spans="1:24" ht="15.75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>
        <f>Tabela13161718[[#This Row],[Valor_recibo]]</f>
        <v>0</v>
      </c>
      <c r="O187" s="16"/>
      <c r="P187" s="1" t="e">
        <f>VLOOKUP(Tabela13161718[[#This Row],[DT]],Aprovados!A:A,1,0)</f>
        <v>#N/A</v>
      </c>
      <c r="Q187" s="16"/>
      <c r="R187" s="16"/>
      <c r="S187" s="16" t="s">
        <v>315</v>
      </c>
      <c r="T187" s="9"/>
      <c r="U187" s="1" t="s">
        <v>315</v>
      </c>
      <c r="V187" s="11"/>
      <c r="W187" s="232"/>
      <c r="X187" s="304"/>
    </row>
    <row r="188" spans="1:24" ht="15.75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>
        <f>Tabela13161718[[#This Row],[Valor_recibo]]</f>
        <v>0</v>
      </c>
      <c r="O188" s="16"/>
      <c r="P188" s="1" t="e">
        <f>VLOOKUP(Tabela13161718[[#This Row],[DT]],Aprovados!A:A,1,0)</f>
        <v>#N/A</v>
      </c>
      <c r="Q188" s="16"/>
      <c r="R188" s="16"/>
      <c r="S188" s="16" t="s">
        <v>315</v>
      </c>
      <c r="T188" s="9"/>
      <c r="U188" s="1" t="s">
        <v>315</v>
      </c>
      <c r="V188" s="11"/>
      <c r="W188" s="232"/>
      <c r="X188" s="304"/>
    </row>
    <row r="189" spans="1:24" ht="15.75">
      <c r="A189" s="6"/>
      <c r="B189" s="6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>
        <f>Tabela13161718[[#This Row],[Valor_recibo]]</f>
        <v>0</v>
      </c>
      <c r="O189" s="16"/>
      <c r="P189" s="1" t="e">
        <f>VLOOKUP(Tabela13161718[[#This Row],[DT]],Aprovados!A:A,1,0)</f>
        <v>#N/A</v>
      </c>
      <c r="Q189" s="16"/>
      <c r="R189" s="16"/>
      <c r="S189" s="16" t="s">
        <v>315</v>
      </c>
      <c r="T189" s="9"/>
      <c r="U189" s="1" t="s">
        <v>315</v>
      </c>
      <c r="V189" s="11"/>
      <c r="W189" s="232"/>
      <c r="X189" s="304"/>
    </row>
    <row r="190" spans="1:24" ht="15.75">
      <c r="A190" s="6"/>
      <c r="B190" s="6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>
        <f>Tabela13161718[[#This Row],[Valor_recibo]]</f>
        <v>0</v>
      </c>
      <c r="O190" s="16"/>
      <c r="P190" s="1" t="e">
        <f>VLOOKUP(Tabela13161718[[#This Row],[DT]],Aprovados!A:A,1,0)</f>
        <v>#N/A</v>
      </c>
      <c r="Q190" s="16"/>
      <c r="R190" s="16"/>
      <c r="S190" s="16" t="s">
        <v>315</v>
      </c>
      <c r="T190" s="9"/>
      <c r="U190" s="1" t="s">
        <v>315</v>
      </c>
      <c r="V190" s="11"/>
      <c r="W190" s="232"/>
      <c r="X190" s="304"/>
    </row>
    <row r="191" spans="1:24" ht="15.75">
      <c r="A191" s="6"/>
      <c r="B191" s="6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>
        <f>Tabela13161718[[#This Row],[Valor_recibo]]</f>
        <v>0</v>
      </c>
      <c r="O191" s="16"/>
      <c r="P191" s="1" t="e">
        <f>VLOOKUP(Tabela13161718[[#This Row],[DT]],Aprovados!A:A,1,0)</f>
        <v>#N/A</v>
      </c>
      <c r="Q191" s="16"/>
      <c r="R191" s="16"/>
      <c r="S191" s="16" t="s">
        <v>315</v>
      </c>
      <c r="T191" s="9"/>
      <c r="U191" s="1" t="s">
        <v>315</v>
      </c>
      <c r="V191" s="11"/>
      <c r="W191" s="232"/>
      <c r="X191" s="304"/>
    </row>
    <row r="192" spans="1:24" ht="15.75">
      <c r="A192" s="6"/>
      <c r="B192" s="6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>
        <f>Tabela13161718[[#This Row],[Valor_recibo]]</f>
        <v>0</v>
      </c>
      <c r="O192" s="16"/>
      <c r="P192" s="1" t="e">
        <f>VLOOKUP(Tabela13161718[[#This Row],[DT]],Aprovados!A:A,1,0)</f>
        <v>#N/A</v>
      </c>
      <c r="Q192" s="16"/>
      <c r="R192" s="16"/>
      <c r="S192" s="16" t="s">
        <v>315</v>
      </c>
      <c r="T192" s="9"/>
      <c r="U192" s="1" t="s">
        <v>315</v>
      </c>
      <c r="V192" s="11"/>
      <c r="W192" s="232"/>
      <c r="X192" s="304"/>
    </row>
    <row r="193" spans="1:24" ht="15.75">
      <c r="A193" s="6"/>
      <c r="B193" s="6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>
        <f>Tabela13161718[[#This Row],[Valor_recibo]]</f>
        <v>0</v>
      </c>
      <c r="O193" s="16"/>
      <c r="P193" s="1" t="e">
        <f>VLOOKUP(Tabela13161718[[#This Row],[DT]],Aprovados!A:A,1,0)</f>
        <v>#N/A</v>
      </c>
      <c r="Q193" s="16"/>
      <c r="R193" s="16"/>
      <c r="S193" s="16" t="s">
        <v>315</v>
      </c>
      <c r="T193" s="9"/>
      <c r="U193" s="1" t="s">
        <v>315</v>
      </c>
      <c r="V193" s="11"/>
      <c r="W193" s="232"/>
      <c r="X193" s="304"/>
    </row>
    <row r="194" spans="1:24" ht="15.75">
      <c r="A194" s="6"/>
      <c r="B194" s="6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>
        <f>Tabela13161718[[#This Row],[Valor_recibo]]</f>
        <v>0</v>
      </c>
      <c r="O194" s="16"/>
      <c r="P194" s="1" t="e">
        <f>VLOOKUP(Tabela13161718[[#This Row],[DT]],Aprovados!A:A,1,0)</f>
        <v>#N/A</v>
      </c>
      <c r="Q194" s="16"/>
      <c r="R194" s="16"/>
      <c r="S194" s="16" t="s">
        <v>315</v>
      </c>
      <c r="T194" s="9"/>
      <c r="U194" s="1" t="s">
        <v>315</v>
      </c>
      <c r="V194" s="11"/>
      <c r="W194" s="232"/>
      <c r="X194" s="304"/>
    </row>
    <row r="195" spans="1:24" ht="15.75">
      <c r="A195" s="6"/>
      <c r="B195" s="6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>
        <f>Tabela13161718[[#This Row],[Valor_recibo]]</f>
        <v>0</v>
      </c>
      <c r="O195" s="16"/>
      <c r="P195" s="1" t="e">
        <f>VLOOKUP(Tabela13161718[[#This Row],[DT]],Aprovados!A:A,1,0)</f>
        <v>#N/A</v>
      </c>
      <c r="Q195" s="16"/>
      <c r="R195" s="16"/>
      <c r="S195" s="16" t="s">
        <v>315</v>
      </c>
      <c r="T195" s="9"/>
      <c r="U195" s="1" t="s">
        <v>315</v>
      </c>
      <c r="V195" s="11"/>
      <c r="W195" s="232"/>
      <c r="X195" s="304"/>
    </row>
    <row r="196" spans="1:24" ht="15.75">
      <c r="A196" s="6"/>
      <c r="B196" s="6"/>
      <c r="C196" s="6"/>
      <c r="D196" s="6"/>
      <c r="E196" s="6"/>
      <c r="F196" s="1"/>
      <c r="G196" s="9"/>
      <c r="H196" s="9"/>
      <c r="I196" s="11"/>
      <c r="J196" s="1"/>
      <c r="K196" s="205" t="s">
        <v>315</v>
      </c>
      <c r="L196" s="1" t="s">
        <v>315</v>
      </c>
      <c r="M196" s="9"/>
      <c r="N196" s="14">
        <f>Tabela13161718[[#This Row],[Valor_recibo]]</f>
        <v>0</v>
      </c>
      <c r="O196" s="16"/>
      <c r="P196" s="1" t="e">
        <f>VLOOKUP(Tabela13161718[[#This Row],[DT]],Aprovados!A:A,1,0)</f>
        <v>#N/A</v>
      </c>
      <c r="Q196" s="16"/>
      <c r="R196" s="16"/>
      <c r="S196" s="16" t="s">
        <v>315</v>
      </c>
      <c r="T196" s="9"/>
      <c r="U196" s="1" t="s">
        <v>315</v>
      </c>
      <c r="V196" s="11"/>
      <c r="W196" s="232"/>
      <c r="X196" s="304"/>
    </row>
    <row r="197" spans="1:24" ht="15.75">
      <c r="A197" s="6"/>
      <c r="B197" s="6"/>
      <c r="C197" s="6"/>
      <c r="D197" s="6"/>
      <c r="E197" s="6"/>
      <c r="F197" s="1"/>
      <c r="G197" s="9"/>
      <c r="H197" s="9"/>
      <c r="I197" s="11"/>
      <c r="J197" s="1"/>
      <c r="K197" s="205" t="s">
        <v>315</v>
      </c>
      <c r="L197" s="1" t="s">
        <v>315</v>
      </c>
      <c r="M197" s="9"/>
      <c r="N197" s="14">
        <f>Tabela13161718[[#This Row],[Valor_recibo]]</f>
        <v>0</v>
      </c>
      <c r="O197" s="16"/>
      <c r="P197" s="1" t="e">
        <f>VLOOKUP(Tabela13161718[[#This Row],[DT]],Aprovados!A:A,1,0)</f>
        <v>#N/A</v>
      </c>
      <c r="Q197" s="16"/>
      <c r="R197" s="16"/>
      <c r="S197" s="16" t="s">
        <v>315</v>
      </c>
      <c r="T197" s="9"/>
      <c r="U197" s="1" t="s">
        <v>315</v>
      </c>
      <c r="V197" s="11"/>
      <c r="W197" s="232"/>
      <c r="X197" s="304"/>
    </row>
    <row r="198" spans="1:24" ht="15.75">
      <c r="A198" s="6"/>
      <c r="B198" s="6"/>
      <c r="C198" s="6"/>
      <c r="D198" s="6"/>
      <c r="E198" s="6"/>
      <c r="F198" s="1"/>
      <c r="G198" s="9"/>
      <c r="H198" s="9"/>
      <c r="I198" s="11"/>
      <c r="J198" s="1"/>
      <c r="K198" s="205" t="s">
        <v>315</v>
      </c>
      <c r="L198" s="1" t="s">
        <v>315</v>
      </c>
      <c r="M198" s="9"/>
      <c r="N198" s="14">
        <f>Tabela13161718[[#This Row],[Valor_recibo]]</f>
        <v>0</v>
      </c>
      <c r="O198" s="16"/>
      <c r="P198" s="1" t="e">
        <f>VLOOKUP(Tabela13161718[[#This Row],[DT]],Aprovados!A:A,1,0)</f>
        <v>#N/A</v>
      </c>
      <c r="Q198" s="16"/>
      <c r="R198" s="16"/>
      <c r="S198" s="16" t="s">
        <v>315</v>
      </c>
      <c r="T198" s="9"/>
      <c r="U198" s="1" t="s">
        <v>315</v>
      </c>
      <c r="V198" s="11"/>
      <c r="W198" s="232"/>
      <c r="X198" s="304"/>
    </row>
    <row r="199" spans="1:24" ht="15.75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 t="s">
        <v>315</v>
      </c>
      <c r="L199" s="1" t="s">
        <v>315</v>
      </c>
      <c r="M199" s="9"/>
      <c r="N199" s="14">
        <f>Tabela13161718[[#This Row],[Valor_recibo]]</f>
        <v>0</v>
      </c>
      <c r="O199" s="16"/>
      <c r="P199" s="1" t="e">
        <f>VLOOKUP(Tabela13161718[[#This Row],[DT]],Aprovados!A:A,1,0)</f>
        <v>#N/A</v>
      </c>
      <c r="Q199" s="16"/>
      <c r="R199" s="16"/>
      <c r="S199" s="16" t="s">
        <v>315</v>
      </c>
      <c r="T199" s="9"/>
      <c r="U199" s="1" t="s">
        <v>315</v>
      </c>
      <c r="V199" s="11"/>
      <c r="W199" s="232"/>
      <c r="X199" s="304"/>
    </row>
    <row r="200" spans="1:24" ht="15.75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Tabela13161718[[#This Row],[Valor_recibo]]</f>
        <v>0</v>
      </c>
      <c r="O200" s="16"/>
      <c r="P200" s="1" t="e">
        <f>VLOOKUP(Tabela13161718[[#This Row],[DT]],Aprovados!A:A,1,0)</f>
        <v>#N/A</v>
      </c>
      <c r="Q200" s="16"/>
      <c r="R200" s="16"/>
      <c r="S200" s="16" t="s">
        <v>315</v>
      </c>
      <c r="T200" s="9"/>
      <c r="U200" s="1" t="s">
        <v>315</v>
      </c>
      <c r="V200" s="11"/>
      <c r="W200" s="232"/>
      <c r="X200" s="304"/>
    </row>
    <row r="201" spans="1:24" ht="15.75">
      <c r="A201" s="6"/>
      <c r="B201" s="7"/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Tabela13161718[[#This Row],[Valor_recibo]]</f>
        <v>0</v>
      </c>
      <c r="O201" s="16"/>
      <c r="P201" s="1" t="e">
        <f>VLOOKUP(Tabela13161718[[#This Row],[DT]],Aprovados!A:A,1,0)</f>
        <v>#N/A</v>
      </c>
      <c r="Q201" s="16"/>
      <c r="R201" s="16"/>
      <c r="S201" s="16" t="s">
        <v>315</v>
      </c>
      <c r="T201" s="9"/>
      <c r="U201" s="1" t="s">
        <v>315</v>
      </c>
      <c r="V201" s="11"/>
      <c r="W201" s="232"/>
      <c r="X201" s="304"/>
    </row>
    <row r="202" spans="1:24" ht="15.75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Tabela13161718[[#This Row],[Valor_recibo]]</f>
        <v>0</v>
      </c>
      <c r="O202" s="16"/>
      <c r="P202" s="1" t="e">
        <f>VLOOKUP(Tabela13161718[[#This Row],[DT]],Aprovados!A:A,1,0)</f>
        <v>#N/A</v>
      </c>
      <c r="Q202" s="16"/>
      <c r="R202" s="16"/>
      <c r="S202" s="16" t="s">
        <v>315</v>
      </c>
      <c r="T202" s="9"/>
      <c r="U202" s="1" t="s">
        <v>315</v>
      </c>
      <c r="V202" s="11"/>
      <c r="W202" s="232"/>
      <c r="X202" s="304"/>
    </row>
    <row r="203" spans="1:24" ht="15.75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Tabela13161718[[#This Row],[Valor_recibo]]</f>
        <v>0</v>
      </c>
      <c r="O203" s="16"/>
      <c r="P203" s="1" t="e">
        <f>VLOOKUP(Tabela13161718[[#This Row],[DT]],Aprovados!A:A,1,0)</f>
        <v>#N/A</v>
      </c>
      <c r="Q203" s="16"/>
      <c r="R203" s="16"/>
      <c r="S203" s="16" t="s">
        <v>315</v>
      </c>
      <c r="T203" s="9"/>
      <c r="U203" s="1" t="s">
        <v>315</v>
      </c>
      <c r="V203" s="11"/>
      <c r="W203" s="232"/>
      <c r="X203" s="304"/>
    </row>
    <row r="204" spans="1:24" ht="15.75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Tabela13161718[[#This Row],[Valor_recibo]]</f>
        <v>0</v>
      </c>
      <c r="O204" s="16"/>
      <c r="P204" s="1" t="e">
        <f>VLOOKUP(Tabela13161718[[#This Row],[DT]],Aprovados!A:A,1,0)</f>
        <v>#N/A</v>
      </c>
      <c r="Q204" s="16"/>
      <c r="R204" s="16"/>
      <c r="S204" s="16" t="s">
        <v>315</v>
      </c>
      <c r="T204" s="9"/>
      <c r="U204" s="1" t="s">
        <v>315</v>
      </c>
      <c r="V204" s="11"/>
      <c r="W204" s="232"/>
      <c r="X204" s="304"/>
    </row>
    <row r="205" spans="1:24" ht="15.75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Tabela13161718[[#This Row],[Valor_recibo]]</f>
        <v>0</v>
      </c>
      <c r="O205" s="16"/>
      <c r="P205" s="1" t="e">
        <f>VLOOKUP(Tabela13161718[[#This Row],[DT]],Aprovados!A:A,1,0)</f>
        <v>#N/A</v>
      </c>
      <c r="Q205" s="16"/>
      <c r="R205" s="16"/>
      <c r="S205" s="16" t="s">
        <v>315</v>
      </c>
      <c r="T205" s="9"/>
      <c r="U205" s="1" t="s">
        <v>315</v>
      </c>
      <c r="V205" s="11"/>
      <c r="W205" s="232"/>
      <c r="X205" s="304"/>
    </row>
    <row r="206" spans="1:24" ht="15.75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Tabela13161718[[#This Row],[Valor_recibo]]</f>
        <v>0</v>
      </c>
      <c r="O206" s="16"/>
      <c r="P206" s="1" t="e">
        <f>VLOOKUP(Tabela13161718[[#This Row],[DT]],Aprovados!A:A,1,0)</f>
        <v>#N/A</v>
      </c>
      <c r="Q206" s="16"/>
      <c r="R206" s="16"/>
      <c r="S206" s="16" t="s">
        <v>315</v>
      </c>
      <c r="T206" s="9"/>
      <c r="U206" s="1" t="s">
        <v>315</v>
      </c>
      <c r="V206" s="11"/>
      <c r="W206" s="232"/>
      <c r="X206" s="304"/>
    </row>
    <row r="207" spans="1:24" ht="15.75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Tabela13161718[[#This Row],[Valor_recibo]]</f>
        <v>0</v>
      </c>
      <c r="O207" s="16"/>
      <c r="P207" s="1" t="e">
        <f>VLOOKUP(Tabela13161718[[#This Row],[DT]],Aprovados!A:A,1,0)</f>
        <v>#N/A</v>
      </c>
      <c r="Q207" s="16"/>
      <c r="R207" s="16"/>
      <c r="S207" s="16" t="s">
        <v>315</v>
      </c>
      <c r="T207" s="9"/>
      <c r="U207" s="1" t="s">
        <v>315</v>
      </c>
      <c r="V207" s="11"/>
      <c r="W207" s="232"/>
      <c r="X207" s="304"/>
    </row>
    <row r="208" spans="1:24" ht="15.75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Tabela13161718[[#This Row],[Valor_recibo]]</f>
        <v>0</v>
      </c>
      <c r="O208" s="16"/>
      <c r="P208" s="1" t="e">
        <f>VLOOKUP(Tabela13161718[[#This Row],[DT]],Aprovados!A:A,1,0)</f>
        <v>#N/A</v>
      </c>
      <c r="Q208" s="16"/>
      <c r="R208" s="16"/>
      <c r="S208" s="16" t="s">
        <v>315</v>
      </c>
      <c r="T208" s="9"/>
      <c r="U208" s="1" t="s">
        <v>315</v>
      </c>
      <c r="V208" s="11"/>
      <c r="W208" s="232"/>
      <c r="X208" s="304"/>
    </row>
    <row r="209" spans="1:24" ht="15.75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Tabela13161718[[#This Row],[Valor_recibo]]</f>
        <v>0</v>
      </c>
      <c r="O209" s="16"/>
      <c r="P209" s="1" t="e">
        <f>VLOOKUP(Tabela13161718[[#This Row],[DT]],Aprovados!A:A,1,0)</f>
        <v>#N/A</v>
      </c>
      <c r="Q209" s="16"/>
      <c r="R209" s="16"/>
      <c r="S209" s="16" t="s">
        <v>315</v>
      </c>
      <c r="T209" s="9"/>
      <c r="U209" s="1" t="s">
        <v>315</v>
      </c>
      <c r="V209" s="11"/>
      <c r="W209" s="232"/>
      <c r="X209" s="304"/>
    </row>
    <row r="210" spans="1:24" ht="15.75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Tabela13161718[[#This Row],[Valor_recibo]]</f>
        <v>0</v>
      </c>
      <c r="O210" s="16"/>
      <c r="P210" s="1" t="e">
        <f>VLOOKUP(Tabela13161718[[#This Row],[DT]],Aprovados!A:A,1,0)</f>
        <v>#N/A</v>
      </c>
      <c r="Q210" s="16"/>
      <c r="R210" s="16"/>
      <c r="S210" s="16" t="s">
        <v>315</v>
      </c>
      <c r="T210" s="9"/>
      <c r="U210" s="1" t="s">
        <v>315</v>
      </c>
      <c r="V210" s="11"/>
      <c r="W210" s="232"/>
      <c r="X210" s="304"/>
    </row>
    <row r="211" spans="1:24" ht="15.75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Tabela13161718[[#This Row],[Valor_recibo]]</f>
        <v>0</v>
      </c>
      <c r="O211" s="16"/>
      <c r="P211" s="1" t="e">
        <f>VLOOKUP(Tabela13161718[[#This Row],[DT]],Aprovados!A:A,1,0)</f>
        <v>#N/A</v>
      </c>
      <c r="Q211" s="16"/>
      <c r="R211" s="16"/>
      <c r="S211" s="16" t="s">
        <v>315</v>
      </c>
      <c r="T211" s="9"/>
      <c r="U211" s="1" t="s">
        <v>315</v>
      </c>
      <c r="V211" s="11"/>
      <c r="W211" s="232"/>
      <c r="X211" s="304"/>
    </row>
    <row r="212" spans="1:24" ht="15.75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Tabela13161718[[#This Row],[Valor_recibo]]</f>
        <v>0</v>
      </c>
      <c r="O212" s="16"/>
      <c r="P212" s="1" t="e">
        <f>VLOOKUP(Tabela13161718[[#This Row],[DT]],Aprovados!A:A,1,0)</f>
        <v>#N/A</v>
      </c>
      <c r="Q212" s="16"/>
      <c r="R212" s="16"/>
      <c r="S212" s="16" t="s">
        <v>315</v>
      </c>
      <c r="T212" s="9"/>
      <c r="U212" s="1" t="s">
        <v>315</v>
      </c>
      <c r="V212" s="11"/>
      <c r="W212" s="232"/>
      <c r="X212" s="304"/>
    </row>
    <row r="213" spans="1:24" ht="15.75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Tabela13161718[[#This Row],[Valor_recibo]]</f>
        <v>0</v>
      </c>
      <c r="O213" s="16"/>
      <c r="P213" s="1" t="e">
        <f>VLOOKUP(Tabela13161718[[#This Row],[DT]],Aprovados!A:A,1,0)</f>
        <v>#N/A</v>
      </c>
      <c r="Q213" s="16"/>
      <c r="R213" s="16"/>
      <c r="S213" s="16" t="s">
        <v>315</v>
      </c>
      <c r="T213" s="9"/>
      <c r="U213" s="1" t="s">
        <v>315</v>
      </c>
      <c r="V213" s="11"/>
      <c r="W213" s="232"/>
      <c r="X213" s="304"/>
    </row>
    <row r="214" spans="1:24" ht="15.75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Tabela13161718[[#This Row],[Valor_recibo]]</f>
        <v>0</v>
      </c>
      <c r="O214" s="16"/>
      <c r="P214" s="1" t="e">
        <f>VLOOKUP(Tabela13161718[[#This Row],[DT]],Aprovados!A:A,1,0)</f>
        <v>#N/A</v>
      </c>
      <c r="Q214" s="16"/>
      <c r="R214" s="16"/>
      <c r="S214" s="16" t="s">
        <v>315</v>
      </c>
      <c r="T214" s="9"/>
      <c r="U214" s="1" t="s">
        <v>315</v>
      </c>
      <c r="V214" s="11"/>
      <c r="W214" s="232"/>
      <c r="X214" s="304"/>
    </row>
    <row r="215" spans="1:24" ht="15.75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Tabela13161718[[#This Row],[Valor_recibo]]</f>
        <v>0</v>
      </c>
      <c r="O215" s="16"/>
      <c r="P215" s="1" t="e">
        <f>VLOOKUP(Tabela13161718[[#This Row],[DT]],Aprovados!A:A,1,0)</f>
        <v>#N/A</v>
      </c>
      <c r="Q215" s="16"/>
      <c r="R215" s="16"/>
      <c r="S215" s="16" t="s">
        <v>315</v>
      </c>
      <c r="T215" s="9"/>
      <c r="U215" s="1" t="s">
        <v>315</v>
      </c>
      <c r="V215" s="11"/>
      <c r="W215" s="232"/>
      <c r="X215" s="304"/>
    </row>
    <row r="216" spans="1:24" ht="15.75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Tabela13161718[[#This Row],[Valor_recibo]]</f>
        <v>0</v>
      </c>
      <c r="O216" s="16"/>
      <c r="P216" s="1" t="e">
        <f>VLOOKUP(Tabela13161718[[#This Row],[DT]],Aprovados!A:A,1,0)</f>
        <v>#N/A</v>
      </c>
      <c r="Q216" s="16"/>
      <c r="R216" s="16"/>
      <c r="S216" s="16" t="s">
        <v>315</v>
      </c>
      <c r="T216" s="9"/>
      <c r="U216" s="1" t="s">
        <v>315</v>
      </c>
      <c r="V216" s="11"/>
      <c r="W216" s="232"/>
      <c r="X216" s="304"/>
    </row>
    <row r="217" spans="1:24" ht="15.75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Tabela13161718[[#This Row],[Valor_recibo]]</f>
        <v>0</v>
      </c>
      <c r="O217" s="16"/>
      <c r="P217" s="1" t="e">
        <f>VLOOKUP(Tabela13161718[[#This Row],[DT]],Aprovados!A:A,1,0)</f>
        <v>#N/A</v>
      </c>
      <c r="Q217" s="16"/>
      <c r="R217" s="16"/>
      <c r="S217" s="16" t="s">
        <v>315</v>
      </c>
      <c r="T217" s="9"/>
      <c r="U217" s="1" t="s">
        <v>315</v>
      </c>
      <c r="V217" s="11"/>
      <c r="W217" s="232"/>
      <c r="X217" s="304"/>
    </row>
    <row r="218" spans="1:24" ht="15.75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Tabela13161718[[#This Row],[Valor_recibo]]</f>
        <v>0</v>
      </c>
      <c r="O218" s="16"/>
      <c r="P218" s="1" t="e">
        <f>VLOOKUP(Tabela13161718[[#This Row],[DT]],Aprovados!A:A,1,0)</f>
        <v>#N/A</v>
      </c>
      <c r="Q218" s="16"/>
      <c r="R218" s="16"/>
      <c r="S218" s="16" t="s">
        <v>315</v>
      </c>
      <c r="T218" s="9"/>
      <c r="U218" s="1" t="s">
        <v>315</v>
      </c>
      <c r="V218" s="11"/>
      <c r="W218" s="232"/>
      <c r="X218" s="304"/>
    </row>
    <row r="219" spans="1:24" ht="15.75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Tabela13161718[[#This Row],[Valor_recibo]]</f>
        <v>0</v>
      </c>
      <c r="O219" s="16"/>
      <c r="P219" s="1" t="e">
        <f>VLOOKUP(Tabela13161718[[#This Row],[DT]],Aprovados!A:A,1,0)</f>
        <v>#N/A</v>
      </c>
      <c r="Q219" s="16"/>
      <c r="R219" s="16"/>
      <c r="S219" s="16" t="s">
        <v>315</v>
      </c>
      <c r="T219" s="9"/>
      <c r="U219" s="1" t="s">
        <v>315</v>
      </c>
      <c r="V219" s="11"/>
      <c r="W219" s="232"/>
      <c r="X219" s="304"/>
    </row>
    <row r="220" spans="1:24" ht="15.75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Tabela13161718[[#This Row],[Valor_recibo]]</f>
        <v>0</v>
      </c>
      <c r="O220" s="16"/>
      <c r="P220" s="1" t="s">
        <v>532</v>
      </c>
      <c r="Q220" s="16"/>
      <c r="R220" s="16"/>
      <c r="S220" s="16" t="s">
        <v>315</v>
      </c>
      <c r="T220" s="9"/>
      <c r="U220" s="1" t="s">
        <v>315</v>
      </c>
      <c r="V220" s="11"/>
      <c r="W220" s="232"/>
      <c r="X220" s="304"/>
    </row>
    <row r="221" spans="1:24" ht="15.75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Tabela13161718[[#This Row],[Valor_recibo]]</f>
        <v>0</v>
      </c>
      <c r="O221" s="16"/>
      <c r="P221" s="1" t="e">
        <f>VLOOKUP(Tabela13161718[[#This Row],[DT]],Aprovados!A:A,1,0)</f>
        <v>#N/A</v>
      </c>
      <c r="Q221" s="16"/>
      <c r="R221" s="16"/>
      <c r="S221" s="16" t="s">
        <v>315</v>
      </c>
      <c r="T221" s="9"/>
      <c r="U221" s="1" t="s">
        <v>315</v>
      </c>
      <c r="V221" s="11"/>
      <c r="W221" s="232"/>
      <c r="X221" s="304"/>
    </row>
    <row r="222" spans="1:24" ht="15.75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531</v>
      </c>
      <c r="L222" s="1" t="s">
        <v>315</v>
      </c>
      <c r="M222" s="9"/>
      <c r="N222" s="14">
        <f>Tabela13161718[[#This Row],[Valor_recibo]]</f>
        <v>0</v>
      </c>
      <c r="O222" s="16"/>
      <c r="P222" s="1" t="e">
        <f>VLOOKUP(Tabela13161718[[#This Row],[DT]],Aprovados!A:A,1,0)</f>
        <v>#N/A</v>
      </c>
      <c r="Q222" s="16"/>
      <c r="R222" s="16"/>
      <c r="S222" s="16" t="s">
        <v>315</v>
      </c>
      <c r="T222" s="9"/>
      <c r="U222" s="1" t="s">
        <v>315</v>
      </c>
      <c r="V222" s="11"/>
      <c r="W222" s="232"/>
      <c r="X222" s="304"/>
    </row>
    <row r="223" spans="1:24" ht="15.75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Tabela13161718[[#This Row],[Valor_recibo]]</f>
        <v>0</v>
      </c>
      <c r="O223" s="16"/>
      <c r="P223" s="1" t="e">
        <f>VLOOKUP(Tabela13161718[[#This Row],[DT]],Aprovados!A:A,1,0)</f>
        <v>#N/A</v>
      </c>
      <c r="Q223" s="16"/>
      <c r="R223" s="16"/>
      <c r="S223" s="16" t="s">
        <v>315</v>
      </c>
      <c r="T223" s="9"/>
      <c r="U223" s="1" t="s">
        <v>315</v>
      </c>
      <c r="V223" s="11"/>
      <c r="W223" s="232"/>
      <c r="X223" s="304"/>
    </row>
    <row r="224" spans="1:24" ht="15.75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Tabela13161718[[#This Row],[Valor_recibo]]</f>
        <v>0</v>
      </c>
      <c r="O224" s="16"/>
      <c r="P224" s="1" t="e">
        <f>VLOOKUP(Tabela13161718[[#This Row],[DT]],Aprovados!A:A,1,0)</f>
        <v>#N/A</v>
      </c>
      <c r="Q224" s="16"/>
      <c r="R224" s="16"/>
      <c r="S224" s="16" t="s">
        <v>315</v>
      </c>
      <c r="T224" s="9"/>
      <c r="U224" s="1" t="s">
        <v>315</v>
      </c>
      <c r="V224" s="11"/>
      <c r="W224" s="232"/>
      <c r="X224" s="304"/>
    </row>
    <row r="225" spans="1:24" ht="15.75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531</v>
      </c>
      <c r="L225" s="1" t="s">
        <v>315</v>
      </c>
      <c r="M225" s="9"/>
      <c r="N225" s="14">
        <f>Tabela13161718[[#This Row],[Valor_recibo]]</f>
        <v>0</v>
      </c>
      <c r="O225" s="16"/>
      <c r="P225" s="1" t="e">
        <f>VLOOKUP(Tabela13161718[[#This Row],[DT]],Aprovados!A:A,1,0)</f>
        <v>#N/A</v>
      </c>
      <c r="Q225" s="16"/>
      <c r="R225" s="16"/>
      <c r="S225" s="16" t="s">
        <v>315</v>
      </c>
      <c r="T225" s="9"/>
      <c r="U225" s="1" t="s">
        <v>315</v>
      </c>
      <c r="V225" s="11"/>
      <c r="W225" s="232"/>
      <c r="X225" s="304"/>
    </row>
    <row r="226" spans="1:24" ht="15.75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205" t="s">
        <v>315</v>
      </c>
      <c r="L226" s="1" t="s">
        <v>315</v>
      </c>
      <c r="M226" s="9"/>
      <c r="N226" s="14">
        <f>Tabela13161718[[#This Row],[Valor_recibo]]</f>
        <v>0</v>
      </c>
      <c r="O226" s="16"/>
      <c r="P226" s="1" t="e">
        <f>VLOOKUP(Tabela13161718[[#This Row],[DT]],Aprovados!A:A,1,0)</f>
        <v>#N/A</v>
      </c>
      <c r="Q226" s="16"/>
      <c r="R226" s="16"/>
      <c r="S226" s="16" t="s">
        <v>315</v>
      </c>
      <c r="T226" s="9"/>
      <c r="U226" s="1" t="s">
        <v>315</v>
      </c>
      <c r="V226" s="11"/>
      <c r="W226" s="232"/>
      <c r="X226" s="304"/>
    </row>
    <row r="227" spans="1:24" ht="15.75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Tabela13161718[[#This Row],[Valor_recibo]]</f>
        <v>0</v>
      </c>
      <c r="O227" s="16"/>
      <c r="P227" s="1" t="e">
        <f>VLOOKUP(Tabela13161718[[#This Row],[DT]],Aprovados!A:A,1,0)</f>
        <v>#N/A</v>
      </c>
      <c r="Q227" s="16"/>
      <c r="R227" s="16"/>
      <c r="S227" s="16" t="s">
        <v>315</v>
      </c>
      <c r="T227" s="9"/>
      <c r="U227" s="1" t="s">
        <v>315</v>
      </c>
      <c r="V227" s="11"/>
      <c r="W227" s="232"/>
      <c r="X227" s="304"/>
    </row>
    <row r="228" spans="1:24" ht="15.75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Tabela13161718[[#This Row],[Valor_recibo]]</f>
        <v>0</v>
      </c>
      <c r="O228" s="16"/>
      <c r="P228" s="1" t="e">
        <f>VLOOKUP(Tabela13161718[[#This Row],[DT]],Aprovados!A:A,1,0)</f>
        <v>#N/A</v>
      </c>
      <c r="Q228" s="16"/>
      <c r="R228" s="16"/>
      <c r="S228" s="16" t="s">
        <v>315</v>
      </c>
      <c r="T228" s="9"/>
      <c r="U228" s="1" t="s">
        <v>315</v>
      </c>
      <c r="V228" s="11"/>
      <c r="W228" s="232"/>
      <c r="X228" s="304"/>
    </row>
    <row r="229" spans="1:24" ht="15.75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Tabela13161718[[#This Row],[Valor_recibo]]</f>
        <v>0</v>
      </c>
      <c r="O229" s="16"/>
      <c r="P229" s="1" t="e">
        <f>VLOOKUP(Tabela13161718[[#This Row],[DT]],Aprovados!A:A,1,0)</f>
        <v>#N/A</v>
      </c>
      <c r="Q229" s="16"/>
      <c r="R229" s="16"/>
      <c r="S229" s="16" t="s">
        <v>315</v>
      </c>
      <c r="T229" s="9"/>
      <c r="U229" s="1" t="s">
        <v>315</v>
      </c>
      <c r="V229" s="11"/>
      <c r="W229" s="232"/>
      <c r="X229" s="304"/>
    </row>
    <row r="230" spans="1:24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1"/>
      <c r="L230" s="1" t="s">
        <v>315</v>
      </c>
      <c r="M230" s="9"/>
      <c r="N230" s="14">
        <f>Tabela13161718[[#This Row],[Valor_recibo]]</f>
        <v>0</v>
      </c>
      <c r="O230" s="16"/>
      <c r="P230" s="1" t="e">
        <f>VLOOKUP(Tabela13161718[[#This Row],[DT]],Aprovados!A:A,1,0)</f>
        <v>#N/A</v>
      </c>
      <c r="Q230" s="16"/>
      <c r="R230" s="16"/>
      <c r="S230" s="16" t="s">
        <v>315</v>
      </c>
      <c r="T230" s="9"/>
      <c r="U230" s="1" t="s">
        <v>315</v>
      </c>
      <c r="V230" s="11"/>
      <c r="W230" s="232"/>
      <c r="X230" s="304"/>
    </row>
    <row r="231" spans="1:24" ht="15.75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Tabela13161718[[#This Row],[Valor_recibo]]</f>
        <v>0</v>
      </c>
      <c r="O231" s="16"/>
      <c r="P231" s="1" t="e">
        <f>VLOOKUP(Tabela13161718[[#This Row],[DT]],Aprovados!A:A,1,0)</f>
        <v>#N/A</v>
      </c>
      <c r="Q231" s="16"/>
      <c r="R231" s="16"/>
      <c r="S231" s="16" t="s">
        <v>315</v>
      </c>
      <c r="T231" s="9"/>
      <c r="U231" s="1" t="s">
        <v>315</v>
      </c>
      <c r="V231" s="11"/>
      <c r="W231" s="232"/>
      <c r="X231" s="304"/>
    </row>
    <row r="232" spans="1:24" ht="15.75">
      <c r="A232" s="6"/>
      <c r="B232" s="7"/>
      <c r="C232" s="6"/>
      <c r="D232" s="6"/>
      <c r="E232" s="6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Tabela13161718[[#This Row],[Valor_recibo]]</f>
        <v>0</v>
      </c>
      <c r="O232" s="16"/>
      <c r="P232" s="1" t="e">
        <f>VLOOKUP(Tabela13161718[[#This Row],[DT]],Aprovados!A:A,1,0)</f>
        <v>#N/A</v>
      </c>
      <c r="Q232" s="16"/>
      <c r="R232" s="16"/>
      <c r="S232" s="16" t="s">
        <v>315</v>
      </c>
      <c r="T232" s="9"/>
      <c r="U232" s="1" t="s">
        <v>315</v>
      </c>
      <c r="V232" s="11"/>
      <c r="W232" s="232"/>
      <c r="X232" s="304"/>
    </row>
    <row r="233" spans="1:24" ht="15.75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Tabela13161718[[#This Row],[Valor_recibo]]</f>
        <v>0</v>
      </c>
      <c r="O233" s="16"/>
      <c r="P233" s="1" t="e">
        <f>VLOOKUP(Tabela13161718[[#This Row],[DT]],Aprovados!A:A,1,0)</f>
        <v>#N/A</v>
      </c>
      <c r="Q233" s="16"/>
      <c r="R233" s="16"/>
      <c r="S233" s="16" t="s">
        <v>315</v>
      </c>
      <c r="T233" s="9"/>
      <c r="U233" s="1" t="s">
        <v>315</v>
      </c>
      <c r="V233" s="11"/>
      <c r="W233" s="232"/>
      <c r="X233" s="304"/>
    </row>
    <row r="234" spans="1:24" ht="15.75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531</v>
      </c>
      <c r="L234" s="1" t="s">
        <v>315</v>
      </c>
      <c r="M234" s="9"/>
      <c r="N234" s="14">
        <f>Tabela13161718[[#This Row],[Valor_recibo]]</f>
        <v>0</v>
      </c>
      <c r="O234" s="16"/>
      <c r="P234" s="1" t="e">
        <f>VLOOKUP(Tabela13161718[[#This Row],[DT]],Aprovados!A:A,1,0)</f>
        <v>#N/A</v>
      </c>
      <c r="Q234" s="16"/>
      <c r="R234" s="16"/>
      <c r="S234" s="16" t="s">
        <v>315</v>
      </c>
      <c r="T234" s="9"/>
      <c r="U234" s="1" t="s">
        <v>315</v>
      </c>
      <c r="V234" s="11"/>
      <c r="W234" s="232"/>
      <c r="X234" s="304"/>
    </row>
    <row r="235" spans="1:24" ht="15.75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Tabela13161718[[#This Row],[Valor_recibo]]</f>
        <v>0</v>
      </c>
      <c r="O235" s="16"/>
      <c r="P235" s="1" t="e">
        <f>VLOOKUP(Tabela13161718[[#This Row],[DT]],Aprovados!A:A,1,0)</f>
        <v>#N/A</v>
      </c>
      <c r="Q235" s="16"/>
      <c r="R235" s="16"/>
      <c r="S235" s="16" t="s">
        <v>315</v>
      </c>
      <c r="T235" s="9"/>
      <c r="U235" s="1" t="s">
        <v>315</v>
      </c>
      <c r="V235" s="11"/>
      <c r="W235" s="232"/>
      <c r="X235" s="304"/>
    </row>
    <row r="236" spans="1:24" ht="15.75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Tabela13161718[[#This Row],[Valor_recibo]]</f>
        <v>0</v>
      </c>
      <c r="O236" s="16"/>
      <c r="P236" s="1" t="e">
        <f>VLOOKUP(Tabela13161718[[#This Row],[DT]],Aprovados!A:A,1,0)</f>
        <v>#N/A</v>
      </c>
      <c r="Q236" s="16"/>
      <c r="R236" s="16"/>
      <c r="S236" s="16" t="s">
        <v>315</v>
      </c>
      <c r="T236" s="9"/>
      <c r="U236" s="1" t="s">
        <v>315</v>
      </c>
      <c r="V236" s="11"/>
      <c r="W236" s="232"/>
      <c r="X236" s="304"/>
    </row>
    <row r="237" spans="1:24" ht="15.75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Tabela13161718[[#This Row],[Valor_recibo]]</f>
        <v>0</v>
      </c>
      <c r="O237" s="16"/>
      <c r="P237" s="1" t="e">
        <f>VLOOKUP(Tabela13161718[[#This Row],[DT]],Aprovados!A:A,1,0)</f>
        <v>#N/A</v>
      </c>
      <c r="Q237" s="16"/>
      <c r="R237" s="16"/>
      <c r="S237" s="16" t="s">
        <v>315</v>
      </c>
      <c r="T237" s="9"/>
      <c r="U237" s="1" t="s">
        <v>315</v>
      </c>
      <c r="V237" s="11"/>
      <c r="W237" s="232"/>
      <c r="X237" s="304"/>
    </row>
    <row r="238" spans="1:24" ht="15.75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Tabela13161718[[#This Row],[Valor_recibo]]</f>
        <v>0</v>
      </c>
      <c r="O238" s="16"/>
      <c r="P238" s="1" t="e">
        <f>VLOOKUP(Tabela13161718[[#This Row],[DT]],Aprovados!A:A,1,0)</f>
        <v>#N/A</v>
      </c>
      <c r="Q238" s="16"/>
      <c r="R238" s="16"/>
      <c r="S238" s="16" t="s">
        <v>315</v>
      </c>
      <c r="T238" s="9"/>
      <c r="U238" s="1" t="s">
        <v>315</v>
      </c>
      <c r="V238" s="11"/>
      <c r="W238" s="232"/>
      <c r="X238" s="304"/>
    </row>
    <row r="239" spans="1:24" ht="15.75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Tabela13161718[[#This Row],[Valor_recibo]]</f>
        <v>0</v>
      </c>
      <c r="O239" s="16"/>
      <c r="P239" s="1" t="s">
        <v>532</v>
      </c>
      <c r="Q239" s="16"/>
      <c r="R239" s="16"/>
      <c r="S239" s="16" t="s">
        <v>315</v>
      </c>
      <c r="T239" s="9"/>
      <c r="U239" s="1" t="s">
        <v>315</v>
      </c>
      <c r="V239" s="11"/>
      <c r="W239" s="232"/>
      <c r="X239" s="304"/>
    </row>
    <row r="240" spans="1:24" ht="15.75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531</v>
      </c>
      <c r="L240" s="1" t="s">
        <v>315</v>
      </c>
      <c r="M240" s="9"/>
      <c r="N240" s="14">
        <f>Tabela13161718[[#This Row],[Valor_recibo]]</f>
        <v>0</v>
      </c>
      <c r="O240" s="16"/>
      <c r="P240" s="1" t="e">
        <f>VLOOKUP(Tabela13161718[[#This Row],[DT]],Aprovados!A:A,1,0)</f>
        <v>#N/A</v>
      </c>
      <c r="Q240" s="16"/>
      <c r="R240" s="16"/>
      <c r="S240" s="16" t="s">
        <v>315</v>
      </c>
      <c r="T240" s="9"/>
      <c r="U240" s="1" t="s">
        <v>315</v>
      </c>
      <c r="V240" s="11"/>
      <c r="W240" s="232"/>
      <c r="X240" s="304"/>
    </row>
    <row r="241" spans="1:24" ht="15.75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Tabela13161718[[#This Row],[Valor_recibo]]</f>
        <v>0</v>
      </c>
      <c r="O241" s="16"/>
      <c r="P241" s="1" t="e">
        <f>VLOOKUP(Tabela13161718[[#This Row],[DT]],Aprovados!A:A,1,0)</f>
        <v>#N/A</v>
      </c>
      <c r="Q241" s="16"/>
      <c r="R241" s="16"/>
      <c r="S241" s="16" t="s">
        <v>315</v>
      </c>
      <c r="T241" s="9"/>
      <c r="U241" s="1" t="s">
        <v>315</v>
      </c>
      <c r="V241" s="11"/>
      <c r="W241" s="232"/>
      <c r="X241" s="304"/>
    </row>
    <row r="242" spans="1:24" ht="15.75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Tabela13161718[[#This Row],[Valor_recibo]]</f>
        <v>0</v>
      </c>
      <c r="O242" s="16"/>
      <c r="P242" s="1" t="e">
        <f>VLOOKUP(Tabela13161718[[#This Row],[DT]],Aprovados!A:A,1,0)</f>
        <v>#N/A</v>
      </c>
      <c r="Q242" s="16"/>
      <c r="R242" s="16"/>
      <c r="S242" s="16" t="s">
        <v>315</v>
      </c>
      <c r="T242" s="9"/>
      <c r="U242" s="1" t="s">
        <v>315</v>
      </c>
      <c r="V242" s="11"/>
      <c r="W242" s="232"/>
      <c r="X242" s="304"/>
    </row>
    <row r="243" spans="1:24" ht="15.75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531</v>
      </c>
      <c r="L243" s="1" t="s">
        <v>315</v>
      </c>
      <c r="M243" s="9"/>
      <c r="N243" s="14">
        <f>Tabela13161718[[#This Row],[Valor_recibo]]</f>
        <v>0</v>
      </c>
      <c r="O243" s="16"/>
      <c r="P243" s="1" t="e">
        <f>VLOOKUP(Tabela13161718[[#This Row],[DT]],Aprovados!A:A,1,0)</f>
        <v>#N/A</v>
      </c>
      <c r="Q243" s="16"/>
      <c r="R243" s="16"/>
      <c r="S243" s="16" t="s">
        <v>315</v>
      </c>
      <c r="T243" s="9"/>
      <c r="U243" s="1" t="s">
        <v>315</v>
      </c>
      <c r="V243" s="11"/>
      <c r="W243" s="232"/>
      <c r="X243" s="304"/>
    </row>
    <row r="244" spans="1:24" ht="15.75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Tabela13161718[[#This Row],[Valor_recibo]]</f>
        <v>0</v>
      </c>
      <c r="O244" s="16"/>
      <c r="P244" s="1" t="e">
        <f>VLOOKUP(Tabela13161718[[#This Row],[DT]],Aprovados!A:A,1,0)</f>
        <v>#N/A</v>
      </c>
      <c r="Q244" s="16"/>
      <c r="R244" s="16"/>
      <c r="S244" s="16" t="s">
        <v>315</v>
      </c>
      <c r="T244" s="9"/>
      <c r="U244" s="1" t="s">
        <v>315</v>
      </c>
      <c r="V244" s="11"/>
      <c r="W244" s="232"/>
      <c r="X244" s="304"/>
    </row>
    <row r="245" spans="1:24" ht="15.75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531</v>
      </c>
      <c r="L245" s="1" t="s">
        <v>315</v>
      </c>
      <c r="M245" s="9"/>
      <c r="N245" s="14">
        <f>Tabela13161718[[#This Row],[Valor_recibo]]</f>
        <v>0</v>
      </c>
      <c r="O245" s="16"/>
      <c r="P245" s="1" t="e">
        <f>VLOOKUP(Tabela13161718[[#This Row],[DT]],Aprovados!A:A,1,0)</f>
        <v>#N/A</v>
      </c>
      <c r="Q245" s="16"/>
      <c r="R245" s="16"/>
      <c r="S245" s="16" t="s">
        <v>315</v>
      </c>
      <c r="T245" s="9"/>
      <c r="U245" s="1" t="s">
        <v>315</v>
      </c>
      <c r="V245" s="11"/>
      <c r="W245" s="232"/>
      <c r="X245" s="304"/>
    </row>
    <row r="246" spans="1:24" ht="15.75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531</v>
      </c>
      <c r="L246" s="1" t="s">
        <v>315</v>
      </c>
      <c r="M246" s="9"/>
      <c r="N246" s="14">
        <f>Tabela13161718[[#This Row],[Valor_recibo]]</f>
        <v>0</v>
      </c>
      <c r="O246" s="16"/>
      <c r="P246" s="1" t="e">
        <f>VLOOKUP(Tabela13161718[[#This Row],[DT]],Aprovados!A:A,1,0)</f>
        <v>#N/A</v>
      </c>
      <c r="Q246" s="16"/>
      <c r="R246" s="16"/>
      <c r="S246" s="16" t="s">
        <v>315</v>
      </c>
      <c r="T246" s="9"/>
      <c r="U246" s="1" t="s">
        <v>315</v>
      </c>
      <c r="V246" s="11"/>
      <c r="W246" s="232"/>
      <c r="X246" s="304"/>
    </row>
    <row r="247" spans="1:24" ht="15.75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531</v>
      </c>
      <c r="L247" s="1" t="s">
        <v>315</v>
      </c>
      <c r="M247" s="9"/>
      <c r="N247" s="14">
        <f>Tabela13161718[[#This Row],[Valor_recibo]]</f>
        <v>0</v>
      </c>
      <c r="O247" s="16"/>
      <c r="P247" s="1" t="e">
        <f>VLOOKUP(Tabela13161718[[#This Row],[DT]],Aprovados!A:A,1,0)</f>
        <v>#N/A</v>
      </c>
      <c r="Q247" s="16"/>
      <c r="R247" s="16"/>
      <c r="S247" s="16" t="s">
        <v>315</v>
      </c>
      <c r="T247" s="9"/>
      <c r="U247" s="1" t="s">
        <v>315</v>
      </c>
      <c r="V247" s="11"/>
      <c r="W247" s="232"/>
      <c r="X247" s="304"/>
    </row>
    <row r="248" spans="1:24" ht="15.75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Tabela13161718[[#This Row],[Valor_recibo]]</f>
        <v>0</v>
      </c>
      <c r="O248" s="16"/>
      <c r="P248" s="1" t="e">
        <f>VLOOKUP(Tabela13161718[[#This Row],[DT]],Aprovados!A:A,1,0)</f>
        <v>#N/A</v>
      </c>
      <c r="Q248" s="16"/>
      <c r="R248" s="16"/>
      <c r="S248" s="16" t="s">
        <v>315</v>
      </c>
      <c r="T248" s="9"/>
      <c r="U248" s="1" t="s">
        <v>315</v>
      </c>
      <c r="V248" s="11"/>
      <c r="W248" s="232"/>
      <c r="X248" s="304"/>
    </row>
    <row r="249" spans="1:24" ht="15.75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Tabela13161718[[#This Row],[Valor_recibo]]</f>
        <v>0</v>
      </c>
      <c r="O249" s="16"/>
      <c r="P249" s="1" t="e">
        <f>VLOOKUP(Tabela13161718[[#This Row],[DT]],Aprovados!A:A,1,0)</f>
        <v>#N/A</v>
      </c>
      <c r="Q249" s="16"/>
      <c r="R249" s="16"/>
      <c r="S249" s="16" t="s">
        <v>315</v>
      </c>
      <c r="T249" s="9"/>
      <c r="U249" s="1" t="s">
        <v>315</v>
      </c>
      <c r="V249" s="11"/>
      <c r="W249" s="232"/>
      <c r="X249" s="304"/>
    </row>
    <row r="250" spans="1:24" ht="15.75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Tabela13161718[[#This Row],[Valor_recibo]]</f>
        <v>0</v>
      </c>
      <c r="O250" s="16"/>
      <c r="P250" s="1" t="e">
        <f>VLOOKUP(Tabela13161718[[#This Row],[DT]],Aprovados!A:A,1,0)</f>
        <v>#N/A</v>
      </c>
      <c r="Q250" s="16"/>
      <c r="R250" s="16"/>
      <c r="S250" s="16" t="s">
        <v>315</v>
      </c>
      <c r="T250" s="9"/>
      <c r="U250" s="1" t="s">
        <v>315</v>
      </c>
      <c r="V250" s="11"/>
      <c r="W250" s="232"/>
      <c r="X250" s="304"/>
    </row>
    <row r="251" spans="1:24" ht="15.75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Tabela13161718[[#This Row],[Valor_recibo]]</f>
        <v>0</v>
      </c>
      <c r="O251" s="16"/>
      <c r="P251" s="1" t="e">
        <f>VLOOKUP(Tabela13161718[[#This Row],[DT]],Aprovados!A:A,1,0)</f>
        <v>#N/A</v>
      </c>
      <c r="Q251" s="16"/>
      <c r="R251" s="16"/>
      <c r="S251" s="16" t="s">
        <v>315</v>
      </c>
      <c r="T251" s="9"/>
      <c r="U251" s="1" t="s">
        <v>315</v>
      </c>
      <c r="V251" s="11"/>
      <c r="W251" s="232"/>
      <c r="X251" s="304"/>
    </row>
    <row r="252" spans="1:24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1"/>
      <c r="L252" s="1" t="s">
        <v>315</v>
      </c>
      <c r="M252" s="9"/>
      <c r="N252" s="14">
        <f>Tabela13161718[[#This Row],[Valor_recibo]]</f>
        <v>0</v>
      </c>
      <c r="O252" s="16"/>
      <c r="P252" s="1" t="e">
        <f>VLOOKUP(Tabela13161718[[#This Row],[DT]],Aprovados!A:A,1,0)</f>
        <v>#N/A</v>
      </c>
      <c r="Q252" s="16"/>
      <c r="R252" s="16"/>
      <c r="S252" s="16" t="s">
        <v>315</v>
      </c>
      <c r="T252" s="9"/>
      <c r="U252" s="1" t="s">
        <v>315</v>
      </c>
      <c r="V252" s="11"/>
      <c r="W252" s="232"/>
      <c r="X252" s="304"/>
    </row>
    <row r="253" spans="1:24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1"/>
      <c r="L253" s="1" t="s">
        <v>315</v>
      </c>
      <c r="M253" s="9"/>
      <c r="N253" s="14">
        <f>Tabela13161718[[#This Row],[Valor_recibo]]</f>
        <v>0</v>
      </c>
      <c r="O253" s="16"/>
      <c r="P253" s="1" t="e">
        <f>VLOOKUP(Tabela13161718[[#This Row],[DT]],Aprovados!A:A,1,0)</f>
        <v>#N/A</v>
      </c>
      <c r="Q253" s="16"/>
      <c r="R253" s="16"/>
      <c r="S253" s="16" t="s">
        <v>315</v>
      </c>
      <c r="T253" s="9"/>
      <c r="U253" s="1" t="s">
        <v>315</v>
      </c>
      <c r="V253" s="11"/>
      <c r="W253" s="232"/>
      <c r="X253" s="304"/>
    </row>
    <row r="254" spans="1:24">
      <c r="A254" s="6"/>
      <c r="B254" s="7"/>
      <c r="C254" s="59"/>
      <c r="D254" s="6"/>
      <c r="E254" s="6"/>
      <c r="F254" s="1"/>
      <c r="G254" s="9"/>
      <c r="H254" s="9"/>
      <c r="I254" s="11"/>
      <c r="J254" s="1"/>
      <c r="K254" s="1"/>
      <c r="L254" s="1" t="s">
        <v>315</v>
      </c>
      <c r="M254" s="9"/>
      <c r="N254" s="14">
        <f>Tabela13161718[[#This Row],[Valor_recibo]]</f>
        <v>0</v>
      </c>
      <c r="O254" s="16"/>
      <c r="P254" s="1" t="e">
        <f>VLOOKUP(Tabela13161718[[#This Row],[DT]],Aprovados!A:A,1,0)</f>
        <v>#N/A</v>
      </c>
      <c r="Q254" s="16"/>
      <c r="R254" s="16"/>
      <c r="S254" s="16" t="s">
        <v>315</v>
      </c>
      <c r="T254" s="9"/>
      <c r="U254" s="1" t="s">
        <v>315</v>
      </c>
      <c r="V254" s="11"/>
      <c r="W254" s="232"/>
      <c r="X254" s="304"/>
    </row>
    <row r="255" spans="1:24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1"/>
      <c r="L255" s="1" t="s">
        <v>315</v>
      </c>
      <c r="M255" s="9"/>
      <c r="N255" s="14">
        <f>Tabela13161718[[#This Row],[Valor_recibo]]</f>
        <v>0</v>
      </c>
      <c r="O255" s="16"/>
      <c r="P255" s="1" t="e">
        <f>VLOOKUP(Tabela13161718[[#This Row],[DT]],Aprovados!A:A,1,0)</f>
        <v>#N/A</v>
      </c>
      <c r="Q255" s="16"/>
      <c r="R255" s="16"/>
      <c r="S255" s="16" t="s">
        <v>315</v>
      </c>
      <c r="T255" s="9"/>
      <c r="U255" s="1" t="s">
        <v>315</v>
      </c>
      <c r="V255" s="11"/>
      <c r="W255" s="232"/>
      <c r="X255" s="304"/>
    </row>
    <row r="256" spans="1:24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1"/>
      <c r="L256" s="1" t="s">
        <v>315</v>
      </c>
      <c r="M256" s="9"/>
      <c r="N256" s="14">
        <f>Tabela13161718[[#This Row],[Valor_recibo]]</f>
        <v>0</v>
      </c>
      <c r="O256" s="16"/>
      <c r="P256" s="1" t="e">
        <f>VLOOKUP(Tabela13161718[[#This Row],[DT]],Aprovados!A:A,1,0)</f>
        <v>#N/A</v>
      </c>
      <c r="Q256" s="16"/>
      <c r="R256" s="16"/>
      <c r="S256" s="16" t="s">
        <v>315</v>
      </c>
      <c r="T256" s="9"/>
      <c r="U256" s="1" t="s">
        <v>315</v>
      </c>
      <c r="V256" s="11"/>
      <c r="W256" s="232"/>
      <c r="X256" s="304"/>
    </row>
    <row r="257" spans="1:24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1"/>
      <c r="L257" s="1" t="s">
        <v>315</v>
      </c>
      <c r="M257" s="9"/>
      <c r="N257" s="14">
        <f>Tabela13161718[[#This Row],[Valor_recibo]]</f>
        <v>0</v>
      </c>
      <c r="O257" s="16"/>
      <c r="P257" s="1" t="e">
        <f>VLOOKUP(Tabela13161718[[#This Row],[DT]],Aprovados!A:A,1,0)</f>
        <v>#N/A</v>
      </c>
      <c r="Q257" s="16"/>
      <c r="R257" s="16"/>
      <c r="S257" s="16" t="s">
        <v>315</v>
      </c>
      <c r="T257" s="9"/>
      <c r="U257" s="1" t="s">
        <v>315</v>
      </c>
      <c r="V257" s="11"/>
      <c r="W257" s="232"/>
      <c r="X257" s="304"/>
    </row>
    <row r="258" spans="1:24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1"/>
      <c r="L258" s="1" t="s">
        <v>315</v>
      </c>
      <c r="M258" s="9"/>
      <c r="N258" s="14">
        <f>Tabela13161718[[#This Row],[Valor_recibo]]</f>
        <v>0</v>
      </c>
      <c r="O258" s="16"/>
      <c r="P258" s="1" t="e">
        <f>VLOOKUP(Tabela13161718[[#This Row],[DT]],Aprovados!A:A,1,0)</f>
        <v>#N/A</v>
      </c>
      <c r="Q258" s="16"/>
      <c r="R258" s="16"/>
      <c r="S258" s="16" t="s">
        <v>315</v>
      </c>
      <c r="T258" s="9"/>
      <c r="U258" s="1" t="s">
        <v>315</v>
      </c>
      <c r="V258" s="11"/>
      <c r="W258" s="232"/>
      <c r="X258" s="304"/>
    </row>
    <row r="259" spans="1:24">
      <c r="A259" s="6"/>
      <c r="B259" s="7"/>
      <c r="C259" s="260"/>
      <c r="D259" s="6"/>
      <c r="E259" s="6"/>
      <c r="F259" s="1"/>
      <c r="G259" s="9"/>
      <c r="H259" s="9"/>
      <c r="I259" s="11"/>
      <c r="J259" s="1"/>
      <c r="K259" s="1"/>
      <c r="L259" s="1" t="s">
        <v>315</v>
      </c>
      <c r="M259" s="9"/>
      <c r="N259" s="14">
        <f>Tabela13161718[[#This Row],[Valor_recibo]]</f>
        <v>0</v>
      </c>
      <c r="O259" s="16"/>
      <c r="P259" s="1" t="e">
        <f>VLOOKUP(Tabela13161718[[#This Row],[DT]],Aprovados!A:A,1,0)</f>
        <v>#N/A</v>
      </c>
      <c r="Q259" s="16"/>
      <c r="R259" s="16"/>
      <c r="S259" s="16" t="s">
        <v>315</v>
      </c>
      <c r="T259" s="9"/>
      <c r="U259" s="1" t="s">
        <v>315</v>
      </c>
      <c r="V259" s="11"/>
      <c r="W259" s="232"/>
      <c r="X259" s="304"/>
    </row>
    <row r="260" spans="1:24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1"/>
      <c r="L260" s="1" t="s">
        <v>315</v>
      </c>
      <c r="M260" s="9"/>
      <c r="N260" s="14">
        <f>Tabela13161718[[#This Row],[Valor_recibo]]</f>
        <v>0</v>
      </c>
      <c r="O260" s="16"/>
      <c r="P260" s="1" t="e">
        <f>VLOOKUP(Tabela13161718[[#This Row],[DT]],Aprovados!A:A,1,0)</f>
        <v>#N/A</v>
      </c>
      <c r="Q260" s="16"/>
      <c r="R260" s="16"/>
      <c r="S260" s="16" t="s">
        <v>315</v>
      </c>
      <c r="T260" s="9"/>
      <c r="U260" s="1" t="s">
        <v>315</v>
      </c>
      <c r="V260" s="11"/>
      <c r="W260" s="232"/>
      <c r="X260" s="304"/>
    </row>
    <row r="261" spans="1:24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1"/>
      <c r="L261" s="1" t="s">
        <v>315</v>
      </c>
      <c r="M261" s="9"/>
      <c r="N261" s="14">
        <f>Tabela13161718[[#This Row],[Valor_recibo]]</f>
        <v>0</v>
      </c>
      <c r="O261" s="16"/>
      <c r="P261" s="1" t="e">
        <f>VLOOKUP(Tabela13161718[[#This Row],[DT]],Aprovados!A:A,1,0)</f>
        <v>#N/A</v>
      </c>
      <c r="Q261" s="16"/>
      <c r="R261" s="16"/>
      <c r="S261" s="16" t="s">
        <v>315</v>
      </c>
      <c r="T261" s="9"/>
      <c r="U261" s="1" t="s">
        <v>315</v>
      </c>
      <c r="V261" s="11"/>
      <c r="W261" s="232"/>
      <c r="X261" s="304"/>
    </row>
    <row r="262" spans="1:24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1"/>
      <c r="L262" s="1" t="s">
        <v>315</v>
      </c>
      <c r="M262" s="9"/>
      <c r="N262" s="14">
        <f>Tabela13161718[[#This Row],[Valor_recibo]]</f>
        <v>0</v>
      </c>
      <c r="O262" s="16"/>
      <c r="P262" s="1" t="e">
        <f>VLOOKUP(Tabela13161718[[#This Row],[DT]],Aprovados!A:A,1,0)</f>
        <v>#N/A</v>
      </c>
      <c r="Q262" s="16"/>
      <c r="R262" s="16"/>
      <c r="S262" s="16" t="s">
        <v>315</v>
      </c>
      <c r="T262" s="9"/>
      <c r="U262" s="1" t="s">
        <v>315</v>
      </c>
      <c r="V262" s="11"/>
      <c r="W262" s="232"/>
      <c r="X262" s="304"/>
    </row>
    <row r="263" spans="1:24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1"/>
      <c r="L263" s="1" t="s">
        <v>315</v>
      </c>
      <c r="M263" s="9"/>
      <c r="N263" s="14">
        <f>Tabela13161718[[#This Row],[Valor_recibo]]</f>
        <v>0</v>
      </c>
      <c r="O263" s="16"/>
      <c r="P263" s="1" t="e">
        <f>VLOOKUP(Tabela13161718[[#This Row],[DT]],Aprovados!A:A,1,0)</f>
        <v>#N/A</v>
      </c>
      <c r="Q263" s="16"/>
      <c r="R263" s="16"/>
      <c r="S263" s="16" t="s">
        <v>315</v>
      </c>
      <c r="T263" s="9"/>
      <c r="U263" s="1" t="s">
        <v>315</v>
      </c>
      <c r="V263" s="11"/>
      <c r="W263" s="232"/>
      <c r="X263" s="304"/>
    </row>
    <row r="264" spans="1:24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1"/>
      <c r="L264" s="1" t="s">
        <v>315</v>
      </c>
      <c r="M264" s="9"/>
      <c r="N264" s="14">
        <f>Tabela13161718[[#This Row],[Valor_recibo]]</f>
        <v>0</v>
      </c>
      <c r="O264" s="16"/>
      <c r="P264" s="1" t="e">
        <f>VLOOKUP(Tabela13161718[[#This Row],[DT]],Aprovados!A:A,1,0)</f>
        <v>#N/A</v>
      </c>
      <c r="Q264" s="16"/>
      <c r="R264" s="16"/>
      <c r="S264" s="16" t="s">
        <v>315</v>
      </c>
      <c r="T264" s="9"/>
      <c r="U264" s="1" t="s">
        <v>315</v>
      </c>
      <c r="V264" s="11"/>
      <c r="W264" s="232"/>
      <c r="X264" s="304"/>
    </row>
    <row r="265" spans="1:24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1"/>
      <c r="L265" s="1" t="s">
        <v>315</v>
      </c>
      <c r="M265" s="9"/>
      <c r="N265" s="14">
        <f>Tabela13161718[[#This Row],[Valor_recibo]]</f>
        <v>0</v>
      </c>
      <c r="O265" s="16"/>
      <c r="P265" s="1" t="e">
        <f>VLOOKUP(Tabela13161718[[#This Row],[DT]],Aprovados!A:A,1,0)</f>
        <v>#N/A</v>
      </c>
      <c r="Q265" s="16"/>
      <c r="R265" s="16"/>
      <c r="S265" s="16" t="s">
        <v>315</v>
      </c>
      <c r="T265" s="9"/>
      <c r="U265" s="1" t="s">
        <v>315</v>
      </c>
      <c r="V265" s="11"/>
      <c r="W265" s="232"/>
      <c r="X265" s="304"/>
    </row>
    <row r="266" spans="1:24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1"/>
      <c r="L266" s="1" t="s">
        <v>315</v>
      </c>
      <c r="M266" s="9"/>
      <c r="N266" s="14">
        <f>Tabela13161718[[#This Row],[Valor_recibo]]</f>
        <v>0</v>
      </c>
      <c r="O266" s="16"/>
      <c r="P266" s="1" t="e">
        <f>VLOOKUP(Tabela13161718[[#This Row],[DT]],Aprovados!A:A,1,0)</f>
        <v>#N/A</v>
      </c>
      <c r="Q266" s="16"/>
      <c r="R266" s="16"/>
      <c r="S266" s="16" t="s">
        <v>315</v>
      </c>
      <c r="T266" s="9"/>
      <c r="U266" s="1" t="s">
        <v>315</v>
      </c>
      <c r="V266" s="11"/>
      <c r="W266" s="232"/>
      <c r="X266" s="304"/>
    </row>
    <row r="267" spans="1:24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1"/>
      <c r="L267" s="1" t="s">
        <v>315</v>
      </c>
      <c r="M267" s="9"/>
      <c r="N267" s="14">
        <f>Tabela13161718[[#This Row],[Valor_recibo]]</f>
        <v>0</v>
      </c>
      <c r="O267" s="16"/>
      <c r="P267" s="1" t="e">
        <f>VLOOKUP(Tabela13161718[[#This Row],[DT]],Aprovados!A:A,1,0)</f>
        <v>#N/A</v>
      </c>
      <c r="Q267" s="16"/>
      <c r="R267" s="16"/>
      <c r="S267" s="16" t="s">
        <v>315</v>
      </c>
      <c r="T267" s="9"/>
      <c r="U267" s="1" t="s">
        <v>315</v>
      </c>
      <c r="V267" s="11"/>
      <c r="W267" s="232"/>
      <c r="X267" s="304"/>
    </row>
    <row r="268" spans="1:24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1"/>
      <c r="L268" s="1" t="s">
        <v>315</v>
      </c>
      <c r="M268" s="9"/>
      <c r="N268" s="14">
        <f>Tabela13161718[[#This Row],[Valor_recibo]]</f>
        <v>0</v>
      </c>
      <c r="O268" s="16"/>
      <c r="P268" s="1" t="e">
        <f>VLOOKUP(Tabela13161718[[#This Row],[DT]],Aprovados!A:A,1,0)</f>
        <v>#N/A</v>
      </c>
      <c r="Q268" s="16"/>
      <c r="R268" s="16"/>
      <c r="S268" s="16" t="s">
        <v>315</v>
      </c>
      <c r="T268" s="9"/>
      <c r="U268" s="1" t="s">
        <v>315</v>
      </c>
      <c r="V268" s="11"/>
      <c r="W268" s="232"/>
      <c r="X268" s="304"/>
    </row>
    <row r="269" spans="1:24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1"/>
      <c r="L269" s="1" t="s">
        <v>315</v>
      </c>
      <c r="M269" s="9"/>
      <c r="N269" s="14">
        <f>Tabela13161718[[#This Row],[Valor_recibo]]</f>
        <v>0</v>
      </c>
      <c r="O269" s="16"/>
      <c r="P269" s="1" t="e">
        <f>VLOOKUP(Tabela13161718[[#This Row],[DT]],Aprovados!A:A,1,0)</f>
        <v>#N/A</v>
      </c>
      <c r="Q269" s="16"/>
      <c r="R269" s="16"/>
      <c r="S269" s="16" t="s">
        <v>315</v>
      </c>
      <c r="T269" s="9"/>
      <c r="U269" s="1" t="s">
        <v>315</v>
      </c>
      <c r="V269" s="11"/>
      <c r="W269" s="232"/>
      <c r="X269" s="304"/>
    </row>
    <row r="270" spans="1:24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1"/>
      <c r="L270" s="1" t="s">
        <v>315</v>
      </c>
      <c r="M270" s="9"/>
      <c r="N270" s="14">
        <f>Tabela13161718[[#This Row],[Valor_recibo]]</f>
        <v>0</v>
      </c>
      <c r="O270" s="16"/>
      <c r="P270" s="1" t="e">
        <f>VLOOKUP(Tabela13161718[[#This Row],[DT]],Aprovados!A:A,1,0)</f>
        <v>#N/A</v>
      </c>
      <c r="Q270" s="16"/>
      <c r="R270" s="16"/>
      <c r="S270" s="16" t="s">
        <v>315</v>
      </c>
      <c r="T270" s="9"/>
      <c r="U270" s="1" t="s">
        <v>315</v>
      </c>
      <c r="V270" s="11"/>
      <c r="W270" s="232"/>
      <c r="X270" s="304"/>
    </row>
    <row r="271" spans="1:24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1"/>
      <c r="L271" s="1" t="s">
        <v>315</v>
      </c>
      <c r="M271" s="9"/>
      <c r="N271" s="14">
        <f>Tabela13161718[[#This Row],[Valor_recibo]]</f>
        <v>0</v>
      </c>
      <c r="O271" s="16"/>
      <c r="P271" s="1" t="e">
        <f>VLOOKUP(Tabela13161718[[#This Row],[DT]],Aprovados!A:A,1,0)</f>
        <v>#N/A</v>
      </c>
      <c r="Q271" s="16"/>
      <c r="R271" s="16"/>
      <c r="S271" s="16" t="s">
        <v>315</v>
      </c>
      <c r="T271" s="9"/>
      <c r="U271" s="1" t="s">
        <v>315</v>
      </c>
      <c r="V271" s="11"/>
      <c r="W271" s="232"/>
      <c r="X271" s="304"/>
    </row>
    <row r="272" spans="1:24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1"/>
      <c r="L272" s="1" t="s">
        <v>315</v>
      </c>
      <c r="M272" s="9"/>
      <c r="N272" s="14">
        <f>Tabela13161718[[#This Row],[Valor_recibo]]</f>
        <v>0</v>
      </c>
      <c r="O272" s="16"/>
      <c r="P272" s="1" t="e">
        <f>VLOOKUP(Tabela13161718[[#This Row],[DT]],Aprovados!A:A,1,0)</f>
        <v>#N/A</v>
      </c>
      <c r="Q272" s="16"/>
      <c r="R272" s="16"/>
      <c r="S272" s="16" t="s">
        <v>315</v>
      </c>
      <c r="T272" s="9"/>
      <c r="U272" s="1" t="s">
        <v>315</v>
      </c>
      <c r="V272" s="11"/>
      <c r="W272" s="232"/>
      <c r="X272" s="304"/>
    </row>
    <row r="273" spans="1:24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1"/>
      <c r="L273" s="1" t="s">
        <v>315</v>
      </c>
      <c r="M273" s="9"/>
      <c r="N273" s="14">
        <f>Tabela13161718[[#This Row],[Valor_recibo]]</f>
        <v>0</v>
      </c>
      <c r="O273" s="16"/>
      <c r="P273" s="1" t="e">
        <f>VLOOKUP(Tabela13161718[[#This Row],[DT]],Aprovados!A:A,1,0)</f>
        <v>#N/A</v>
      </c>
      <c r="Q273" s="16"/>
      <c r="R273" s="16"/>
      <c r="S273" s="16" t="s">
        <v>315</v>
      </c>
      <c r="T273" s="9"/>
      <c r="U273" s="1" t="s">
        <v>315</v>
      </c>
      <c r="V273" s="11"/>
      <c r="W273" s="232"/>
      <c r="X273" s="304"/>
    </row>
    <row r="274" spans="1:24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1"/>
      <c r="L274" s="1" t="s">
        <v>315</v>
      </c>
      <c r="M274" s="9"/>
      <c r="N274" s="14">
        <f>Tabela13161718[[#This Row],[Valor_recibo]]</f>
        <v>0</v>
      </c>
      <c r="O274" s="16"/>
      <c r="P274" s="1" t="e">
        <f>VLOOKUP(Tabela13161718[[#This Row],[DT]],Aprovados!A:A,1,0)</f>
        <v>#N/A</v>
      </c>
      <c r="Q274" s="16"/>
      <c r="R274" s="16"/>
      <c r="S274" s="16" t="s">
        <v>315</v>
      </c>
      <c r="T274" s="9"/>
      <c r="U274" s="1" t="s">
        <v>315</v>
      </c>
      <c r="V274" s="11"/>
      <c r="W274" s="232"/>
      <c r="X274" s="304"/>
    </row>
    <row r="275" spans="1:24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1"/>
      <c r="L275" s="1" t="s">
        <v>315</v>
      </c>
      <c r="M275" s="9"/>
      <c r="N275" s="14">
        <f>Tabela13161718[[#This Row],[Valor_recibo]]</f>
        <v>0</v>
      </c>
      <c r="O275" s="16"/>
      <c r="P275" s="1" t="e">
        <f>VLOOKUP(Tabela13161718[[#This Row],[DT]],Aprovados!A:A,1,0)</f>
        <v>#N/A</v>
      </c>
      <c r="Q275" s="16"/>
      <c r="R275" s="16"/>
      <c r="S275" s="16" t="s">
        <v>315</v>
      </c>
      <c r="T275" s="9"/>
      <c r="U275" s="1" t="s">
        <v>315</v>
      </c>
      <c r="V275" s="11"/>
      <c r="W275" s="232"/>
      <c r="X275" s="304"/>
    </row>
    <row r="276" spans="1:24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1"/>
      <c r="L276" s="1" t="s">
        <v>315</v>
      </c>
      <c r="M276" s="9"/>
      <c r="N276" s="14">
        <f>Tabela13161718[[#This Row],[Valor_recibo]]</f>
        <v>0</v>
      </c>
      <c r="O276" s="16"/>
      <c r="P276" s="1" t="e">
        <f>VLOOKUP(Tabela13161718[[#This Row],[DT]],Aprovados!A:A,1,0)</f>
        <v>#N/A</v>
      </c>
      <c r="Q276" s="16"/>
      <c r="R276" s="16"/>
      <c r="S276" s="16" t="s">
        <v>315</v>
      </c>
      <c r="T276" s="9"/>
      <c r="U276" s="1" t="s">
        <v>315</v>
      </c>
      <c r="V276" s="11"/>
      <c r="W276" s="232"/>
      <c r="X276" s="304"/>
    </row>
    <row r="277" spans="1:24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1"/>
      <c r="L277" s="1" t="s">
        <v>315</v>
      </c>
      <c r="M277" s="9"/>
      <c r="N277" s="14">
        <f>Tabela13161718[[#This Row],[Valor_recibo]]</f>
        <v>0</v>
      </c>
      <c r="O277" s="16"/>
      <c r="P277" s="1" t="e">
        <f>VLOOKUP(Tabela13161718[[#This Row],[DT]],Aprovados!A:A,1,0)</f>
        <v>#N/A</v>
      </c>
      <c r="Q277" s="16"/>
      <c r="R277" s="16"/>
      <c r="S277" s="16" t="s">
        <v>315</v>
      </c>
      <c r="T277" s="9"/>
      <c r="U277" s="1" t="s">
        <v>315</v>
      </c>
      <c r="V277" s="11"/>
      <c r="W277" s="232"/>
      <c r="X277" s="304"/>
    </row>
    <row r="278" spans="1:24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1"/>
      <c r="L278" s="1" t="s">
        <v>315</v>
      </c>
      <c r="M278" s="9"/>
      <c r="N278" s="14">
        <f>Tabela13161718[[#This Row],[Valor_recibo]]</f>
        <v>0</v>
      </c>
      <c r="O278" s="16"/>
      <c r="P278" s="1" t="e">
        <f>VLOOKUP(Tabela13161718[[#This Row],[DT]],Aprovados!A:A,1,0)</f>
        <v>#N/A</v>
      </c>
      <c r="Q278" s="16"/>
      <c r="R278" s="16"/>
      <c r="S278" s="16" t="s">
        <v>315</v>
      </c>
      <c r="T278" s="9"/>
      <c r="U278" s="1" t="s">
        <v>315</v>
      </c>
      <c r="V278" s="11"/>
      <c r="W278" s="232"/>
      <c r="X278" s="304"/>
    </row>
    <row r="279" spans="1:24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1"/>
      <c r="L279" s="1" t="s">
        <v>315</v>
      </c>
      <c r="M279" s="9"/>
      <c r="N279" s="14">
        <f>Tabela13161718[[#This Row],[Valor_recibo]]</f>
        <v>0</v>
      </c>
      <c r="O279" s="16"/>
      <c r="P279" s="1" t="e">
        <f>VLOOKUP(Tabela13161718[[#This Row],[DT]],Aprovados!A:A,1,0)</f>
        <v>#N/A</v>
      </c>
      <c r="Q279" s="16"/>
      <c r="R279" s="16"/>
      <c r="S279" s="16" t="s">
        <v>315</v>
      </c>
      <c r="T279" s="9"/>
      <c r="U279" s="1" t="s">
        <v>315</v>
      </c>
      <c r="V279" s="11"/>
      <c r="W279" s="232"/>
      <c r="X279" s="304"/>
    </row>
    <row r="280" spans="1:24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1"/>
      <c r="L280" s="1" t="s">
        <v>315</v>
      </c>
      <c r="M280" s="9"/>
      <c r="N280" s="14">
        <f>Tabela13161718[[#This Row],[Valor_recibo]]</f>
        <v>0</v>
      </c>
      <c r="O280" s="16"/>
      <c r="P280" s="1" t="e">
        <f>VLOOKUP(Tabela13161718[[#This Row],[DT]],Aprovados!A:A,1,0)</f>
        <v>#N/A</v>
      </c>
      <c r="Q280" s="16"/>
      <c r="R280" s="16"/>
      <c r="S280" s="16" t="s">
        <v>315</v>
      </c>
      <c r="T280" s="9"/>
      <c r="U280" s="1" t="s">
        <v>315</v>
      </c>
      <c r="V280" s="11"/>
      <c r="W280" s="232"/>
      <c r="X280" s="304"/>
    </row>
    <row r="281" spans="1:24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1"/>
      <c r="L281" s="1" t="s">
        <v>315</v>
      </c>
      <c r="M281" s="9"/>
      <c r="N281" s="14">
        <f>Tabela13161718[[#This Row],[Valor_recibo]]</f>
        <v>0</v>
      </c>
      <c r="O281" s="16"/>
      <c r="P281" s="1" t="e">
        <f>VLOOKUP(Tabela13161718[[#This Row],[DT]],Aprovados!A:A,1,0)</f>
        <v>#N/A</v>
      </c>
      <c r="Q281" s="16"/>
      <c r="R281" s="16"/>
      <c r="S281" s="16" t="s">
        <v>315</v>
      </c>
      <c r="T281" s="9"/>
      <c r="U281" s="1" t="s">
        <v>315</v>
      </c>
      <c r="V281" s="11"/>
      <c r="W281" s="232"/>
      <c r="X281" s="304"/>
    </row>
    <row r="282" spans="1:24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1"/>
      <c r="L282" s="1" t="s">
        <v>315</v>
      </c>
      <c r="M282" s="9"/>
      <c r="N282" s="14">
        <f>Tabela13161718[[#This Row],[Valor_recibo]]</f>
        <v>0</v>
      </c>
      <c r="O282" s="16"/>
      <c r="P282" s="1" t="e">
        <f>VLOOKUP(Tabela13161718[[#This Row],[DT]],Aprovados!A:A,1,0)</f>
        <v>#N/A</v>
      </c>
      <c r="Q282" s="16"/>
      <c r="R282" s="16"/>
      <c r="S282" s="16" t="s">
        <v>315</v>
      </c>
      <c r="T282" s="9"/>
      <c r="U282" s="1" t="s">
        <v>315</v>
      </c>
      <c r="V282" s="11"/>
      <c r="W282" s="232"/>
      <c r="X282" s="304"/>
    </row>
    <row r="283" spans="1:24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1"/>
      <c r="L283" s="1" t="s">
        <v>315</v>
      </c>
      <c r="M283" s="9"/>
      <c r="N283" s="14">
        <f>Tabela13161718[[#This Row],[Valor_recibo]]</f>
        <v>0</v>
      </c>
      <c r="O283" s="16"/>
      <c r="P283" s="1" t="e">
        <f>VLOOKUP(Tabela13161718[[#This Row],[DT]],Aprovados!A:A,1,0)</f>
        <v>#N/A</v>
      </c>
      <c r="Q283" s="16"/>
      <c r="R283" s="16"/>
      <c r="S283" s="16" t="s">
        <v>315</v>
      </c>
      <c r="T283" s="9"/>
      <c r="U283" s="1" t="s">
        <v>315</v>
      </c>
      <c r="V283" s="11"/>
      <c r="W283" s="232"/>
      <c r="X283" s="304"/>
    </row>
    <row r="284" spans="1:24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1"/>
      <c r="L284" s="1" t="s">
        <v>315</v>
      </c>
      <c r="M284" s="9"/>
      <c r="N284" s="14">
        <f>Tabela13161718[[#This Row],[Valor_recibo]]</f>
        <v>0</v>
      </c>
      <c r="O284" s="16"/>
      <c r="P284" s="1" t="e">
        <f>VLOOKUP(Tabela13161718[[#This Row],[DT]],Aprovados!A:A,1,0)</f>
        <v>#N/A</v>
      </c>
      <c r="Q284" s="16"/>
      <c r="R284" s="16"/>
      <c r="S284" s="16" t="s">
        <v>315</v>
      </c>
      <c r="T284" s="9"/>
      <c r="U284" s="1" t="s">
        <v>315</v>
      </c>
      <c r="V284" s="11"/>
      <c r="W284" s="232"/>
      <c r="X284" s="304"/>
    </row>
    <row r="285" spans="1:24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1"/>
      <c r="L285" s="1" t="s">
        <v>315</v>
      </c>
      <c r="M285" s="9"/>
      <c r="N285" s="14">
        <f>Tabela13161718[[#This Row],[Valor_recibo]]</f>
        <v>0</v>
      </c>
      <c r="O285" s="16"/>
      <c r="P285" s="1" t="e">
        <f>VLOOKUP(Tabela13161718[[#This Row],[DT]],Aprovados!A:A,1,0)</f>
        <v>#N/A</v>
      </c>
      <c r="Q285" s="16"/>
      <c r="R285" s="16"/>
      <c r="S285" s="16" t="s">
        <v>315</v>
      </c>
      <c r="T285" s="9"/>
      <c r="U285" s="1" t="s">
        <v>315</v>
      </c>
      <c r="V285" s="11"/>
      <c r="W285" s="232"/>
      <c r="X285" s="304"/>
    </row>
    <row r="286" spans="1:24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1"/>
      <c r="L286" s="1" t="s">
        <v>315</v>
      </c>
      <c r="M286" s="9"/>
      <c r="N286" s="14">
        <f>Tabela13161718[[#This Row],[Valor_recibo]]</f>
        <v>0</v>
      </c>
      <c r="O286" s="16"/>
      <c r="P286" s="1" t="e">
        <f>VLOOKUP(Tabela13161718[[#This Row],[DT]],Aprovados!A:A,1,0)</f>
        <v>#N/A</v>
      </c>
      <c r="Q286" s="16"/>
      <c r="R286" s="16"/>
      <c r="S286" s="16" t="s">
        <v>315</v>
      </c>
      <c r="T286" s="9"/>
      <c r="U286" s="1" t="s">
        <v>315</v>
      </c>
      <c r="V286" s="11"/>
      <c r="W286" s="232"/>
      <c r="X286" s="304"/>
    </row>
    <row r="287" spans="1:24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1"/>
      <c r="L287" s="1" t="s">
        <v>315</v>
      </c>
      <c r="M287" s="9"/>
      <c r="N287" s="14">
        <f>Tabela13161718[[#This Row],[Valor_recibo]]</f>
        <v>0</v>
      </c>
      <c r="O287" s="16"/>
      <c r="P287" s="1" t="e">
        <f>VLOOKUP(Tabela13161718[[#This Row],[DT]],Aprovados!A:A,1,0)</f>
        <v>#N/A</v>
      </c>
      <c r="Q287" s="16"/>
      <c r="R287" s="16"/>
      <c r="S287" s="16" t="s">
        <v>315</v>
      </c>
      <c r="T287" s="9"/>
      <c r="U287" s="1" t="s">
        <v>315</v>
      </c>
      <c r="V287" s="11"/>
      <c r="W287" s="232"/>
      <c r="X287" s="304"/>
    </row>
    <row r="288" spans="1:24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1"/>
      <c r="L288" s="1" t="s">
        <v>315</v>
      </c>
      <c r="M288" s="9"/>
      <c r="N288" s="14">
        <f>Tabela13161718[[#This Row],[Valor_recibo]]</f>
        <v>0</v>
      </c>
      <c r="O288" s="16"/>
      <c r="P288" s="1" t="e">
        <f>VLOOKUP(Tabela13161718[[#This Row],[DT]],Aprovados!A:A,1,0)</f>
        <v>#N/A</v>
      </c>
      <c r="Q288" s="16"/>
      <c r="R288" s="16"/>
      <c r="S288" s="16" t="s">
        <v>315</v>
      </c>
      <c r="T288" s="9"/>
      <c r="U288" s="1" t="s">
        <v>315</v>
      </c>
      <c r="V288" s="11"/>
      <c r="W288" s="232"/>
      <c r="X288" s="304"/>
    </row>
    <row r="289" spans="1:24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1"/>
      <c r="L289" s="1" t="s">
        <v>315</v>
      </c>
      <c r="M289" s="9"/>
      <c r="N289" s="14">
        <f>Tabela13161718[[#This Row],[Valor_recibo]]</f>
        <v>0</v>
      </c>
      <c r="O289" s="16"/>
      <c r="P289" s="1" t="e">
        <f>VLOOKUP(Tabela13161718[[#This Row],[DT]],Aprovados!A:A,1,0)</f>
        <v>#N/A</v>
      </c>
      <c r="Q289" s="16"/>
      <c r="R289" s="16"/>
      <c r="S289" s="16" t="s">
        <v>315</v>
      </c>
      <c r="T289" s="9"/>
      <c r="U289" s="1" t="s">
        <v>315</v>
      </c>
      <c r="V289" s="11"/>
      <c r="W289" s="232"/>
      <c r="X289" s="304"/>
    </row>
    <row r="290" spans="1:24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1"/>
      <c r="L290" s="1" t="s">
        <v>315</v>
      </c>
      <c r="M290" s="9"/>
      <c r="N290" s="14">
        <f>Tabela13161718[[#This Row],[Valor_recibo]]</f>
        <v>0</v>
      </c>
      <c r="O290" s="16"/>
      <c r="P290" s="1" t="e">
        <f>VLOOKUP(Tabela13161718[[#This Row],[DT]],Aprovados!A:A,1,0)</f>
        <v>#N/A</v>
      </c>
      <c r="Q290" s="16"/>
      <c r="R290" s="16"/>
      <c r="S290" s="16" t="s">
        <v>315</v>
      </c>
      <c r="T290" s="9"/>
      <c r="U290" s="1" t="s">
        <v>315</v>
      </c>
      <c r="V290" s="11"/>
      <c r="W290" s="232"/>
      <c r="X290" s="304"/>
    </row>
    <row r="291" spans="1:24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1"/>
      <c r="L291" s="1" t="s">
        <v>315</v>
      </c>
      <c r="M291" s="9"/>
      <c r="N291" s="14">
        <f>Tabela13161718[[#This Row],[Valor_recibo]]</f>
        <v>0</v>
      </c>
      <c r="O291" s="16"/>
      <c r="P291" s="1" t="e">
        <f>VLOOKUP(Tabela13161718[[#This Row],[DT]],Aprovados!A:A,1,0)</f>
        <v>#N/A</v>
      </c>
      <c r="Q291" s="16"/>
      <c r="R291" s="16"/>
      <c r="S291" s="16" t="s">
        <v>315</v>
      </c>
      <c r="T291" s="9"/>
      <c r="U291" s="1" t="s">
        <v>315</v>
      </c>
      <c r="V291" s="11"/>
      <c r="W291" s="232"/>
      <c r="X291" s="304"/>
    </row>
    <row r="292" spans="1:24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1"/>
      <c r="L292" s="1" t="s">
        <v>315</v>
      </c>
      <c r="M292" s="9"/>
      <c r="N292" s="14">
        <f>Tabela13161718[[#This Row],[Valor_recibo]]</f>
        <v>0</v>
      </c>
      <c r="O292" s="16"/>
      <c r="P292" s="1" t="e">
        <f>VLOOKUP(Tabela13161718[[#This Row],[DT]],Aprovados!A:A,1,0)</f>
        <v>#N/A</v>
      </c>
      <c r="Q292" s="16"/>
      <c r="R292" s="16"/>
      <c r="S292" s="16" t="s">
        <v>315</v>
      </c>
      <c r="T292" s="9"/>
      <c r="U292" s="1" t="s">
        <v>315</v>
      </c>
      <c r="V292" s="11"/>
      <c r="W292" s="232"/>
      <c r="X292" s="304"/>
    </row>
    <row r="293" spans="1:24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1"/>
      <c r="L293" s="1" t="s">
        <v>315</v>
      </c>
      <c r="M293" s="9"/>
      <c r="N293" s="14">
        <f>Tabela13161718[[#This Row],[Valor_recibo]]</f>
        <v>0</v>
      </c>
      <c r="O293" s="16"/>
      <c r="P293" s="1" t="e">
        <f>VLOOKUP(Tabela13161718[[#This Row],[DT]],Aprovados!A:A,1,0)</f>
        <v>#N/A</v>
      </c>
      <c r="Q293" s="16"/>
      <c r="R293" s="16"/>
      <c r="S293" s="16" t="s">
        <v>315</v>
      </c>
      <c r="T293" s="9"/>
      <c r="U293" s="1" t="s">
        <v>315</v>
      </c>
      <c r="V293" s="11"/>
      <c r="W293" s="232"/>
      <c r="X293" s="304"/>
    </row>
    <row r="294" spans="1:24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1"/>
      <c r="L294" s="1" t="s">
        <v>315</v>
      </c>
      <c r="M294" s="9"/>
      <c r="N294" s="14">
        <f>Tabela13161718[[#This Row],[Valor_recibo]]</f>
        <v>0</v>
      </c>
      <c r="O294" s="16"/>
      <c r="P294" s="1" t="e">
        <f>VLOOKUP(Tabela13161718[[#This Row],[DT]],Aprovados!A:A,1,0)</f>
        <v>#N/A</v>
      </c>
      <c r="Q294" s="16"/>
      <c r="R294" s="16"/>
      <c r="S294" s="16" t="s">
        <v>315</v>
      </c>
      <c r="T294" s="9"/>
      <c r="U294" s="1" t="s">
        <v>315</v>
      </c>
      <c r="V294" s="11"/>
      <c r="W294" s="232"/>
      <c r="X294" s="304"/>
    </row>
    <row r="295" spans="1:24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1"/>
      <c r="L295" s="1" t="s">
        <v>315</v>
      </c>
      <c r="M295" s="9"/>
      <c r="N295" s="14">
        <f>Tabela13161718[[#This Row],[Valor_recibo]]</f>
        <v>0</v>
      </c>
      <c r="O295" s="16"/>
      <c r="P295" s="1" t="e">
        <f>VLOOKUP(Tabela13161718[[#This Row],[DT]],Aprovados!A:A,1,0)</f>
        <v>#N/A</v>
      </c>
      <c r="Q295" s="16"/>
      <c r="R295" s="16"/>
      <c r="S295" s="16" t="s">
        <v>315</v>
      </c>
      <c r="T295" s="9"/>
      <c r="U295" s="1" t="s">
        <v>315</v>
      </c>
      <c r="V295" s="11"/>
      <c r="W295" s="232"/>
      <c r="X295" s="304"/>
    </row>
    <row r="296" spans="1:24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1"/>
      <c r="L296" s="1" t="s">
        <v>315</v>
      </c>
      <c r="M296" s="9"/>
      <c r="N296" s="14">
        <f>Tabela13161718[[#This Row],[Valor_recibo]]</f>
        <v>0</v>
      </c>
      <c r="O296" s="16"/>
      <c r="P296" s="1" t="e">
        <f>VLOOKUP(Tabela13161718[[#This Row],[DT]],Aprovados!A:A,1,0)</f>
        <v>#N/A</v>
      </c>
      <c r="Q296" s="16"/>
      <c r="R296" s="16"/>
      <c r="S296" s="16" t="s">
        <v>315</v>
      </c>
      <c r="T296" s="9"/>
      <c r="U296" s="1" t="s">
        <v>315</v>
      </c>
      <c r="V296" s="11"/>
      <c r="W296" s="232"/>
      <c r="X296" s="304"/>
    </row>
    <row r="297" spans="1:24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1"/>
      <c r="L297" s="1" t="s">
        <v>315</v>
      </c>
      <c r="M297" s="9"/>
      <c r="N297" s="14">
        <f>Tabela13161718[[#This Row],[Valor_recibo]]</f>
        <v>0</v>
      </c>
      <c r="O297" s="16"/>
      <c r="P297" s="1" t="e">
        <f>VLOOKUP(Tabela13161718[[#This Row],[DT]],Aprovados!A:A,1,0)</f>
        <v>#N/A</v>
      </c>
      <c r="Q297" s="16"/>
      <c r="R297" s="16"/>
      <c r="S297" s="16" t="s">
        <v>315</v>
      </c>
      <c r="T297" s="9"/>
      <c r="U297" s="1" t="s">
        <v>315</v>
      </c>
      <c r="V297" s="11"/>
      <c r="W297" s="232"/>
      <c r="X297" s="304"/>
    </row>
    <row r="298" spans="1:24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1"/>
      <c r="L298" s="1" t="s">
        <v>315</v>
      </c>
      <c r="M298" s="9"/>
      <c r="N298" s="14">
        <f>Tabela13161718[[#This Row],[Valor_recibo]]</f>
        <v>0</v>
      </c>
      <c r="O298" s="16"/>
      <c r="P298" s="1" t="e">
        <f>VLOOKUP(Tabela13161718[[#This Row],[DT]],Aprovados!A:A,1,0)</f>
        <v>#N/A</v>
      </c>
      <c r="Q298" s="16"/>
      <c r="R298" s="16"/>
      <c r="S298" s="16" t="s">
        <v>315</v>
      </c>
      <c r="T298" s="9"/>
      <c r="U298" s="1" t="s">
        <v>315</v>
      </c>
      <c r="V298" s="11"/>
      <c r="W298" s="232"/>
      <c r="X298" s="304"/>
    </row>
    <row r="299" spans="1:24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1"/>
      <c r="L299" s="1" t="s">
        <v>315</v>
      </c>
      <c r="M299" s="9"/>
      <c r="N299" s="14">
        <f>Tabela13161718[[#This Row],[Valor_recibo]]</f>
        <v>0</v>
      </c>
      <c r="O299" s="16"/>
      <c r="P299" s="1" t="e">
        <f>VLOOKUP(Tabela13161718[[#This Row],[DT]],Aprovados!A:A,1,0)</f>
        <v>#N/A</v>
      </c>
      <c r="Q299" s="16"/>
      <c r="R299" s="16"/>
      <c r="S299" s="16" t="s">
        <v>315</v>
      </c>
      <c r="T299" s="9"/>
      <c r="U299" s="1" t="s">
        <v>315</v>
      </c>
      <c r="V299" s="11"/>
      <c r="W299" s="232"/>
      <c r="X299" s="304"/>
    </row>
    <row r="300" spans="1:24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1"/>
      <c r="L300" s="1" t="s">
        <v>315</v>
      </c>
      <c r="M300" s="9"/>
      <c r="N300" s="14">
        <f>Tabela13161718[[#This Row],[Valor_recibo]]</f>
        <v>0</v>
      </c>
      <c r="O300" s="16"/>
      <c r="P300" s="1" t="e">
        <f>VLOOKUP(Tabela13161718[[#This Row],[DT]],Aprovados!A:A,1,0)</f>
        <v>#N/A</v>
      </c>
      <c r="Q300" s="16"/>
      <c r="R300" s="16"/>
      <c r="S300" s="16" t="s">
        <v>315</v>
      </c>
      <c r="T300" s="9"/>
      <c r="U300" s="1" t="s">
        <v>315</v>
      </c>
      <c r="V300" s="11"/>
      <c r="W300" s="232"/>
      <c r="X300" s="304"/>
    </row>
    <row r="301" spans="1:24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1"/>
      <c r="L301" s="1" t="s">
        <v>315</v>
      </c>
      <c r="M301" s="9"/>
      <c r="N301" s="14">
        <f>Tabela13161718[[#This Row],[Valor_recibo]]</f>
        <v>0</v>
      </c>
      <c r="O301" s="16"/>
      <c r="P301" s="1" t="e">
        <f>VLOOKUP(Tabela13161718[[#This Row],[DT]],Aprovados!A:A,1,0)</f>
        <v>#N/A</v>
      </c>
      <c r="Q301" s="16"/>
      <c r="R301" s="16"/>
      <c r="S301" s="16" t="s">
        <v>315</v>
      </c>
      <c r="T301" s="9"/>
      <c r="U301" s="1" t="s">
        <v>315</v>
      </c>
      <c r="V301" s="11"/>
      <c r="W301" s="232"/>
      <c r="X301" s="304"/>
    </row>
    <row r="302" spans="1:24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1"/>
      <c r="L302" s="1" t="s">
        <v>315</v>
      </c>
      <c r="M302" s="9"/>
      <c r="N302" s="14">
        <f>Tabela13161718[[#This Row],[Valor_recibo]]</f>
        <v>0</v>
      </c>
      <c r="O302" s="16"/>
      <c r="P302" s="1" t="e">
        <f>VLOOKUP(Tabela13161718[[#This Row],[DT]],Aprovados!A:A,1,0)</f>
        <v>#N/A</v>
      </c>
      <c r="Q302" s="16"/>
      <c r="R302" s="16"/>
      <c r="S302" s="16" t="s">
        <v>315</v>
      </c>
      <c r="T302" s="9"/>
      <c r="U302" s="1" t="s">
        <v>315</v>
      </c>
      <c r="V302" s="11"/>
      <c r="W302" s="232"/>
      <c r="X302" s="304"/>
    </row>
    <row r="303" spans="1:24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1"/>
      <c r="L303" s="1" t="s">
        <v>315</v>
      </c>
      <c r="M303" s="9"/>
      <c r="N303" s="14">
        <f>Tabela13161718[[#This Row],[Valor_recibo]]</f>
        <v>0</v>
      </c>
      <c r="O303" s="16"/>
      <c r="P303" s="1" t="e">
        <f>VLOOKUP(Tabela13161718[[#This Row],[DT]],Aprovados!A:A,1,0)</f>
        <v>#N/A</v>
      </c>
      <c r="Q303" s="16"/>
      <c r="R303" s="16"/>
      <c r="S303" s="16" t="s">
        <v>315</v>
      </c>
      <c r="T303" s="9"/>
      <c r="U303" s="1" t="s">
        <v>315</v>
      </c>
      <c r="V303" s="11"/>
      <c r="W303" s="232"/>
      <c r="X303" s="304"/>
    </row>
    <row r="304" spans="1:24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1"/>
      <c r="L304" s="1" t="s">
        <v>315</v>
      </c>
      <c r="M304" s="9"/>
      <c r="N304" s="14">
        <f>Tabela13161718[[#This Row],[Valor_recibo]]</f>
        <v>0</v>
      </c>
      <c r="O304" s="16"/>
      <c r="P304" s="1" t="e">
        <f>VLOOKUP(Tabela13161718[[#This Row],[DT]],Aprovados!A:A,1,0)</f>
        <v>#N/A</v>
      </c>
      <c r="Q304" s="16"/>
      <c r="R304" s="16"/>
      <c r="S304" s="16" t="s">
        <v>315</v>
      </c>
      <c r="T304" s="9"/>
      <c r="U304" s="1" t="s">
        <v>315</v>
      </c>
      <c r="V304" s="11"/>
      <c r="W304" s="232"/>
      <c r="X304" s="304"/>
    </row>
    <row r="305" spans="1:24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1"/>
      <c r="L305" s="1" t="s">
        <v>315</v>
      </c>
      <c r="M305" s="9"/>
      <c r="N305" s="14">
        <f>Tabela13161718[[#This Row],[Valor_recibo]]</f>
        <v>0</v>
      </c>
      <c r="O305" s="16"/>
      <c r="P305" s="1" t="e">
        <f>VLOOKUP(Tabela13161718[[#This Row],[DT]],Aprovados!A:A,1,0)</f>
        <v>#N/A</v>
      </c>
      <c r="Q305" s="16"/>
      <c r="R305" s="16"/>
      <c r="S305" s="16" t="s">
        <v>315</v>
      </c>
      <c r="T305" s="9"/>
      <c r="U305" s="1" t="s">
        <v>315</v>
      </c>
      <c r="V305" s="11"/>
      <c r="W305" s="232"/>
      <c r="X305" s="304"/>
    </row>
    <row r="306" spans="1:24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1"/>
      <c r="L306" s="1" t="s">
        <v>315</v>
      </c>
      <c r="M306" s="9"/>
      <c r="N306" s="14">
        <f>Tabela13161718[[#This Row],[Valor_recibo]]</f>
        <v>0</v>
      </c>
      <c r="O306" s="16"/>
      <c r="P306" s="1" t="e">
        <f>VLOOKUP(Tabela13161718[[#This Row],[DT]],Aprovados!A:A,1,0)</f>
        <v>#N/A</v>
      </c>
      <c r="Q306" s="16"/>
      <c r="R306" s="16"/>
      <c r="S306" s="16" t="s">
        <v>315</v>
      </c>
      <c r="T306" s="9"/>
      <c r="U306" s="1" t="s">
        <v>315</v>
      </c>
      <c r="V306" s="11"/>
      <c r="W306" s="232"/>
      <c r="X306" s="304"/>
    </row>
    <row r="307" spans="1:24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1"/>
      <c r="L307" s="1" t="s">
        <v>315</v>
      </c>
      <c r="M307" s="9"/>
      <c r="N307" s="14">
        <f>Tabela13161718[[#This Row],[Valor_recibo]]</f>
        <v>0</v>
      </c>
      <c r="O307" s="16"/>
      <c r="P307" s="1" t="e">
        <f>VLOOKUP(Tabela13161718[[#This Row],[DT]],Aprovados!A:A,1,0)</f>
        <v>#N/A</v>
      </c>
      <c r="Q307" s="16"/>
      <c r="R307" s="16"/>
      <c r="S307" s="16" t="s">
        <v>315</v>
      </c>
      <c r="T307" s="9"/>
      <c r="U307" s="1" t="s">
        <v>315</v>
      </c>
      <c r="V307" s="11"/>
      <c r="W307" s="232"/>
      <c r="X307" s="304"/>
    </row>
    <row r="308" spans="1:24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1"/>
      <c r="L308" s="1" t="s">
        <v>315</v>
      </c>
      <c r="M308" s="9"/>
      <c r="N308" s="14">
        <f>Tabela13161718[[#This Row],[Valor_recibo]]</f>
        <v>0</v>
      </c>
      <c r="O308" s="16"/>
      <c r="P308" s="1" t="e">
        <f>VLOOKUP(Tabela13161718[[#This Row],[DT]],Aprovados!A:A,1,0)</f>
        <v>#N/A</v>
      </c>
      <c r="Q308" s="16"/>
      <c r="R308" s="16"/>
      <c r="S308" s="16" t="s">
        <v>315</v>
      </c>
      <c r="T308" s="9"/>
      <c r="U308" s="1" t="s">
        <v>315</v>
      </c>
      <c r="V308" s="11"/>
      <c r="W308" s="232"/>
      <c r="X308" s="304"/>
    </row>
    <row r="309" spans="1:24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1"/>
      <c r="L309" s="1" t="s">
        <v>315</v>
      </c>
      <c r="M309" s="9"/>
      <c r="N309" s="14">
        <f>Tabela13161718[[#This Row],[Valor_recibo]]</f>
        <v>0</v>
      </c>
      <c r="O309" s="16"/>
      <c r="P309" s="1" t="e">
        <f>VLOOKUP(Tabela13161718[[#This Row],[DT]],Aprovados!A:A,1,0)</f>
        <v>#N/A</v>
      </c>
      <c r="Q309" s="16"/>
      <c r="R309" s="16"/>
      <c r="S309" s="16" t="s">
        <v>315</v>
      </c>
      <c r="T309" s="9"/>
      <c r="U309" s="1" t="s">
        <v>315</v>
      </c>
      <c r="V309" s="11"/>
      <c r="W309" s="232"/>
      <c r="X309" s="304"/>
    </row>
    <row r="310" spans="1:24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1"/>
      <c r="L310" s="1" t="s">
        <v>315</v>
      </c>
      <c r="M310" s="9"/>
      <c r="N310" s="14">
        <f>Tabela13161718[[#This Row],[Valor_recibo]]</f>
        <v>0</v>
      </c>
      <c r="O310" s="16"/>
      <c r="P310" s="1" t="e">
        <f>VLOOKUP(Tabela13161718[[#This Row],[DT]],Aprovados!A:A,1,0)</f>
        <v>#N/A</v>
      </c>
      <c r="Q310" s="16"/>
      <c r="R310" s="16"/>
      <c r="S310" s="16" t="s">
        <v>315</v>
      </c>
      <c r="T310" s="9"/>
      <c r="U310" s="1" t="s">
        <v>315</v>
      </c>
      <c r="V310" s="11"/>
      <c r="W310" s="232"/>
      <c r="X310" s="304"/>
    </row>
    <row r="311" spans="1:24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1"/>
      <c r="L311" s="1" t="s">
        <v>315</v>
      </c>
      <c r="M311" s="9"/>
      <c r="N311" s="14">
        <f>Tabela13161718[[#This Row],[Valor_recibo]]</f>
        <v>0</v>
      </c>
      <c r="O311" s="16"/>
      <c r="P311" s="1" t="e">
        <f>VLOOKUP(Tabela13161718[[#This Row],[DT]],Aprovados!A:A,1,0)</f>
        <v>#N/A</v>
      </c>
      <c r="Q311" s="16"/>
      <c r="R311" s="16"/>
      <c r="S311" s="16" t="s">
        <v>315</v>
      </c>
      <c r="T311" s="9"/>
      <c r="U311" s="1" t="s">
        <v>315</v>
      </c>
      <c r="V311" s="11"/>
      <c r="W311" s="232"/>
      <c r="X311" s="304"/>
    </row>
    <row r="312" spans="1:24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1"/>
      <c r="L312" s="1" t="s">
        <v>315</v>
      </c>
      <c r="M312" s="9"/>
      <c r="N312" s="14">
        <f>Tabela13161718[[#This Row],[Valor_recibo]]</f>
        <v>0</v>
      </c>
      <c r="O312" s="16"/>
      <c r="P312" s="1" t="e">
        <f>VLOOKUP(Tabela13161718[[#This Row],[DT]],Aprovados!A:A,1,0)</f>
        <v>#N/A</v>
      </c>
      <c r="Q312" s="16"/>
      <c r="R312" s="16"/>
      <c r="S312" s="16" t="s">
        <v>315</v>
      </c>
      <c r="T312" s="9"/>
      <c r="U312" s="1" t="s">
        <v>315</v>
      </c>
      <c r="V312" s="11"/>
      <c r="W312" s="232"/>
      <c r="X312" s="304"/>
    </row>
    <row r="313" spans="1:24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1"/>
      <c r="L313" s="1" t="s">
        <v>315</v>
      </c>
      <c r="M313" s="9"/>
      <c r="N313" s="14">
        <f>Tabela13161718[[#This Row],[Valor_recibo]]</f>
        <v>0</v>
      </c>
      <c r="O313" s="16"/>
      <c r="P313" s="1" t="e">
        <f>VLOOKUP(Tabela13161718[[#This Row],[DT]],Aprovados!A:A,1,0)</f>
        <v>#N/A</v>
      </c>
      <c r="Q313" s="16"/>
      <c r="R313" s="16"/>
      <c r="S313" s="16" t="s">
        <v>315</v>
      </c>
      <c r="T313" s="9"/>
      <c r="U313" s="1" t="s">
        <v>315</v>
      </c>
      <c r="V313" s="11"/>
      <c r="W313" s="232"/>
      <c r="X313" s="304"/>
    </row>
    <row r="314" spans="1:24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1"/>
      <c r="L314" s="1" t="s">
        <v>315</v>
      </c>
      <c r="M314" s="9"/>
      <c r="N314" s="14">
        <f>Tabela13161718[[#This Row],[Valor_recibo]]</f>
        <v>0</v>
      </c>
      <c r="O314" s="16"/>
      <c r="P314" s="1" t="e">
        <f>VLOOKUP(Tabela13161718[[#This Row],[DT]],Aprovados!A:A,1,0)</f>
        <v>#N/A</v>
      </c>
      <c r="Q314" s="16"/>
      <c r="R314" s="16"/>
      <c r="S314" s="16" t="s">
        <v>315</v>
      </c>
      <c r="T314" s="9"/>
      <c r="U314" s="1" t="s">
        <v>315</v>
      </c>
      <c r="V314" s="11"/>
      <c r="W314" s="232"/>
      <c r="X314" s="304"/>
    </row>
    <row r="315" spans="1:24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1"/>
      <c r="L315" s="1" t="s">
        <v>315</v>
      </c>
      <c r="M315" s="9"/>
      <c r="N315" s="14">
        <f>Tabela13161718[[#This Row],[Valor_recibo]]</f>
        <v>0</v>
      </c>
      <c r="O315" s="16"/>
      <c r="P315" s="1" t="e">
        <f>VLOOKUP(Tabela13161718[[#This Row],[DT]],Aprovados!A:A,1,0)</f>
        <v>#N/A</v>
      </c>
      <c r="Q315" s="16"/>
      <c r="R315" s="16"/>
      <c r="S315" s="16" t="s">
        <v>315</v>
      </c>
      <c r="T315" s="9"/>
      <c r="U315" s="1" t="s">
        <v>315</v>
      </c>
      <c r="V315" s="11"/>
      <c r="W315" s="232"/>
      <c r="X315" s="304"/>
    </row>
    <row r="316" spans="1:24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1"/>
      <c r="L316" s="1" t="s">
        <v>315</v>
      </c>
      <c r="M316" s="9"/>
      <c r="N316" s="14">
        <f>Tabela13161718[[#This Row],[Valor_recibo]]</f>
        <v>0</v>
      </c>
      <c r="O316" s="16"/>
      <c r="P316" s="1" t="e">
        <f>VLOOKUP(Tabela13161718[[#This Row],[DT]],Aprovados!A:A,1,0)</f>
        <v>#N/A</v>
      </c>
      <c r="Q316" s="16"/>
      <c r="R316" s="16"/>
      <c r="S316" s="16" t="s">
        <v>315</v>
      </c>
      <c r="T316" s="9"/>
      <c r="U316" s="1" t="s">
        <v>315</v>
      </c>
      <c r="V316" s="11"/>
      <c r="W316" s="232"/>
      <c r="X316" s="304"/>
    </row>
    <row r="317" spans="1:24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1"/>
      <c r="L317" s="1" t="s">
        <v>315</v>
      </c>
      <c r="M317" s="9"/>
      <c r="N317" s="14">
        <f>Tabela13161718[[#This Row],[Valor_recibo]]</f>
        <v>0</v>
      </c>
      <c r="O317" s="16"/>
      <c r="P317" s="1" t="e">
        <f>VLOOKUP(Tabela13161718[[#This Row],[DT]],Aprovados!A:A,1,0)</f>
        <v>#N/A</v>
      </c>
      <c r="Q317" s="16"/>
      <c r="R317" s="16"/>
      <c r="S317" s="16" t="s">
        <v>315</v>
      </c>
      <c r="T317" s="9"/>
      <c r="U317" s="1" t="s">
        <v>315</v>
      </c>
      <c r="V317" s="11"/>
      <c r="W317" s="232"/>
      <c r="X317" s="304"/>
    </row>
    <row r="318" spans="1:24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1"/>
      <c r="L318" s="1" t="s">
        <v>315</v>
      </c>
      <c r="M318" s="9"/>
      <c r="N318" s="14">
        <f>Tabela13161718[[#This Row],[Valor_recibo]]</f>
        <v>0</v>
      </c>
      <c r="O318" s="16"/>
      <c r="P318" s="1" t="e">
        <f>VLOOKUP(Tabela13161718[[#This Row],[DT]],Aprovados!A:A,1,0)</f>
        <v>#N/A</v>
      </c>
      <c r="Q318" s="16"/>
      <c r="R318" s="16"/>
      <c r="S318" s="16" t="s">
        <v>315</v>
      </c>
      <c r="T318" s="9"/>
      <c r="U318" s="1" t="s">
        <v>315</v>
      </c>
      <c r="V318" s="11"/>
      <c r="W318" s="232"/>
      <c r="X318" s="304"/>
    </row>
    <row r="319" spans="1:24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1"/>
      <c r="L319" s="1" t="s">
        <v>315</v>
      </c>
      <c r="M319" s="9"/>
      <c r="N319" s="14">
        <f>Tabela13161718[[#This Row],[Valor_recibo]]</f>
        <v>0</v>
      </c>
      <c r="O319" s="16"/>
      <c r="P319" s="1" t="e">
        <f>VLOOKUP(Tabela13161718[[#This Row],[DT]],Aprovados!A:A,1,0)</f>
        <v>#N/A</v>
      </c>
      <c r="Q319" s="16"/>
      <c r="R319" s="16"/>
      <c r="S319" s="16" t="s">
        <v>315</v>
      </c>
      <c r="T319" s="9"/>
      <c r="U319" s="1" t="s">
        <v>315</v>
      </c>
      <c r="V319" s="11"/>
      <c r="W319" s="232"/>
      <c r="X319" s="304"/>
    </row>
    <row r="320" spans="1:24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1"/>
      <c r="L320" s="1" t="s">
        <v>315</v>
      </c>
      <c r="M320" s="9"/>
      <c r="N320" s="14">
        <f>Tabela13161718[[#This Row],[Valor_recibo]]</f>
        <v>0</v>
      </c>
      <c r="O320" s="16"/>
      <c r="P320" s="1" t="e">
        <f>VLOOKUP(Tabela13161718[[#This Row],[DT]],Aprovados!A:A,1,0)</f>
        <v>#N/A</v>
      </c>
      <c r="Q320" s="16"/>
      <c r="R320" s="16"/>
      <c r="S320" s="16" t="s">
        <v>315</v>
      </c>
      <c r="T320" s="9"/>
      <c r="U320" s="1" t="s">
        <v>315</v>
      </c>
      <c r="V320" s="11"/>
      <c r="W320" s="232"/>
      <c r="X320" s="304"/>
    </row>
    <row r="321" spans="1:24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1"/>
      <c r="L321" s="1" t="s">
        <v>315</v>
      </c>
      <c r="M321" s="9"/>
      <c r="N321" s="14">
        <f>Tabela13161718[[#This Row],[Valor_recibo]]</f>
        <v>0</v>
      </c>
      <c r="O321" s="16"/>
      <c r="P321" s="1" t="e">
        <f>VLOOKUP(Tabela13161718[[#This Row],[DT]],Aprovados!A:A,1,0)</f>
        <v>#N/A</v>
      </c>
      <c r="Q321" s="16"/>
      <c r="R321" s="16"/>
      <c r="S321" s="16" t="s">
        <v>315</v>
      </c>
      <c r="T321" s="9"/>
      <c r="U321" s="1" t="s">
        <v>315</v>
      </c>
      <c r="V321" s="11"/>
      <c r="W321" s="232"/>
      <c r="X321" s="304"/>
    </row>
    <row r="322" spans="1:24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1"/>
      <c r="L322" s="1" t="s">
        <v>315</v>
      </c>
      <c r="M322" s="9"/>
      <c r="N322" s="14">
        <f>Tabela13161718[[#This Row],[Valor_recibo]]</f>
        <v>0</v>
      </c>
      <c r="O322" s="16"/>
      <c r="P322" s="1" t="e">
        <f>VLOOKUP(Tabela13161718[[#This Row],[DT]],Aprovados!A:A,1,0)</f>
        <v>#N/A</v>
      </c>
      <c r="Q322" s="16"/>
      <c r="R322" s="16"/>
      <c r="S322" s="16" t="s">
        <v>315</v>
      </c>
      <c r="T322" s="9"/>
      <c r="U322" s="1" t="s">
        <v>315</v>
      </c>
      <c r="V322" s="11"/>
      <c r="W322" s="232"/>
      <c r="X322" s="304"/>
    </row>
    <row r="323" spans="1:24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1"/>
      <c r="L323" s="1" t="s">
        <v>315</v>
      </c>
      <c r="M323" s="9"/>
      <c r="N323" s="14">
        <f>Tabela13161718[[#This Row],[Valor_recibo]]</f>
        <v>0</v>
      </c>
      <c r="O323" s="16"/>
      <c r="P323" s="1" t="e">
        <f>VLOOKUP(Tabela13161718[[#This Row],[DT]],Aprovados!A:A,1,0)</f>
        <v>#N/A</v>
      </c>
      <c r="Q323" s="16"/>
      <c r="R323" s="16"/>
      <c r="S323" s="16" t="s">
        <v>315</v>
      </c>
      <c r="T323" s="9"/>
      <c r="U323" s="1" t="s">
        <v>315</v>
      </c>
      <c r="V323" s="11"/>
      <c r="W323" s="232"/>
      <c r="X323" s="304"/>
    </row>
    <row r="324" spans="1:24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1"/>
      <c r="L324" s="1" t="s">
        <v>315</v>
      </c>
      <c r="M324" s="9"/>
      <c r="N324" s="14">
        <f>Tabela13161718[[#This Row],[Valor_recibo]]</f>
        <v>0</v>
      </c>
      <c r="O324" s="16"/>
      <c r="P324" s="1" t="e">
        <f>VLOOKUP(Tabela13161718[[#This Row],[DT]],Aprovados!A:A,1,0)</f>
        <v>#N/A</v>
      </c>
      <c r="Q324" s="16"/>
      <c r="R324" s="16"/>
      <c r="S324" s="16" t="s">
        <v>315</v>
      </c>
      <c r="T324" s="9"/>
      <c r="U324" s="1" t="s">
        <v>315</v>
      </c>
      <c r="V324" s="11"/>
      <c r="W324" s="232"/>
      <c r="X324" s="304"/>
    </row>
    <row r="325" spans="1:24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1"/>
      <c r="L325" s="1" t="s">
        <v>315</v>
      </c>
      <c r="M325" s="9"/>
      <c r="N325" s="14">
        <f>Tabela13161718[[#This Row],[Valor_recibo]]</f>
        <v>0</v>
      </c>
      <c r="O325" s="16"/>
      <c r="P325" s="1" t="e">
        <f>VLOOKUP(Tabela13161718[[#This Row],[DT]],Aprovados!A:A,1,0)</f>
        <v>#N/A</v>
      </c>
      <c r="Q325" s="16"/>
      <c r="R325" s="16"/>
      <c r="S325" s="16" t="s">
        <v>315</v>
      </c>
      <c r="T325" s="9"/>
      <c r="U325" s="1" t="s">
        <v>315</v>
      </c>
      <c r="V325" s="11"/>
      <c r="W325" s="232"/>
      <c r="X325" s="304"/>
    </row>
    <row r="326" spans="1:24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1"/>
      <c r="L326" s="1" t="s">
        <v>315</v>
      </c>
      <c r="M326" s="9"/>
      <c r="N326" s="14">
        <f>Tabela13161718[[#This Row],[Valor_recibo]]</f>
        <v>0</v>
      </c>
      <c r="O326" s="16"/>
      <c r="P326" s="1" t="e">
        <f>VLOOKUP(Tabela13161718[[#This Row],[DT]],Aprovados!A:A,1,0)</f>
        <v>#N/A</v>
      </c>
      <c r="Q326" s="16"/>
      <c r="R326" s="16"/>
      <c r="S326" s="16" t="s">
        <v>315</v>
      </c>
      <c r="T326" s="9"/>
      <c r="U326" s="1" t="s">
        <v>315</v>
      </c>
      <c r="V326" s="11"/>
      <c r="W326" s="232"/>
      <c r="X326" s="304"/>
    </row>
    <row r="327" spans="1:24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1"/>
      <c r="L327" s="1" t="s">
        <v>315</v>
      </c>
      <c r="M327" s="9"/>
      <c r="N327" s="14">
        <f>Tabela13161718[[#This Row],[Valor_recibo]]</f>
        <v>0</v>
      </c>
      <c r="O327" s="16"/>
      <c r="P327" s="1" t="e">
        <f>VLOOKUP(Tabela13161718[[#This Row],[DT]],Aprovados!A:A,1,0)</f>
        <v>#N/A</v>
      </c>
      <c r="Q327" s="16"/>
      <c r="R327" s="16"/>
      <c r="S327" s="16" t="s">
        <v>315</v>
      </c>
      <c r="T327" s="9"/>
      <c r="U327" s="1" t="s">
        <v>315</v>
      </c>
      <c r="V327" s="11"/>
      <c r="W327" s="232"/>
      <c r="X327" s="304"/>
    </row>
    <row r="328" spans="1:24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1"/>
      <c r="L328" s="1" t="s">
        <v>315</v>
      </c>
      <c r="M328" s="9"/>
      <c r="N328" s="14">
        <f>Tabela13161718[[#This Row],[Valor_recibo]]</f>
        <v>0</v>
      </c>
      <c r="O328" s="16"/>
      <c r="P328" s="1" t="e">
        <f>VLOOKUP(Tabela13161718[[#This Row],[DT]],Aprovados!A:A,1,0)</f>
        <v>#N/A</v>
      </c>
      <c r="Q328" s="16"/>
      <c r="R328" s="16"/>
      <c r="S328" s="16" t="s">
        <v>315</v>
      </c>
      <c r="T328" s="9"/>
      <c r="U328" s="1" t="s">
        <v>315</v>
      </c>
      <c r="V328" s="11"/>
      <c r="W328" s="232"/>
      <c r="X328" s="304"/>
    </row>
    <row r="329" spans="1:24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1"/>
      <c r="L329" s="1" t="s">
        <v>315</v>
      </c>
      <c r="M329" s="9"/>
      <c r="N329" s="14">
        <f>Tabela13161718[[#This Row],[Valor_recibo]]</f>
        <v>0</v>
      </c>
      <c r="O329" s="16"/>
      <c r="P329" s="1" t="e">
        <f>VLOOKUP(Tabela13161718[[#This Row],[DT]],Aprovados!A:A,1,0)</f>
        <v>#N/A</v>
      </c>
      <c r="Q329" s="16"/>
      <c r="R329" s="16"/>
      <c r="S329" s="16" t="s">
        <v>315</v>
      </c>
      <c r="T329" s="9"/>
      <c r="U329" s="1" t="s">
        <v>315</v>
      </c>
      <c r="V329" s="11"/>
      <c r="W329" s="232"/>
      <c r="X329" s="304"/>
    </row>
    <row r="330" spans="1:24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1"/>
      <c r="L330" s="1" t="s">
        <v>315</v>
      </c>
      <c r="M330" s="9"/>
      <c r="N330" s="14">
        <f>Tabela13161718[[#This Row],[Valor_recibo]]</f>
        <v>0</v>
      </c>
      <c r="O330" s="16"/>
      <c r="P330" s="1" t="e">
        <f>VLOOKUP(Tabela13161718[[#This Row],[DT]],Aprovados!A:A,1,0)</f>
        <v>#N/A</v>
      </c>
      <c r="Q330" s="16"/>
      <c r="R330" s="16"/>
      <c r="S330" s="16" t="s">
        <v>315</v>
      </c>
      <c r="T330" s="9"/>
      <c r="U330" s="1" t="s">
        <v>315</v>
      </c>
      <c r="V330" s="11"/>
      <c r="W330" s="232"/>
      <c r="X330" s="304"/>
    </row>
    <row r="331" spans="1:24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1"/>
      <c r="L331" s="1" t="s">
        <v>315</v>
      </c>
      <c r="M331" s="9"/>
      <c r="N331" s="14">
        <f>Tabela13161718[[#This Row],[Valor_recibo]]</f>
        <v>0</v>
      </c>
      <c r="O331" s="16"/>
      <c r="P331" s="1" t="e">
        <f>VLOOKUP(Tabela13161718[[#This Row],[DT]],Aprovados!A:A,1,0)</f>
        <v>#N/A</v>
      </c>
      <c r="Q331" s="16"/>
      <c r="R331" s="16"/>
      <c r="S331" s="16" t="s">
        <v>315</v>
      </c>
      <c r="T331" s="9"/>
      <c r="U331" s="1" t="s">
        <v>315</v>
      </c>
      <c r="V331" s="11"/>
      <c r="W331" s="232"/>
      <c r="X331" s="304"/>
    </row>
    <row r="332" spans="1:24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1"/>
      <c r="L332" s="1" t="s">
        <v>315</v>
      </c>
      <c r="M332" s="9"/>
      <c r="N332" s="14">
        <f>Tabela13161718[[#This Row],[Valor_recibo]]</f>
        <v>0</v>
      </c>
      <c r="O332" s="16"/>
      <c r="P332" s="1" t="e">
        <f>VLOOKUP(Tabela13161718[[#This Row],[DT]],Aprovados!A:A,1,0)</f>
        <v>#N/A</v>
      </c>
      <c r="Q332" s="16"/>
      <c r="R332" s="16"/>
      <c r="S332" s="16" t="s">
        <v>315</v>
      </c>
      <c r="T332" s="9"/>
      <c r="U332" s="1" t="s">
        <v>315</v>
      </c>
      <c r="V332" s="11"/>
      <c r="W332" s="232"/>
      <c r="X332" s="304"/>
    </row>
    <row r="333" spans="1:24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1"/>
      <c r="L333" s="1" t="s">
        <v>315</v>
      </c>
      <c r="M333" s="9"/>
      <c r="N333" s="14">
        <f>Tabela13161718[[#This Row],[Valor_recibo]]</f>
        <v>0</v>
      </c>
      <c r="O333" s="16"/>
      <c r="P333" s="1" t="e">
        <f>VLOOKUP(Tabela13161718[[#This Row],[DT]],Aprovados!A:A,1,0)</f>
        <v>#N/A</v>
      </c>
      <c r="Q333" s="16"/>
      <c r="R333" s="16"/>
      <c r="S333" s="16" t="s">
        <v>315</v>
      </c>
      <c r="T333" s="9"/>
      <c r="U333" s="1" t="s">
        <v>315</v>
      </c>
      <c r="V333" s="11"/>
      <c r="W333" s="232"/>
      <c r="X333" s="304"/>
    </row>
    <row r="334" spans="1:24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1"/>
      <c r="L334" s="1" t="s">
        <v>315</v>
      </c>
      <c r="M334" s="9"/>
      <c r="N334" s="14">
        <f>Tabela13161718[[#This Row],[Valor_recibo]]</f>
        <v>0</v>
      </c>
      <c r="O334" s="16"/>
      <c r="P334" s="1" t="e">
        <f>VLOOKUP(Tabela13161718[[#This Row],[DT]],Aprovados!A:A,1,0)</f>
        <v>#N/A</v>
      </c>
      <c r="Q334" s="16"/>
      <c r="R334" s="16"/>
      <c r="S334" s="16" t="s">
        <v>315</v>
      </c>
      <c r="T334" s="9"/>
      <c r="U334" s="1" t="s">
        <v>315</v>
      </c>
      <c r="V334" s="11"/>
      <c r="W334" s="232"/>
      <c r="X334" s="304"/>
    </row>
    <row r="335" spans="1:24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1"/>
      <c r="L335" s="1" t="s">
        <v>315</v>
      </c>
      <c r="M335" s="9"/>
      <c r="N335" s="14">
        <f>Tabela13161718[[#This Row],[Valor_recibo]]</f>
        <v>0</v>
      </c>
      <c r="O335" s="16"/>
      <c r="P335" s="1" t="e">
        <f>VLOOKUP(Tabela13161718[[#This Row],[DT]],Aprovados!A:A,1,0)</f>
        <v>#N/A</v>
      </c>
      <c r="Q335" s="16"/>
      <c r="R335" s="16"/>
      <c r="S335" s="16" t="s">
        <v>315</v>
      </c>
      <c r="T335" s="9"/>
      <c r="U335" s="1" t="s">
        <v>315</v>
      </c>
      <c r="V335" s="11"/>
      <c r="W335" s="232"/>
      <c r="X335" s="304"/>
    </row>
    <row r="336" spans="1:24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1"/>
      <c r="L336" s="1" t="s">
        <v>315</v>
      </c>
      <c r="M336" s="9"/>
      <c r="N336" s="14">
        <f>Tabela13161718[[#This Row],[Valor_recibo]]</f>
        <v>0</v>
      </c>
      <c r="O336" s="16"/>
      <c r="P336" s="1" t="e">
        <f>VLOOKUP(Tabela13161718[[#This Row],[DT]],Aprovados!A:A,1,0)</f>
        <v>#N/A</v>
      </c>
      <c r="Q336" s="16"/>
      <c r="R336" s="16"/>
      <c r="S336" s="16" t="s">
        <v>315</v>
      </c>
      <c r="T336" s="9"/>
      <c r="U336" s="1" t="s">
        <v>315</v>
      </c>
      <c r="V336" s="11"/>
      <c r="W336" s="232"/>
      <c r="X336" s="304"/>
    </row>
    <row r="337" spans="1:24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1"/>
      <c r="L337" s="1" t="s">
        <v>315</v>
      </c>
      <c r="M337" s="9"/>
      <c r="N337" s="14">
        <f>Tabela13161718[[#This Row],[Valor_recibo]]</f>
        <v>0</v>
      </c>
      <c r="O337" s="16"/>
      <c r="P337" s="1" t="e">
        <f>VLOOKUP(Tabela13161718[[#This Row],[DT]],Aprovados!A:A,1,0)</f>
        <v>#N/A</v>
      </c>
      <c r="Q337" s="16"/>
      <c r="R337" s="16"/>
      <c r="S337" s="16" t="s">
        <v>315</v>
      </c>
      <c r="T337" s="9"/>
      <c r="U337" s="1" t="s">
        <v>315</v>
      </c>
      <c r="V337" s="11"/>
      <c r="W337" s="232"/>
      <c r="X337" s="304"/>
    </row>
    <row r="338" spans="1:24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1"/>
      <c r="L338" s="1" t="s">
        <v>315</v>
      </c>
      <c r="M338" s="9"/>
      <c r="N338" s="14">
        <f>Tabela13161718[[#This Row],[Valor_recibo]]</f>
        <v>0</v>
      </c>
      <c r="O338" s="16"/>
      <c r="P338" s="1" t="e">
        <f>VLOOKUP(Tabela13161718[[#This Row],[DT]],Aprovados!A:A,1,0)</f>
        <v>#N/A</v>
      </c>
      <c r="Q338" s="16"/>
      <c r="R338" s="16"/>
      <c r="S338" s="16" t="s">
        <v>315</v>
      </c>
      <c r="T338" s="9"/>
      <c r="U338" s="1" t="s">
        <v>315</v>
      </c>
      <c r="V338" s="11"/>
      <c r="W338" s="232"/>
      <c r="X338" s="304"/>
    </row>
    <row r="339" spans="1:24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1"/>
      <c r="L339" s="1" t="s">
        <v>315</v>
      </c>
      <c r="M339" s="9"/>
      <c r="N339" s="14">
        <f>Tabela13161718[[#This Row],[Valor_recibo]]</f>
        <v>0</v>
      </c>
      <c r="O339" s="16"/>
      <c r="P339" s="1" t="e">
        <f>VLOOKUP(Tabela13161718[[#This Row],[DT]],Aprovados!A:A,1,0)</f>
        <v>#N/A</v>
      </c>
      <c r="Q339" s="16"/>
      <c r="R339" s="16"/>
      <c r="S339" s="16" t="s">
        <v>315</v>
      </c>
      <c r="T339" s="9"/>
      <c r="U339" s="1" t="s">
        <v>315</v>
      </c>
      <c r="V339" s="11"/>
      <c r="W339" s="232"/>
      <c r="X339" s="304"/>
    </row>
    <row r="340" spans="1:24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1"/>
      <c r="L340" s="1" t="s">
        <v>315</v>
      </c>
      <c r="M340" s="9"/>
      <c r="N340" s="14">
        <f>Tabela13161718[[#This Row],[Valor_recibo]]</f>
        <v>0</v>
      </c>
      <c r="O340" s="16"/>
      <c r="P340" s="1" t="e">
        <f>VLOOKUP(Tabela13161718[[#This Row],[DT]],Aprovados!A:A,1,0)</f>
        <v>#N/A</v>
      </c>
      <c r="Q340" s="16"/>
      <c r="R340" s="16"/>
      <c r="S340" s="16" t="s">
        <v>315</v>
      </c>
      <c r="T340" s="9"/>
      <c r="U340" s="1" t="s">
        <v>315</v>
      </c>
      <c r="V340" s="11"/>
      <c r="W340" s="232"/>
      <c r="X340" s="304"/>
    </row>
    <row r="341" spans="1:24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1"/>
      <c r="L341" s="1" t="s">
        <v>315</v>
      </c>
      <c r="M341" s="9"/>
      <c r="N341" s="14">
        <f>Tabela13161718[[#This Row],[Valor_recibo]]</f>
        <v>0</v>
      </c>
      <c r="O341" s="16"/>
      <c r="P341" s="1" t="e">
        <f>VLOOKUP(Tabela13161718[[#This Row],[DT]],Aprovados!A:A,1,0)</f>
        <v>#N/A</v>
      </c>
      <c r="Q341" s="16"/>
      <c r="R341" s="16"/>
      <c r="S341" s="16" t="s">
        <v>315</v>
      </c>
      <c r="T341" s="9"/>
      <c r="U341" s="1" t="s">
        <v>315</v>
      </c>
      <c r="V341" s="11"/>
      <c r="W341" s="232"/>
      <c r="X341" s="304"/>
    </row>
    <row r="342" spans="1:24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1"/>
      <c r="L342" s="1" t="s">
        <v>315</v>
      </c>
      <c r="M342" s="9"/>
      <c r="N342" s="14">
        <f>Tabela13161718[[#This Row],[Valor_recibo]]</f>
        <v>0</v>
      </c>
      <c r="O342" s="16"/>
      <c r="P342" s="1" t="e">
        <f>VLOOKUP(Tabela13161718[[#This Row],[DT]],Aprovados!A:A,1,0)</f>
        <v>#N/A</v>
      </c>
      <c r="Q342" s="16"/>
      <c r="R342" s="16"/>
      <c r="S342" s="16" t="s">
        <v>315</v>
      </c>
      <c r="T342" s="9"/>
      <c r="U342" s="1" t="s">
        <v>315</v>
      </c>
      <c r="V342" s="11"/>
      <c r="W342" s="232"/>
      <c r="X342" s="304"/>
    </row>
    <row r="343" spans="1:24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1"/>
      <c r="L343" s="1" t="s">
        <v>315</v>
      </c>
      <c r="M343" s="9"/>
      <c r="N343" s="14">
        <f>Tabela13161718[[#This Row],[Valor_recibo]]</f>
        <v>0</v>
      </c>
      <c r="O343" s="16"/>
      <c r="P343" s="1" t="e">
        <f>VLOOKUP(Tabela13161718[[#This Row],[DT]],Aprovados!A:A,1,0)</f>
        <v>#N/A</v>
      </c>
      <c r="Q343" s="16"/>
      <c r="R343" s="16"/>
      <c r="S343" s="16" t="s">
        <v>315</v>
      </c>
      <c r="T343" s="9"/>
      <c r="U343" s="1" t="s">
        <v>315</v>
      </c>
      <c r="V343" s="11"/>
      <c r="W343" s="232"/>
      <c r="X343" s="304"/>
    </row>
    <row r="344" spans="1:24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1"/>
      <c r="L344" s="1" t="s">
        <v>315</v>
      </c>
      <c r="M344" s="9"/>
      <c r="N344" s="14">
        <f>Tabela13161718[[#This Row],[Valor_recibo]]</f>
        <v>0</v>
      </c>
      <c r="O344" s="16"/>
      <c r="P344" s="1" t="e">
        <f>VLOOKUP(Tabela13161718[[#This Row],[DT]],Aprovados!A:A,1,0)</f>
        <v>#N/A</v>
      </c>
      <c r="Q344" s="16"/>
      <c r="R344" s="16"/>
      <c r="S344" s="16" t="s">
        <v>315</v>
      </c>
      <c r="T344" s="9"/>
      <c r="U344" s="1" t="s">
        <v>315</v>
      </c>
      <c r="V344" s="11"/>
      <c r="W344" s="232"/>
      <c r="X344" s="304"/>
    </row>
    <row r="345" spans="1:24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1"/>
      <c r="L345" s="1" t="s">
        <v>315</v>
      </c>
      <c r="M345" s="9"/>
      <c r="N345" s="14">
        <f>Tabela13161718[[#This Row],[Valor_recibo]]</f>
        <v>0</v>
      </c>
      <c r="O345" s="16"/>
      <c r="P345" s="1" t="e">
        <f>VLOOKUP(Tabela13161718[[#This Row],[DT]],Aprovados!A:A,1,0)</f>
        <v>#N/A</v>
      </c>
      <c r="Q345" s="16"/>
      <c r="R345" s="16"/>
      <c r="S345" s="16" t="s">
        <v>315</v>
      </c>
      <c r="T345" s="9"/>
      <c r="U345" s="1" t="s">
        <v>315</v>
      </c>
      <c r="V345" s="11"/>
      <c r="W345" s="232"/>
      <c r="X345" s="304"/>
    </row>
    <row r="346" spans="1:24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1"/>
      <c r="L346" s="1" t="s">
        <v>315</v>
      </c>
      <c r="M346" s="9"/>
      <c r="N346" s="14">
        <f>Tabela13161718[[#This Row],[Valor_recibo]]</f>
        <v>0</v>
      </c>
      <c r="O346" s="16"/>
      <c r="P346" s="1" t="e">
        <f>VLOOKUP(Tabela13161718[[#This Row],[DT]],Aprovados!A:A,1,0)</f>
        <v>#N/A</v>
      </c>
      <c r="Q346" s="16"/>
      <c r="R346" s="16"/>
      <c r="S346" s="16" t="s">
        <v>315</v>
      </c>
      <c r="T346" s="9"/>
      <c r="U346" s="1" t="s">
        <v>315</v>
      </c>
      <c r="V346" s="11"/>
      <c r="W346" s="232"/>
      <c r="X346" s="304"/>
    </row>
    <row r="347" spans="1:24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1"/>
      <c r="L347" s="1" t="s">
        <v>315</v>
      </c>
      <c r="M347" s="9"/>
      <c r="N347" s="14">
        <f>Tabela13161718[[#This Row],[Valor_recibo]]</f>
        <v>0</v>
      </c>
      <c r="O347" s="16"/>
      <c r="P347" s="1" t="e">
        <f>VLOOKUP(Tabela13161718[[#This Row],[DT]],Aprovados!A:A,1,0)</f>
        <v>#N/A</v>
      </c>
      <c r="Q347" s="16"/>
      <c r="R347" s="16"/>
      <c r="S347" s="16" t="s">
        <v>315</v>
      </c>
      <c r="T347" s="9"/>
      <c r="U347" s="1" t="s">
        <v>315</v>
      </c>
      <c r="V347" s="11"/>
      <c r="W347" s="232"/>
      <c r="X347" s="304"/>
    </row>
    <row r="348" spans="1:24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1"/>
      <c r="L348" s="1" t="s">
        <v>315</v>
      </c>
      <c r="M348" s="9"/>
      <c r="N348" s="14">
        <f>Tabela13161718[[#This Row],[Valor_recibo]]</f>
        <v>0</v>
      </c>
      <c r="O348" s="16"/>
      <c r="P348" s="1" t="e">
        <f>VLOOKUP(Tabela13161718[[#This Row],[DT]],Aprovados!A:A,1,0)</f>
        <v>#N/A</v>
      </c>
      <c r="Q348" s="16"/>
      <c r="R348" s="16"/>
      <c r="S348" s="16" t="s">
        <v>315</v>
      </c>
      <c r="T348" s="9"/>
      <c r="U348" s="1" t="s">
        <v>315</v>
      </c>
      <c r="V348" s="11"/>
      <c r="W348" s="232"/>
      <c r="X348" s="304"/>
    </row>
    <row r="349" spans="1:24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1"/>
      <c r="L349" s="1" t="s">
        <v>315</v>
      </c>
      <c r="M349" s="9"/>
      <c r="N349" s="14">
        <f>Tabela13161718[[#This Row],[Valor_recibo]]</f>
        <v>0</v>
      </c>
      <c r="O349" s="16"/>
      <c r="P349" s="1" t="e">
        <f>VLOOKUP(Tabela13161718[[#This Row],[DT]],Aprovados!A:A,1,0)</f>
        <v>#N/A</v>
      </c>
      <c r="Q349" s="16"/>
      <c r="R349" s="16"/>
      <c r="S349" s="16" t="s">
        <v>315</v>
      </c>
      <c r="T349" s="9"/>
      <c r="U349" s="1" t="s">
        <v>315</v>
      </c>
      <c r="V349" s="11"/>
      <c r="W349" s="232"/>
      <c r="X349" s="304"/>
    </row>
    <row r="350" spans="1:24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1"/>
      <c r="L350" s="1" t="s">
        <v>315</v>
      </c>
      <c r="M350" s="9"/>
      <c r="N350" s="14">
        <f>Tabela13161718[[#This Row],[Valor_recibo]]</f>
        <v>0</v>
      </c>
      <c r="O350" s="16"/>
      <c r="P350" s="1" t="e">
        <f>VLOOKUP(Tabela13161718[[#This Row],[DT]],Aprovados!A:A,1,0)</f>
        <v>#N/A</v>
      </c>
      <c r="Q350" s="16"/>
      <c r="R350" s="16"/>
      <c r="S350" s="16" t="s">
        <v>315</v>
      </c>
      <c r="T350" s="9"/>
      <c r="U350" s="1" t="s">
        <v>315</v>
      </c>
      <c r="V350" s="11"/>
      <c r="W350" s="232"/>
      <c r="X350" s="304"/>
    </row>
    <row r="351" spans="1:24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1"/>
      <c r="L351" s="1" t="s">
        <v>315</v>
      </c>
      <c r="M351" s="9"/>
      <c r="N351" s="14">
        <f>Tabela13161718[[#This Row],[Valor_recibo]]</f>
        <v>0</v>
      </c>
      <c r="O351" s="16"/>
      <c r="P351" s="1" t="e">
        <f>VLOOKUP(Tabela13161718[[#This Row],[DT]],Aprovados!A:A,1,0)</f>
        <v>#N/A</v>
      </c>
      <c r="Q351" s="16"/>
      <c r="R351" s="16"/>
      <c r="S351" s="16" t="s">
        <v>315</v>
      </c>
      <c r="T351" s="9"/>
      <c r="U351" s="1" t="s">
        <v>315</v>
      </c>
      <c r="V351" s="11"/>
      <c r="W351" s="232"/>
      <c r="X351" s="304"/>
    </row>
    <row r="352" spans="1:24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1"/>
      <c r="L352" s="1" t="s">
        <v>315</v>
      </c>
      <c r="M352" s="9"/>
      <c r="N352" s="14">
        <f>Tabela13161718[[#This Row],[Valor_recibo]]</f>
        <v>0</v>
      </c>
      <c r="O352" s="16"/>
      <c r="P352" s="1" t="e">
        <f>VLOOKUP(Tabela13161718[[#This Row],[DT]],Aprovados!A:A,1,0)</f>
        <v>#N/A</v>
      </c>
      <c r="Q352" s="16"/>
      <c r="R352" s="16"/>
      <c r="S352" s="16" t="s">
        <v>315</v>
      </c>
      <c r="T352" s="9"/>
      <c r="U352" s="1" t="s">
        <v>315</v>
      </c>
      <c r="V352" s="11"/>
      <c r="W352" s="232"/>
      <c r="X352" s="304"/>
    </row>
    <row r="353" spans="1:24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1"/>
      <c r="L353" s="1" t="s">
        <v>315</v>
      </c>
      <c r="M353" s="9"/>
      <c r="N353" s="14">
        <f>Tabela13161718[[#This Row],[Valor_recibo]]</f>
        <v>0</v>
      </c>
      <c r="O353" s="16"/>
      <c r="P353" s="1" t="e">
        <f>VLOOKUP(Tabela13161718[[#This Row],[DT]],Aprovados!A:A,1,0)</f>
        <v>#N/A</v>
      </c>
      <c r="Q353" s="16"/>
      <c r="R353" s="16"/>
      <c r="S353" s="16" t="s">
        <v>315</v>
      </c>
      <c r="T353" s="9"/>
      <c r="U353" s="1" t="s">
        <v>315</v>
      </c>
      <c r="V353" s="11"/>
      <c r="W353" s="232"/>
      <c r="X353" s="304"/>
    </row>
    <row r="354" spans="1:24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1"/>
      <c r="L354" s="1" t="s">
        <v>315</v>
      </c>
      <c r="M354" s="9"/>
      <c r="N354" s="14">
        <f>Tabela13161718[[#This Row],[Valor_recibo]]</f>
        <v>0</v>
      </c>
      <c r="O354" s="16"/>
      <c r="P354" s="1" t="e">
        <f>VLOOKUP(Tabela13161718[[#This Row],[DT]],Aprovados!A:A,1,0)</f>
        <v>#N/A</v>
      </c>
      <c r="Q354" s="16"/>
      <c r="R354" s="16"/>
      <c r="S354" s="16" t="s">
        <v>315</v>
      </c>
      <c r="T354" s="9"/>
      <c r="U354" s="1" t="s">
        <v>315</v>
      </c>
      <c r="V354" s="11"/>
      <c r="W354" s="232"/>
      <c r="X354" s="304"/>
    </row>
    <row r="355" spans="1:24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1"/>
      <c r="L355" s="1" t="s">
        <v>315</v>
      </c>
      <c r="M355" s="9"/>
      <c r="N355" s="14">
        <f>Tabela13161718[[#This Row],[Valor_recibo]]</f>
        <v>0</v>
      </c>
      <c r="O355" s="16"/>
      <c r="P355" s="1" t="e">
        <f>VLOOKUP(Tabela13161718[[#This Row],[DT]],Aprovados!A:A,1,0)</f>
        <v>#N/A</v>
      </c>
      <c r="Q355" s="16"/>
      <c r="R355" s="16"/>
      <c r="S355" s="16" t="s">
        <v>315</v>
      </c>
      <c r="T355" s="9"/>
      <c r="U355" s="1" t="s">
        <v>315</v>
      </c>
      <c r="V355" s="11"/>
      <c r="W355" s="232"/>
      <c r="X355" s="304"/>
    </row>
    <row r="356" spans="1:24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1"/>
      <c r="L356" s="1" t="s">
        <v>315</v>
      </c>
      <c r="M356" s="9"/>
      <c r="N356" s="14">
        <f>Tabela13161718[[#This Row],[Valor_recibo]]</f>
        <v>0</v>
      </c>
      <c r="O356" s="16"/>
      <c r="P356" s="1" t="e">
        <f>VLOOKUP(Tabela13161718[[#This Row],[DT]],Aprovados!A:A,1,0)</f>
        <v>#N/A</v>
      </c>
      <c r="Q356" s="16"/>
      <c r="R356" s="16"/>
      <c r="S356" s="16" t="s">
        <v>315</v>
      </c>
      <c r="T356" s="9"/>
      <c r="U356" s="1" t="s">
        <v>315</v>
      </c>
      <c r="V356" s="11"/>
      <c r="W356" s="232"/>
      <c r="X356" s="304"/>
    </row>
    <row r="357" spans="1:24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1"/>
      <c r="L357" s="1" t="s">
        <v>315</v>
      </c>
      <c r="M357" s="9"/>
      <c r="N357" s="14">
        <f>Tabela13161718[[#This Row],[Valor_recibo]]</f>
        <v>0</v>
      </c>
      <c r="O357" s="16"/>
      <c r="P357" s="1" t="e">
        <f>VLOOKUP(Tabela13161718[[#This Row],[DT]],Aprovados!A:A,1,0)</f>
        <v>#N/A</v>
      </c>
      <c r="Q357" s="16"/>
      <c r="R357" s="16"/>
      <c r="S357" s="16" t="s">
        <v>315</v>
      </c>
      <c r="T357" s="9"/>
      <c r="U357" s="1" t="s">
        <v>315</v>
      </c>
      <c r="V357" s="11"/>
      <c r="W357" s="232"/>
      <c r="X357" s="304"/>
    </row>
    <row r="358" spans="1:24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1"/>
      <c r="L358" s="1" t="s">
        <v>315</v>
      </c>
      <c r="M358" s="9"/>
      <c r="N358" s="14">
        <f>Tabela13161718[[#This Row],[Valor_recibo]]</f>
        <v>0</v>
      </c>
      <c r="O358" s="16"/>
      <c r="P358" s="1" t="e">
        <f>VLOOKUP(Tabela13161718[[#This Row],[DT]],Aprovados!A:A,1,0)</f>
        <v>#N/A</v>
      </c>
      <c r="Q358" s="16"/>
      <c r="R358" s="16"/>
      <c r="S358" s="16" t="s">
        <v>315</v>
      </c>
      <c r="T358" s="9"/>
      <c r="U358" s="1" t="s">
        <v>315</v>
      </c>
      <c r="V358" s="11"/>
      <c r="W358" s="232"/>
      <c r="X358" s="304"/>
    </row>
    <row r="359" spans="1:24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1"/>
      <c r="L359" s="1" t="s">
        <v>315</v>
      </c>
      <c r="M359" s="9"/>
      <c r="N359" s="14">
        <f>Tabela13161718[[#This Row],[Valor_recibo]]</f>
        <v>0</v>
      </c>
      <c r="O359" s="16"/>
      <c r="P359" s="1" t="e">
        <f>VLOOKUP(Tabela13161718[[#This Row],[DT]],Aprovados!A:A,1,0)</f>
        <v>#N/A</v>
      </c>
      <c r="Q359" s="16"/>
      <c r="R359" s="16"/>
      <c r="S359" s="16" t="s">
        <v>315</v>
      </c>
      <c r="T359" s="9"/>
      <c r="U359" s="1" t="s">
        <v>315</v>
      </c>
      <c r="V359" s="11"/>
      <c r="W359" s="232"/>
      <c r="X359" s="304"/>
    </row>
    <row r="360" spans="1:24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1"/>
      <c r="L360" s="1" t="s">
        <v>315</v>
      </c>
      <c r="M360" s="9"/>
      <c r="N360" s="14">
        <f>Tabela13161718[[#This Row],[Valor_recibo]]</f>
        <v>0</v>
      </c>
      <c r="O360" s="16"/>
      <c r="P360" s="1" t="e">
        <f>VLOOKUP(Tabela13161718[[#This Row],[DT]],Aprovados!A:A,1,0)</f>
        <v>#N/A</v>
      </c>
      <c r="Q360" s="16"/>
      <c r="R360" s="16"/>
      <c r="S360" s="16" t="s">
        <v>315</v>
      </c>
      <c r="T360" s="9"/>
      <c r="U360" s="1" t="s">
        <v>315</v>
      </c>
      <c r="V360" s="11"/>
      <c r="W360" s="232"/>
      <c r="X360" s="304"/>
    </row>
    <row r="361" spans="1:24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1"/>
      <c r="L361" s="1" t="s">
        <v>315</v>
      </c>
      <c r="M361" s="9"/>
      <c r="N361" s="14">
        <f>Tabela13161718[[#This Row],[Valor_recibo]]</f>
        <v>0</v>
      </c>
      <c r="O361" s="16"/>
      <c r="P361" s="1" t="e">
        <f>VLOOKUP(Tabela13161718[[#This Row],[DT]],Aprovados!A:A,1,0)</f>
        <v>#N/A</v>
      </c>
      <c r="Q361" s="16"/>
      <c r="R361" s="16"/>
      <c r="S361" s="16" t="s">
        <v>315</v>
      </c>
      <c r="T361" s="9"/>
      <c r="U361" s="1" t="s">
        <v>315</v>
      </c>
      <c r="V361" s="11"/>
      <c r="W361" s="232"/>
      <c r="X361" s="304"/>
    </row>
    <row r="362" spans="1:24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1"/>
      <c r="L362" s="1" t="s">
        <v>315</v>
      </c>
      <c r="M362" s="9"/>
      <c r="N362" s="14">
        <f>Tabela13161718[[#This Row],[Valor_recibo]]</f>
        <v>0</v>
      </c>
      <c r="O362" s="16"/>
      <c r="P362" s="1" t="e">
        <f>VLOOKUP(Tabela13161718[[#This Row],[DT]],Aprovados!A:A,1,0)</f>
        <v>#N/A</v>
      </c>
      <c r="Q362" s="16"/>
      <c r="R362" s="16"/>
      <c r="S362" s="16" t="s">
        <v>315</v>
      </c>
      <c r="T362" s="9"/>
      <c r="U362" s="1" t="s">
        <v>315</v>
      </c>
      <c r="V362" s="11"/>
      <c r="W362" s="232"/>
      <c r="X362" s="304"/>
    </row>
    <row r="363" spans="1:24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1"/>
      <c r="L363" s="1" t="s">
        <v>315</v>
      </c>
      <c r="M363" s="9"/>
      <c r="N363" s="14">
        <f>Tabela13161718[[#This Row],[Valor_recibo]]</f>
        <v>0</v>
      </c>
      <c r="O363" s="16"/>
      <c r="P363" s="1" t="e">
        <f>VLOOKUP(Tabela13161718[[#This Row],[DT]],Aprovados!A:A,1,0)</f>
        <v>#N/A</v>
      </c>
      <c r="Q363" s="16"/>
      <c r="R363" s="16"/>
      <c r="S363" s="16" t="s">
        <v>315</v>
      </c>
      <c r="T363" s="9"/>
      <c r="U363" s="1" t="s">
        <v>315</v>
      </c>
      <c r="V363" s="11"/>
      <c r="W363" s="232"/>
      <c r="X363" s="304"/>
    </row>
    <row r="364" spans="1:24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1"/>
      <c r="L364" s="1" t="s">
        <v>315</v>
      </c>
      <c r="M364" s="9"/>
      <c r="N364" s="14">
        <f>Tabela13161718[[#This Row],[Valor_recibo]]</f>
        <v>0</v>
      </c>
      <c r="O364" s="16"/>
      <c r="P364" s="1" t="e">
        <f>VLOOKUP(Tabela13161718[[#This Row],[DT]],Aprovados!A:A,1,0)</f>
        <v>#N/A</v>
      </c>
      <c r="Q364" s="16"/>
      <c r="R364" s="16"/>
      <c r="S364" s="16" t="s">
        <v>315</v>
      </c>
      <c r="T364" s="9"/>
      <c r="U364" s="1" t="s">
        <v>315</v>
      </c>
      <c r="V364" s="11"/>
      <c r="W364" s="232"/>
      <c r="X364" s="304"/>
    </row>
    <row r="365" spans="1:24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1"/>
      <c r="L365" s="1" t="s">
        <v>315</v>
      </c>
      <c r="M365" s="9"/>
      <c r="N365" s="14">
        <f>Tabela13161718[[#This Row],[Valor_recibo]]</f>
        <v>0</v>
      </c>
      <c r="O365" s="16"/>
      <c r="P365" s="1" t="e">
        <f>VLOOKUP(Tabela13161718[[#This Row],[DT]],Aprovados!A:A,1,0)</f>
        <v>#N/A</v>
      </c>
      <c r="Q365" s="16"/>
      <c r="R365" s="16"/>
      <c r="S365" s="16" t="s">
        <v>315</v>
      </c>
      <c r="T365" s="9"/>
      <c r="U365" s="1" t="s">
        <v>315</v>
      </c>
      <c r="V365" s="11"/>
      <c r="W365" s="232"/>
      <c r="X365" s="304"/>
    </row>
    <row r="366" spans="1:24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1"/>
      <c r="L366" s="1" t="s">
        <v>315</v>
      </c>
      <c r="M366" s="9"/>
      <c r="N366" s="14">
        <f>Tabela13161718[[#This Row],[Valor_recibo]]</f>
        <v>0</v>
      </c>
      <c r="O366" s="16"/>
      <c r="P366" s="1" t="e">
        <f>VLOOKUP(Tabela13161718[[#This Row],[DT]],Aprovados!A:A,1,0)</f>
        <v>#N/A</v>
      </c>
      <c r="Q366" s="16"/>
      <c r="R366" s="16"/>
      <c r="S366" s="16" t="s">
        <v>315</v>
      </c>
      <c r="T366" s="9"/>
      <c r="U366" s="1" t="s">
        <v>315</v>
      </c>
      <c r="V366" s="11"/>
      <c r="W366" s="232"/>
      <c r="X366" s="304"/>
    </row>
    <row r="367" spans="1:24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1"/>
      <c r="L367" s="1" t="s">
        <v>315</v>
      </c>
      <c r="M367" s="9"/>
      <c r="N367" s="14">
        <f>Tabela13161718[[#This Row],[Valor_recibo]]</f>
        <v>0</v>
      </c>
      <c r="O367" s="16"/>
      <c r="P367" s="1" t="e">
        <f>VLOOKUP(Tabela13161718[[#This Row],[DT]],Aprovados!A:A,1,0)</f>
        <v>#N/A</v>
      </c>
      <c r="Q367" s="16"/>
      <c r="R367" s="16"/>
      <c r="S367" s="16" t="s">
        <v>315</v>
      </c>
      <c r="T367" s="9"/>
      <c r="U367" s="1" t="s">
        <v>315</v>
      </c>
      <c r="V367" s="11"/>
      <c r="W367" s="232"/>
      <c r="X367" s="304"/>
    </row>
    <row r="368" spans="1:24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1"/>
      <c r="L368" s="1" t="s">
        <v>315</v>
      </c>
      <c r="M368" s="9"/>
      <c r="N368" s="14">
        <f>Tabela13161718[[#This Row],[Valor_recibo]]</f>
        <v>0</v>
      </c>
      <c r="O368" s="16"/>
      <c r="P368" s="1" t="e">
        <f>VLOOKUP(Tabela13161718[[#This Row],[DT]],Aprovados!A:A,1,0)</f>
        <v>#N/A</v>
      </c>
      <c r="Q368" s="16"/>
      <c r="R368" s="16"/>
      <c r="S368" s="16" t="s">
        <v>315</v>
      </c>
      <c r="T368" s="9"/>
      <c r="U368" s="1" t="s">
        <v>315</v>
      </c>
      <c r="V368" s="11"/>
      <c r="W368" s="232"/>
      <c r="X368" s="304"/>
    </row>
    <row r="369" spans="1:24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1"/>
      <c r="L369" s="1" t="s">
        <v>315</v>
      </c>
      <c r="M369" s="9"/>
      <c r="N369" s="14">
        <f>Tabela13161718[[#This Row],[Valor_recibo]]</f>
        <v>0</v>
      </c>
      <c r="O369" s="16"/>
      <c r="P369" s="1" t="e">
        <f>VLOOKUP(Tabela13161718[[#This Row],[DT]],Aprovados!A:A,1,0)</f>
        <v>#N/A</v>
      </c>
      <c r="Q369" s="16"/>
      <c r="R369" s="16"/>
      <c r="S369" s="16" t="s">
        <v>315</v>
      </c>
      <c r="T369" s="9"/>
      <c r="U369" s="1" t="s">
        <v>315</v>
      </c>
      <c r="V369" s="11"/>
      <c r="W369" s="232"/>
      <c r="X369" s="304"/>
    </row>
    <row r="370" spans="1:24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1"/>
      <c r="L370" s="1" t="s">
        <v>315</v>
      </c>
      <c r="M370" s="9"/>
      <c r="N370" s="14">
        <f>Tabela13161718[[#This Row],[Valor_recibo]]</f>
        <v>0</v>
      </c>
      <c r="O370" s="16"/>
      <c r="P370" s="1" t="e">
        <f>VLOOKUP(Tabela13161718[[#This Row],[DT]],Aprovados!A:A,1,0)</f>
        <v>#N/A</v>
      </c>
      <c r="Q370" s="16"/>
      <c r="R370" s="16"/>
      <c r="S370" s="16" t="s">
        <v>315</v>
      </c>
      <c r="T370" s="9"/>
      <c r="U370" s="1" t="s">
        <v>315</v>
      </c>
      <c r="V370" s="11"/>
      <c r="W370" s="232"/>
      <c r="X370" s="304"/>
    </row>
    <row r="371" spans="1:24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1"/>
      <c r="L371" s="1" t="s">
        <v>315</v>
      </c>
      <c r="M371" s="9"/>
      <c r="N371" s="14">
        <f>Tabela13161718[[#This Row],[Valor_recibo]]</f>
        <v>0</v>
      </c>
      <c r="O371" s="16"/>
      <c r="P371" s="1" t="e">
        <f>VLOOKUP(Tabela13161718[[#This Row],[DT]],Aprovados!A:A,1,0)</f>
        <v>#N/A</v>
      </c>
      <c r="Q371" s="16"/>
      <c r="R371" s="16"/>
      <c r="S371" s="16" t="s">
        <v>315</v>
      </c>
      <c r="T371" s="9"/>
      <c r="U371" s="1" t="s">
        <v>315</v>
      </c>
      <c r="V371" s="11"/>
      <c r="W371" s="232"/>
      <c r="X371" s="304"/>
    </row>
    <row r="372" spans="1:24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1"/>
      <c r="L372" s="1" t="s">
        <v>315</v>
      </c>
      <c r="M372" s="9"/>
      <c r="N372" s="14">
        <f>Tabela13161718[[#This Row],[Valor_recibo]]</f>
        <v>0</v>
      </c>
      <c r="O372" s="16"/>
      <c r="P372" s="1" t="e">
        <f>VLOOKUP(Tabela13161718[[#This Row],[DT]],Aprovados!A:A,1,0)</f>
        <v>#N/A</v>
      </c>
      <c r="Q372" s="16"/>
      <c r="R372" s="16"/>
      <c r="S372" s="16" t="s">
        <v>315</v>
      </c>
      <c r="T372" s="9"/>
      <c r="U372" s="1" t="s">
        <v>315</v>
      </c>
      <c r="V372" s="11"/>
      <c r="W372" s="232"/>
      <c r="X372" s="304"/>
    </row>
    <row r="373" spans="1:24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1"/>
      <c r="L373" s="1" t="s">
        <v>315</v>
      </c>
      <c r="M373" s="9"/>
      <c r="N373" s="14">
        <f>Tabela13161718[[#This Row],[Valor_recibo]]</f>
        <v>0</v>
      </c>
      <c r="O373" s="16"/>
      <c r="P373" s="1" t="e">
        <f>VLOOKUP(Tabela13161718[[#This Row],[DT]],Aprovados!A:A,1,0)</f>
        <v>#N/A</v>
      </c>
      <c r="Q373" s="16"/>
      <c r="R373" s="16"/>
      <c r="S373" s="16" t="s">
        <v>315</v>
      </c>
      <c r="T373" s="9"/>
      <c r="U373" s="1" t="s">
        <v>315</v>
      </c>
      <c r="V373" s="11"/>
      <c r="W373" s="232"/>
      <c r="X373" s="304"/>
    </row>
    <row r="374" spans="1:24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1"/>
      <c r="L374" s="1" t="s">
        <v>315</v>
      </c>
      <c r="M374" s="9"/>
      <c r="N374" s="14">
        <f>Tabela13161718[[#This Row],[Valor_recibo]]</f>
        <v>0</v>
      </c>
      <c r="O374" s="16"/>
      <c r="P374" s="1" t="e">
        <f>VLOOKUP(Tabela13161718[[#This Row],[DT]],Aprovados!A:A,1,0)</f>
        <v>#N/A</v>
      </c>
      <c r="Q374" s="16"/>
      <c r="R374" s="16"/>
      <c r="S374" s="16" t="s">
        <v>315</v>
      </c>
      <c r="T374" s="9"/>
      <c r="U374" s="1" t="s">
        <v>315</v>
      </c>
      <c r="V374" s="11"/>
      <c r="W374" s="232"/>
      <c r="X374" s="304"/>
    </row>
    <row r="375" spans="1:24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1"/>
      <c r="L375" s="1" t="s">
        <v>315</v>
      </c>
      <c r="M375" s="9"/>
      <c r="N375" s="14">
        <f>Tabela13161718[[#This Row],[Valor_recibo]]</f>
        <v>0</v>
      </c>
      <c r="O375" s="16"/>
      <c r="P375" s="1" t="e">
        <f>VLOOKUP(Tabela13161718[[#This Row],[DT]],Aprovados!A:A,1,0)</f>
        <v>#N/A</v>
      </c>
      <c r="Q375" s="16"/>
      <c r="R375" s="16"/>
      <c r="S375" s="16" t="s">
        <v>315</v>
      </c>
      <c r="T375" s="9"/>
      <c r="U375" s="1" t="s">
        <v>315</v>
      </c>
      <c r="V375" s="11"/>
      <c r="W375" s="232"/>
      <c r="X375" s="304"/>
    </row>
    <row r="376" spans="1:24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1"/>
      <c r="L376" s="1" t="s">
        <v>315</v>
      </c>
      <c r="M376" s="9"/>
      <c r="N376" s="14">
        <f>Tabela13161718[[#This Row],[Valor_recibo]]</f>
        <v>0</v>
      </c>
      <c r="O376" s="16"/>
      <c r="P376" s="1" t="e">
        <f>VLOOKUP(Tabela13161718[[#This Row],[DT]],Aprovados!A:A,1,0)</f>
        <v>#N/A</v>
      </c>
      <c r="Q376" s="16"/>
      <c r="R376" s="16"/>
      <c r="S376" s="16" t="s">
        <v>315</v>
      </c>
      <c r="T376" s="9"/>
      <c r="U376" s="1" t="s">
        <v>315</v>
      </c>
      <c r="V376" s="11"/>
      <c r="W376" s="232"/>
      <c r="X376" s="304"/>
    </row>
    <row r="377" spans="1:24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1"/>
      <c r="L377" s="1" t="s">
        <v>315</v>
      </c>
      <c r="M377" s="9"/>
      <c r="N377" s="14">
        <f>Tabela13161718[[#This Row],[Valor_recibo]]</f>
        <v>0</v>
      </c>
      <c r="O377" s="16"/>
      <c r="P377" s="1" t="e">
        <f>VLOOKUP(Tabela13161718[[#This Row],[DT]],Aprovados!A:A,1,0)</f>
        <v>#N/A</v>
      </c>
      <c r="Q377" s="16"/>
      <c r="R377" s="16"/>
      <c r="S377" s="16" t="s">
        <v>315</v>
      </c>
      <c r="T377" s="9"/>
      <c r="U377" s="1" t="s">
        <v>315</v>
      </c>
      <c r="V377" s="11"/>
      <c r="W377" s="232"/>
      <c r="X377" s="304"/>
    </row>
    <row r="378" spans="1:24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1"/>
      <c r="L378" s="1" t="s">
        <v>315</v>
      </c>
      <c r="M378" s="9"/>
      <c r="N378" s="14">
        <f>Tabela13161718[[#This Row],[Valor_recibo]]</f>
        <v>0</v>
      </c>
      <c r="O378" s="16"/>
      <c r="P378" s="1" t="e">
        <f>VLOOKUP(Tabela13161718[[#This Row],[DT]],Aprovados!A:A,1,0)</f>
        <v>#N/A</v>
      </c>
      <c r="Q378" s="16"/>
      <c r="R378" s="16"/>
      <c r="S378" s="16" t="s">
        <v>315</v>
      </c>
      <c r="T378" s="9"/>
      <c r="U378" s="1" t="s">
        <v>315</v>
      </c>
      <c r="V378" s="11"/>
      <c r="W378" s="232"/>
      <c r="X378" s="304"/>
    </row>
    <row r="379" spans="1:24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1"/>
      <c r="L379" s="1" t="s">
        <v>315</v>
      </c>
      <c r="M379" s="9"/>
      <c r="N379" s="14">
        <f>Tabela13161718[[#This Row],[Valor_recibo]]</f>
        <v>0</v>
      </c>
      <c r="O379" s="16"/>
      <c r="P379" s="1" t="e">
        <f>VLOOKUP(Tabela13161718[[#This Row],[DT]],Aprovados!A:A,1,0)</f>
        <v>#N/A</v>
      </c>
      <c r="Q379" s="16"/>
      <c r="R379" s="16"/>
      <c r="S379" s="16" t="s">
        <v>315</v>
      </c>
      <c r="T379" s="9"/>
      <c r="U379" s="1" t="s">
        <v>315</v>
      </c>
      <c r="V379" s="11"/>
      <c r="W379" s="232"/>
      <c r="X379" s="304"/>
    </row>
    <row r="380" spans="1:24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1"/>
      <c r="L380" s="1" t="s">
        <v>315</v>
      </c>
      <c r="M380" s="9"/>
      <c r="N380" s="14">
        <f>Tabela13161718[[#This Row],[Valor_recibo]]</f>
        <v>0</v>
      </c>
      <c r="O380" s="16"/>
      <c r="P380" s="1" t="e">
        <f>VLOOKUP(Tabela13161718[[#This Row],[DT]],Aprovados!A:A,1,0)</f>
        <v>#N/A</v>
      </c>
      <c r="Q380" s="16"/>
      <c r="R380" s="16"/>
      <c r="S380" s="16" t="s">
        <v>315</v>
      </c>
      <c r="T380" s="9"/>
      <c r="U380" s="1" t="s">
        <v>315</v>
      </c>
      <c r="V380" s="11"/>
      <c r="W380" s="232"/>
      <c r="X380" s="304"/>
    </row>
    <row r="381" spans="1:24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1"/>
      <c r="L381" s="1" t="s">
        <v>315</v>
      </c>
      <c r="M381" s="9"/>
      <c r="N381" s="14">
        <f>Tabela13161718[[#This Row],[Valor_recibo]]</f>
        <v>0</v>
      </c>
      <c r="O381" s="16"/>
      <c r="P381" s="1" t="e">
        <f>VLOOKUP(Tabela13161718[[#This Row],[DT]],Aprovados!A:A,1,0)</f>
        <v>#N/A</v>
      </c>
      <c r="Q381" s="16"/>
      <c r="R381" s="16"/>
      <c r="S381" s="16" t="s">
        <v>315</v>
      </c>
      <c r="T381" s="9"/>
      <c r="U381" s="1" t="s">
        <v>315</v>
      </c>
      <c r="V381" s="11"/>
      <c r="W381" s="232"/>
      <c r="X381" s="304"/>
    </row>
    <row r="382" spans="1:24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1"/>
      <c r="L382" s="1" t="s">
        <v>315</v>
      </c>
      <c r="M382" s="9"/>
      <c r="N382" s="14">
        <f>Tabela13161718[[#This Row],[Valor_recibo]]</f>
        <v>0</v>
      </c>
      <c r="O382" s="16"/>
      <c r="P382" s="1" t="e">
        <f>VLOOKUP(Tabela13161718[[#This Row],[DT]],Aprovados!A:A,1,0)</f>
        <v>#N/A</v>
      </c>
      <c r="Q382" s="16"/>
      <c r="R382" s="16"/>
      <c r="S382" s="16" t="s">
        <v>315</v>
      </c>
      <c r="T382" s="9"/>
      <c r="U382" s="1" t="s">
        <v>315</v>
      </c>
      <c r="V382" s="11"/>
      <c r="W382" s="232"/>
      <c r="X382" s="304"/>
    </row>
    <row r="383" spans="1:24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1"/>
      <c r="L383" s="1" t="s">
        <v>315</v>
      </c>
      <c r="M383" s="9"/>
      <c r="N383" s="14">
        <f>Tabela13161718[[#This Row],[Valor_recibo]]</f>
        <v>0</v>
      </c>
      <c r="O383" s="16"/>
      <c r="P383" s="1" t="e">
        <f>VLOOKUP(Tabela13161718[[#This Row],[DT]],Aprovados!A:A,1,0)</f>
        <v>#N/A</v>
      </c>
      <c r="Q383" s="16"/>
      <c r="R383" s="16"/>
      <c r="S383" s="16" t="s">
        <v>315</v>
      </c>
      <c r="T383" s="9"/>
      <c r="U383" s="1" t="s">
        <v>315</v>
      </c>
      <c r="V383" s="11"/>
      <c r="W383" s="232"/>
      <c r="X383" s="304"/>
    </row>
    <row r="384" spans="1:24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1"/>
      <c r="L384" s="1" t="s">
        <v>315</v>
      </c>
      <c r="M384" s="9"/>
      <c r="N384" s="14">
        <f>Tabela13161718[[#This Row],[Valor_recibo]]</f>
        <v>0</v>
      </c>
      <c r="O384" s="16"/>
      <c r="P384" s="1" t="e">
        <f>VLOOKUP(Tabela13161718[[#This Row],[DT]],Aprovados!A:A,1,0)</f>
        <v>#N/A</v>
      </c>
      <c r="Q384" s="16"/>
      <c r="R384" s="16"/>
      <c r="S384" s="16" t="s">
        <v>315</v>
      </c>
      <c r="T384" s="9"/>
      <c r="U384" s="1" t="s">
        <v>315</v>
      </c>
      <c r="V384" s="11"/>
      <c r="W384" s="232"/>
      <c r="X384" s="304"/>
    </row>
    <row r="385" spans="1:24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1"/>
      <c r="L385" s="1" t="s">
        <v>315</v>
      </c>
      <c r="M385" s="9"/>
      <c r="N385" s="14">
        <f>Tabela13161718[[#This Row],[Valor_recibo]]</f>
        <v>0</v>
      </c>
      <c r="O385" s="16"/>
      <c r="P385" s="1" t="e">
        <f>VLOOKUP(Tabela13161718[[#This Row],[DT]],Aprovados!A:A,1,0)</f>
        <v>#N/A</v>
      </c>
      <c r="Q385" s="16"/>
      <c r="R385" s="16"/>
      <c r="S385" s="16" t="s">
        <v>315</v>
      </c>
      <c r="T385" s="9"/>
      <c r="U385" s="1" t="s">
        <v>315</v>
      </c>
      <c r="V385" s="11"/>
      <c r="W385" s="232"/>
      <c r="X385" s="304"/>
    </row>
    <row r="386" spans="1:24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1"/>
      <c r="L386" s="1" t="s">
        <v>315</v>
      </c>
      <c r="M386" s="9"/>
      <c r="N386" s="14">
        <f>Tabela13161718[[#This Row],[Valor_recibo]]</f>
        <v>0</v>
      </c>
      <c r="O386" s="16"/>
      <c r="P386" s="1" t="e">
        <f>VLOOKUP(Tabela13161718[[#This Row],[DT]],Aprovados!A:A,1,0)</f>
        <v>#N/A</v>
      </c>
      <c r="Q386" s="16"/>
      <c r="R386" s="16"/>
      <c r="S386" s="16" t="s">
        <v>315</v>
      </c>
      <c r="T386" s="9"/>
      <c r="U386" s="1" t="s">
        <v>315</v>
      </c>
      <c r="V386" s="11"/>
      <c r="W386" s="232"/>
      <c r="X386" s="304"/>
    </row>
    <row r="387" spans="1:24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1"/>
      <c r="L387" s="1" t="s">
        <v>315</v>
      </c>
      <c r="M387" s="9"/>
      <c r="N387" s="14">
        <f>Tabela13161718[[#This Row],[Valor_recibo]]</f>
        <v>0</v>
      </c>
      <c r="O387" s="16"/>
      <c r="P387" s="1" t="e">
        <f>VLOOKUP(Tabela13161718[[#This Row],[DT]],Aprovados!A:A,1,0)</f>
        <v>#N/A</v>
      </c>
      <c r="Q387" s="16"/>
      <c r="R387" s="16"/>
      <c r="S387" s="16" t="s">
        <v>315</v>
      </c>
      <c r="T387" s="9"/>
      <c r="U387" s="1" t="s">
        <v>315</v>
      </c>
      <c r="V387" s="11"/>
      <c r="W387" s="232"/>
      <c r="X387" s="304"/>
    </row>
    <row r="388" spans="1:24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1"/>
      <c r="L388" s="1" t="s">
        <v>315</v>
      </c>
      <c r="M388" s="9"/>
      <c r="N388" s="14">
        <f>Tabela13161718[[#This Row],[Valor_recibo]]</f>
        <v>0</v>
      </c>
      <c r="O388" s="16"/>
      <c r="P388" s="1" t="e">
        <f>VLOOKUP(Tabela13161718[[#This Row],[DT]],Aprovados!A:A,1,0)</f>
        <v>#N/A</v>
      </c>
      <c r="Q388" s="16"/>
      <c r="R388" s="16"/>
      <c r="S388" s="16" t="s">
        <v>315</v>
      </c>
      <c r="T388" s="9"/>
      <c r="U388" s="1" t="s">
        <v>315</v>
      </c>
      <c r="V388" s="11"/>
      <c r="W388" s="232"/>
      <c r="X388" s="304"/>
    </row>
    <row r="389" spans="1:24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1"/>
      <c r="L389" s="1" t="s">
        <v>315</v>
      </c>
      <c r="M389" s="9"/>
      <c r="N389" s="14">
        <f>Tabela13161718[[#This Row],[Valor_recibo]]</f>
        <v>0</v>
      </c>
      <c r="O389" s="16"/>
      <c r="P389" s="1" t="e">
        <f>VLOOKUP(Tabela13161718[[#This Row],[DT]],Aprovados!A:A,1,0)</f>
        <v>#N/A</v>
      </c>
      <c r="Q389" s="16"/>
      <c r="R389" s="16"/>
      <c r="S389" s="16" t="s">
        <v>315</v>
      </c>
      <c r="T389" s="9"/>
      <c r="U389" s="1" t="s">
        <v>315</v>
      </c>
      <c r="V389" s="11"/>
      <c r="W389" s="232"/>
      <c r="X389" s="304"/>
    </row>
    <row r="390" spans="1:24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1"/>
      <c r="L390" s="1" t="s">
        <v>315</v>
      </c>
      <c r="M390" s="9"/>
      <c r="N390" s="14">
        <f>Tabela13161718[[#This Row],[Valor_recibo]]</f>
        <v>0</v>
      </c>
      <c r="O390" s="16"/>
      <c r="P390" s="1" t="e">
        <f>VLOOKUP(Tabela13161718[[#This Row],[DT]],Aprovados!A:A,1,0)</f>
        <v>#N/A</v>
      </c>
      <c r="Q390" s="16"/>
      <c r="R390" s="16"/>
      <c r="S390" s="16" t="s">
        <v>315</v>
      </c>
      <c r="T390" s="9"/>
      <c r="U390" s="1" t="s">
        <v>315</v>
      </c>
      <c r="V390" s="11"/>
      <c r="W390" s="232"/>
      <c r="X390" s="304"/>
    </row>
    <row r="391" spans="1:24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1"/>
      <c r="L391" s="1" t="s">
        <v>315</v>
      </c>
      <c r="M391" s="9"/>
      <c r="N391" s="14">
        <f>Tabela13161718[[#This Row],[Valor_recibo]]</f>
        <v>0</v>
      </c>
      <c r="O391" s="16"/>
      <c r="P391" s="1" t="e">
        <f>VLOOKUP(Tabela13161718[[#This Row],[DT]],Aprovados!A:A,1,0)</f>
        <v>#N/A</v>
      </c>
      <c r="Q391" s="16"/>
      <c r="R391" s="16"/>
      <c r="S391" s="16" t="s">
        <v>315</v>
      </c>
      <c r="T391" s="9"/>
      <c r="U391" s="1" t="s">
        <v>315</v>
      </c>
      <c r="V391" s="11"/>
      <c r="W391" s="232"/>
      <c r="X391" s="304"/>
    </row>
    <row r="392" spans="1:24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1"/>
      <c r="L392" s="1" t="s">
        <v>315</v>
      </c>
      <c r="M392" s="9"/>
      <c r="N392" s="14">
        <f>Tabela13161718[[#This Row],[Valor_recibo]]</f>
        <v>0</v>
      </c>
      <c r="O392" s="16"/>
      <c r="P392" s="1" t="e">
        <f>VLOOKUP(Tabela13161718[[#This Row],[DT]],Aprovados!A:A,1,0)</f>
        <v>#N/A</v>
      </c>
      <c r="Q392" s="16"/>
      <c r="R392" s="16"/>
      <c r="S392" s="16" t="s">
        <v>315</v>
      </c>
      <c r="T392" s="9"/>
      <c r="U392" s="1" t="s">
        <v>315</v>
      </c>
      <c r="V392" s="11"/>
      <c r="W392" s="232"/>
      <c r="X392" s="304"/>
    </row>
    <row r="393" spans="1:24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1"/>
      <c r="L393" s="1" t="s">
        <v>315</v>
      </c>
      <c r="M393" s="9"/>
      <c r="N393" s="14">
        <f>Tabela13161718[[#This Row],[Valor_recibo]]</f>
        <v>0</v>
      </c>
      <c r="O393" s="16"/>
      <c r="P393" s="1" t="e">
        <f>VLOOKUP(Tabela13161718[[#This Row],[DT]],Aprovados!A:A,1,0)</f>
        <v>#N/A</v>
      </c>
      <c r="Q393" s="16"/>
      <c r="R393" s="16"/>
      <c r="S393" s="16" t="s">
        <v>315</v>
      </c>
      <c r="T393" s="9"/>
      <c r="U393" s="1" t="s">
        <v>315</v>
      </c>
      <c r="V393" s="11"/>
      <c r="W393" s="232"/>
      <c r="X393" s="304"/>
    </row>
    <row r="394" spans="1:24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1"/>
      <c r="L394" s="1" t="s">
        <v>315</v>
      </c>
      <c r="M394" s="9"/>
      <c r="N394" s="14">
        <f>Tabela13161718[[#This Row],[Valor_recibo]]</f>
        <v>0</v>
      </c>
      <c r="O394" s="16"/>
      <c r="P394" s="1" t="e">
        <f>VLOOKUP(Tabela13161718[[#This Row],[DT]],Aprovados!A:A,1,0)</f>
        <v>#N/A</v>
      </c>
      <c r="Q394" s="16"/>
      <c r="R394" s="16"/>
      <c r="S394" s="16" t="s">
        <v>315</v>
      </c>
      <c r="T394" s="9"/>
      <c r="U394" s="1" t="s">
        <v>315</v>
      </c>
      <c r="V394" s="11"/>
      <c r="W394" s="232"/>
      <c r="X394" s="304"/>
    </row>
    <row r="395" spans="1:24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1"/>
      <c r="L395" s="1" t="s">
        <v>315</v>
      </c>
      <c r="M395" s="9"/>
      <c r="N395" s="14">
        <f>Tabela13161718[[#This Row],[Valor_recibo]]</f>
        <v>0</v>
      </c>
      <c r="O395" s="16"/>
      <c r="P395" s="1" t="e">
        <f>VLOOKUP(Tabela13161718[[#This Row],[DT]],Aprovados!A:A,1,0)</f>
        <v>#N/A</v>
      </c>
      <c r="Q395" s="16"/>
      <c r="R395" s="16"/>
      <c r="S395" s="16" t="s">
        <v>315</v>
      </c>
      <c r="T395" s="9"/>
      <c r="U395" s="1" t="s">
        <v>315</v>
      </c>
      <c r="V395" s="11"/>
      <c r="W395" s="232"/>
      <c r="X395" s="304"/>
    </row>
    <row r="396" spans="1:24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1"/>
      <c r="L396" s="1" t="s">
        <v>315</v>
      </c>
      <c r="M396" s="9"/>
      <c r="N396" s="14">
        <f>Tabela13161718[[#This Row],[Valor_recibo]]</f>
        <v>0</v>
      </c>
      <c r="O396" s="16"/>
      <c r="P396" s="1" t="e">
        <f>VLOOKUP(Tabela13161718[[#This Row],[DT]],Aprovados!A:A,1,0)</f>
        <v>#N/A</v>
      </c>
      <c r="Q396" s="16"/>
      <c r="R396" s="16"/>
      <c r="S396" s="16" t="s">
        <v>315</v>
      </c>
      <c r="T396" s="9"/>
      <c r="U396" s="1" t="s">
        <v>315</v>
      </c>
      <c r="V396" s="11"/>
      <c r="W396" s="232"/>
      <c r="X396" s="304"/>
    </row>
    <row r="397" spans="1:24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1"/>
      <c r="L397" s="1" t="s">
        <v>315</v>
      </c>
      <c r="M397" s="9"/>
      <c r="N397" s="14">
        <f>Tabela13161718[[#This Row],[Valor_recibo]]</f>
        <v>0</v>
      </c>
      <c r="O397" s="16"/>
      <c r="P397" s="1" t="e">
        <f>VLOOKUP(Tabela13161718[[#This Row],[DT]],Aprovados!A:A,1,0)</f>
        <v>#N/A</v>
      </c>
      <c r="Q397" s="16"/>
      <c r="R397" s="16"/>
      <c r="S397" s="16" t="s">
        <v>315</v>
      </c>
      <c r="T397" s="9"/>
      <c r="U397" s="1" t="s">
        <v>315</v>
      </c>
      <c r="V397" s="11"/>
      <c r="W397" s="232"/>
      <c r="X397" s="304"/>
    </row>
    <row r="398" spans="1:24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1"/>
      <c r="L398" s="1" t="s">
        <v>315</v>
      </c>
      <c r="M398" s="9"/>
      <c r="N398" s="14">
        <f>Tabela13161718[[#This Row],[Valor_recibo]]</f>
        <v>0</v>
      </c>
      <c r="O398" s="16"/>
      <c r="P398" s="1" t="e">
        <f>VLOOKUP(Tabela13161718[[#This Row],[DT]],Aprovados!A:A,1,0)</f>
        <v>#N/A</v>
      </c>
      <c r="Q398" s="16"/>
      <c r="R398" s="16"/>
      <c r="S398" s="16" t="s">
        <v>315</v>
      </c>
      <c r="T398" s="9"/>
      <c r="U398" s="1" t="s">
        <v>315</v>
      </c>
      <c r="V398" s="11"/>
      <c r="W398" s="232"/>
      <c r="X398" s="304"/>
    </row>
    <row r="399" spans="1:24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1"/>
      <c r="L399" s="1" t="s">
        <v>315</v>
      </c>
      <c r="M399" s="9"/>
      <c r="N399" s="14">
        <f>Tabela13161718[[#This Row],[Valor_recibo]]</f>
        <v>0</v>
      </c>
      <c r="O399" s="16"/>
      <c r="P399" s="1" t="e">
        <f>VLOOKUP(Tabela13161718[[#This Row],[DT]],Aprovados!A:A,1,0)</f>
        <v>#N/A</v>
      </c>
      <c r="Q399" s="16"/>
      <c r="R399" s="16"/>
      <c r="S399" s="16" t="s">
        <v>315</v>
      </c>
      <c r="T399" s="9"/>
      <c r="U399" s="1" t="s">
        <v>315</v>
      </c>
      <c r="V399" s="11"/>
      <c r="W399" s="232"/>
      <c r="X399" s="304"/>
    </row>
    <row r="400" spans="1:24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1"/>
      <c r="L400" s="1" t="s">
        <v>315</v>
      </c>
      <c r="M400" s="9"/>
      <c r="N400" s="14">
        <f>Tabela13161718[[#This Row],[Valor_recibo]]</f>
        <v>0</v>
      </c>
      <c r="O400" s="16"/>
      <c r="P400" s="1" t="e">
        <f>VLOOKUP(Tabela13161718[[#This Row],[DT]],Aprovados!A:A,1,0)</f>
        <v>#N/A</v>
      </c>
      <c r="Q400" s="16"/>
      <c r="R400" s="16"/>
      <c r="S400" s="16" t="s">
        <v>315</v>
      </c>
      <c r="T400" s="9"/>
      <c r="U400" s="1" t="s">
        <v>315</v>
      </c>
      <c r="V400" s="11"/>
      <c r="W400" s="232"/>
      <c r="X400" s="304"/>
    </row>
    <row r="401" spans="1:24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1"/>
      <c r="L401" s="1" t="s">
        <v>315</v>
      </c>
      <c r="M401" s="9"/>
      <c r="N401" s="14">
        <f>Tabela13161718[[#This Row],[Valor_recibo]]</f>
        <v>0</v>
      </c>
      <c r="O401" s="16"/>
      <c r="P401" s="1" t="e">
        <f>VLOOKUP(Tabela13161718[[#This Row],[DT]],Aprovados!A:A,1,0)</f>
        <v>#N/A</v>
      </c>
      <c r="Q401" s="16"/>
      <c r="R401" s="16"/>
      <c r="S401" s="16" t="s">
        <v>315</v>
      </c>
      <c r="T401" s="9"/>
      <c r="U401" s="1" t="s">
        <v>315</v>
      </c>
      <c r="V401" s="11"/>
      <c r="W401" s="232"/>
      <c r="X401" s="304"/>
    </row>
    <row r="402" spans="1:24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1"/>
      <c r="L402" s="1" t="s">
        <v>315</v>
      </c>
      <c r="M402" s="9"/>
      <c r="N402" s="14">
        <f>Tabela13161718[[#This Row],[Valor_recibo]]</f>
        <v>0</v>
      </c>
      <c r="O402" s="16"/>
      <c r="P402" s="1" t="e">
        <f>VLOOKUP(Tabela13161718[[#This Row],[DT]],Aprovados!A:A,1,0)</f>
        <v>#N/A</v>
      </c>
      <c r="Q402" s="16"/>
      <c r="R402" s="16"/>
      <c r="S402" s="16" t="s">
        <v>315</v>
      </c>
      <c r="T402" s="9"/>
      <c r="U402" s="1" t="s">
        <v>315</v>
      </c>
      <c r="V402" s="11"/>
      <c r="W402" s="232"/>
      <c r="X402" s="304"/>
    </row>
    <row r="403" spans="1:24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1"/>
      <c r="L403" s="1" t="s">
        <v>315</v>
      </c>
      <c r="M403" s="9"/>
      <c r="N403" s="14">
        <f>Tabela13161718[[#This Row],[Valor_recibo]]</f>
        <v>0</v>
      </c>
      <c r="O403" s="16"/>
      <c r="P403" s="1" t="e">
        <f>VLOOKUP(Tabela13161718[[#This Row],[DT]],Aprovados!A:A,1,0)</f>
        <v>#N/A</v>
      </c>
      <c r="Q403" s="16"/>
      <c r="R403" s="16"/>
      <c r="S403" s="16" t="s">
        <v>315</v>
      </c>
      <c r="T403" s="9"/>
      <c r="U403" s="1" t="s">
        <v>315</v>
      </c>
      <c r="V403" s="11"/>
      <c r="W403" s="232"/>
      <c r="X403" s="304"/>
    </row>
    <row r="404" spans="1:24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1"/>
      <c r="L404" s="1" t="s">
        <v>315</v>
      </c>
      <c r="M404" s="9"/>
      <c r="N404" s="14">
        <f>Tabela13161718[[#This Row],[Valor_recibo]]</f>
        <v>0</v>
      </c>
      <c r="O404" s="16"/>
      <c r="P404" s="1" t="e">
        <f>VLOOKUP(Tabela13161718[[#This Row],[DT]],Aprovados!A:A,1,0)</f>
        <v>#N/A</v>
      </c>
      <c r="Q404" s="16"/>
      <c r="R404" s="16"/>
      <c r="S404" s="16" t="s">
        <v>315</v>
      </c>
      <c r="T404" s="9"/>
      <c r="U404" s="1" t="s">
        <v>315</v>
      </c>
      <c r="V404" s="11"/>
      <c r="W404" s="232"/>
      <c r="X404" s="304"/>
    </row>
    <row r="405" spans="1:24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1"/>
      <c r="L405" s="1" t="s">
        <v>315</v>
      </c>
      <c r="M405" s="9"/>
      <c r="N405" s="14">
        <f>Tabela13161718[[#This Row],[Valor_recibo]]</f>
        <v>0</v>
      </c>
      <c r="O405" s="16"/>
      <c r="P405" s="1" t="e">
        <f>VLOOKUP(Tabela13161718[[#This Row],[DT]],Aprovados!A:A,1,0)</f>
        <v>#N/A</v>
      </c>
      <c r="Q405" s="16"/>
      <c r="R405" s="16"/>
      <c r="S405" s="16" t="s">
        <v>315</v>
      </c>
      <c r="T405" s="9"/>
      <c r="U405" s="1" t="s">
        <v>315</v>
      </c>
      <c r="V405" s="11"/>
      <c r="W405" s="232"/>
      <c r="X405" s="304"/>
    </row>
    <row r="406" spans="1:24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1"/>
      <c r="L406" s="1" t="s">
        <v>315</v>
      </c>
      <c r="M406" s="9"/>
      <c r="N406" s="14">
        <f>Tabela13161718[[#This Row],[Valor_recibo]]</f>
        <v>0</v>
      </c>
      <c r="O406" s="16"/>
      <c r="P406" s="1" t="e">
        <f>VLOOKUP(Tabela13161718[[#This Row],[DT]],Aprovados!A:A,1,0)</f>
        <v>#N/A</v>
      </c>
      <c r="Q406" s="16"/>
      <c r="R406" s="16"/>
      <c r="S406" s="16" t="s">
        <v>315</v>
      </c>
      <c r="T406" s="9"/>
      <c r="U406" s="1" t="s">
        <v>315</v>
      </c>
      <c r="V406" s="11"/>
      <c r="W406" s="232"/>
      <c r="X406" s="304"/>
    </row>
    <row r="407" spans="1:24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1"/>
      <c r="L407" s="1" t="s">
        <v>315</v>
      </c>
      <c r="M407" s="9"/>
      <c r="N407" s="14">
        <f>Tabela13161718[[#This Row],[Valor_recibo]]</f>
        <v>0</v>
      </c>
      <c r="O407" s="16"/>
      <c r="P407" s="1" t="e">
        <f>VLOOKUP(Tabela13161718[[#This Row],[DT]],Aprovados!A:A,1,0)</f>
        <v>#N/A</v>
      </c>
      <c r="Q407" s="16"/>
      <c r="R407" s="16"/>
      <c r="S407" s="16" t="s">
        <v>315</v>
      </c>
      <c r="T407" s="9"/>
      <c r="U407" s="1" t="s">
        <v>315</v>
      </c>
      <c r="V407" s="11"/>
      <c r="W407" s="232"/>
      <c r="X407" s="304"/>
    </row>
    <row r="408" spans="1:24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1"/>
      <c r="L408" s="1" t="s">
        <v>315</v>
      </c>
      <c r="M408" s="9"/>
      <c r="N408" s="14">
        <f>Tabela13161718[[#This Row],[Valor_recibo]]</f>
        <v>0</v>
      </c>
      <c r="O408" s="16"/>
      <c r="P408" s="1" t="e">
        <f>VLOOKUP(Tabela13161718[[#This Row],[DT]],Aprovados!A:A,1,0)</f>
        <v>#N/A</v>
      </c>
      <c r="Q408" s="16"/>
      <c r="R408" s="16"/>
      <c r="S408" s="16" t="s">
        <v>315</v>
      </c>
      <c r="T408" s="9"/>
      <c r="U408" s="1" t="s">
        <v>315</v>
      </c>
      <c r="V408" s="11"/>
      <c r="W408" s="232"/>
      <c r="X408" s="304"/>
    </row>
    <row r="409" spans="1:24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1"/>
      <c r="L409" s="1" t="s">
        <v>315</v>
      </c>
      <c r="M409" s="9"/>
      <c r="N409" s="14">
        <f>Tabela13161718[[#This Row],[Valor_recibo]]</f>
        <v>0</v>
      </c>
      <c r="O409" s="16"/>
      <c r="P409" s="1" t="e">
        <f>VLOOKUP(Tabela13161718[[#This Row],[DT]],Aprovados!A:A,1,0)</f>
        <v>#N/A</v>
      </c>
      <c r="Q409" s="16"/>
      <c r="R409" s="16"/>
      <c r="S409" s="16" t="s">
        <v>315</v>
      </c>
      <c r="T409" s="9"/>
      <c r="U409" s="1" t="s">
        <v>315</v>
      </c>
      <c r="V409" s="11"/>
      <c r="W409" s="232"/>
      <c r="X409" s="304"/>
    </row>
    <row r="410" spans="1:24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1"/>
      <c r="L410" s="1" t="s">
        <v>315</v>
      </c>
      <c r="M410" s="9"/>
      <c r="N410" s="14">
        <f>Tabela13161718[[#This Row],[Valor_recibo]]</f>
        <v>0</v>
      </c>
      <c r="O410" s="16"/>
      <c r="P410" s="1" t="e">
        <f>VLOOKUP(Tabela13161718[[#This Row],[DT]],Aprovados!A:A,1,0)</f>
        <v>#N/A</v>
      </c>
      <c r="Q410" s="16"/>
      <c r="R410" s="16"/>
      <c r="S410" s="16" t="s">
        <v>315</v>
      </c>
      <c r="T410" s="9"/>
      <c r="U410" s="1" t="s">
        <v>315</v>
      </c>
      <c r="V410" s="11"/>
      <c r="W410" s="232"/>
      <c r="X410" s="304"/>
    </row>
    <row r="411" spans="1:24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1"/>
      <c r="L411" s="1" t="s">
        <v>315</v>
      </c>
      <c r="M411" s="9"/>
      <c r="N411" s="14">
        <f>Tabela13161718[[#This Row],[Valor_recibo]]</f>
        <v>0</v>
      </c>
      <c r="O411" s="16"/>
      <c r="P411" s="1" t="e">
        <f>VLOOKUP(Tabela13161718[[#This Row],[DT]],Aprovados!A:A,1,0)</f>
        <v>#N/A</v>
      </c>
      <c r="Q411" s="16"/>
      <c r="R411" s="16"/>
      <c r="S411" s="16" t="s">
        <v>315</v>
      </c>
      <c r="T411" s="9"/>
      <c r="U411" s="1" t="s">
        <v>315</v>
      </c>
      <c r="V411" s="11"/>
      <c r="W411" s="232"/>
      <c r="X411" s="304"/>
    </row>
    <row r="412" spans="1:24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1"/>
      <c r="L412" s="1" t="s">
        <v>315</v>
      </c>
      <c r="M412" s="9"/>
      <c r="N412" s="14">
        <f>Tabela13161718[[#This Row],[Valor_recibo]]</f>
        <v>0</v>
      </c>
      <c r="O412" s="16"/>
      <c r="P412" s="1" t="e">
        <f>VLOOKUP(Tabela13161718[[#This Row],[DT]],Aprovados!A:A,1,0)</f>
        <v>#N/A</v>
      </c>
      <c r="Q412" s="16"/>
      <c r="R412" s="16"/>
      <c r="S412" s="16" t="s">
        <v>315</v>
      </c>
      <c r="T412" s="9"/>
      <c r="U412" s="1" t="s">
        <v>315</v>
      </c>
      <c r="V412" s="11"/>
      <c r="W412" s="232"/>
      <c r="X412" s="304"/>
    </row>
    <row r="413" spans="1:24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1"/>
      <c r="L413" s="1" t="s">
        <v>315</v>
      </c>
      <c r="M413" s="9"/>
      <c r="N413" s="14">
        <f>Tabela13161718[[#This Row],[Valor_recibo]]</f>
        <v>0</v>
      </c>
      <c r="O413" s="16"/>
      <c r="P413" s="1" t="e">
        <f>VLOOKUP(Tabela13161718[[#This Row],[DT]],Aprovados!A:A,1,0)</f>
        <v>#N/A</v>
      </c>
      <c r="Q413" s="16"/>
      <c r="R413" s="16"/>
      <c r="S413" s="16" t="s">
        <v>315</v>
      </c>
      <c r="T413" s="9"/>
      <c r="U413" s="1" t="s">
        <v>315</v>
      </c>
      <c r="V413" s="11"/>
      <c r="W413" s="232"/>
      <c r="X413" s="304"/>
    </row>
    <row r="414" spans="1:24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1"/>
      <c r="L414" s="1" t="s">
        <v>315</v>
      </c>
      <c r="M414" s="9"/>
      <c r="N414" s="14">
        <f>Tabela13161718[[#This Row],[Valor_recibo]]</f>
        <v>0</v>
      </c>
      <c r="O414" s="16"/>
      <c r="P414" s="1" t="e">
        <f>VLOOKUP(Tabela13161718[[#This Row],[DT]],Aprovados!A:A,1,0)</f>
        <v>#N/A</v>
      </c>
      <c r="Q414" s="16"/>
      <c r="R414" s="16"/>
      <c r="S414" s="16" t="s">
        <v>315</v>
      </c>
      <c r="T414" s="9"/>
      <c r="U414" s="1" t="s">
        <v>315</v>
      </c>
      <c r="V414" s="11"/>
      <c r="W414" s="232"/>
      <c r="X414" s="304"/>
    </row>
    <row r="415" spans="1:24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1"/>
      <c r="L415" s="1" t="s">
        <v>315</v>
      </c>
      <c r="M415" s="9"/>
      <c r="N415" s="14">
        <f>Tabela13161718[[#This Row],[Valor_recibo]]</f>
        <v>0</v>
      </c>
      <c r="O415" s="16"/>
      <c r="P415" s="1" t="e">
        <f>VLOOKUP(Tabela13161718[[#This Row],[DT]],Aprovados!A:A,1,0)</f>
        <v>#N/A</v>
      </c>
      <c r="Q415" s="16"/>
      <c r="R415" s="16"/>
      <c r="S415" s="16" t="s">
        <v>315</v>
      </c>
      <c r="T415" s="9"/>
      <c r="U415" s="1" t="s">
        <v>315</v>
      </c>
      <c r="V415" s="11"/>
      <c r="W415" s="232"/>
      <c r="X415" s="304"/>
    </row>
    <row r="416" spans="1:24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1"/>
      <c r="L416" s="1" t="s">
        <v>315</v>
      </c>
      <c r="M416" s="9"/>
      <c r="N416" s="14">
        <f>Tabela13161718[[#This Row],[Valor_recibo]]</f>
        <v>0</v>
      </c>
      <c r="O416" s="16"/>
      <c r="P416" s="1" t="e">
        <f>VLOOKUP(Tabela13161718[[#This Row],[DT]],Aprovados!A:A,1,0)</f>
        <v>#N/A</v>
      </c>
      <c r="Q416" s="16"/>
      <c r="R416" s="16"/>
      <c r="S416" s="16" t="s">
        <v>315</v>
      </c>
      <c r="T416" s="9"/>
      <c r="U416" s="1" t="s">
        <v>315</v>
      </c>
      <c r="V416" s="11"/>
      <c r="W416" s="232"/>
      <c r="X416" s="304"/>
    </row>
    <row r="417" spans="1:24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1"/>
      <c r="L417" s="1" t="s">
        <v>315</v>
      </c>
      <c r="M417" s="9"/>
      <c r="N417" s="14">
        <f>Tabela13161718[[#This Row],[Valor_recibo]]</f>
        <v>0</v>
      </c>
      <c r="O417" s="16"/>
      <c r="P417" s="1" t="e">
        <f>VLOOKUP(Tabela13161718[[#This Row],[DT]],Aprovados!A:A,1,0)</f>
        <v>#N/A</v>
      </c>
      <c r="Q417" s="16"/>
      <c r="R417" s="16"/>
      <c r="S417" s="16" t="s">
        <v>315</v>
      </c>
      <c r="T417" s="9"/>
      <c r="U417" s="1" t="s">
        <v>315</v>
      </c>
      <c r="V417" s="11"/>
      <c r="W417" s="232"/>
      <c r="X417" s="304"/>
    </row>
    <row r="418" spans="1:24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1"/>
      <c r="L418" s="1" t="s">
        <v>315</v>
      </c>
      <c r="M418" s="9"/>
      <c r="N418" s="14">
        <f>Tabela13161718[[#This Row],[Valor_recibo]]</f>
        <v>0</v>
      </c>
      <c r="O418" s="16"/>
      <c r="P418" s="1" t="e">
        <f>VLOOKUP(Tabela13161718[[#This Row],[DT]],Aprovados!A:A,1,0)</f>
        <v>#N/A</v>
      </c>
      <c r="Q418" s="16"/>
      <c r="R418" s="16"/>
      <c r="S418" s="16" t="s">
        <v>315</v>
      </c>
      <c r="T418" s="9"/>
      <c r="U418" s="1" t="s">
        <v>315</v>
      </c>
      <c r="V418" s="11"/>
      <c r="W418" s="232"/>
      <c r="X418" s="304"/>
    </row>
    <row r="419" spans="1:24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1"/>
      <c r="L419" s="1" t="s">
        <v>315</v>
      </c>
      <c r="M419" s="9"/>
      <c r="N419" s="14">
        <f>Tabela13161718[[#This Row],[Valor_recibo]]</f>
        <v>0</v>
      </c>
      <c r="O419" s="16"/>
      <c r="P419" s="1" t="e">
        <f>VLOOKUP(Tabela13161718[[#This Row],[DT]],Aprovados!A:A,1,0)</f>
        <v>#N/A</v>
      </c>
      <c r="Q419" s="16"/>
      <c r="R419" s="16"/>
      <c r="S419" s="16" t="s">
        <v>315</v>
      </c>
      <c r="T419" s="9"/>
      <c r="U419" s="1" t="s">
        <v>315</v>
      </c>
      <c r="V419" s="11"/>
      <c r="W419" s="232"/>
      <c r="X419" s="304"/>
    </row>
    <row r="420" spans="1:24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1"/>
      <c r="L420" s="1" t="s">
        <v>315</v>
      </c>
      <c r="M420" s="9"/>
      <c r="N420" s="14">
        <f>Tabela13161718[[#This Row],[Valor_recibo]]</f>
        <v>0</v>
      </c>
      <c r="O420" s="16"/>
      <c r="P420" s="1" t="e">
        <f>VLOOKUP(Tabela13161718[[#This Row],[DT]],Aprovados!A:A,1,0)</f>
        <v>#N/A</v>
      </c>
      <c r="Q420" s="16"/>
      <c r="R420" s="16"/>
      <c r="S420" s="16" t="s">
        <v>315</v>
      </c>
      <c r="T420" s="9"/>
      <c r="U420" s="1" t="s">
        <v>315</v>
      </c>
      <c r="V420" s="11"/>
      <c r="W420" s="232"/>
      <c r="X420" s="304"/>
    </row>
    <row r="421" spans="1:24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1"/>
      <c r="L421" s="1" t="s">
        <v>315</v>
      </c>
      <c r="M421" s="9"/>
      <c r="N421" s="14">
        <f>Tabela13161718[[#This Row],[Valor_recibo]]</f>
        <v>0</v>
      </c>
      <c r="O421" s="16"/>
      <c r="P421" s="1" t="e">
        <f>VLOOKUP(Tabela13161718[[#This Row],[DT]],Aprovados!A:A,1,0)</f>
        <v>#N/A</v>
      </c>
      <c r="Q421" s="16"/>
      <c r="R421" s="16"/>
      <c r="S421" s="16" t="s">
        <v>315</v>
      </c>
      <c r="T421" s="9"/>
      <c r="U421" s="1" t="s">
        <v>315</v>
      </c>
      <c r="V421" s="11"/>
      <c r="W421" s="232"/>
      <c r="X421" s="304"/>
    </row>
    <row r="422" spans="1:24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1"/>
      <c r="L422" s="1" t="s">
        <v>315</v>
      </c>
      <c r="M422" s="9"/>
      <c r="N422" s="14">
        <f>Tabela13161718[[#This Row],[Valor_recibo]]</f>
        <v>0</v>
      </c>
      <c r="O422" s="16"/>
      <c r="P422" s="1" t="e">
        <f>VLOOKUP(Tabela13161718[[#This Row],[DT]],Aprovados!A:A,1,0)</f>
        <v>#N/A</v>
      </c>
      <c r="Q422" s="16"/>
      <c r="R422" s="16"/>
      <c r="S422" s="16" t="s">
        <v>315</v>
      </c>
      <c r="T422" s="9"/>
      <c r="U422" s="1" t="s">
        <v>315</v>
      </c>
      <c r="V422" s="11"/>
      <c r="W422" s="232"/>
      <c r="X422" s="304"/>
    </row>
    <row r="423" spans="1:24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1"/>
      <c r="L423" s="1" t="s">
        <v>315</v>
      </c>
      <c r="M423" s="9"/>
      <c r="N423" s="14">
        <f>Tabela13161718[[#This Row],[Valor_recibo]]</f>
        <v>0</v>
      </c>
      <c r="O423" s="16"/>
      <c r="P423" s="1" t="e">
        <f>VLOOKUP(Tabela13161718[[#This Row],[DT]],Aprovados!A:A,1,0)</f>
        <v>#N/A</v>
      </c>
      <c r="Q423" s="16"/>
      <c r="R423" s="16"/>
      <c r="S423" s="16" t="s">
        <v>315</v>
      </c>
      <c r="T423" s="9"/>
      <c r="U423" s="1" t="s">
        <v>315</v>
      </c>
      <c r="V423" s="11"/>
      <c r="W423" s="232"/>
      <c r="X423" s="304"/>
    </row>
    <row r="424" spans="1:24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1"/>
      <c r="L424" s="1" t="s">
        <v>315</v>
      </c>
      <c r="M424" s="9"/>
      <c r="N424" s="14">
        <f>Tabela13161718[[#This Row],[Valor_recibo]]</f>
        <v>0</v>
      </c>
      <c r="O424" s="16"/>
      <c r="P424" s="1" t="e">
        <f>VLOOKUP(Tabela13161718[[#This Row],[DT]],Aprovados!A:A,1,0)</f>
        <v>#N/A</v>
      </c>
      <c r="Q424" s="16"/>
      <c r="R424" s="16"/>
      <c r="S424" s="16" t="s">
        <v>315</v>
      </c>
      <c r="T424" s="9"/>
      <c r="U424" s="1" t="s">
        <v>315</v>
      </c>
      <c r="V424" s="11"/>
      <c r="W424" s="232"/>
      <c r="X424" s="304"/>
    </row>
    <row r="425" spans="1:24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1"/>
      <c r="L425" s="1" t="s">
        <v>315</v>
      </c>
      <c r="M425" s="9"/>
      <c r="N425" s="14">
        <f>Tabela13161718[[#This Row],[Valor_recibo]]</f>
        <v>0</v>
      </c>
      <c r="O425" s="16"/>
      <c r="P425" s="1" t="e">
        <f>VLOOKUP(Tabela13161718[[#This Row],[DT]],Aprovados!A:A,1,0)</f>
        <v>#N/A</v>
      </c>
      <c r="Q425" s="16"/>
      <c r="R425" s="16"/>
      <c r="S425" s="16" t="s">
        <v>315</v>
      </c>
      <c r="T425" s="9"/>
      <c r="U425" s="1" t="s">
        <v>315</v>
      </c>
      <c r="V425" s="11"/>
      <c r="W425" s="232"/>
      <c r="X425" s="304"/>
    </row>
    <row r="426" spans="1:24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1"/>
      <c r="L426" s="1" t="s">
        <v>315</v>
      </c>
      <c r="M426" s="9"/>
      <c r="N426" s="14">
        <f>Tabela13161718[[#This Row],[Valor_recibo]]</f>
        <v>0</v>
      </c>
      <c r="O426" s="16"/>
      <c r="P426" s="1" t="e">
        <f>VLOOKUP(Tabela13161718[[#This Row],[DT]],Aprovados!A:A,1,0)</f>
        <v>#N/A</v>
      </c>
      <c r="Q426" s="16"/>
      <c r="R426" s="16"/>
      <c r="S426" s="16" t="s">
        <v>315</v>
      </c>
      <c r="T426" s="9"/>
      <c r="U426" s="1" t="s">
        <v>315</v>
      </c>
      <c r="V426" s="11"/>
      <c r="W426" s="232"/>
      <c r="X426" s="304"/>
    </row>
    <row r="427" spans="1:24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1"/>
      <c r="L427" s="1" t="s">
        <v>315</v>
      </c>
      <c r="M427" s="9"/>
      <c r="N427" s="14">
        <f>Tabela13161718[[#This Row],[Valor_recibo]]</f>
        <v>0</v>
      </c>
      <c r="O427" s="16"/>
      <c r="P427" s="1" t="e">
        <f>VLOOKUP(Tabela13161718[[#This Row],[DT]],Aprovados!A:A,1,0)</f>
        <v>#N/A</v>
      </c>
      <c r="Q427" s="16"/>
      <c r="R427" s="16"/>
      <c r="S427" s="16" t="s">
        <v>315</v>
      </c>
      <c r="T427" s="9"/>
      <c r="U427" s="1" t="s">
        <v>315</v>
      </c>
      <c r="V427" s="11"/>
      <c r="W427" s="232"/>
      <c r="X427" s="304"/>
    </row>
    <row r="428" spans="1:24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1"/>
      <c r="L428" s="1" t="s">
        <v>315</v>
      </c>
      <c r="M428" s="9"/>
      <c r="N428" s="14">
        <f>Tabela13161718[[#This Row],[Valor_recibo]]</f>
        <v>0</v>
      </c>
      <c r="O428" s="16"/>
      <c r="P428" s="1" t="e">
        <f>VLOOKUP(Tabela13161718[[#This Row],[DT]],Aprovados!A:A,1,0)</f>
        <v>#N/A</v>
      </c>
      <c r="Q428" s="16"/>
      <c r="R428" s="16"/>
      <c r="S428" s="16" t="s">
        <v>315</v>
      </c>
      <c r="T428" s="9"/>
      <c r="U428" s="1" t="s">
        <v>315</v>
      </c>
      <c r="V428" s="11"/>
      <c r="W428" s="232"/>
      <c r="X428" s="304"/>
    </row>
    <row r="429" spans="1:24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1"/>
      <c r="L429" s="1" t="s">
        <v>315</v>
      </c>
      <c r="M429" s="9"/>
      <c r="N429" s="14">
        <f>Tabela13161718[[#This Row],[Valor_recibo]]</f>
        <v>0</v>
      </c>
      <c r="O429" s="16"/>
      <c r="P429" s="1" t="e">
        <f>VLOOKUP(Tabela13161718[[#This Row],[DT]],Aprovados!A:A,1,0)</f>
        <v>#N/A</v>
      </c>
      <c r="Q429" s="16"/>
      <c r="R429" s="16"/>
      <c r="S429" s="16" t="s">
        <v>315</v>
      </c>
      <c r="T429" s="9"/>
      <c r="U429" s="1" t="s">
        <v>315</v>
      </c>
      <c r="V429" s="11"/>
      <c r="W429" s="232"/>
      <c r="X429" s="304"/>
    </row>
    <row r="430" spans="1:24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1"/>
      <c r="L430" s="1" t="s">
        <v>315</v>
      </c>
      <c r="M430" s="9"/>
      <c r="N430" s="14">
        <f>Tabela13161718[[#This Row],[Valor_recibo]]</f>
        <v>0</v>
      </c>
      <c r="O430" s="16"/>
      <c r="P430" s="1" t="e">
        <f>VLOOKUP(Tabela13161718[[#This Row],[DT]],Aprovados!A:A,1,0)</f>
        <v>#N/A</v>
      </c>
      <c r="Q430" s="16"/>
      <c r="R430" s="16"/>
      <c r="S430" s="16" t="s">
        <v>315</v>
      </c>
      <c r="T430" s="9"/>
      <c r="U430" s="1" t="s">
        <v>315</v>
      </c>
      <c r="V430" s="11"/>
      <c r="W430" s="232"/>
      <c r="X430" s="304"/>
    </row>
    <row r="431" spans="1:24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1"/>
      <c r="L431" s="1" t="s">
        <v>315</v>
      </c>
      <c r="M431" s="9"/>
      <c r="N431" s="14">
        <f>Tabela13161718[[#This Row],[Valor_recibo]]</f>
        <v>0</v>
      </c>
      <c r="O431" s="16"/>
      <c r="P431" s="1" t="e">
        <f>VLOOKUP(Tabela13161718[[#This Row],[DT]],Aprovados!A:A,1,0)</f>
        <v>#N/A</v>
      </c>
      <c r="Q431" s="16"/>
      <c r="R431" s="16"/>
      <c r="S431" s="16" t="s">
        <v>315</v>
      </c>
      <c r="T431" s="9"/>
      <c r="U431" s="1" t="s">
        <v>315</v>
      </c>
      <c r="V431" s="11"/>
      <c r="W431" s="232"/>
      <c r="X431" s="304"/>
    </row>
    <row r="432" spans="1:24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1"/>
      <c r="L432" s="1" t="s">
        <v>315</v>
      </c>
      <c r="M432" s="9"/>
      <c r="N432" s="14">
        <f>Tabela13161718[[#This Row],[Valor_recibo]]</f>
        <v>0</v>
      </c>
      <c r="O432" s="16"/>
      <c r="P432" s="1" t="e">
        <f>VLOOKUP(Tabela13161718[[#This Row],[DT]],Aprovados!A:A,1,0)</f>
        <v>#N/A</v>
      </c>
      <c r="Q432" s="16"/>
      <c r="R432" s="16"/>
      <c r="S432" s="16" t="s">
        <v>315</v>
      </c>
      <c r="T432" s="9"/>
      <c r="U432" s="1" t="s">
        <v>315</v>
      </c>
      <c r="V432" s="11"/>
      <c r="W432" s="232"/>
      <c r="X432" s="304"/>
    </row>
    <row r="433" spans="1:24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1"/>
      <c r="L433" s="1" t="s">
        <v>315</v>
      </c>
      <c r="M433" s="9"/>
      <c r="N433" s="14">
        <f>Tabela13161718[[#This Row],[Valor_recibo]]</f>
        <v>0</v>
      </c>
      <c r="O433" s="16"/>
      <c r="P433" s="1" t="e">
        <f>VLOOKUP(Tabela13161718[[#This Row],[DT]],Aprovados!A:A,1,0)</f>
        <v>#N/A</v>
      </c>
      <c r="Q433" s="16"/>
      <c r="R433" s="16"/>
      <c r="S433" s="16" t="s">
        <v>315</v>
      </c>
      <c r="T433" s="9"/>
      <c r="U433" s="1" t="s">
        <v>315</v>
      </c>
      <c r="V433" s="11"/>
      <c r="W433" s="232"/>
      <c r="X433" s="304"/>
    </row>
    <row r="434" spans="1:24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1"/>
      <c r="L434" s="1" t="s">
        <v>315</v>
      </c>
      <c r="M434" s="9"/>
      <c r="N434" s="14">
        <f>Tabela13161718[[#This Row],[Valor_recibo]]</f>
        <v>0</v>
      </c>
      <c r="O434" s="16"/>
      <c r="P434" s="1" t="e">
        <f>VLOOKUP(Tabela13161718[[#This Row],[DT]],Aprovados!A:A,1,0)</f>
        <v>#N/A</v>
      </c>
      <c r="Q434" s="16"/>
      <c r="R434" s="16"/>
      <c r="S434" s="16" t="s">
        <v>315</v>
      </c>
      <c r="T434" s="9"/>
      <c r="U434" s="1" t="s">
        <v>315</v>
      </c>
      <c r="V434" s="11"/>
      <c r="W434" s="232"/>
      <c r="X434" s="304"/>
    </row>
    <row r="435" spans="1:24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1"/>
      <c r="L435" s="1" t="s">
        <v>315</v>
      </c>
      <c r="M435" s="9"/>
      <c r="N435" s="14">
        <f>Tabela13161718[[#This Row],[Valor_recibo]]</f>
        <v>0</v>
      </c>
      <c r="O435" s="16"/>
      <c r="P435" s="1" t="e">
        <f>VLOOKUP(Tabela13161718[[#This Row],[DT]],Aprovados!A:A,1,0)</f>
        <v>#N/A</v>
      </c>
      <c r="Q435" s="16"/>
      <c r="R435" s="16"/>
      <c r="S435" s="16" t="s">
        <v>315</v>
      </c>
      <c r="T435" s="9"/>
      <c r="U435" s="1" t="s">
        <v>315</v>
      </c>
      <c r="V435" s="11"/>
      <c r="W435" s="232"/>
      <c r="X435" s="304"/>
    </row>
    <row r="436" spans="1:24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1"/>
      <c r="L436" s="1" t="s">
        <v>315</v>
      </c>
      <c r="M436" s="9"/>
      <c r="N436" s="14">
        <f>Tabela13161718[[#This Row],[Valor_recibo]]</f>
        <v>0</v>
      </c>
      <c r="O436" s="16"/>
      <c r="P436" s="1" t="e">
        <f>VLOOKUP(Tabela13161718[[#This Row],[DT]],Aprovados!A:A,1,0)</f>
        <v>#N/A</v>
      </c>
      <c r="Q436" s="16"/>
      <c r="R436" s="16"/>
      <c r="S436" s="16" t="s">
        <v>315</v>
      </c>
      <c r="T436" s="9"/>
      <c r="U436" s="1" t="s">
        <v>315</v>
      </c>
      <c r="V436" s="11"/>
      <c r="W436" s="232"/>
      <c r="X436" s="304"/>
    </row>
    <row r="437" spans="1:24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1"/>
      <c r="L437" s="1" t="s">
        <v>315</v>
      </c>
      <c r="M437" s="9"/>
      <c r="N437" s="14">
        <f>Tabela13161718[[#This Row],[Valor_recibo]]</f>
        <v>0</v>
      </c>
      <c r="O437" s="16"/>
      <c r="P437" s="1" t="e">
        <f>VLOOKUP(Tabela13161718[[#This Row],[DT]],Aprovados!A:A,1,0)</f>
        <v>#N/A</v>
      </c>
      <c r="Q437" s="16"/>
      <c r="R437" s="16"/>
      <c r="S437" s="16" t="s">
        <v>315</v>
      </c>
      <c r="T437" s="9"/>
      <c r="U437" s="1" t="s">
        <v>315</v>
      </c>
      <c r="V437" s="11"/>
      <c r="W437" s="232"/>
      <c r="X437" s="304"/>
    </row>
    <row r="438" spans="1:24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1"/>
      <c r="L438" s="1" t="s">
        <v>315</v>
      </c>
      <c r="M438" s="9"/>
      <c r="N438" s="14">
        <f>Tabela13161718[[#This Row],[Valor_recibo]]</f>
        <v>0</v>
      </c>
      <c r="O438" s="16"/>
      <c r="P438" s="1" t="e">
        <f>VLOOKUP(Tabela13161718[[#This Row],[DT]],Aprovados!A:A,1,0)</f>
        <v>#N/A</v>
      </c>
      <c r="Q438" s="16"/>
      <c r="R438" s="16"/>
      <c r="S438" s="16" t="s">
        <v>315</v>
      </c>
      <c r="T438" s="9"/>
      <c r="U438" s="1" t="s">
        <v>315</v>
      </c>
      <c r="V438" s="11"/>
      <c r="W438" s="232"/>
      <c r="X438" s="304"/>
    </row>
    <row r="439" spans="1:24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1"/>
      <c r="L439" s="1" t="s">
        <v>315</v>
      </c>
      <c r="M439" s="9"/>
      <c r="N439" s="14">
        <f>Tabela13161718[[#This Row],[Valor_recibo]]</f>
        <v>0</v>
      </c>
      <c r="O439" s="16"/>
      <c r="P439" s="1" t="e">
        <f>VLOOKUP(Tabela13161718[[#This Row],[DT]],Aprovados!A:A,1,0)</f>
        <v>#N/A</v>
      </c>
      <c r="Q439" s="16"/>
      <c r="R439" s="16"/>
      <c r="S439" s="16" t="s">
        <v>315</v>
      </c>
      <c r="T439" s="9"/>
      <c r="U439" s="1" t="s">
        <v>315</v>
      </c>
      <c r="V439" s="11"/>
      <c r="W439" s="232"/>
      <c r="X439" s="304"/>
    </row>
    <row r="440" spans="1:24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1"/>
      <c r="L440" s="1" t="s">
        <v>315</v>
      </c>
      <c r="M440" s="9"/>
      <c r="N440" s="14">
        <f>Tabela13161718[[#This Row],[Valor_recibo]]</f>
        <v>0</v>
      </c>
      <c r="O440" s="16"/>
      <c r="P440" s="1" t="e">
        <f>VLOOKUP(Tabela13161718[[#This Row],[DT]],Aprovados!A:A,1,0)</f>
        <v>#N/A</v>
      </c>
      <c r="Q440" s="16"/>
      <c r="R440" s="16"/>
      <c r="S440" s="16" t="s">
        <v>315</v>
      </c>
      <c r="T440" s="9"/>
      <c r="U440" s="1" t="s">
        <v>315</v>
      </c>
      <c r="V440" s="11"/>
      <c r="W440" s="232"/>
      <c r="X440" s="304"/>
    </row>
    <row r="441" spans="1:24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1"/>
      <c r="L441" s="1" t="s">
        <v>315</v>
      </c>
      <c r="M441" s="9"/>
      <c r="N441" s="14">
        <f>Tabela13161718[[#This Row],[Valor_recibo]]</f>
        <v>0</v>
      </c>
      <c r="O441" s="16"/>
      <c r="P441" s="1" t="e">
        <f>VLOOKUP(Tabela13161718[[#This Row],[DT]],Aprovados!A:A,1,0)</f>
        <v>#N/A</v>
      </c>
      <c r="Q441" s="16"/>
      <c r="R441" s="16"/>
      <c r="S441" s="16" t="s">
        <v>315</v>
      </c>
      <c r="T441" s="9"/>
      <c r="U441" s="1" t="s">
        <v>315</v>
      </c>
      <c r="V441" s="11"/>
      <c r="W441" s="232"/>
      <c r="X441" s="304"/>
    </row>
    <row r="442" spans="1:24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1"/>
      <c r="L442" s="1" t="s">
        <v>315</v>
      </c>
      <c r="M442" s="9"/>
      <c r="N442" s="14">
        <f>Tabela13161718[[#This Row],[Valor_recibo]]</f>
        <v>0</v>
      </c>
      <c r="O442" s="16"/>
      <c r="P442" s="1" t="e">
        <f>VLOOKUP(Tabela13161718[[#This Row],[DT]],Aprovados!A:A,1,0)</f>
        <v>#N/A</v>
      </c>
      <c r="Q442" s="16"/>
      <c r="R442" s="16"/>
      <c r="S442" s="16" t="s">
        <v>315</v>
      </c>
      <c r="T442" s="9"/>
      <c r="U442" s="1" t="s">
        <v>315</v>
      </c>
      <c r="V442" s="11"/>
      <c r="W442" s="232"/>
      <c r="X442" s="304"/>
    </row>
    <row r="443" spans="1:24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1"/>
      <c r="L443" s="1" t="s">
        <v>315</v>
      </c>
      <c r="M443" s="9"/>
      <c r="N443" s="14">
        <f>Tabela13161718[[#This Row],[Valor_recibo]]</f>
        <v>0</v>
      </c>
      <c r="O443" s="16"/>
      <c r="P443" s="1" t="e">
        <f>VLOOKUP(Tabela13161718[[#This Row],[DT]],Aprovados!A:A,1,0)</f>
        <v>#N/A</v>
      </c>
      <c r="Q443" s="16"/>
      <c r="R443" s="16"/>
      <c r="S443" s="16" t="s">
        <v>315</v>
      </c>
      <c r="T443" s="9"/>
      <c r="U443" s="1" t="s">
        <v>315</v>
      </c>
      <c r="V443" s="11"/>
      <c r="W443" s="232"/>
      <c r="X443" s="304"/>
    </row>
    <row r="444" spans="1:24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1"/>
      <c r="L444" s="1" t="s">
        <v>315</v>
      </c>
      <c r="M444" s="9"/>
      <c r="N444" s="14">
        <f>Tabela13161718[[#This Row],[Valor_recibo]]</f>
        <v>0</v>
      </c>
      <c r="O444" s="16"/>
      <c r="P444" s="1" t="e">
        <f>VLOOKUP(Tabela13161718[[#This Row],[DT]],Aprovados!A:A,1,0)</f>
        <v>#N/A</v>
      </c>
      <c r="Q444" s="16"/>
      <c r="R444" s="16"/>
      <c r="S444" s="16" t="s">
        <v>315</v>
      </c>
      <c r="T444" s="9"/>
      <c r="U444" s="1" t="s">
        <v>315</v>
      </c>
      <c r="V444" s="11"/>
      <c r="W444" s="232"/>
      <c r="X444" s="304"/>
    </row>
    <row r="445" spans="1:24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1"/>
      <c r="L445" s="1" t="s">
        <v>315</v>
      </c>
      <c r="M445" s="9"/>
      <c r="N445" s="14">
        <f>Tabela13161718[[#This Row],[Valor_recibo]]</f>
        <v>0</v>
      </c>
      <c r="O445" s="16"/>
      <c r="P445" s="1" t="e">
        <f>VLOOKUP(Tabela13161718[[#This Row],[DT]],Aprovados!A:A,1,0)</f>
        <v>#N/A</v>
      </c>
      <c r="Q445" s="16"/>
      <c r="R445" s="16"/>
      <c r="S445" s="16" t="s">
        <v>315</v>
      </c>
      <c r="T445" s="9"/>
      <c r="U445" s="1" t="s">
        <v>315</v>
      </c>
      <c r="V445" s="11"/>
      <c r="W445" s="232"/>
      <c r="X445" s="304"/>
    </row>
    <row r="446" spans="1:24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1"/>
      <c r="L446" s="1" t="s">
        <v>315</v>
      </c>
      <c r="M446" s="9"/>
      <c r="N446" s="14">
        <f>Tabela13161718[[#This Row],[Valor_recibo]]</f>
        <v>0</v>
      </c>
      <c r="O446" s="16"/>
      <c r="P446" s="1" t="e">
        <f>VLOOKUP(Tabela13161718[[#This Row],[DT]],Aprovados!A:A,1,0)</f>
        <v>#N/A</v>
      </c>
      <c r="Q446" s="16"/>
      <c r="R446" s="16"/>
      <c r="S446" s="16" t="s">
        <v>315</v>
      </c>
      <c r="T446" s="9"/>
      <c r="U446" s="1" t="s">
        <v>315</v>
      </c>
      <c r="V446" s="11"/>
      <c r="W446" s="232"/>
      <c r="X446" s="304"/>
    </row>
    <row r="447" spans="1:24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1"/>
      <c r="L447" s="1" t="s">
        <v>315</v>
      </c>
      <c r="M447" s="9"/>
      <c r="N447" s="14">
        <f>Tabela13161718[[#This Row],[Valor_recibo]]</f>
        <v>0</v>
      </c>
      <c r="O447" s="16"/>
      <c r="P447" s="1" t="e">
        <f>VLOOKUP(Tabela13161718[[#This Row],[DT]],Aprovados!A:A,1,0)</f>
        <v>#N/A</v>
      </c>
      <c r="Q447" s="16"/>
      <c r="R447" s="16"/>
      <c r="S447" s="16" t="s">
        <v>315</v>
      </c>
      <c r="T447" s="9"/>
      <c r="U447" s="1" t="s">
        <v>315</v>
      </c>
      <c r="V447" s="11"/>
      <c r="W447" s="232"/>
      <c r="X447" s="304"/>
    </row>
    <row r="448" spans="1:24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1"/>
      <c r="L448" s="1" t="s">
        <v>315</v>
      </c>
      <c r="M448" s="9"/>
      <c r="N448" s="14">
        <f>Tabela13161718[[#This Row],[Valor_recibo]]</f>
        <v>0</v>
      </c>
      <c r="O448" s="16"/>
      <c r="P448" s="1" t="e">
        <f>VLOOKUP(Tabela13161718[[#This Row],[DT]],Aprovados!A:A,1,0)</f>
        <v>#N/A</v>
      </c>
      <c r="Q448" s="16"/>
      <c r="R448" s="16"/>
      <c r="S448" s="16" t="s">
        <v>315</v>
      </c>
      <c r="T448" s="9"/>
      <c r="U448" s="1" t="s">
        <v>315</v>
      </c>
      <c r="V448" s="11"/>
      <c r="W448" s="232"/>
      <c r="X448" s="304"/>
    </row>
    <row r="449" spans="1:24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1"/>
      <c r="L449" s="1" t="s">
        <v>315</v>
      </c>
      <c r="M449" s="9"/>
      <c r="N449" s="14">
        <f>Tabela13161718[[#This Row],[Valor_recibo]]</f>
        <v>0</v>
      </c>
      <c r="O449" s="16"/>
      <c r="P449" s="1" t="e">
        <f>VLOOKUP(Tabela13161718[[#This Row],[DT]],Aprovados!A:A,1,0)</f>
        <v>#N/A</v>
      </c>
      <c r="Q449" s="16"/>
      <c r="R449" s="16"/>
      <c r="S449" s="16" t="s">
        <v>315</v>
      </c>
      <c r="T449" s="9"/>
      <c r="U449" s="1" t="s">
        <v>315</v>
      </c>
      <c r="V449" s="11"/>
      <c r="W449" s="232"/>
      <c r="X449" s="304"/>
    </row>
    <row r="450" spans="1:24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1"/>
      <c r="L450" s="1" t="s">
        <v>315</v>
      </c>
      <c r="M450" s="9"/>
      <c r="N450" s="14">
        <f>Tabela13161718[[#This Row],[Valor_recibo]]</f>
        <v>0</v>
      </c>
      <c r="O450" s="16"/>
      <c r="P450" s="1" t="e">
        <f>VLOOKUP(Tabela13161718[[#This Row],[DT]],Aprovados!A:A,1,0)</f>
        <v>#N/A</v>
      </c>
      <c r="Q450" s="16"/>
      <c r="R450" s="16"/>
      <c r="S450" s="16" t="s">
        <v>315</v>
      </c>
      <c r="T450" s="9"/>
      <c r="U450" s="1" t="s">
        <v>315</v>
      </c>
      <c r="V450" s="11"/>
      <c r="W450" s="232"/>
      <c r="X450" s="304"/>
    </row>
    <row r="451" spans="1:24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1"/>
      <c r="L451" s="1" t="s">
        <v>315</v>
      </c>
      <c r="M451" s="9"/>
      <c r="N451" s="14">
        <f>Tabela13161718[[#This Row],[Valor_recibo]]</f>
        <v>0</v>
      </c>
      <c r="O451" s="16"/>
      <c r="P451" s="1" t="e">
        <f>VLOOKUP(Tabela13161718[[#This Row],[DT]],Aprovados!A:A,1,0)</f>
        <v>#N/A</v>
      </c>
      <c r="Q451" s="16"/>
      <c r="R451" s="16"/>
      <c r="S451" s="16" t="s">
        <v>315</v>
      </c>
      <c r="T451" s="9"/>
      <c r="U451" s="1" t="s">
        <v>315</v>
      </c>
      <c r="V451" s="11"/>
      <c r="W451" s="232"/>
      <c r="X451" s="304"/>
    </row>
    <row r="452" spans="1:24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1"/>
      <c r="L452" s="1" t="s">
        <v>315</v>
      </c>
      <c r="M452" s="9"/>
      <c r="N452" s="14">
        <f>Tabela13161718[[#This Row],[Valor_recibo]]</f>
        <v>0</v>
      </c>
      <c r="O452" s="16"/>
      <c r="P452" s="1" t="e">
        <f>VLOOKUP(Tabela13161718[[#This Row],[DT]],Aprovados!A:A,1,0)</f>
        <v>#N/A</v>
      </c>
      <c r="Q452" s="16"/>
      <c r="R452" s="16"/>
      <c r="S452" s="16" t="s">
        <v>315</v>
      </c>
      <c r="T452" s="9"/>
      <c r="U452" s="1" t="s">
        <v>315</v>
      </c>
      <c r="V452" s="11"/>
      <c r="W452" s="232"/>
      <c r="X452" s="304"/>
    </row>
    <row r="453" spans="1:24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1"/>
      <c r="L453" s="1" t="s">
        <v>315</v>
      </c>
      <c r="M453" s="9"/>
      <c r="N453" s="14">
        <f>Tabela13161718[[#This Row],[Valor_recibo]]</f>
        <v>0</v>
      </c>
      <c r="O453" s="16"/>
      <c r="P453" s="1" t="e">
        <f>VLOOKUP(Tabela13161718[[#This Row],[DT]],Aprovados!A:A,1,0)</f>
        <v>#N/A</v>
      </c>
      <c r="Q453" s="16"/>
      <c r="R453" s="16"/>
      <c r="S453" s="16" t="s">
        <v>315</v>
      </c>
      <c r="T453" s="9"/>
      <c r="U453" s="1" t="s">
        <v>315</v>
      </c>
      <c r="V453" s="11"/>
      <c r="W453" s="232"/>
      <c r="X453" s="304"/>
    </row>
    <row r="454" spans="1:24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1"/>
      <c r="L454" s="1" t="s">
        <v>315</v>
      </c>
      <c r="M454" s="9"/>
      <c r="N454" s="14">
        <f>Tabela13161718[[#This Row],[Valor_recibo]]</f>
        <v>0</v>
      </c>
      <c r="O454" s="16"/>
      <c r="P454" s="1" t="e">
        <f>VLOOKUP(Tabela13161718[[#This Row],[DT]],Aprovados!A:A,1,0)</f>
        <v>#N/A</v>
      </c>
      <c r="Q454" s="16"/>
      <c r="R454" s="16"/>
      <c r="S454" s="16" t="s">
        <v>315</v>
      </c>
      <c r="T454" s="9"/>
      <c r="U454" s="1" t="s">
        <v>315</v>
      </c>
      <c r="V454" s="11"/>
      <c r="W454" s="232"/>
      <c r="X454" s="304"/>
    </row>
    <row r="455" spans="1:24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1"/>
      <c r="L455" s="1" t="s">
        <v>315</v>
      </c>
      <c r="M455" s="9"/>
      <c r="N455" s="14">
        <f>Tabela13161718[[#This Row],[Valor_recibo]]</f>
        <v>0</v>
      </c>
      <c r="O455" s="16"/>
      <c r="P455" s="1" t="e">
        <f>VLOOKUP(Tabela13161718[[#This Row],[DT]],Aprovados!A:A,1,0)</f>
        <v>#N/A</v>
      </c>
      <c r="Q455" s="16"/>
      <c r="R455" s="16"/>
      <c r="S455" s="16" t="s">
        <v>315</v>
      </c>
      <c r="T455" s="9"/>
      <c r="U455" s="1" t="s">
        <v>315</v>
      </c>
      <c r="V455" s="11"/>
      <c r="W455" s="232"/>
      <c r="X455" s="304"/>
    </row>
    <row r="456" spans="1:24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1"/>
      <c r="L456" s="1" t="s">
        <v>315</v>
      </c>
      <c r="M456" s="9"/>
      <c r="N456" s="14">
        <f>Tabela13161718[[#This Row],[Valor_recibo]]</f>
        <v>0</v>
      </c>
      <c r="O456" s="16"/>
      <c r="P456" s="1" t="e">
        <f>VLOOKUP(Tabela13161718[[#This Row],[DT]],Aprovados!A:A,1,0)</f>
        <v>#N/A</v>
      </c>
      <c r="Q456" s="16"/>
      <c r="R456" s="16"/>
      <c r="S456" s="16" t="s">
        <v>315</v>
      </c>
      <c r="T456" s="9"/>
      <c r="U456" s="1" t="s">
        <v>315</v>
      </c>
      <c r="V456" s="11"/>
      <c r="W456" s="232"/>
      <c r="X456" s="304"/>
    </row>
    <row r="457" spans="1:24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1"/>
      <c r="L457" s="1" t="s">
        <v>315</v>
      </c>
      <c r="M457" s="9"/>
      <c r="N457" s="14">
        <f>Tabela13161718[[#This Row],[Valor_recibo]]</f>
        <v>0</v>
      </c>
      <c r="O457" s="16"/>
      <c r="P457" s="1" t="e">
        <f>VLOOKUP(Tabela13161718[[#This Row],[DT]],Aprovados!A:A,1,0)</f>
        <v>#N/A</v>
      </c>
      <c r="Q457" s="16"/>
      <c r="R457" s="16"/>
      <c r="S457" s="16" t="s">
        <v>315</v>
      </c>
      <c r="T457" s="9"/>
      <c r="U457" s="1" t="s">
        <v>315</v>
      </c>
      <c r="V457" s="11"/>
      <c r="W457" s="232"/>
      <c r="X457" s="304"/>
    </row>
    <row r="458" spans="1:24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1"/>
      <c r="L458" s="1" t="s">
        <v>315</v>
      </c>
      <c r="M458" s="9"/>
      <c r="N458" s="14">
        <f>Tabela13161718[[#This Row],[Valor_recibo]]</f>
        <v>0</v>
      </c>
      <c r="O458" s="16"/>
      <c r="P458" s="1" t="e">
        <f>VLOOKUP(Tabela13161718[[#This Row],[DT]],Aprovados!A:A,1,0)</f>
        <v>#N/A</v>
      </c>
      <c r="Q458" s="16"/>
      <c r="R458" s="16"/>
      <c r="S458" s="16" t="s">
        <v>315</v>
      </c>
      <c r="T458" s="9"/>
      <c r="U458" s="1" t="s">
        <v>315</v>
      </c>
      <c r="V458" s="11"/>
      <c r="W458" s="232"/>
      <c r="X458" s="304"/>
    </row>
    <row r="459" spans="1:24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1"/>
      <c r="L459" s="1" t="s">
        <v>315</v>
      </c>
      <c r="M459" s="9"/>
      <c r="N459" s="14">
        <f>Tabela13161718[[#This Row],[Valor_recibo]]</f>
        <v>0</v>
      </c>
      <c r="O459" s="16"/>
      <c r="P459" s="1" t="e">
        <f>VLOOKUP(Tabela13161718[[#This Row],[DT]],Aprovados!A:A,1,0)</f>
        <v>#N/A</v>
      </c>
      <c r="Q459" s="16"/>
      <c r="R459" s="16"/>
      <c r="S459" s="16" t="s">
        <v>315</v>
      </c>
      <c r="T459" s="9"/>
      <c r="U459" s="1" t="s">
        <v>315</v>
      </c>
      <c r="V459" s="11"/>
      <c r="W459" s="232"/>
      <c r="X459" s="304"/>
    </row>
    <row r="460" spans="1:24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1"/>
      <c r="L460" s="1" t="s">
        <v>315</v>
      </c>
      <c r="M460" s="9"/>
      <c r="N460" s="14">
        <f>Tabela13161718[[#This Row],[Valor_recibo]]</f>
        <v>0</v>
      </c>
      <c r="O460" s="16"/>
      <c r="P460" s="1" t="e">
        <f>VLOOKUP(Tabela13161718[[#This Row],[DT]],Aprovados!A:A,1,0)</f>
        <v>#N/A</v>
      </c>
      <c r="Q460" s="16"/>
      <c r="R460" s="16"/>
      <c r="S460" s="16" t="s">
        <v>315</v>
      </c>
      <c r="T460" s="9"/>
      <c r="U460" s="1" t="s">
        <v>315</v>
      </c>
      <c r="V460" s="11"/>
      <c r="W460" s="232"/>
      <c r="X460" s="304"/>
    </row>
    <row r="461" spans="1:24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1"/>
      <c r="L461" s="1" t="s">
        <v>315</v>
      </c>
      <c r="M461" s="9"/>
      <c r="N461" s="14">
        <f>Tabela13161718[[#This Row],[Valor_recibo]]</f>
        <v>0</v>
      </c>
      <c r="O461" s="16"/>
      <c r="P461" s="1" t="e">
        <f>VLOOKUP(Tabela13161718[[#This Row],[DT]],Aprovados!A:A,1,0)</f>
        <v>#N/A</v>
      </c>
      <c r="Q461" s="16"/>
      <c r="R461" s="16"/>
      <c r="S461" s="16" t="s">
        <v>315</v>
      </c>
      <c r="T461" s="9"/>
      <c r="U461" s="1" t="s">
        <v>315</v>
      </c>
      <c r="V461" s="11"/>
      <c r="W461" s="232"/>
      <c r="X461" s="304"/>
    </row>
    <row r="462" spans="1:24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1"/>
      <c r="L462" s="1" t="s">
        <v>315</v>
      </c>
      <c r="M462" s="9"/>
      <c r="N462" s="14">
        <f>Tabela13161718[[#This Row],[Valor_recibo]]</f>
        <v>0</v>
      </c>
      <c r="O462" s="16"/>
      <c r="P462" s="1" t="e">
        <f>VLOOKUP(Tabela13161718[[#This Row],[DT]],Aprovados!A:A,1,0)</f>
        <v>#N/A</v>
      </c>
      <c r="Q462" s="16"/>
      <c r="R462" s="16"/>
      <c r="S462" s="16" t="s">
        <v>315</v>
      </c>
      <c r="T462" s="9"/>
      <c r="U462" s="1" t="s">
        <v>315</v>
      </c>
      <c r="V462" s="11"/>
      <c r="W462" s="232"/>
      <c r="X462" s="304"/>
    </row>
    <row r="463" spans="1:24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1"/>
      <c r="L463" s="1" t="s">
        <v>315</v>
      </c>
      <c r="M463" s="9"/>
      <c r="N463" s="14">
        <f>Tabela13161718[[#This Row],[Valor_recibo]]</f>
        <v>0</v>
      </c>
      <c r="O463" s="16"/>
      <c r="P463" s="1" t="e">
        <f>VLOOKUP(Tabela13161718[[#This Row],[DT]],Aprovados!A:A,1,0)</f>
        <v>#N/A</v>
      </c>
      <c r="Q463" s="16"/>
      <c r="R463" s="16"/>
      <c r="S463" s="16" t="s">
        <v>315</v>
      </c>
      <c r="T463" s="9"/>
      <c r="U463" s="1" t="s">
        <v>315</v>
      </c>
      <c r="V463" s="11"/>
      <c r="W463" s="232"/>
      <c r="X463" s="304"/>
    </row>
    <row r="464" spans="1:24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1"/>
      <c r="L464" s="1" t="s">
        <v>315</v>
      </c>
      <c r="M464" s="9"/>
      <c r="N464" s="14">
        <f>Tabela13161718[[#This Row],[Valor_recibo]]</f>
        <v>0</v>
      </c>
      <c r="O464" s="16"/>
      <c r="P464" s="1" t="e">
        <f>VLOOKUP(Tabela13161718[[#This Row],[DT]],Aprovados!A:A,1,0)</f>
        <v>#N/A</v>
      </c>
      <c r="Q464" s="16"/>
      <c r="R464" s="16"/>
      <c r="S464" s="16" t="s">
        <v>315</v>
      </c>
      <c r="T464" s="9"/>
      <c r="U464" s="1" t="s">
        <v>315</v>
      </c>
      <c r="V464" s="11"/>
      <c r="W464" s="232"/>
      <c r="X464" s="304"/>
    </row>
    <row r="465" spans="1:24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1"/>
      <c r="L465" s="1" t="s">
        <v>315</v>
      </c>
      <c r="M465" s="9"/>
      <c r="N465" s="14">
        <f>Tabela13161718[[#This Row],[Valor_recibo]]</f>
        <v>0</v>
      </c>
      <c r="O465" s="16"/>
      <c r="P465" s="1" t="e">
        <f>VLOOKUP(Tabela13161718[[#This Row],[DT]],Aprovados!A:A,1,0)</f>
        <v>#N/A</v>
      </c>
      <c r="Q465" s="16"/>
      <c r="R465" s="16"/>
      <c r="S465" s="16" t="s">
        <v>315</v>
      </c>
      <c r="T465" s="9"/>
      <c r="U465" s="1" t="s">
        <v>315</v>
      </c>
      <c r="V465" s="11"/>
      <c r="W465" s="232"/>
      <c r="X465" s="304"/>
    </row>
    <row r="466" spans="1:24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1"/>
      <c r="L466" s="1" t="s">
        <v>315</v>
      </c>
      <c r="M466" s="9"/>
      <c r="N466" s="14">
        <f>Tabela13161718[[#This Row],[Valor_recibo]]</f>
        <v>0</v>
      </c>
      <c r="O466" s="16"/>
      <c r="P466" s="1" t="e">
        <f>VLOOKUP(Tabela13161718[[#This Row],[DT]],Aprovados!A:A,1,0)</f>
        <v>#N/A</v>
      </c>
      <c r="Q466" s="16"/>
      <c r="R466" s="16"/>
      <c r="S466" s="16" t="s">
        <v>315</v>
      </c>
      <c r="T466" s="9"/>
      <c r="U466" s="1" t="s">
        <v>315</v>
      </c>
      <c r="V466" s="11"/>
      <c r="W466" s="232"/>
      <c r="X466" s="304"/>
    </row>
    <row r="467" spans="1:24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1"/>
      <c r="L467" s="1" t="s">
        <v>315</v>
      </c>
      <c r="M467" s="9"/>
      <c r="N467" s="14">
        <f>Tabela13161718[[#This Row],[Valor_recibo]]</f>
        <v>0</v>
      </c>
      <c r="O467" s="16"/>
      <c r="P467" s="1" t="e">
        <f>VLOOKUP(Tabela13161718[[#This Row],[DT]],Aprovados!A:A,1,0)</f>
        <v>#N/A</v>
      </c>
      <c r="Q467" s="16"/>
      <c r="R467" s="16"/>
      <c r="S467" s="16" t="s">
        <v>315</v>
      </c>
      <c r="T467" s="9"/>
      <c r="U467" s="1" t="s">
        <v>315</v>
      </c>
      <c r="V467" s="11"/>
      <c r="W467" s="232"/>
      <c r="X467" s="304"/>
    </row>
    <row r="468" spans="1:24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1"/>
      <c r="L468" s="1" t="s">
        <v>315</v>
      </c>
      <c r="M468" s="9"/>
      <c r="N468" s="14">
        <f>Tabela13161718[[#This Row],[Valor_recibo]]</f>
        <v>0</v>
      </c>
      <c r="O468" s="16"/>
      <c r="P468" s="1" t="e">
        <f>VLOOKUP(Tabela13161718[[#This Row],[DT]],Aprovados!A:A,1,0)</f>
        <v>#N/A</v>
      </c>
      <c r="Q468" s="16"/>
      <c r="R468" s="16"/>
      <c r="S468" s="16" t="s">
        <v>315</v>
      </c>
      <c r="T468" s="9"/>
      <c r="U468" s="1" t="s">
        <v>315</v>
      </c>
      <c r="V468" s="11"/>
      <c r="W468" s="232"/>
      <c r="X468" s="304"/>
    </row>
    <row r="469" spans="1:24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1"/>
      <c r="L469" s="1" t="s">
        <v>315</v>
      </c>
      <c r="M469" s="9"/>
      <c r="N469" s="14">
        <f>Tabela13161718[[#This Row],[Valor_recibo]]</f>
        <v>0</v>
      </c>
      <c r="O469" s="16"/>
      <c r="P469" s="1" t="e">
        <f>VLOOKUP(Tabela13161718[[#This Row],[DT]],Aprovados!A:A,1,0)</f>
        <v>#N/A</v>
      </c>
      <c r="Q469" s="16"/>
      <c r="R469" s="16"/>
      <c r="S469" s="16" t="s">
        <v>315</v>
      </c>
      <c r="T469" s="9"/>
      <c r="U469" s="1" t="s">
        <v>315</v>
      </c>
      <c r="V469" s="11"/>
      <c r="W469" s="232"/>
      <c r="X469" s="304"/>
    </row>
    <row r="470" spans="1:24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1"/>
      <c r="L470" s="1" t="s">
        <v>315</v>
      </c>
      <c r="M470" s="9"/>
      <c r="N470" s="14">
        <f>Tabela13161718[[#This Row],[Valor_recibo]]</f>
        <v>0</v>
      </c>
      <c r="O470" s="16"/>
      <c r="P470" s="1" t="e">
        <f>VLOOKUP(Tabela13161718[[#This Row],[DT]],Aprovados!A:A,1,0)</f>
        <v>#N/A</v>
      </c>
      <c r="Q470" s="16"/>
      <c r="R470" s="16"/>
      <c r="S470" s="16" t="s">
        <v>315</v>
      </c>
      <c r="T470" s="9"/>
      <c r="U470" s="1" t="s">
        <v>315</v>
      </c>
      <c r="V470" s="11"/>
      <c r="W470" s="232"/>
      <c r="X470" s="304"/>
    </row>
    <row r="471" spans="1:24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1"/>
      <c r="L471" s="1" t="s">
        <v>315</v>
      </c>
      <c r="M471" s="9"/>
      <c r="N471" s="14">
        <f>Tabela13161718[[#This Row],[Valor_recibo]]</f>
        <v>0</v>
      </c>
      <c r="O471" s="16"/>
      <c r="P471" s="1" t="e">
        <f>VLOOKUP(Tabela13161718[[#This Row],[DT]],Aprovados!A:A,1,0)</f>
        <v>#N/A</v>
      </c>
      <c r="Q471" s="16"/>
      <c r="R471" s="16"/>
      <c r="S471" s="16" t="s">
        <v>315</v>
      </c>
      <c r="T471" s="9"/>
      <c r="U471" s="1" t="s">
        <v>315</v>
      </c>
      <c r="V471" s="11"/>
      <c r="W471" s="232"/>
      <c r="X471" s="304"/>
    </row>
    <row r="472" spans="1:24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1"/>
      <c r="L472" s="1" t="s">
        <v>315</v>
      </c>
      <c r="M472" s="9"/>
      <c r="N472" s="14">
        <f>Tabela13161718[[#This Row],[Valor_recibo]]</f>
        <v>0</v>
      </c>
      <c r="O472" s="16"/>
      <c r="P472" s="1" t="e">
        <f>VLOOKUP(Tabela13161718[[#This Row],[DT]],Aprovados!A:A,1,0)</f>
        <v>#N/A</v>
      </c>
      <c r="Q472" s="16"/>
      <c r="R472" s="16"/>
      <c r="S472" s="16" t="s">
        <v>315</v>
      </c>
      <c r="T472" s="9"/>
      <c r="U472" s="1" t="s">
        <v>315</v>
      </c>
      <c r="V472" s="11"/>
      <c r="W472" s="232"/>
      <c r="X472" s="304"/>
    </row>
    <row r="473" spans="1:24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1"/>
      <c r="L473" s="1" t="s">
        <v>315</v>
      </c>
      <c r="M473" s="9"/>
      <c r="N473" s="14">
        <f>Tabela13161718[[#This Row],[Valor_recibo]]</f>
        <v>0</v>
      </c>
      <c r="O473" s="16"/>
      <c r="P473" s="1" t="e">
        <f>VLOOKUP(Tabela13161718[[#This Row],[DT]],Aprovados!A:A,1,0)</f>
        <v>#N/A</v>
      </c>
      <c r="Q473" s="16"/>
      <c r="R473" s="16"/>
      <c r="S473" s="16" t="s">
        <v>315</v>
      </c>
      <c r="T473" s="9"/>
      <c r="U473" s="1" t="s">
        <v>315</v>
      </c>
      <c r="V473" s="11"/>
      <c r="W473" s="232"/>
      <c r="X473" s="304"/>
    </row>
    <row r="474" spans="1:24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1"/>
      <c r="L474" s="1" t="s">
        <v>315</v>
      </c>
      <c r="M474" s="9"/>
      <c r="N474" s="14">
        <f>Tabela13161718[[#This Row],[Valor_recibo]]</f>
        <v>0</v>
      </c>
      <c r="O474" s="16"/>
      <c r="P474" s="1" t="e">
        <f>VLOOKUP(Tabela13161718[[#This Row],[DT]],Aprovados!A:A,1,0)</f>
        <v>#N/A</v>
      </c>
      <c r="Q474" s="16"/>
      <c r="R474" s="16"/>
      <c r="S474" s="16" t="s">
        <v>315</v>
      </c>
      <c r="T474" s="9"/>
      <c r="U474" s="1" t="s">
        <v>315</v>
      </c>
      <c r="V474" s="11"/>
      <c r="W474" s="232"/>
      <c r="X474" s="304"/>
    </row>
    <row r="475" spans="1:24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1"/>
      <c r="L475" s="1" t="s">
        <v>315</v>
      </c>
      <c r="M475" s="9"/>
      <c r="N475" s="14">
        <f>Tabela13161718[[#This Row],[Valor_recibo]]</f>
        <v>0</v>
      </c>
      <c r="O475" s="16"/>
      <c r="P475" s="1" t="e">
        <f>VLOOKUP(Tabela13161718[[#This Row],[DT]],Aprovados!A:A,1,0)</f>
        <v>#N/A</v>
      </c>
      <c r="Q475" s="16"/>
      <c r="R475" s="16"/>
      <c r="S475" s="16" t="s">
        <v>315</v>
      </c>
      <c r="T475" s="9"/>
      <c r="U475" s="1" t="s">
        <v>315</v>
      </c>
      <c r="V475" s="11"/>
      <c r="W475" s="232"/>
      <c r="X475" s="304"/>
    </row>
    <row r="476" spans="1:24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1"/>
      <c r="L476" s="1" t="s">
        <v>315</v>
      </c>
      <c r="M476" s="9"/>
      <c r="N476" s="14">
        <f>Tabela13161718[[#This Row],[Valor_recibo]]</f>
        <v>0</v>
      </c>
      <c r="O476" s="16"/>
      <c r="P476" s="1" t="e">
        <f>VLOOKUP(Tabela13161718[[#This Row],[DT]],Aprovados!A:A,1,0)</f>
        <v>#N/A</v>
      </c>
      <c r="Q476" s="16"/>
      <c r="R476" s="16"/>
      <c r="S476" s="16" t="s">
        <v>315</v>
      </c>
      <c r="T476" s="9"/>
      <c r="U476" s="1" t="s">
        <v>315</v>
      </c>
      <c r="V476" s="11"/>
      <c r="W476" s="232"/>
      <c r="X476" s="304"/>
    </row>
    <row r="477" spans="1:24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1"/>
      <c r="L477" s="1" t="s">
        <v>315</v>
      </c>
      <c r="M477" s="9"/>
      <c r="N477" s="14">
        <f>Tabela13161718[[#This Row],[Valor_recibo]]</f>
        <v>0</v>
      </c>
      <c r="O477" s="16"/>
      <c r="P477" s="1" t="e">
        <f>VLOOKUP(Tabela13161718[[#This Row],[DT]],Aprovados!A:A,1,0)</f>
        <v>#N/A</v>
      </c>
      <c r="Q477" s="16"/>
      <c r="R477" s="16"/>
      <c r="S477" s="16" t="s">
        <v>315</v>
      </c>
      <c r="T477" s="9"/>
      <c r="U477" s="1" t="s">
        <v>315</v>
      </c>
      <c r="V477" s="11"/>
      <c r="W477" s="232"/>
      <c r="X477" s="304"/>
    </row>
    <row r="478" spans="1:24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1"/>
      <c r="L478" s="1" t="s">
        <v>315</v>
      </c>
      <c r="M478" s="9"/>
      <c r="N478" s="14">
        <f>Tabela13161718[[#This Row],[Valor_recibo]]</f>
        <v>0</v>
      </c>
      <c r="O478" s="16"/>
      <c r="P478" s="1" t="e">
        <f>VLOOKUP(Tabela13161718[[#This Row],[DT]],Aprovados!A:A,1,0)</f>
        <v>#N/A</v>
      </c>
      <c r="Q478" s="16"/>
      <c r="R478" s="16"/>
      <c r="S478" s="16" t="s">
        <v>315</v>
      </c>
      <c r="T478" s="9"/>
      <c r="U478" s="1" t="s">
        <v>315</v>
      </c>
      <c r="V478" s="11"/>
      <c r="W478" s="232"/>
      <c r="X478" s="304"/>
    </row>
    <row r="479" spans="1:24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1"/>
      <c r="L479" s="1" t="s">
        <v>315</v>
      </c>
      <c r="M479" s="9"/>
      <c r="N479" s="14">
        <f>Tabela13161718[[#This Row],[Valor_recibo]]</f>
        <v>0</v>
      </c>
      <c r="O479" s="16"/>
      <c r="P479" s="1" t="e">
        <f>VLOOKUP(Tabela13161718[[#This Row],[DT]],Aprovados!A:A,1,0)</f>
        <v>#N/A</v>
      </c>
      <c r="Q479" s="16"/>
      <c r="R479" s="16"/>
      <c r="S479" s="16" t="s">
        <v>315</v>
      </c>
      <c r="T479" s="9"/>
      <c r="U479" s="1" t="s">
        <v>315</v>
      </c>
      <c r="V479" s="11"/>
      <c r="W479" s="232"/>
      <c r="X479" s="304"/>
    </row>
    <row r="480" spans="1:24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1"/>
      <c r="L480" s="1" t="s">
        <v>315</v>
      </c>
      <c r="M480" s="9"/>
      <c r="N480" s="14">
        <f>Tabela13161718[[#This Row],[Valor_recibo]]</f>
        <v>0</v>
      </c>
      <c r="O480" s="16"/>
      <c r="P480" s="1" t="e">
        <f>VLOOKUP(Tabela13161718[[#This Row],[DT]],Aprovados!A:A,1,0)</f>
        <v>#N/A</v>
      </c>
      <c r="Q480" s="16"/>
      <c r="R480" s="16"/>
      <c r="S480" s="16" t="s">
        <v>315</v>
      </c>
      <c r="T480" s="9"/>
      <c r="U480" s="1" t="s">
        <v>315</v>
      </c>
      <c r="V480" s="11"/>
      <c r="W480" s="232"/>
      <c r="X480" s="304"/>
    </row>
    <row r="481" spans="1:24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1"/>
      <c r="L481" s="1" t="s">
        <v>315</v>
      </c>
      <c r="M481" s="9"/>
      <c r="N481" s="14">
        <f>Tabela13161718[[#This Row],[Valor_recibo]]</f>
        <v>0</v>
      </c>
      <c r="O481" s="16"/>
      <c r="P481" s="1" t="e">
        <f>VLOOKUP(Tabela13161718[[#This Row],[DT]],Aprovados!A:A,1,0)</f>
        <v>#N/A</v>
      </c>
      <c r="Q481" s="16"/>
      <c r="R481" s="16"/>
      <c r="S481" s="16" t="s">
        <v>315</v>
      </c>
      <c r="T481" s="9"/>
      <c r="U481" s="1" t="s">
        <v>315</v>
      </c>
      <c r="V481" s="11"/>
      <c r="W481" s="232"/>
      <c r="X481" s="304"/>
    </row>
    <row r="482" spans="1:24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1"/>
      <c r="L482" s="1" t="s">
        <v>315</v>
      </c>
      <c r="M482" s="9"/>
      <c r="N482" s="14">
        <f>Tabela13161718[[#This Row],[Valor_recibo]]</f>
        <v>0</v>
      </c>
      <c r="O482" s="16"/>
      <c r="P482" s="1" t="e">
        <f>VLOOKUP(Tabela13161718[[#This Row],[DT]],Aprovados!A:A,1,0)</f>
        <v>#N/A</v>
      </c>
      <c r="Q482" s="16"/>
      <c r="R482" s="16"/>
      <c r="S482" s="16" t="s">
        <v>315</v>
      </c>
      <c r="T482" s="9"/>
      <c r="U482" s="1" t="s">
        <v>315</v>
      </c>
      <c r="V482" s="11"/>
      <c r="W482" s="232"/>
      <c r="X482" s="304"/>
    </row>
    <row r="483" spans="1:24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1"/>
      <c r="L483" s="1" t="s">
        <v>315</v>
      </c>
      <c r="M483" s="9"/>
      <c r="N483" s="14">
        <f>Tabela13161718[[#This Row],[Valor_recibo]]</f>
        <v>0</v>
      </c>
      <c r="O483" s="16"/>
      <c r="P483" s="1" t="e">
        <f>VLOOKUP(Tabela13161718[[#This Row],[DT]],Aprovados!A:A,1,0)</f>
        <v>#N/A</v>
      </c>
      <c r="Q483" s="16"/>
      <c r="R483" s="16"/>
      <c r="S483" s="16" t="s">
        <v>315</v>
      </c>
      <c r="T483" s="9"/>
      <c r="U483" s="1" t="s">
        <v>315</v>
      </c>
      <c r="V483" s="11"/>
      <c r="W483" s="232"/>
      <c r="X483" s="304"/>
    </row>
    <row r="484" spans="1:24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1"/>
      <c r="L484" s="1" t="s">
        <v>315</v>
      </c>
      <c r="M484" s="9"/>
      <c r="N484" s="14">
        <f>Tabela13161718[[#This Row],[Valor_recibo]]</f>
        <v>0</v>
      </c>
      <c r="O484" s="16"/>
      <c r="P484" s="1" t="e">
        <f>VLOOKUP(Tabela13161718[[#This Row],[DT]],Aprovados!A:A,1,0)</f>
        <v>#N/A</v>
      </c>
      <c r="Q484" s="16"/>
      <c r="R484" s="16"/>
      <c r="S484" s="16" t="s">
        <v>315</v>
      </c>
      <c r="T484" s="9"/>
      <c r="U484" s="1" t="s">
        <v>315</v>
      </c>
      <c r="V484" s="11"/>
      <c r="W484" s="232"/>
      <c r="X484" s="304"/>
    </row>
    <row r="485" spans="1:24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1"/>
      <c r="L485" s="1" t="s">
        <v>315</v>
      </c>
      <c r="M485" s="9"/>
      <c r="N485" s="14">
        <f>Tabela13161718[[#This Row],[Valor_recibo]]</f>
        <v>0</v>
      </c>
      <c r="O485" s="16"/>
      <c r="P485" s="1" t="e">
        <f>VLOOKUP(Tabela13161718[[#This Row],[DT]],Aprovados!A:A,1,0)</f>
        <v>#N/A</v>
      </c>
      <c r="Q485" s="16"/>
      <c r="R485" s="16"/>
      <c r="S485" s="16" t="s">
        <v>315</v>
      </c>
      <c r="T485" s="9"/>
      <c r="U485" s="1" t="s">
        <v>315</v>
      </c>
      <c r="V485" s="11"/>
      <c r="W485" s="232"/>
      <c r="X485" s="304"/>
    </row>
    <row r="486" spans="1:24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1"/>
      <c r="L486" s="1" t="s">
        <v>315</v>
      </c>
      <c r="M486" s="9"/>
      <c r="N486" s="14">
        <f>Tabela13161718[[#This Row],[Valor_recibo]]</f>
        <v>0</v>
      </c>
      <c r="O486" s="16"/>
      <c r="P486" s="1" t="e">
        <f>VLOOKUP(Tabela13161718[[#This Row],[DT]],Aprovados!A:A,1,0)</f>
        <v>#N/A</v>
      </c>
      <c r="Q486" s="16"/>
      <c r="R486" s="16"/>
      <c r="S486" s="16" t="s">
        <v>315</v>
      </c>
      <c r="T486" s="9"/>
      <c r="U486" s="1" t="s">
        <v>315</v>
      </c>
      <c r="V486" s="11"/>
      <c r="W486" s="232"/>
      <c r="X486" s="304"/>
    </row>
    <row r="487" spans="1:24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1"/>
      <c r="L487" s="1" t="s">
        <v>315</v>
      </c>
      <c r="M487" s="9"/>
      <c r="N487" s="14">
        <f>Tabela13161718[[#This Row],[Valor_recibo]]</f>
        <v>0</v>
      </c>
      <c r="O487" s="16"/>
      <c r="P487" s="1" t="e">
        <f>VLOOKUP(Tabela13161718[[#This Row],[DT]],Aprovados!A:A,1,0)</f>
        <v>#N/A</v>
      </c>
      <c r="Q487" s="16"/>
      <c r="R487" s="16"/>
      <c r="S487" s="16" t="s">
        <v>315</v>
      </c>
      <c r="T487" s="9"/>
      <c r="U487" s="1" t="s">
        <v>315</v>
      </c>
      <c r="V487" s="11"/>
      <c r="W487" s="232"/>
      <c r="X487" s="304"/>
    </row>
    <row r="488" spans="1:24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1"/>
      <c r="L488" s="1" t="s">
        <v>315</v>
      </c>
      <c r="M488" s="9"/>
      <c r="N488" s="14">
        <f>Tabela13161718[[#This Row],[Valor_recibo]]</f>
        <v>0</v>
      </c>
      <c r="O488" s="16"/>
      <c r="P488" s="1" t="e">
        <f>VLOOKUP(Tabela13161718[[#This Row],[DT]],Aprovados!A:A,1,0)</f>
        <v>#N/A</v>
      </c>
      <c r="Q488" s="16"/>
      <c r="R488" s="16"/>
      <c r="S488" s="16" t="s">
        <v>315</v>
      </c>
      <c r="T488" s="9"/>
      <c r="U488" s="1" t="s">
        <v>315</v>
      </c>
      <c r="V488" s="11"/>
      <c r="W488" s="232"/>
      <c r="X488" s="304"/>
    </row>
    <row r="489" spans="1:24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1"/>
      <c r="L489" s="1" t="s">
        <v>315</v>
      </c>
      <c r="M489" s="9"/>
      <c r="N489" s="14">
        <f>Tabela13161718[[#This Row],[Valor_recibo]]</f>
        <v>0</v>
      </c>
      <c r="O489" s="16"/>
      <c r="P489" s="1" t="e">
        <f>VLOOKUP(Tabela13161718[[#This Row],[DT]],Aprovados!A:A,1,0)</f>
        <v>#N/A</v>
      </c>
      <c r="Q489" s="16"/>
      <c r="R489" s="16"/>
      <c r="S489" s="16" t="s">
        <v>315</v>
      </c>
      <c r="T489" s="9"/>
      <c r="U489" s="1" t="s">
        <v>315</v>
      </c>
      <c r="V489" s="11"/>
      <c r="W489" s="232"/>
      <c r="X489" s="304"/>
    </row>
    <row r="490" spans="1:24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1"/>
      <c r="L490" s="1" t="s">
        <v>315</v>
      </c>
      <c r="M490" s="9"/>
      <c r="N490" s="14">
        <f>Tabela13161718[[#This Row],[Valor_recibo]]</f>
        <v>0</v>
      </c>
      <c r="O490" s="16"/>
      <c r="P490" s="1" t="e">
        <f>VLOOKUP(Tabela13161718[[#This Row],[DT]],Aprovados!A:A,1,0)</f>
        <v>#N/A</v>
      </c>
      <c r="Q490" s="16"/>
      <c r="R490" s="16"/>
      <c r="S490" s="16" t="s">
        <v>315</v>
      </c>
      <c r="T490" s="9"/>
      <c r="U490" s="1" t="s">
        <v>315</v>
      </c>
      <c r="V490" s="11"/>
      <c r="W490" s="232"/>
      <c r="X490" s="304"/>
    </row>
    <row r="491" spans="1:24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1"/>
      <c r="L491" s="1" t="s">
        <v>315</v>
      </c>
      <c r="M491" s="9"/>
      <c r="N491" s="14">
        <f>Tabela13161718[[#This Row],[Valor_recibo]]</f>
        <v>0</v>
      </c>
      <c r="O491" s="16"/>
      <c r="P491" s="1" t="e">
        <f>VLOOKUP(Tabela13161718[[#This Row],[DT]],Aprovados!A:A,1,0)</f>
        <v>#N/A</v>
      </c>
      <c r="Q491" s="16"/>
      <c r="R491" s="16"/>
      <c r="S491" s="16" t="s">
        <v>315</v>
      </c>
      <c r="T491" s="9"/>
      <c r="U491" s="1" t="s">
        <v>315</v>
      </c>
      <c r="V491" s="11"/>
      <c r="W491" s="232"/>
      <c r="X491" s="304"/>
    </row>
    <row r="492" spans="1:24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1"/>
      <c r="L492" s="1" t="s">
        <v>315</v>
      </c>
      <c r="M492" s="9"/>
      <c r="N492" s="14">
        <f>Tabela13161718[[#This Row],[Valor_recibo]]</f>
        <v>0</v>
      </c>
      <c r="O492" s="16"/>
      <c r="P492" s="1" t="e">
        <f>VLOOKUP(Tabela13161718[[#This Row],[DT]],Aprovados!A:A,1,0)</f>
        <v>#N/A</v>
      </c>
      <c r="Q492" s="16"/>
      <c r="R492" s="16"/>
      <c r="S492" s="16" t="s">
        <v>315</v>
      </c>
      <c r="T492" s="9"/>
      <c r="U492" s="1" t="s">
        <v>315</v>
      </c>
      <c r="V492" s="11"/>
      <c r="W492" s="232"/>
      <c r="X492" s="304"/>
    </row>
    <row r="493" spans="1:24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1"/>
      <c r="L493" s="1" t="s">
        <v>315</v>
      </c>
      <c r="M493" s="9"/>
      <c r="N493" s="14">
        <f>Tabela13161718[[#This Row],[Valor_recibo]]</f>
        <v>0</v>
      </c>
      <c r="O493" s="16"/>
      <c r="P493" s="1" t="e">
        <f>VLOOKUP(Tabela13161718[[#This Row],[DT]],Aprovados!A:A,1,0)</f>
        <v>#N/A</v>
      </c>
      <c r="Q493" s="16"/>
      <c r="R493" s="16"/>
      <c r="S493" s="16" t="s">
        <v>315</v>
      </c>
      <c r="T493" s="9"/>
      <c r="U493" s="1" t="s">
        <v>315</v>
      </c>
      <c r="V493" s="11"/>
      <c r="W493" s="232"/>
      <c r="X493" s="304"/>
    </row>
    <row r="494" spans="1:24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1"/>
      <c r="L494" s="1" t="s">
        <v>315</v>
      </c>
      <c r="M494" s="9"/>
      <c r="N494" s="14">
        <f>Tabela13161718[[#This Row],[Valor_recibo]]</f>
        <v>0</v>
      </c>
      <c r="O494" s="16"/>
      <c r="P494" s="1" t="e">
        <f>VLOOKUP(Tabela13161718[[#This Row],[DT]],Aprovados!A:A,1,0)</f>
        <v>#N/A</v>
      </c>
      <c r="Q494" s="16"/>
      <c r="R494" s="16"/>
      <c r="S494" s="16" t="s">
        <v>315</v>
      </c>
      <c r="T494" s="9"/>
      <c r="U494" s="1" t="s">
        <v>315</v>
      </c>
      <c r="V494" s="11"/>
      <c r="W494" s="232"/>
      <c r="X494" s="304"/>
    </row>
    <row r="495" spans="1:24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1"/>
      <c r="L495" s="1" t="s">
        <v>315</v>
      </c>
      <c r="M495" s="9"/>
      <c r="N495" s="14">
        <f>Tabela13161718[[#This Row],[Valor_recibo]]</f>
        <v>0</v>
      </c>
      <c r="O495" s="16"/>
      <c r="P495" s="1" t="e">
        <f>VLOOKUP(Tabela13161718[[#This Row],[DT]],Aprovados!A:A,1,0)</f>
        <v>#N/A</v>
      </c>
      <c r="Q495" s="16"/>
      <c r="R495" s="16"/>
      <c r="S495" s="16" t="s">
        <v>315</v>
      </c>
      <c r="T495" s="9"/>
      <c r="U495" s="1" t="s">
        <v>315</v>
      </c>
      <c r="V495" s="11"/>
      <c r="W495" s="232"/>
      <c r="X495" s="304"/>
    </row>
    <row r="496" spans="1:24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1"/>
      <c r="L496" s="1" t="s">
        <v>315</v>
      </c>
      <c r="M496" s="9"/>
      <c r="N496" s="14">
        <f>Tabela13161718[[#This Row],[Valor_recibo]]</f>
        <v>0</v>
      </c>
      <c r="O496" s="16"/>
      <c r="P496" s="1" t="e">
        <f>VLOOKUP(Tabela13161718[[#This Row],[DT]],Aprovados!A:A,1,0)</f>
        <v>#N/A</v>
      </c>
      <c r="Q496" s="16"/>
      <c r="R496" s="16"/>
      <c r="S496" s="16" t="s">
        <v>315</v>
      </c>
      <c r="T496" s="9"/>
      <c r="U496" s="1" t="s">
        <v>315</v>
      </c>
      <c r="V496" s="11"/>
      <c r="W496" s="232"/>
      <c r="X496" s="304"/>
    </row>
    <row r="497" spans="1:24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1"/>
      <c r="L497" s="1" t="s">
        <v>315</v>
      </c>
      <c r="M497" s="9"/>
      <c r="N497" s="14">
        <f>Tabela13161718[[#This Row],[Valor_recibo]]</f>
        <v>0</v>
      </c>
      <c r="O497" s="16"/>
      <c r="P497" s="1" t="e">
        <f>VLOOKUP(Tabela13161718[[#This Row],[DT]],Aprovados!A:A,1,0)</f>
        <v>#N/A</v>
      </c>
      <c r="Q497" s="16"/>
      <c r="R497" s="16"/>
      <c r="S497" s="16" t="s">
        <v>315</v>
      </c>
      <c r="T497" s="9"/>
      <c r="U497" s="1" t="s">
        <v>315</v>
      </c>
      <c r="V497" s="11"/>
      <c r="W497" s="232"/>
      <c r="X497" s="304"/>
    </row>
    <row r="498" spans="1:24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1"/>
      <c r="L498" s="1" t="s">
        <v>315</v>
      </c>
      <c r="M498" s="9"/>
      <c r="N498" s="14">
        <f>Tabela13161718[[#This Row],[Valor_recibo]]</f>
        <v>0</v>
      </c>
      <c r="O498" s="16"/>
      <c r="P498" s="1" t="e">
        <f>VLOOKUP(Tabela13161718[[#This Row],[DT]],Aprovados!A:A,1,0)</f>
        <v>#N/A</v>
      </c>
      <c r="Q498" s="16"/>
      <c r="R498" s="16"/>
      <c r="S498" s="16" t="s">
        <v>315</v>
      </c>
      <c r="T498" s="9"/>
      <c r="U498" s="1" t="s">
        <v>315</v>
      </c>
      <c r="V498" s="11"/>
      <c r="W498" s="232"/>
      <c r="X498" s="304"/>
    </row>
    <row r="499" spans="1:24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1"/>
      <c r="L499" s="1" t="s">
        <v>315</v>
      </c>
      <c r="M499" s="9"/>
      <c r="N499" s="14">
        <f>Tabela13161718[[#This Row],[Valor_recibo]]</f>
        <v>0</v>
      </c>
      <c r="O499" s="16"/>
      <c r="P499" s="1" t="e">
        <f>VLOOKUP(Tabela13161718[[#This Row],[DT]],Aprovados!A:A,1,0)</f>
        <v>#N/A</v>
      </c>
      <c r="Q499" s="16"/>
      <c r="R499" s="16"/>
      <c r="S499" s="16" t="s">
        <v>315</v>
      </c>
      <c r="T499" s="9"/>
      <c r="U499" s="1" t="s">
        <v>315</v>
      </c>
      <c r="V499" s="11"/>
      <c r="W499" s="232"/>
      <c r="X499" s="304"/>
    </row>
    <row r="500" spans="1:24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1"/>
      <c r="L500" s="1" t="s">
        <v>315</v>
      </c>
      <c r="M500" s="9"/>
      <c r="N500" s="14">
        <f>Tabela13161718[[#This Row],[Valor_recibo]]</f>
        <v>0</v>
      </c>
      <c r="O500" s="16"/>
      <c r="P500" s="1" t="e">
        <f>VLOOKUP(Tabela13161718[[#This Row],[DT]],Aprovados!A:A,1,0)</f>
        <v>#N/A</v>
      </c>
      <c r="Q500" s="16"/>
      <c r="R500" s="16"/>
      <c r="S500" s="16" t="s">
        <v>315</v>
      </c>
      <c r="T500" s="9"/>
      <c r="U500" s="1" t="s">
        <v>315</v>
      </c>
      <c r="V500" s="11"/>
      <c r="W500" s="232"/>
      <c r="X500" s="304"/>
    </row>
    <row r="501" spans="1:24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1"/>
      <c r="L501" s="1" t="s">
        <v>315</v>
      </c>
      <c r="M501" s="9"/>
      <c r="N501" s="14">
        <f>Tabela13161718[[#This Row],[Valor_recibo]]</f>
        <v>0</v>
      </c>
      <c r="O501" s="16"/>
      <c r="P501" s="1" t="e">
        <f>VLOOKUP(Tabela13161718[[#This Row],[DT]],Aprovados!A:A,1,0)</f>
        <v>#N/A</v>
      </c>
      <c r="Q501" s="16"/>
      <c r="R501" s="16"/>
      <c r="S501" s="16" t="s">
        <v>315</v>
      </c>
      <c r="T501" s="9"/>
      <c r="U501" s="1" t="s">
        <v>315</v>
      </c>
      <c r="V501" s="11"/>
      <c r="W501" s="232"/>
      <c r="X501" s="304"/>
    </row>
    <row r="502" spans="1:24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1"/>
      <c r="L502" s="1" t="s">
        <v>315</v>
      </c>
      <c r="M502" s="9"/>
      <c r="N502" s="14">
        <f>Tabela13161718[[#This Row],[Valor_recibo]]</f>
        <v>0</v>
      </c>
      <c r="O502" s="16"/>
      <c r="P502" s="1" t="e">
        <f>VLOOKUP(Tabela13161718[[#This Row],[DT]],Aprovados!A:A,1,0)</f>
        <v>#N/A</v>
      </c>
      <c r="Q502" s="16"/>
      <c r="R502" s="16"/>
      <c r="S502" s="16" t="s">
        <v>315</v>
      </c>
      <c r="T502" s="9"/>
      <c r="U502" s="1" t="s">
        <v>315</v>
      </c>
      <c r="V502" s="11"/>
      <c r="W502" s="232"/>
      <c r="X502" s="304"/>
    </row>
    <row r="503" spans="1:24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1"/>
      <c r="L503" s="1" t="s">
        <v>315</v>
      </c>
      <c r="M503" s="9"/>
      <c r="N503" s="14">
        <f>Tabela13161718[[#This Row],[Valor_recibo]]</f>
        <v>0</v>
      </c>
      <c r="O503" s="16"/>
      <c r="P503" s="1" t="e">
        <f>VLOOKUP(Tabela13161718[[#This Row],[DT]],Aprovados!A:A,1,0)</f>
        <v>#N/A</v>
      </c>
      <c r="Q503" s="16"/>
      <c r="R503" s="16"/>
      <c r="S503" s="16" t="s">
        <v>315</v>
      </c>
      <c r="T503" s="9"/>
      <c r="U503" s="1" t="s">
        <v>315</v>
      </c>
      <c r="V503" s="11"/>
      <c r="W503" s="232"/>
      <c r="X503" s="304"/>
    </row>
    <row r="504" spans="1:24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1"/>
      <c r="L504" s="1" t="s">
        <v>315</v>
      </c>
      <c r="M504" s="9"/>
      <c r="N504" s="14">
        <f>Tabela13161718[[#This Row],[Valor_recibo]]</f>
        <v>0</v>
      </c>
      <c r="O504" s="16"/>
      <c r="P504" s="1" t="e">
        <f>VLOOKUP(Tabela13161718[[#This Row],[DT]],Aprovados!A:A,1,0)</f>
        <v>#N/A</v>
      </c>
      <c r="Q504" s="16"/>
      <c r="R504" s="16"/>
      <c r="S504" s="16" t="s">
        <v>315</v>
      </c>
      <c r="T504" s="9"/>
      <c r="U504" s="1" t="s">
        <v>315</v>
      </c>
      <c r="V504" s="11"/>
      <c r="W504" s="232"/>
      <c r="X504" s="304"/>
    </row>
    <row r="505" spans="1:24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1"/>
      <c r="L505" s="1" t="s">
        <v>315</v>
      </c>
      <c r="M505" s="9"/>
      <c r="N505" s="14">
        <f>Tabela13161718[[#This Row],[Valor_recibo]]</f>
        <v>0</v>
      </c>
      <c r="O505" s="16"/>
      <c r="P505" s="1" t="e">
        <f>VLOOKUP(Tabela13161718[[#This Row],[DT]],Aprovados!A:A,1,0)</f>
        <v>#N/A</v>
      </c>
      <c r="Q505" s="16"/>
      <c r="R505" s="16"/>
      <c r="S505" s="16" t="s">
        <v>315</v>
      </c>
      <c r="T505" s="9"/>
      <c r="U505" s="1" t="s">
        <v>315</v>
      </c>
      <c r="V505" s="11"/>
      <c r="W505" s="232"/>
      <c r="X505" s="304"/>
    </row>
    <row r="506" spans="1:24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1"/>
      <c r="L506" s="1" t="s">
        <v>315</v>
      </c>
      <c r="M506" s="9"/>
      <c r="N506" s="14">
        <f>Tabela13161718[[#This Row],[Valor_recibo]]</f>
        <v>0</v>
      </c>
      <c r="O506" s="16"/>
      <c r="P506" s="1" t="e">
        <f>VLOOKUP(Tabela13161718[[#This Row],[DT]],Aprovados!A:A,1,0)</f>
        <v>#N/A</v>
      </c>
      <c r="Q506" s="16"/>
      <c r="R506" s="16"/>
      <c r="S506" s="16" t="s">
        <v>315</v>
      </c>
      <c r="T506" s="9"/>
      <c r="U506" s="1" t="s">
        <v>315</v>
      </c>
      <c r="V506" s="11"/>
      <c r="W506" s="232"/>
      <c r="X506" s="304"/>
    </row>
    <row r="507" spans="1:24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1"/>
      <c r="L507" s="1" t="s">
        <v>315</v>
      </c>
      <c r="M507" s="9"/>
      <c r="N507" s="14">
        <f>Tabela13161718[[#This Row],[Valor_recibo]]</f>
        <v>0</v>
      </c>
      <c r="O507" s="16"/>
      <c r="P507" s="1" t="e">
        <f>VLOOKUP(Tabela13161718[[#This Row],[DT]],Aprovados!A:A,1,0)</f>
        <v>#N/A</v>
      </c>
      <c r="Q507" s="16"/>
      <c r="R507" s="16"/>
      <c r="S507" s="16" t="s">
        <v>315</v>
      </c>
      <c r="T507" s="9"/>
      <c r="U507" s="1" t="s">
        <v>315</v>
      </c>
      <c r="V507" s="11"/>
      <c r="W507" s="232"/>
      <c r="X507" s="304"/>
    </row>
    <row r="508" spans="1:24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1"/>
      <c r="L508" s="1" t="s">
        <v>315</v>
      </c>
      <c r="M508" s="9"/>
      <c r="N508" s="14">
        <f>Tabela13161718[[#This Row],[Valor_recibo]]</f>
        <v>0</v>
      </c>
      <c r="O508" s="16"/>
      <c r="P508" s="1" t="e">
        <f>VLOOKUP(Tabela13161718[[#This Row],[DT]],Aprovados!A:A,1,0)</f>
        <v>#N/A</v>
      </c>
      <c r="Q508" s="16"/>
      <c r="R508" s="16"/>
      <c r="S508" s="16" t="s">
        <v>315</v>
      </c>
      <c r="T508" s="9"/>
      <c r="U508" s="1" t="s">
        <v>315</v>
      </c>
      <c r="V508" s="11"/>
      <c r="W508" s="232"/>
      <c r="X508" s="304"/>
    </row>
    <row r="509" spans="1:24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1"/>
      <c r="L509" s="1" t="s">
        <v>315</v>
      </c>
      <c r="M509" s="9"/>
      <c r="N509" s="14">
        <f>Tabela13161718[[#This Row],[Valor_recibo]]</f>
        <v>0</v>
      </c>
      <c r="O509" s="16"/>
      <c r="P509" s="1" t="e">
        <f>VLOOKUP(Tabela13161718[[#This Row],[DT]],Aprovados!A:A,1,0)</f>
        <v>#N/A</v>
      </c>
      <c r="Q509" s="16"/>
      <c r="R509" s="16"/>
      <c r="S509" s="16" t="s">
        <v>315</v>
      </c>
      <c r="T509" s="9"/>
      <c r="U509" s="1" t="s">
        <v>315</v>
      </c>
      <c r="V509" s="11"/>
      <c r="W509" s="232"/>
      <c r="X509" s="304"/>
    </row>
    <row r="510" spans="1:24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1"/>
      <c r="L510" s="1" t="s">
        <v>315</v>
      </c>
      <c r="M510" s="9"/>
      <c r="N510" s="14">
        <f>Tabela13161718[[#This Row],[Valor_recibo]]</f>
        <v>0</v>
      </c>
      <c r="O510" s="16"/>
      <c r="P510" s="1" t="e">
        <f>VLOOKUP(Tabela13161718[[#This Row],[DT]],Aprovados!A:A,1,0)</f>
        <v>#N/A</v>
      </c>
      <c r="Q510" s="16"/>
      <c r="R510" s="16"/>
      <c r="S510" s="16" t="s">
        <v>315</v>
      </c>
      <c r="T510" s="9"/>
      <c r="U510" s="1" t="s">
        <v>315</v>
      </c>
      <c r="V510" s="11"/>
      <c r="W510" s="232"/>
      <c r="X510" s="304"/>
    </row>
    <row r="511" spans="1:24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1"/>
      <c r="L511" s="1" t="s">
        <v>315</v>
      </c>
      <c r="M511" s="9"/>
      <c r="N511" s="14">
        <f>Tabela13161718[[#This Row],[Valor_recibo]]</f>
        <v>0</v>
      </c>
      <c r="O511" s="16"/>
      <c r="P511" s="1" t="e">
        <f>VLOOKUP(Tabela13161718[[#This Row],[DT]],Aprovados!A:A,1,0)</f>
        <v>#N/A</v>
      </c>
      <c r="Q511" s="16"/>
      <c r="R511" s="16"/>
      <c r="S511" s="16" t="s">
        <v>315</v>
      </c>
      <c r="T511" s="9"/>
      <c r="U511" s="1" t="s">
        <v>315</v>
      </c>
      <c r="V511" s="11"/>
      <c r="W511" s="232"/>
      <c r="X511" s="304"/>
    </row>
    <row r="512" spans="1:24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1"/>
      <c r="L512" s="1" t="s">
        <v>315</v>
      </c>
      <c r="M512" s="9"/>
      <c r="N512" s="14">
        <f>Tabela13161718[[#This Row],[Valor_recibo]]</f>
        <v>0</v>
      </c>
      <c r="O512" s="16"/>
      <c r="P512" s="1" t="e">
        <f>VLOOKUP(Tabela13161718[[#This Row],[DT]],Aprovados!A:A,1,0)</f>
        <v>#N/A</v>
      </c>
      <c r="Q512" s="16"/>
      <c r="R512" s="16"/>
      <c r="S512" s="16" t="s">
        <v>315</v>
      </c>
      <c r="T512" s="9"/>
      <c r="U512" s="1" t="s">
        <v>315</v>
      </c>
      <c r="V512" s="11"/>
      <c r="W512" s="232"/>
      <c r="X512" s="304"/>
    </row>
    <row r="513" spans="1:24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1"/>
      <c r="L513" s="1" t="s">
        <v>315</v>
      </c>
      <c r="M513" s="9"/>
      <c r="N513" s="14">
        <f>Tabela13161718[[#This Row],[Valor_recibo]]</f>
        <v>0</v>
      </c>
      <c r="O513" s="16"/>
      <c r="P513" s="1" t="e">
        <f>VLOOKUP(Tabela13161718[[#This Row],[DT]],Aprovados!A:A,1,0)</f>
        <v>#N/A</v>
      </c>
      <c r="Q513" s="16"/>
      <c r="R513" s="16"/>
      <c r="S513" s="16" t="s">
        <v>315</v>
      </c>
      <c r="T513" s="9"/>
      <c r="U513" s="1" t="s">
        <v>315</v>
      </c>
      <c r="V513" s="11"/>
      <c r="W513" s="232"/>
      <c r="X513" s="304"/>
    </row>
    <row r="514" spans="1:24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1"/>
      <c r="L514" s="1" t="s">
        <v>315</v>
      </c>
      <c r="M514" s="9"/>
      <c r="N514" s="14">
        <f>Tabela13161718[[#This Row],[Valor_recibo]]</f>
        <v>0</v>
      </c>
      <c r="O514" s="16"/>
      <c r="P514" s="1" t="e">
        <f>VLOOKUP(Tabela13161718[[#This Row],[DT]],Aprovados!A:A,1,0)</f>
        <v>#N/A</v>
      </c>
      <c r="Q514" s="16"/>
      <c r="R514" s="16"/>
      <c r="S514" s="16" t="s">
        <v>315</v>
      </c>
      <c r="T514" s="9"/>
      <c r="U514" s="1" t="s">
        <v>315</v>
      </c>
      <c r="V514" s="11"/>
      <c r="W514" s="232"/>
      <c r="X514" s="304"/>
    </row>
    <row r="515" spans="1:24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1"/>
      <c r="L515" s="1" t="s">
        <v>315</v>
      </c>
      <c r="M515" s="9"/>
      <c r="N515" s="14">
        <f>Tabela13161718[[#This Row],[Valor_recibo]]</f>
        <v>0</v>
      </c>
      <c r="O515" s="16"/>
      <c r="P515" s="1" t="e">
        <f>VLOOKUP(Tabela13161718[[#This Row],[DT]],Aprovados!A:A,1,0)</f>
        <v>#N/A</v>
      </c>
      <c r="Q515" s="16"/>
      <c r="R515" s="16"/>
      <c r="S515" s="16" t="s">
        <v>315</v>
      </c>
      <c r="T515" s="9"/>
      <c r="U515" s="1" t="s">
        <v>315</v>
      </c>
      <c r="V515" s="11"/>
      <c r="W515" s="232"/>
      <c r="X515" s="304"/>
    </row>
    <row r="516" spans="1:24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1"/>
      <c r="L516" s="1" t="s">
        <v>315</v>
      </c>
      <c r="M516" s="9"/>
      <c r="N516" s="14">
        <f>Tabela13161718[[#This Row],[Valor_recibo]]</f>
        <v>0</v>
      </c>
      <c r="O516" s="16"/>
      <c r="P516" s="1" t="e">
        <f>VLOOKUP(Tabela13161718[[#This Row],[DT]],Aprovados!A:A,1,0)</f>
        <v>#N/A</v>
      </c>
      <c r="Q516" s="16"/>
      <c r="R516" s="16"/>
      <c r="S516" s="16" t="s">
        <v>315</v>
      </c>
      <c r="T516" s="9"/>
      <c r="U516" s="1" t="s">
        <v>315</v>
      </c>
      <c r="V516" s="11"/>
      <c r="W516" s="232"/>
      <c r="X516" s="304"/>
    </row>
    <row r="517" spans="1:24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1"/>
      <c r="L517" s="1" t="s">
        <v>315</v>
      </c>
      <c r="M517" s="9"/>
      <c r="N517" s="14">
        <f>Tabela13161718[[#This Row],[Valor_recibo]]</f>
        <v>0</v>
      </c>
      <c r="O517" s="16"/>
      <c r="P517" s="1" t="e">
        <f>VLOOKUP(Tabela13161718[[#This Row],[DT]],Aprovados!A:A,1,0)</f>
        <v>#N/A</v>
      </c>
      <c r="Q517" s="16"/>
      <c r="R517" s="16"/>
      <c r="S517" s="16" t="s">
        <v>315</v>
      </c>
      <c r="T517" s="9"/>
      <c r="U517" s="1" t="s">
        <v>315</v>
      </c>
      <c r="V517" s="11"/>
      <c r="W517" s="232"/>
      <c r="X517" s="304"/>
    </row>
    <row r="518" spans="1:24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1"/>
      <c r="L518" s="1" t="s">
        <v>315</v>
      </c>
      <c r="M518" s="9"/>
      <c r="N518" s="14">
        <f>Tabela13161718[[#This Row],[Valor_recibo]]</f>
        <v>0</v>
      </c>
      <c r="O518" s="16"/>
      <c r="P518" s="1" t="e">
        <f>VLOOKUP(Tabela13161718[[#This Row],[DT]],Aprovados!A:A,1,0)</f>
        <v>#N/A</v>
      </c>
      <c r="Q518" s="16"/>
      <c r="R518" s="16"/>
      <c r="S518" s="16" t="s">
        <v>315</v>
      </c>
      <c r="T518" s="9"/>
      <c r="U518" s="1" t="s">
        <v>315</v>
      </c>
      <c r="V518" s="11"/>
      <c r="W518" s="232"/>
      <c r="X518" s="304"/>
    </row>
    <row r="519" spans="1:24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1"/>
      <c r="L519" s="1" t="s">
        <v>315</v>
      </c>
      <c r="M519" s="9"/>
      <c r="N519" s="14">
        <f>Tabela13161718[[#This Row],[Valor_recibo]]</f>
        <v>0</v>
      </c>
      <c r="O519" s="16"/>
      <c r="P519" s="1" t="e">
        <f>VLOOKUP(Tabela13161718[[#This Row],[DT]],Aprovados!A:A,1,0)</f>
        <v>#N/A</v>
      </c>
      <c r="Q519" s="16"/>
      <c r="R519" s="16"/>
      <c r="S519" s="16" t="s">
        <v>315</v>
      </c>
      <c r="T519" s="9"/>
      <c r="U519" s="1" t="s">
        <v>315</v>
      </c>
      <c r="V519" s="11"/>
      <c r="W519" s="232"/>
      <c r="X519" s="304"/>
    </row>
    <row r="520" spans="1:24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1"/>
      <c r="L520" s="1" t="s">
        <v>315</v>
      </c>
      <c r="M520" s="9"/>
      <c r="N520" s="14">
        <f>Tabela13161718[[#This Row],[Valor_recibo]]</f>
        <v>0</v>
      </c>
      <c r="O520" s="16"/>
      <c r="P520" s="1" t="e">
        <f>VLOOKUP(Tabela13161718[[#This Row],[DT]],Aprovados!A:A,1,0)</f>
        <v>#N/A</v>
      </c>
      <c r="Q520" s="16"/>
      <c r="R520" s="16"/>
      <c r="S520" s="16" t="s">
        <v>315</v>
      </c>
      <c r="T520" s="9"/>
      <c r="U520" s="1" t="s">
        <v>315</v>
      </c>
      <c r="V520" s="11"/>
      <c r="W520" s="232"/>
      <c r="X520" s="304"/>
    </row>
    <row r="521" spans="1:24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1"/>
      <c r="L521" s="1" t="s">
        <v>315</v>
      </c>
      <c r="M521" s="9"/>
      <c r="N521" s="14">
        <f>Tabela13161718[[#This Row],[Valor_recibo]]</f>
        <v>0</v>
      </c>
      <c r="O521" s="16"/>
      <c r="P521" s="1" t="e">
        <f>VLOOKUP(Tabela13161718[[#This Row],[DT]],Aprovados!A:A,1,0)</f>
        <v>#N/A</v>
      </c>
      <c r="Q521" s="16"/>
      <c r="R521" s="16"/>
      <c r="S521" s="16" t="s">
        <v>315</v>
      </c>
      <c r="T521" s="9"/>
      <c r="U521" s="1" t="s">
        <v>315</v>
      </c>
      <c r="V521" s="11"/>
      <c r="W521" s="232"/>
      <c r="X521" s="304"/>
    </row>
    <row r="522" spans="1:24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1"/>
      <c r="L522" s="1" t="s">
        <v>315</v>
      </c>
      <c r="M522" s="9"/>
      <c r="N522" s="14">
        <f>Tabela13161718[[#This Row],[Valor_recibo]]</f>
        <v>0</v>
      </c>
      <c r="O522" s="16"/>
      <c r="P522" s="1" t="e">
        <f>VLOOKUP(Tabela13161718[[#This Row],[DT]],Aprovados!A:A,1,0)</f>
        <v>#N/A</v>
      </c>
      <c r="Q522" s="16"/>
      <c r="R522" s="16"/>
      <c r="S522" s="16" t="s">
        <v>315</v>
      </c>
      <c r="T522" s="9"/>
      <c r="U522" s="1" t="s">
        <v>315</v>
      </c>
      <c r="V522" s="11"/>
      <c r="W522" s="232"/>
      <c r="X522" s="304"/>
    </row>
    <row r="523" spans="1:24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1"/>
      <c r="L523" s="1" t="s">
        <v>315</v>
      </c>
      <c r="M523" s="9"/>
      <c r="N523" s="14">
        <f>Tabela13161718[[#This Row],[Valor_recibo]]</f>
        <v>0</v>
      </c>
      <c r="O523" s="16"/>
      <c r="P523" s="1" t="e">
        <f>VLOOKUP(Tabela13161718[[#This Row],[DT]],Aprovados!A:A,1,0)</f>
        <v>#N/A</v>
      </c>
      <c r="Q523" s="16"/>
      <c r="R523" s="16"/>
      <c r="S523" s="16" t="s">
        <v>315</v>
      </c>
      <c r="T523" s="9"/>
      <c r="U523" s="1" t="s">
        <v>315</v>
      </c>
      <c r="V523" s="11"/>
      <c r="W523" s="232"/>
      <c r="X523" s="304"/>
    </row>
    <row r="524" spans="1:24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1"/>
      <c r="L524" s="1" t="s">
        <v>315</v>
      </c>
      <c r="M524" s="9"/>
      <c r="N524" s="14">
        <f>Tabela13161718[[#This Row],[Valor_recibo]]</f>
        <v>0</v>
      </c>
      <c r="O524" s="16"/>
      <c r="P524" s="1" t="e">
        <f>VLOOKUP(Tabela13161718[[#This Row],[DT]],Aprovados!A:A,1,0)</f>
        <v>#N/A</v>
      </c>
      <c r="Q524" s="16"/>
      <c r="R524" s="16"/>
      <c r="S524" s="16" t="s">
        <v>315</v>
      </c>
      <c r="T524" s="9"/>
      <c r="U524" s="1" t="s">
        <v>315</v>
      </c>
      <c r="V524" s="11"/>
      <c r="W524" s="232"/>
      <c r="X524" s="304"/>
    </row>
    <row r="525" spans="1:24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1"/>
      <c r="L525" s="1" t="s">
        <v>315</v>
      </c>
      <c r="M525" s="9"/>
      <c r="N525" s="14">
        <f>Tabela13161718[[#This Row],[Valor_recibo]]</f>
        <v>0</v>
      </c>
      <c r="O525" s="16"/>
      <c r="P525" s="1" t="e">
        <f>VLOOKUP(Tabela13161718[[#This Row],[DT]],Aprovados!A:A,1,0)</f>
        <v>#N/A</v>
      </c>
      <c r="Q525" s="16"/>
      <c r="R525" s="16"/>
      <c r="S525" s="16" t="s">
        <v>315</v>
      </c>
      <c r="T525" s="9"/>
      <c r="U525" s="1" t="s">
        <v>315</v>
      </c>
      <c r="V525" s="11"/>
      <c r="W525" s="232"/>
      <c r="X525" s="304"/>
    </row>
    <row r="526" spans="1:24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1"/>
      <c r="L526" s="1" t="s">
        <v>315</v>
      </c>
      <c r="M526" s="9"/>
      <c r="N526" s="14">
        <f>Tabela13161718[[#This Row],[Valor_recibo]]</f>
        <v>0</v>
      </c>
      <c r="O526" s="16"/>
      <c r="P526" s="1" t="e">
        <f>VLOOKUP(Tabela13161718[[#This Row],[DT]],Aprovados!A:A,1,0)</f>
        <v>#N/A</v>
      </c>
      <c r="Q526" s="16"/>
      <c r="R526" s="16"/>
      <c r="S526" s="16" t="s">
        <v>315</v>
      </c>
      <c r="T526" s="9"/>
      <c r="U526" s="1" t="s">
        <v>315</v>
      </c>
      <c r="V526" s="11"/>
      <c r="W526" s="232"/>
      <c r="X526" s="304"/>
    </row>
    <row r="527" spans="1:24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1"/>
      <c r="L527" s="1" t="s">
        <v>315</v>
      </c>
      <c r="M527" s="9"/>
      <c r="N527" s="14">
        <f>Tabela13161718[[#This Row],[Valor_recibo]]</f>
        <v>0</v>
      </c>
      <c r="O527" s="16"/>
      <c r="P527" s="1" t="e">
        <f>VLOOKUP(Tabela13161718[[#This Row],[DT]],Aprovados!A:A,1,0)</f>
        <v>#N/A</v>
      </c>
      <c r="Q527" s="16"/>
      <c r="R527" s="16"/>
      <c r="S527" s="16" t="s">
        <v>315</v>
      </c>
      <c r="T527" s="9"/>
      <c r="U527" s="1" t="s">
        <v>315</v>
      </c>
      <c r="V527" s="11"/>
      <c r="W527" s="232"/>
      <c r="X527" s="304"/>
    </row>
    <row r="528" spans="1:24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1"/>
      <c r="L528" s="1" t="s">
        <v>315</v>
      </c>
      <c r="M528" s="9"/>
      <c r="N528" s="14">
        <f>Tabela13161718[[#This Row],[Valor_recibo]]</f>
        <v>0</v>
      </c>
      <c r="O528" s="16"/>
      <c r="P528" s="1" t="e">
        <f>VLOOKUP(Tabela13161718[[#This Row],[DT]],Aprovados!A:A,1,0)</f>
        <v>#N/A</v>
      </c>
      <c r="Q528" s="16"/>
      <c r="R528" s="16"/>
      <c r="S528" s="16" t="s">
        <v>315</v>
      </c>
      <c r="T528" s="9"/>
      <c r="U528" s="1" t="s">
        <v>315</v>
      </c>
      <c r="V528" s="11"/>
      <c r="W528" s="232"/>
      <c r="X528" s="304"/>
    </row>
    <row r="529" spans="1:24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1"/>
      <c r="L529" s="1" t="s">
        <v>315</v>
      </c>
      <c r="M529" s="9"/>
      <c r="N529" s="14">
        <f>Tabela13161718[[#This Row],[Valor_recibo]]</f>
        <v>0</v>
      </c>
      <c r="O529" s="16"/>
      <c r="P529" s="1" t="e">
        <f>VLOOKUP(Tabela13161718[[#This Row],[DT]],Aprovados!A:A,1,0)</f>
        <v>#N/A</v>
      </c>
      <c r="Q529" s="16"/>
      <c r="R529" s="16"/>
      <c r="S529" s="16" t="s">
        <v>315</v>
      </c>
      <c r="T529" s="9"/>
      <c r="U529" s="1" t="s">
        <v>315</v>
      </c>
      <c r="V529" s="11"/>
      <c r="W529" s="232"/>
      <c r="X529" s="304"/>
    </row>
    <row r="530" spans="1:24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1"/>
      <c r="L530" s="1" t="s">
        <v>315</v>
      </c>
      <c r="M530" s="9"/>
      <c r="N530" s="14">
        <f>Tabela13161718[[#This Row],[Valor_recibo]]</f>
        <v>0</v>
      </c>
      <c r="O530" s="16"/>
      <c r="P530" s="1" t="e">
        <f>VLOOKUP(Tabela13161718[[#This Row],[DT]],Aprovados!A:A,1,0)</f>
        <v>#N/A</v>
      </c>
      <c r="Q530" s="16"/>
      <c r="R530" s="16"/>
      <c r="S530" s="16" t="s">
        <v>315</v>
      </c>
      <c r="T530" s="9"/>
      <c r="U530" s="1" t="s">
        <v>315</v>
      </c>
      <c r="V530" s="11"/>
      <c r="W530" s="232"/>
      <c r="X530" s="304"/>
    </row>
    <row r="531" spans="1:24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1"/>
      <c r="L531" s="1" t="s">
        <v>315</v>
      </c>
      <c r="M531" s="9"/>
      <c r="N531" s="14">
        <f>Tabela13161718[[#This Row],[Valor_recibo]]</f>
        <v>0</v>
      </c>
      <c r="O531" s="16"/>
      <c r="P531" s="1" t="e">
        <f>VLOOKUP(Tabela13161718[[#This Row],[DT]],Aprovados!A:A,1,0)</f>
        <v>#N/A</v>
      </c>
      <c r="Q531" s="16"/>
      <c r="R531" s="16"/>
      <c r="S531" s="16" t="s">
        <v>315</v>
      </c>
      <c r="T531" s="9"/>
      <c r="U531" s="1" t="s">
        <v>315</v>
      </c>
      <c r="V531" s="11"/>
      <c r="W531" s="232"/>
      <c r="X531" s="304"/>
    </row>
    <row r="532" spans="1:24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1"/>
      <c r="L532" s="1" t="s">
        <v>315</v>
      </c>
      <c r="M532" s="9"/>
      <c r="N532" s="14">
        <f>Tabela13161718[[#This Row],[Valor_recibo]]</f>
        <v>0</v>
      </c>
      <c r="O532" s="16"/>
      <c r="P532" s="1" t="e">
        <f>VLOOKUP(Tabela13161718[[#This Row],[DT]],Aprovados!A:A,1,0)</f>
        <v>#N/A</v>
      </c>
      <c r="Q532" s="16"/>
      <c r="R532" s="16"/>
      <c r="S532" s="16" t="s">
        <v>315</v>
      </c>
      <c r="T532" s="9"/>
      <c r="U532" s="1" t="s">
        <v>315</v>
      </c>
      <c r="V532" s="11"/>
      <c r="W532" s="232"/>
      <c r="X532" s="304"/>
    </row>
    <row r="533" spans="1:24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1"/>
      <c r="L533" s="1" t="s">
        <v>315</v>
      </c>
      <c r="M533" s="9"/>
      <c r="N533" s="14">
        <f>Tabela13161718[[#This Row],[Valor_recibo]]</f>
        <v>0</v>
      </c>
      <c r="O533" s="16"/>
      <c r="P533" s="1" t="e">
        <f>VLOOKUP(Tabela13161718[[#This Row],[DT]],Aprovados!A:A,1,0)</f>
        <v>#N/A</v>
      </c>
      <c r="Q533" s="16"/>
      <c r="R533" s="16"/>
      <c r="S533" s="16" t="s">
        <v>315</v>
      </c>
      <c r="T533" s="9"/>
      <c r="U533" s="1" t="s">
        <v>315</v>
      </c>
      <c r="V533" s="11"/>
      <c r="W533" s="232"/>
      <c r="X533" s="304"/>
    </row>
    <row r="534" spans="1:24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1"/>
      <c r="L534" s="1" t="s">
        <v>315</v>
      </c>
      <c r="M534" s="9"/>
      <c r="N534" s="14">
        <f>Tabela13161718[[#This Row],[Valor_recibo]]</f>
        <v>0</v>
      </c>
      <c r="O534" s="16"/>
      <c r="P534" s="1" t="e">
        <f>VLOOKUP(Tabela13161718[[#This Row],[DT]],Aprovados!A:A,1,0)</f>
        <v>#N/A</v>
      </c>
      <c r="Q534" s="16"/>
      <c r="R534" s="16"/>
      <c r="S534" s="16" t="s">
        <v>315</v>
      </c>
      <c r="T534" s="9"/>
      <c r="U534" s="1" t="s">
        <v>315</v>
      </c>
      <c r="V534" s="11"/>
      <c r="W534" s="232"/>
      <c r="X534" s="304"/>
    </row>
    <row r="535" spans="1:24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1"/>
      <c r="L535" s="1" t="s">
        <v>315</v>
      </c>
      <c r="M535" s="9"/>
      <c r="N535" s="14">
        <f>Tabela13161718[[#This Row],[Valor_recibo]]</f>
        <v>0</v>
      </c>
      <c r="O535" s="16"/>
      <c r="P535" s="1" t="e">
        <f>VLOOKUP(Tabela13161718[[#This Row],[DT]],Aprovados!A:A,1,0)</f>
        <v>#N/A</v>
      </c>
      <c r="Q535" s="16"/>
      <c r="R535" s="16"/>
      <c r="S535" s="16" t="s">
        <v>315</v>
      </c>
      <c r="T535" s="9"/>
      <c r="U535" s="1" t="s">
        <v>315</v>
      </c>
      <c r="V535" s="11"/>
      <c r="W535" s="232"/>
      <c r="X535" s="304"/>
    </row>
    <row r="536" spans="1:24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1"/>
      <c r="L536" s="1" t="s">
        <v>315</v>
      </c>
      <c r="M536" s="9"/>
      <c r="N536" s="14">
        <f>Tabela13161718[[#This Row],[Valor_recibo]]</f>
        <v>0</v>
      </c>
      <c r="O536" s="16"/>
      <c r="P536" s="1" t="e">
        <f>VLOOKUP(Tabela13161718[[#This Row],[DT]],Aprovados!A:A,1,0)</f>
        <v>#N/A</v>
      </c>
      <c r="Q536" s="16"/>
      <c r="R536" s="16"/>
      <c r="S536" s="16" t="s">
        <v>315</v>
      </c>
      <c r="T536" s="9"/>
      <c r="U536" s="1" t="s">
        <v>315</v>
      </c>
      <c r="V536" s="11"/>
      <c r="W536" s="232"/>
      <c r="X536" s="304"/>
    </row>
    <row r="537" spans="1:24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1"/>
      <c r="L537" s="1" t="s">
        <v>315</v>
      </c>
      <c r="M537" s="9"/>
      <c r="N537" s="14">
        <f>Tabela13161718[[#This Row],[Valor_recibo]]</f>
        <v>0</v>
      </c>
      <c r="O537" s="16"/>
      <c r="P537" s="1" t="e">
        <f>VLOOKUP(Tabela13161718[[#This Row],[DT]],Aprovados!A:A,1,0)</f>
        <v>#N/A</v>
      </c>
      <c r="Q537" s="16"/>
      <c r="R537" s="16"/>
      <c r="S537" s="16" t="s">
        <v>315</v>
      </c>
      <c r="T537" s="9"/>
      <c r="U537" s="1" t="s">
        <v>315</v>
      </c>
      <c r="V537" s="11"/>
      <c r="W537" s="232"/>
      <c r="X537" s="304"/>
    </row>
    <row r="538" spans="1:24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1"/>
      <c r="L538" s="1" t="s">
        <v>315</v>
      </c>
      <c r="M538" s="9"/>
      <c r="N538" s="14">
        <f>Tabela13161718[[#This Row],[Valor_recibo]]</f>
        <v>0</v>
      </c>
      <c r="O538" s="16"/>
      <c r="P538" s="1" t="e">
        <f>VLOOKUP(Tabela13161718[[#This Row],[DT]],Aprovados!A:A,1,0)</f>
        <v>#N/A</v>
      </c>
      <c r="Q538" s="16"/>
      <c r="R538" s="16"/>
      <c r="S538" s="16" t="s">
        <v>315</v>
      </c>
      <c r="T538" s="9"/>
      <c r="U538" s="1" t="s">
        <v>315</v>
      </c>
      <c r="V538" s="11"/>
      <c r="W538" s="232"/>
      <c r="X538" s="304"/>
    </row>
    <row r="539" spans="1:24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1"/>
      <c r="L539" s="1" t="s">
        <v>315</v>
      </c>
      <c r="M539" s="9"/>
      <c r="N539" s="14">
        <f>Tabela13161718[[#This Row],[Valor_recibo]]</f>
        <v>0</v>
      </c>
      <c r="O539" s="16"/>
      <c r="P539" s="1" t="e">
        <f>VLOOKUP(Tabela13161718[[#This Row],[DT]],Aprovados!A:A,1,0)</f>
        <v>#N/A</v>
      </c>
      <c r="Q539" s="16"/>
      <c r="R539" s="16"/>
      <c r="S539" s="16" t="s">
        <v>315</v>
      </c>
      <c r="T539" s="9"/>
      <c r="U539" s="1" t="s">
        <v>315</v>
      </c>
      <c r="V539" s="11"/>
      <c r="W539" s="232"/>
      <c r="X539" s="304"/>
    </row>
    <row r="540" spans="1:24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1"/>
      <c r="L540" s="1" t="s">
        <v>315</v>
      </c>
      <c r="M540" s="9"/>
      <c r="N540" s="14">
        <f>Tabela13161718[[#This Row],[Valor_recibo]]</f>
        <v>0</v>
      </c>
      <c r="O540" s="16"/>
      <c r="P540" s="1" t="e">
        <f>VLOOKUP(Tabela13161718[[#This Row],[DT]],Aprovados!A:A,1,0)</f>
        <v>#N/A</v>
      </c>
      <c r="Q540" s="16"/>
      <c r="R540" s="16"/>
      <c r="S540" s="16" t="s">
        <v>315</v>
      </c>
      <c r="T540" s="9"/>
      <c r="U540" s="1" t="s">
        <v>315</v>
      </c>
      <c r="V540" s="11"/>
      <c r="W540" s="232"/>
      <c r="X540" s="304"/>
    </row>
    <row r="541" spans="1:24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1"/>
      <c r="L541" s="1" t="s">
        <v>315</v>
      </c>
      <c r="M541" s="9"/>
      <c r="N541" s="14">
        <f>Tabela13161718[[#This Row],[Valor_recibo]]</f>
        <v>0</v>
      </c>
      <c r="O541" s="16"/>
      <c r="P541" s="1" t="e">
        <f>VLOOKUP(Tabela13161718[[#This Row],[DT]],Aprovados!A:A,1,0)</f>
        <v>#N/A</v>
      </c>
      <c r="Q541" s="16"/>
      <c r="R541" s="16"/>
      <c r="S541" s="16" t="s">
        <v>315</v>
      </c>
      <c r="T541" s="9"/>
      <c r="U541" s="1" t="s">
        <v>315</v>
      </c>
      <c r="V541" s="11"/>
      <c r="W541" s="232"/>
      <c r="X541" s="304"/>
    </row>
    <row r="542" spans="1:24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1"/>
      <c r="L542" s="1" t="s">
        <v>315</v>
      </c>
      <c r="M542" s="9"/>
      <c r="N542" s="14">
        <f>Tabela13161718[[#This Row],[Valor_recibo]]</f>
        <v>0</v>
      </c>
      <c r="O542" s="16"/>
      <c r="P542" s="1" t="e">
        <f>VLOOKUP(Tabela13161718[[#This Row],[DT]],Aprovados!A:A,1,0)</f>
        <v>#N/A</v>
      </c>
      <c r="Q542" s="16"/>
      <c r="R542" s="16"/>
      <c r="S542" s="16" t="s">
        <v>315</v>
      </c>
      <c r="T542" s="9"/>
      <c r="U542" s="1" t="s">
        <v>315</v>
      </c>
      <c r="V542" s="11"/>
      <c r="W542" s="232"/>
      <c r="X542" s="304"/>
    </row>
    <row r="543" spans="1:24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1"/>
      <c r="L543" s="1" t="s">
        <v>315</v>
      </c>
      <c r="M543" s="9"/>
      <c r="N543" s="14">
        <f>Tabela13161718[[#This Row],[Valor_recibo]]</f>
        <v>0</v>
      </c>
      <c r="O543" s="16"/>
      <c r="P543" s="1" t="e">
        <f>VLOOKUP(Tabela13161718[[#This Row],[DT]],Aprovados!A:A,1,0)</f>
        <v>#N/A</v>
      </c>
      <c r="Q543" s="16"/>
      <c r="R543" s="16"/>
      <c r="S543" s="16" t="s">
        <v>315</v>
      </c>
      <c r="T543" s="9"/>
      <c r="U543" s="1" t="s">
        <v>315</v>
      </c>
      <c r="V543" s="11"/>
      <c r="W543" s="232"/>
      <c r="X543" s="304"/>
    </row>
    <row r="544" spans="1:24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1"/>
      <c r="L544" s="1" t="s">
        <v>315</v>
      </c>
      <c r="M544" s="9"/>
      <c r="N544" s="14">
        <f>Tabela13161718[[#This Row],[Valor_recibo]]</f>
        <v>0</v>
      </c>
      <c r="O544" s="16"/>
      <c r="P544" s="1" t="e">
        <f>VLOOKUP(Tabela13161718[[#This Row],[DT]],Aprovados!A:A,1,0)</f>
        <v>#N/A</v>
      </c>
      <c r="Q544" s="16"/>
      <c r="R544" s="16"/>
      <c r="S544" s="16" t="s">
        <v>315</v>
      </c>
      <c r="T544" s="9"/>
      <c r="U544" s="1" t="s">
        <v>315</v>
      </c>
      <c r="V544" s="11"/>
      <c r="W544" s="232"/>
      <c r="X544" s="304"/>
    </row>
    <row r="545" spans="1:24">
      <c r="A545" s="6"/>
      <c r="B545" s="7"/>
      <c r="C545" s="6"/>
      <c r="D545" s="6"/>
      <c r="E545" s="6"/>
      <c r="F545" s="1"/>
      <c r="G545" s="9"/>
      <c r="H545" s="9"/>
      <c r="I545" s="11"/>
      <c r="J545" s="1"/>
      <c r="K545" s="1"/>
      <c r="L545" s="1" t="s">
        <v>315</v>
      </c>
      <c r="M545" s="9"/>
      <c r="N545" s="14">
        <f>Tabela13161718[[#This Row],[Valor_recibo]]</f>
        <v>0</v>
      </c>
      <c r="O545" s="16"/>
      <c r="P545" s="1" t="e">
        <f>VLOOKUP(Tabela13161718[[#This Row],[DT]],Aprovados!A:A,1,0)</f>
        <v>#N/A</v>
      </c>
      <c r="Q545" s="16"/>
      <c r="R545" s="16"/>
      <c r="S545" s="16" t="s">
        <v>315</v>
      </c>
      <c r="T545" s="9"/>
      <c r="U545" s="1" t="s">
        <v>315</v>
      </c>
      <c r="V545" s="11"/>
      <c r="W545" s="232"/>
      <c r="X545" s="304"/>
    </row>
    <row r="546" spans="1:24">
      <c r="A546" s="6"/>
      <c r="B546" s="7"/>
      <c r="C546" s="6"/>
      <c r="D546" s="6"/>
      <c r="E546" s="6"/>
      <c r="F546" s="1"/>
      <c r="G546" s="9"/>
      <c r="H546" s="9"/>
      <c r="I546" s="11"/>
      <c r="J546" s="1"/>
      <c r="K546" s="1"/>
      <c r="L546" s="1" t="s">
        <v>315</v>
      </c>
      <c r="M546" s="9"/>
      <c r="N546" s="14">
        <f>Tabela13161718[[#This Row],[Valor_recibo]]</f>
        <v>0</v>
      </c>
      <c r="O546" s="16"/>
      <c r="P546" s="1" t="e">
        <f>VLOOKUP(Tabela13161718[[#This Row],[DT]],Aprovados!A:A,1,0)</f>
        <v>#N/A</v>
      </c>
      <c r="Q546" s="16"/>
      <c r="R546" s="16"/>
      <c r="S546" s="16" t="s">
        <v>315</v>
      </c>
      <c r="T546" s="9"/>
      <c r="U546" s="1" t="s">
        <v>315</v>
      </c>
      <c r="V546" s="11"/>
      <c r="W546" s="232"/>
      <c r="X546" s="304"/>
    </row>
    <row r="547" spans="1:24">
      <c r="A547" s="6"/>
      <c r="B547" s="7"/>
      <c r="C547" s="6"/>
      <c r="D547" s="6"/>
      <c r="E547" s="6"/>
      <c r="F547" s="1"/>
      <c r="G547" s="9"/>
      <c r="H547" s="9"/>
      <c r="I547" s="11"/>
      <c r="J547" s="1"/>
      <c r="K547" s="1"/>
      <c r="L547" s="1" t="s">
        <v>315</v>
      </c>
      <c r="M547" s="9"/>
      <c r="N547" s="14">
        <f>Tabela13161718[[#This Row],[Valor_recibo]]</f>
        <v>0</v>
      </c>
      <c r="O547" s="16"/>
      <c r="P547" s="1" t="e">
        <f>VLOOKUP(Tabela13161718[[#This Row],[DT]],Aprovados!A:A,1,0)</f>
        <v>#N/A</v>
      </c>
      <c r="Q547" s="16"/>
      <c r="R547" s="16"/>
      <c r="S547" s="16" t="s">
        <v>315</v>
      </c>
      <c r="T547" s="9"/>
      <c r="U547" s="1" t="s">
        <v>315</v>
      </c>
      <c r="V547" s="11"/>
      <c r="W547" s="232"/>
      <c r="X547" s="304"/>
    </row>
    <row r="548" spans="1:24">
      <c r="A548" s="6"/>
      <c r="B548" s="7"/>
      <c r="C548" s="6"/>
      <c r="D548" s="6"/>
      <c r="E548" s="6"/>
      <c r="F548" s="1"/>
      <c r="G548" s="9"/>
      <c r="H548" s="9"/>
      <c r="I548" s="11"/>
      <c r="J548" s="1"/>
      <c r="K548" s="1"/>
      <c r="L548" s="1" t="s">
        <v>315</v>
      </c>
      <c r="M548" s="9"/>
      <c r="N548" s="14">
        <f>Tabela13161718[[#This Row],[Valor_recibo]]</f>
        <v>0</v>
      </c>
      <c r="O548" s="16"/>
      <c r="P548" s="1" t="e">
        <f>VLOOKUP(Tabela13161718[[#This Row],[DT]],Aprovados!A:A,1,0)</f>
        <v>#N/A</v>
      </c>
      <c r="Q548" s="16"/>
      <c r="R548" s="16"/>
      <c r="S548" s="16" t="s">
        <v>315</v>
      </c>
      <c r="T548" s="9"/>
      <c r="U548" s="1" t="s">
        <v>315</v>
      </c>
      <c r="V548" s="11"/>
      <c r="W548" s="232"/>
      <c r="X548" s="304"/>
    </row>
    <row r="549" spans="1:24">
      <c r="A549" s="1"/>
      <c r="B549" s="7"/>
      <c r="C549" s="6"/>
      <c r="D549" s="6"/>
      <c r="E549" s="6"/>
      <c r="F549" s="1"/>
      <c r="G549" s="9"/>
      <c r="H549" s="9"/>
      <c r="I549" s="11"/>
      <c r="J549" s="1"/>
      <c r="K549" s="1"/>
      <c r="L549" s="1" t="s">
        <v>315</v>
      </c>
      <c r="M549" s="9"/>
      <c r="N549" s="14">
        <f>Tabela13161718[[#This Row],[Valor_recibo]]</f>
        <v>0</v>
      </c>
      <c r="O549" s="16"/>
      <c r="P549" s="1" t="e">
        <f>VLOOKUP(Tabela13161718[[#This Row],[DT]],Aprovados!A:A,1,0)</f>
        <v>#N/A</v>
      </c>
      <c r="Q549" s="16"/>
      <c r="R549" s="16"/>
      <c r="S549" s="16" t="s">
        <v>315</v>
      </c>
      <c r="T549" s="9"/>
      <c r="U549" s="1" t="s">
        <v>315</v>
      </c>
      <c r="V549" s="11"/>
      <c r="W549" s="232"/>
      <c r="X549" s="304"/>
    </row>
    <row r="550" spans="1:24">
      <c r="A550" s="1"/>
      <c r="B550" s="7"/>
      <c r="C550" s="59"/>
      <c r="D550" s="6"/>
      <c r="E550" s="6"/>
      <c r="F550" s="1"/>
      <c r="G550" s="9"/>
      <c r="H550" s="9"/>
      <c r="I550" s="11"/>
      <c r="J550" s="1"/>
      <c r="K550" s="1"/>
      <c r="L550" s="1" t="s">
        <v>315</v>
      </c>
      <c r="M550" s="9"/>
      <c r="N550" s="14">
        <f>Tabela13161718[[#This Row],[Valor_recibo]]</f>
        <v>0</v>
      </c>
      <c r="O550" s="16"/>
      <c r="P550" s="1" t="e">
        <f>VLOOKUP(Tabela13161718[[#This Row],[DT]],Aprovados!A:A,1,0)</f>
        <v>#N/A</v>
      </c>
      <c r="Q550" s="16"/>
      <c r="R550" s="16"/>
      <c r="S550" s="16" t="s">
        <v>315</v>
      </c>
      <c r="T550" s="9"/>
      <c r="U550" s="1" t="s">
        <v>315</v>
      </c>
      <c r="V550" s="11"/>
      <c r="W550" s="232"/>
      <c r="X550" s="304"/>
    </row>
    <row r="551" spans="1:24">
      <c r="A551" s="1"/>
      <c r="B551" s="7"/>
      <c r="C551" s="59"/>
      <c r="D551" s="6"/>
      <c r="E551" s="6"/>
      <c r="F551" s="1"/>
      <c r="G551" s="9"/>
      <c r="H551" s="9"/>
      <c r="I551" s="11"/>
      <c r="J551" s="1"/>
      <c r="K551" s="1"/>
      <c r="L551" s="1" t="s">
        <v>315</v>
      </c>
      <c r="M551" s="9"/>
      <c r="N551" s="14">
        <f>Tabela13161718[[#This Row],[Valor_recibo]]</f>
        <v>0</v>
      </c>
      <c r="O551" s="16"/>
      <c r="P551" s="1" t="e">
        <f>VLOOKUP(Tabela13161718[[#This Row],[DT]],Aprovados!A:A,1,0)</f>
        <v>#N/A</v>
      </c>
      <c r="Q551" s="16"/>
      <c r="R551" s="16"/>
      <c r="S551" s="16" t="s">
        <v>315</v>
      </c>
      <c r="T551" s="9"/>
      <c r="U551" s="1" t="s">
        <v>315</v>
      </c>
      <c r="V551" s="11"/>
      <c r="W551" s="232"/>
      <c r="X551" s="304"/>
    </row>
    <row r="552" spans="1:24">
      <c r="A552" s="1"/>
      <c r="B552" s="7"/>
      <c r="C552" s="59"/>
      <c r="D552" s="6"/>
      <c r="E552" s="62"/>
      <c r="F552" s="1"/>
      <c r="G552" s="9"/>
      <c r="H552" s="9"/>
      <c r="I552" s="11"/>
      <c r="J552" s="1"/>
      <c r="K552" s="1"/>
      <c r="L552" s="1" t="s">
        <v>315</v>
      </c>
      <c r="M552" s="9"/>
      <c r="N552" s="14">
        <f>Tabela13161718[[#This Row],[Valor_recibo]]</f>
        <v>0</v>
      </c>
      <c r="O552" s="16"/>
      <c r="P552" s="1" t="e">
        <f>VLOOKUP(Tabela13161718[[#This Row],[DT]],Aprovados!A:A,1,0)</f>
        <v>#N/A</v>
      </c>
      <c r="Q552" s="16"/>
      <c r="R552" s="16"/>
      <c r="S552" s="16" t="s">
        <v>315</v>
      </c>
      <c r="T552" s="9"/>
      <c r="U552" s="1" t="s">
        <v>315</v>
      </c>
      <c r="V552" s="11"/>
      <c r="W552" s="232"/>
      <c r="X552" s="304"/>
    </row>
    <row r="553" spans="1:24">
      <c r="A553" s="1"/>
      <c r="B553" s="7"/>
      <c r="C553" s="59"/>
      <c r="D553" s="6"/>
      <c r="E553" s="6"/>
      <c r="F553" s="1"/>
      <c r="G553" s="9"/>
      <c r="H553" s="9"/>
      <c r="I553" s="11"/>
      <c r="J553" s="1"/>
      <c r="K553" s="1"/>
      <c r="L553" s="1" t="s">
        <v>315</v>
      </c>
      <c r="M553" s="9"/>
      <c r="N553" s="14">
        <f>Tabela13161718[[#This Row],[Valor_recibo]]</f>
        <v>0</v>
      </c>
      <c r="O553" s="16"/>
      <c r="P553" s="1" t="e">
        <f>VLOOKUP(Tabela13161718[[#This Row],[DT]],Aprovados!A:A,1,0)</f>
        <v>#N/A</v>
      </c>
      <c r="Q553" s="16"/>
      <c r="R553" s="16"/>
      <c r="S553" s="16" t="s">
        <v>315</v>
      </c>
      <c r="T553" s="9"/>
      <c r="U553" s="1" t="s">
        <v>315</v>
      </c>
      <c r="V553" s="11"/>
      <c r="W553" s="232"/>
      <c r="X553" s="304"/>
    </row>
    <row r="554" spans="1:24">
      <c r="A554" s="1"/>
      <c r="B554" s="7"/>
      <c r="C554" s="59"/>
      <c r="D554" s="6"/>
      <c r="E554" s="6"/>
      <c r="F554" s="1"/>
      <c r="G554" s="9"/>
      <c r="H554" s="9"/>
      <c r="I554" s="11"/>
      <c r="J554" s="1"/>
      <c r="K554" s="1"/>
      <c r="L554" s="1" t="s">
        <v>315</v>
      </c>
      <c r="M554" s="9"/>
      <c r="N554" s="14">
        <f>Tabela13161718[[#This Row],[Valor_recibo]]</f>
        <v>0</v>
      </c>
      <c r="O554" s="16"/>
      <c r="P554" s="1" t="e">
        <f>VLOOKUP(Tabela13161718[[#This Row],[DT]],Aprovados!A:A,1,0)</f>
        <v>#N/A</v>
      </c>
      <c r="Q554" s="16"/>
      <c r="R554" s="16"/>
      <c r="S554" s="16" t="s">
        <v>315</v>
      </c>
      <c r="T554" s="9"/>
      <c r="U554" s="1" t="s">
        <v>315</v>
      </c>
      <c r="V554" s="11"/>
      <c r="W554" s="232"/>
      <c r="X554" s="304"/>
    </row>
    <row r="555" spans="1:24">
      <c r="A555" s="1"/>
      <c r="B555" s="7"/>
      <c r="C555" s="59"/>
      <c r="D555" s="6"/>
      <c r="E555" s="6"/>
      <c r="F555" s="1"/>
      <c r="G555" s="9"/>
      <c r="H555" s="9"/>
      <c r="I555" s="11"/>
      <c r="J555" s="1"/>
      <c r="K555" s="1"/>
      <c r="L555" s="1" t="s">
        <v>315</v>
      </c>
      <c r="M555" s="9"/>
      <c r="N555" s="14">
        <f>Tabela13161718[[#This Row],[Valor_recibo]]</f>
        <v>0</v>
      </c>
      <c r="O555" s="16"/>
      <c r="P555" s="1" t="e">
        <f>VLOOKUP(Tabela13161718[[#This Row],[DT]],Aprovados!A:A,1,0)</f>
        <v>#N/A</v>
      </c>
      <c r="Q555" s="16"/>
      <c r="R555" s="16"/>
      <c r="S555" s="16" t="s">
        <v>315</v>
      </c>
      <c r="T555" s="9"/>
      <c r="U555" s="1" t="s">
        <v>315</v>
      </c>
      <c r="V555" s="11"/>
      <c r="W555" s="232"/>
      <c r="X555" s="304"/>
    </row>
    <row r="556" spans="1:24">
      <c r="A556" s="1"/>
      <c r="B556" s="7"/>
      <c r="C556" s="59"/>
      <c r="D556" s="6"/>
      <c r="E556" s="6"/>
      <c r="F556" s="1"/>
      <c r="G556" s="9"/>
      <c r="H556" s="9"/>
      <c r="I556" s="11"/>
      <c r="J556" s="1"/>
      <c r="K556" s="1"/>
      <c r="L556" s="1" t="s">
        <v>315</v>
      </c>
      <c r="M556" s="9"/>
      <c r="N556" s="14">
        <f>Tabela13161718[[#This Row],[Valor_recibo]]</f>
        <v>0</v>
      </c>
      <c r="O556" s="16"/>
      <c r="P556" s="1" t="e">
        <f>VLOOKUP(Tabela13161718[[#This Row],[DT]],Aprovados!A:A,1,0)</f>
        <v>#N/A</v>
      </c>
      <c r="Q556" s="16"/>
      <c r="R556" s="16"/>
      <c r="S556" s="16" t="s">
        <v>315</v>
      </c>
      <c r="T556" s="9"/>
      <c r="U556" s="1" t="s">
        <v>315</v>
      </c>
      <c r="V556" s="11"/>
      <c r="W556" s="232"/>
      <c r="X556" s="304"/>
    </row>
    <row r="557" spans="1:24">
      <c r="A557" s="63"/>
      <c r="B557" s="9"/>
      <c r="D557" s="1"/>
      <c r="F557" s="1"/>
      <c r="G557" s="9"/>
      <c r="H557" s="9"/>
      <c r="I557" s="11"/>
      <c r="J557" s="1"/>
      <c r="K557" s="1"/>
      <c r="L557" s="1" t="s">
        <v>315</v>
      </c>
      <c r="M557" s="9"/>
      <c r="N557" s="14">
        <f>Tabela13161718[[#This Row],[Valor_recibo]]</f>
        <v>0</v>
      </c>
      <c r="O557" s="16"/>
      <c r="P557" s="1" t="e">
        <f>VLOOKUP(Tabela13161718[[#This Row],[DT]],Aprovados!A:A,1,0)</f>
        <v>#N/A</v>
      </c>
      <c r="Q557" s="16"/>
      <c r="R557" s="16"/>
      <c r="S557" s="16" t="s">
        <v>315</v>
      </c>
      <c r="T557" s="9"/>
      <c r="U557" s="1" t="s">
        <v>315</v>
      </c>
      <c r="V557" s="11"/>
      <c r="W557" s="232"/>
      <c r="X557" s="304"/>
    </row>
    <row r="558" spans="1:24">
      <c r="A558" s="1"/>
      <c r="B558" s="7"/>
      <c r="C558" s="59"/>
      <c r="D558" s="6"/>
      <c r="E558" s="64"/>
      <c r="F558" s="1"/>
      <c r="G558" s="9"/>
      <c r="H558" s="9"/>
      <c r="I558" s="11"/>
      <c r="J558" s="1"/>
      <c r="K558" s="1"/>
      <c r="L558" s="1" t="s">
        <v>315</v>
      </c>
      <c r="M558" s="9"/>
      <c r="N558" s="14">
        <f>Tabela13161718[[#This Row],[Valor_recibo]]</f>
        <v>0</v>
      </c>
      <c r="O558" s="16"/>
      <c r="P558" s="1" t="e">
        <f>VLOOKUP(Tabela13161718[[#This Row],[DT]],Aprovados!A:A,1,0)</f>
        <v>#N/A</v>
      </c>
      <c r="Q558" s="16"/>
      <c r="R558" s="16"/>
      <c r="S558" s="16" t="s">
        <v>315</v>
      </c>
      <c r="T558" s="9"/>
      <c r="U558" s="1" t="s">
        <v>315</v>
      </c>
      <c r="V558" s="11"/>
      <c r="W558" s="232"/>
      <c r="X558" s="304"/>
    </row>
    <row r="559" spans="1:24">
      <c r="A559" s="1"/>
      <c r="B559" s="7"/>
      <c r="C559" s="59"/>
      <c r="D559" s="6"/>
      <c r="E559" s="6"/>
      <c r="F559" s="1"/>
      <c r="G559" s="9"/>
      <c r="H559" s="9"/>
      <c r="I559" s="11"/>
      <c r="J559" s="1"/>
      <c r="K559" s="1"/>
      <c r="L559" s="1" t="s">
        <v>315</v>
      </c>
      <c r="M559" s="9"/>
      <c r="N559" s="14">
        <f>Tabela13161718[[#This Row],[Valor_recibo]]</f>
        <v>0</v>
      </c>
      <c r="O559" s="16"/>
      <c r="P559" s="1" t="e">
        <f>VLOOKUP(Tabela13161718[[#This Row],[DT]],Aprovados!A:A,1,0)</f>
        <v>#N/A</v>
      </c>
      <c r="Q559" s="16"/>
      <c r="R559" s="16"/>
      <c r="S559" s="16" t="s">
        <v>315</v>
      </c>
      <c r="T559" s="9"/>
      <c r="U559" s="1" t="s">
        <v>315</v>
      </c>
      <c r="V559" s="11"/>
      <c r="W559" s="232"/>
      <c r="X559" s="304"/>
    </row>
    <row r="560" spans="1:24">
      <c r="A560" s="65"/>
      <c r="B560" s="9"/>
      <c r="D560" s="1"/>
      <c r="F560" s="1"/>
      <c r="G560" s="9"/>
      <c r="H560" s="9"/>
      <c r="I560" s="11"/>
      <c r="J560" s="1"/>
      <c r="K560" s="1"/>
      <c r="L560" s="1" t="s">
        <v>315</v>
      </c>
      <c r="M560" s="9"/>
      <c r="N560" s="14">
        <f>Tabela13161718[[#This Row],[Valor_recibo]]</f>
        <v>0</v>
      </c>
      <c r="O560" s="16"/>
      <c r="P560" s="1" t="e">
        <f>VLOOKUP(Tabela13161718[[#This Row],[DT]],Aprovados!A:A,1,0)</f>
        <v>#N/A</v>
      </c>
      <c r="Q560" s="16"/>
      <c r="R560" s="16"/>
      <c r="S560" s="16" t="s">
        <v>315</v>
      </c>
      <c r="T560" s="9"/>
      <c r="U560" s="1" t="s">
        <v>315</v>
      </c>
      <c r="V560" s="11"/>
      <c r="W560" s="232"/>
      <c r="X560" s="304"/>
    </row>
    <row r="561" spans="1:24">
      <c r="A561" s="1"/>
      <c r="B561" s="7"/>
      <c r="C561" s="59"/>
      <c r="D561" s="6"/>
      <c r="E561" s="6"/>
      <c r="F561" s="1"/>
      <c r="G561" s="9"/>
      <c r="H561" s="9"/>
      <c r="I561" s="11"/>
      <c r="J561" s="1"/>
      <c r="K561" s="1"/>
      <c r="L561" s="1" t="s">
        <v>315</v>
      </c>
      <c r="M561" s="9"/>
      <c r="N561" s="14">
        <f>Tabela13161718[[#This Row],[Valor_recibo]]</f>
        <v>0</v>
      </c>
      <c r="O561" s="16"/>
      <c r="P561" s="1" t="e">
        <f>VLOOKUP(Tabela13161718[[#This Row],[DT]],Aprovados!A:A,1,0)</f>
        <v>#N/A</v>
      </c>
      <c r="Q561" s="16"/>
      <c r="R561" s="16"/>
      <c r="S561" s="16" t="s">
        <v>315</v>
      </c>
      <c r="T561" s="9"/>
      <c r="U561" s="1" t="s">
        <v>315</v>
      </c>
      <c r="V561" s="11"/>
      <c r="W561" s="232"/>
      <c r="X561" s="304"/>
    </row>
    <row r="562" spans="1:24">
      <c r="A562" s="1"/>
      <c r="B562" s="7"/>
      <c r="C562" s="59"/>
      <c r="D562" s="59"/>
      <c r="E562" s="6"/>
      <c r="F562" s="1"/>
      <c r="G562" s="9"/>
      <c r="H562" s="9"/>
      <c r="I562" s="11"/>
      <c r="J562" s="1"/>
      <c r="K562" s="1"/>
      <c r="L562" s="1" t="s">
        <v>315</v>
      </c>
      <c r="M562" s="9"/>
      <c r="N562" s="14">
        <f>Tabela13161718[[#This Row],[Valor_recibo]]</f>
        <v>0</v>
      </c>
      <c r="O562" s="16"/>
      <c r="P562" s="1" t="e">
        <f>VLOOKUP(Tabela13161718[[#This Row],[DT]],Aprovados!A:A,1,0)</f>
        <v>#N/A</v>
      </c>
      <c r="Q562" s="16"/>
      <c r="R562" s="16"/>
      <c r="S562" s="16" t="s">
        <v>315</v>
      </c>
      <c r="T562" s="9"/>
      <c r="U562" s="1" t="s">
        <v>315</v>
      </c>
      <c r="V562" s="11"/>
      <c r="W562" s="232"/>
      <c r="X562" s="304"/>
    </row>
    <row r="563" spans="1:24">
      <c r="A563" s="1"/>
      <c r="B563" s="7"/>
      <c r="C563" s="59"/>
      <c r="D563" s="6"/>
      <c r="E563" s="6"/>
      <c r="F563" s="1"/>
      <c r="G563" s="9"/>
      <c r="H563" s="9"/>
      <c r="I563" s="11"/>
      <c r="J563" s="1"/>
      <c r="K563" s="1"/>
      <c r="L563" s="1" t="s">
        <v>315</v>
      </c>
      <c r="M563" s="9"/>
      <c r="N563" s="14">
        <f>Tabela13161718[[#This Row],[Valor_recibo]]</f>
        <v>0</v>
      </c>
      <c r="O563" s="16"/>
      <c r="P563" s="1" t="e">
        <f>VLOOKUP(Tabela13161718[[#This Row],[DT]],Aprovados!A:A,1,0)</f>
        <v>#N/A</v>
      </c>
      <c r="Q563" s="16"/>
      <c r="R563" s="16"/>
      <c r="S563" s="16" t="s">
        <v>315</v>
      </c>
      <c r="T563" s="9"/>
      <c r="U563" s="1" t="s">
        <v>315</v>
      </c>
      <c r="V563" s="11"/>
      <c r="W563" s="232"/>
      <c r="X563" s="304"/>
    </row>
    <row r="564" spans="1:24">
      <c r="A564" s="1"/>
      <c r="B564" s="7"/>
      <c r="C564" s="59"/>
      <c r="D564" s="6"/>
      <c r="E564" s="6"/>
      <c r="F564" s="1"/>
      <c r="G564" s="9"/>
      <c r="H564" s="9"/>
      <c r="I564" s="11"/>
      <c r="J564" s="1"/>
      <c r="K564" s="1"/>
      <c r="L564" s="1" t="s">
        <v>315</v>
      </c>
      <c r="M564" s="9"/>
      <c r="N564" s="14">
        <f>Tabela13161718[[#This Row],[Valor_recibo]]</f>
        <v>0</v>
      </c>
      <c r="O564" s="16"/>
      <c r="P564" s="1" t="e">
        <f>VLOOKUP(Tabela13161718[[#This Row],[DT]],Aprovados!A:A,1,0)</f>
        <v>#N/A</v>
      </c>
      <c r="Q564" s="16"/>
      <c r="R564" s="16"/>
      <c r="S564" s="16" t="s">
        <v>315</v>
      </c>
      <c r="T564" s="9"/>
      <c r="U564" s="1" t="s">
        <v>315</v>
      </c>
      <c r="V564" s="11"/>
      <c r="W564" s="232"/>
      <c r="X564" s="304"/>
    </row>
    <row r="565" spans="1:24">
      <c r="A565" s="1"/>
      <c r="B565" s="7"/>
      <c r="C565" s="59"/>
      <c r="D565" s="59"/>
      <c r="E565" s="59"/>
      <c r="F565" s="1"/>
      <c r="G565" s="9"/>
      <c r="H565" s="9"/>
      <c r="I565" s="11"/>
      <c r="J565" s="1"/>
      <c r="K565" s="1"/>
      <c r="L565" s="1" t="s">
        <v>315</v>
      </c>
      <c r="M565" s="9"/>
      <c r="N565" s="14">
        <f>Tabela13161718[[#This Row],[Valor_recibo]]</f>
        <v>0</v>
      </c>
      <c r="O565" s="16"/>
      <c r="P565" s="1" t="e">
        <f>VLOOKUP(Tabela13161718[[#This Row],[DT]],Aprovados!A:A,1,0)</f>
        <v>#N/A</v>
      </c>
      <c r="Q565" s="16"/>
      <c r="R565" s="16"/>
      <c r="S565" s="16" t="s">
        <v>315</v>
      </c>
      <c r="T565" s="9"/>
      <c r="U565" s="1" t="s">
        <v>315</v>
      </c>
      <c r="V565" s="11"/>
      <c r="W565" s="232"/>
      <c r="X565" s="304"/>
    </row>
    <row r="566" spans="1:24">
      <c r="A566" s="1"/>
      <c r="B566" s="7"/>
      <c r="C566" s="59"/>
      <c r="D566" s="6"/>
      <c r="E566" s="6"/>
      <c r="F566" s="1"/>
      <c r="G566" s="9"/>
      <c r="H566" s="9"/>
      <c r="I566" s="11"/>
      <c r="J566" s="1"/>
      <c r="K566" s="1"/>
      <c r="L566" s="1" t="s">
        <v>315</v>
      </c>
      <c r="M566" s="9"/>
      <c r="N566" s="14">
        <f>Tabela13161718[[#This Row],[Valor_recibo]]</f>
        <v>0</v>
      </c>
      <c r="O566" s="16"/>
      <c r="P566" s="1" t="e">
        <f>VLOOKUP(Tabela13161718[[#This Row],[DT]],Aprovados!A:A,1,0)</f>
        <v>#N/A</v>
      </c>
      <c r="Q566" s="16"/>
      <c r="R566" s="16"/>
      <c r="S566" s="16" t="s">
        <v>315</v>
      </c>
      <c r="T566" s="9"/>
      <c r="U566" s="1" t="s">
        <v>315</v>
      </c>
      <c r="V566" s="11"/>
      <c r="W566" s="232"/>
      <c r="X566" s="304"/>
    </row>
    <row r="567" spans="1:24">
      <c r="A567" s="1"/>
      <c r="B567" s="7"/>
      <c r="C567" s="59"/>
      <c r="D567" s="6"/>
      <c r="E567" s="6"/>
      <c r="F567" s="1"/>
      <c r="G567" s="9"/>
      <c r="H567" s="9"/>
      <c r="I567" s="11"/>
      <c r="J567" s="1"/>
      <c r="K567" s="1"/>
      <c r="L567" s="1" t="s">
        <v>315</v>
      </c>
      <c r="M567" s="9"/>
      <c r="N567" s="14">
        <f>Tabela13161718[[#This Row],[Valor_recibo]]</f>
        <v>0</v>
      </c>
      <c r="O567" s="16"/>
      <c r="P567" s="1" t="e">
        <f>VLOOKUP(Tabela13161718[[#This Row],[DT]],Aprovados!A:A,1,0)</f>
        <v>#N/A</v>
      </c>
      <c r="Q567" s="16"/>
      <c r="R567" s="16"/>
      <c r="S567" s="16" t="s">
        <v>315</v>
      </c>
      <c r="T567" s="9"/>
      <c r="U567" s="1" t="s">
        <v>315</v>
      </c>
      <c r="V567" s="11"/>
      <c r="W567" s="232"/>
      <c r="X567" s="304"/>
    </row>
    <row r="568" spans="1:24">
      <c r="A568" s="1"/>
      <c r="B568" s="7"/>
      <c r="C568" s="59"/>
      <c r="D568" s="59"/>
      <c r="E568" s="6"/>
      <c r="F568" s="1"/>
      <c r="G568" s="9"/>
      <c r="H568" s="9"/>
      <c r="I568" s="11"/>
      <c r="J568" s="1"/>
      <c r="K568" s="1"/>
      <c r="L568" s="1" t="s">
        <v>315</v>
      </c>
      <c r="M568" s="9"/>
      <c r="N568" s="14">
        <f>Tabela13161718[[#This Row],[Valor_recibo]]</f>
        <v>0</v>
      </c>
      <c r="O568" s="16"/>
      <c r="P568" s="1" t="e">
        <f>VLOOKUP(Tabela13161718[[#This Row],[DT]],Aprovados!A:A,1,0)</f>
        <v>#N/A</v>
      </c>
      <c r="Q568" s="16"/>
      <c r="R568" s="16"/>
      <c r="S568" s="16" t="s">
        <v>315</v>
      </c>
      <c r="T568" s="9"/>
      <c r="U568" s="1" t="s">
        <v>315</v>
      </c>
      <c r="V568" s="11"/>
      <c r="W568" s="232"/>
      <c r="X568" s="304"/>
    </row>
    <row r="569" spans="1:24">
      <c r="A569" s="1"/>
      <c r="B569" s="7"/>
      <c r="C569" s="59"/>
      <c r="D569" s="6"/>
      <c r="E569" s="6"/>
      <c r="F569" s="1"/>
      <c r="G569" s="9"/>
      <c r="H569" s="9"/>
      <c r="I569" s="11"/>
      <c r="J569" s="1"/>
      <c r="K569" s="1"/>
      <c r="L569" s="1" t="s">
        <v>315</v>
      </c>
      <c r="M569" s="9"/>
      <c r="N569" s="14">
        <f>Tabela13161718[[#This Row],[Valor_recibo]]</f>
        <v>0</v>
      </c>
      <c r="O569" s="16"/>
      <c r="P569" s="1" t="e">
        <f>VLOOKUP(Tabela13161718[[#This Row],[DT]],Aprovados!A:A,1,0)</f>
        <v>#N/A</v>
      </c>
      <c r="Q569" s="16"/>
      <c r="R569" s="16"/>
      <c r="S569" s="16" t="s">
        <v>315</v>
      </c>
      <c r="T569" s="9"/>
      <c r="U569" s="1" t="s">
        <v>315</v>
      </c>
      <c r="V569" s="11"/>
      <c r="W569" s="232"/>
      <c r="X569" s="304"/>
    </row>
    <row r="570" spans="1:24">
      <c r="A570" s="1"/>
      <c r="B570" s="7"/>
      <c r="C570" s="59"/>
      <c r="D570" s="59"/>
      <c r="E570" s="59"/>
      <c r="F570" s="1"/>
      <c r="G570" s="9"/>
      <c r="H570" s="9"/>
      <c r="I570" s="11"/>
      <c r="J570" s="1"/>
      <c r="K570" s="1"/>
      <c r="L570" s="1" t="s">
        <v>315</v>
      </c>
      <c r="M570" s="9"/>
      <c r="N570" s="14">
        <f>Tabela13161718[[#This Row],[Valor_recibo]]</f>
        <v>0</v>
      </c>
      <c r="O570" s="16"/>
      <c r="P570" s="1" t="e">
        <f>VLOOKUP(Tabela13161718[[#This Row],[DT]],Aprovados!A:A,1,0)</f>
        <v>#N/A</v>
      </c>
      <c r="Q570" s="16"/>
      <c r="R570" s="16"/>
      <c r="S570" s="16" t="s">
        <v>315</v>
      </c>
      <c r="T570" s="9"/>
      <c r="U570" s="1" t="s">
        <v>315</v>
      </c>
      <c r="V570" s="11"/>
      <c r="W570" s="232"/>
      <c r="X570" s="304"/>
    </row>
    <row r="571" spans="1:24">
      <c r="A571" s="1"/>
      <c r="B571" s="7"/>
      <c r="C571" s="139"/>
      <c r="D571" s="6"/>
      <c r="E571" s="59"/>
      <c r="F571" s="1"/>
      <c r="G571" s="9"/>
      <c r="H571" s="9"/>
      <c r="I571" s="11"/>
      <c r="J571" s="1"/>
      <c r="K571" s="1"/>
      <c r="L571" s="1" t="s">
        <v>315</v>
      </c>
      <c r="M571" s="9"/>
      <c r="N571" s="14">
        <f>Tabela13161718[[#This Row],[Valor_recibo]]</f>
        <v>0</v>
      </c>
      <c r="O571" s="16"/>
      <c r="P571" s="1" t="e">
        <f>VLOOKUP(Tabela13161718[[#This Row],[DT]],Aprovados!A:A,1,0)</f>
        <v>#N/A</v>
      </c>
      <c r="Q571" s="16"/>
      <c r="R571" s="16"/>
      <c r="S571" s="16" t="s">
        <v>315</v>
      </c>
      <c r="T571" s="9"/>
      <c r="U571" s="1" t="s">
        <v>315</v>
      </c>
      <c r="V571" s="11"/>
      <c r="W571" s="232"/>
      <c r="X571" s="304"/>
    </row>
    <row r="572" spans="1:24">
      <c r="A572" s="1"/>
      <c r="B572" s="7"/>
      <c r="C572" s="59"/>
      <c r="D572" s="59"/>
      <c r="E572" s="59"/>
      <c r="F572" s="1"/>
      <c r="G572" s="9"/>
      <c r="H572" s="9"/>
      <c r="I572" s="11"/>
      <c r="J572" s="1"/>
      <c r="K572" s="1"/>
      <c r="L572" s="1" t="s">
        <v>315</v>
      </c>
      <c r="M572" s="9"/>
      <c r="N572" s="14">
        <f>Tabela13161718[[#This Row],[Valor_recibo]]</f>
        <v>0</v>
      </c>
      <c r="O572" s="16"/>
      <c r="P572" s="1" t="e">
        <f>VLOOKUP(Tabela13161718[[#This Row],[DT]],Aprovados!A:A,1,0)</f>
        <v>#N/A</v>
      </c>
      <c r="Q572" s="16"/>
      <c r="R572" s="16"/>
      <c r="S572" s="16" t="s">
        <v>315</v>
      </c>
      <c r="T572" s="9"/>
      <c r="U572" s="1" t="s">
        <v>315</v>
      </c>
      <c r="V572" s="11"/>
      <c r="W572" s="232"/>
      <c r="X572" s="304"/>
    </row>
    <row r="573" spans="1:24">
      <c r="A573" s="1"/>
      <c r="B573" s="7"/>
      <c r="C573" s="59"/>
      <c r="D573" s="59"/>
      <c r="E573" s="59"/>
      <c r="F573" s="1"/>
      <c r="G573" s="9"/>
      <c r="H573" s="9"/>
      <c r="I573" s="11"/>
      <c r="J573" s="1"/>
      <c r="K573" s="1"/>
      <c r="L573" s="1" t="s">
        <v>315</v>
      </c>
      <c r="M573" s="9"/>
      <c r="N573" s="14">
        <f>Tabela13161718[[#This Row],[Valor_recibo]]</f>
        <v>0</v>
      </c>
      <c r="O573" s="16"/>
      <c r="P573" s="1" t="e">
        <f>VLOOKUP(Tabela13161718[[#This Row],[DT]],Aprovados!A:A,1,0)</f>
        <v>#N/A</v>
      </c>
      <c r="Q573" s="16"/>
      <c r="R573" s="16"/>
      <c r="S573" s="16" t="s">
        <v>315</v>
      </c>
      <c r="T573" s="9"/>
      <c r="U573" s="1" t="s">
        <v>315</v>
      </c>
      <c r="V573" s="11"/>
      <c r="W573" s="232"/>
      <c r="X573" s="304"/>
    </row>
    <row r="574" spans="1:24">
      <c r="A574" s="1"/>
      <c r="B574" s="7"/>
      <c r="C574" s="59"/>
      <c r="D574" s="59"/>
      <c r="E574" s="59"/>
      <c r="F574" s="1"/>
      <c r="G574" s="9"/>
      <c r="H574" s="9"/>
      <c r="I574" s="11"/>
      <c r="J574" s="1"/>
      <c r="K574" s="1"/>
      <c r="L574" s="1" t="s">
        <v>315</v>
      </c>
      <c r="M574" s="9"/>
      <c r="N574" s="14">
        <f>Tabela13161718[[#This Row],[Valor_recibo]]</f>
        <v>0</v>
      </c>
      <c r="O574" s="16"/>
      <c r="P574" s="1" t="e">
        <f>VLOOKUP(Tabela13161718[[#This Row],[DT]],Aprovados!A:A,1,0)</f>
        <v>#N/A</v>
      </c>
      <c r="Q574" s="16"/>
      <c r="R574" s="16"/>
      <c r="S574" s="16" t="s">
        <v>315</v>
      </c>
      <c r="T574" s="9"/>
      <c r="U574" s="1" t="s">
        <v>315</v>
      </c>
      <c r="V574" s="11"/>
      <c r="W574" s="232"/>
      <c r="X574" s="304"/>
    </row>
    <row r="575" spans="1:24">
      <c r="W575" s="230"/>
      <c r="X575" s="304"/>
    </row>
    <row r="576" spans="1:24" ht="15" customHeight="1">
      <c r="W576" s="230"/>
      <c r="X576" s="304"/>
    </row>
    <row r="577" spans="10:64" ht="15" customHeight="1">
      <c r="W577" s="230"/>
      <c r="X577" s="304"/>
    </row>
    <row r="578" spans="10:64" ht="15" customHeight="1">
      <c r="W578" s="230"/>
      <c r="X578" s="304"/>
    </row>
    <row r="579" spans="10:64" ht="15" customHeight="1">
      <c r="W579" s="230"/>
      <c r="X579" s="304"/>
    </row>
    <row r="580" spans="10:64" ht="15" customHeight="1">
      <c r="J580" t="s">
        <v>527</v>
      </c>
      <c r="W580" s="230"/>
      <c r="X580" s="304"/>
    </row>
    <row r="581" spans="10:64" ht="15" customHeight="1">
      <c r="W581" s="230"/>
      <c r="X581" s="304"/>
      <c r="BL581" t="s">
        <v>528</v>
      </c>
    </row>
    <row r="582" spans="10:64" ht="15" customHeight="1">
      <c r="X582" s="304"/>
    </row>
    <row r="583" spans="10:64" ht="15" customHeight="1">
      <c r="X583" s="304"/>
    </row>
    <row r="584" spans="10:64" ht="15" customHeight="1">
      <c r="X584" s="304"/>
    </row>
    <row r="585" spans="10:64" ht="15" customHeight="1">
      <c r="X585" s="304"/>
    </row>
    <row r="586" spans="10:64" ht="15" customHeight="1">
      <c r="X586" s="304"/>
    </row>
    <row r="587" spans="10:64" ht="15" customHeight="1">
      <c r="X587" s="304"/>
    </row>
    <row r="588" spans="10:64" ht="15" customHeight="1">
      <c r="X588" s="304"/>
    </row>
    <row r="589" spans="10:64" ht="15" customHeight="1">
      <c r="X589" s="304"/>
    </row>
    <row r="590" spans="10:64" ht="15" customHeight="1">
      <c r="X590" s="304"/>
    </row>
    <row r="591" spans="10:64" ht="15" customHeight="1">
      <c r="X591" s="304"/>
    </row>
    <row r="592" spans="10:64" ht="15" customHeight="1">
      <c r="X592" s="304"/>
    </row>
    <row r="593" spans="24:24" ht="15" customHeight="1">
      <c r="X593" s="304"/>
    </row>
    <row r="594" spans="24:24" ht="15" customHeight="1">
      <c r="X594" s="304"/>
    </row>
    <row r="595" spans="24:24" ht="15" customHeight="1">
      <c r="X595" s="304"/>
    </row>
    <row r="596" spans="24:24" ht="15" customHeight="1">
      <c r="X596" s="304"/>
    </row>
  </sheetData>
  <autoFilter ref="W2" xr:uid="{5608C59C-1D94-4074-A792-35B31458FFA3}"/>
  <conditionalFormatting sqref="A1:A14 A16:A25 A29:A56 A60:A69 A71:A84 A88:A108 A110:A127 A129:A134 A136:A188 A199:A1048576">
    <cfRule type="duplicateValues" dxfId="241" priority="81"/>
  </conditionalFormatting>
  <conditionalFormatting sqref="A15">
    <cfRule type="duplicateValues" dxfId="240" priority="57"/>
  </conditionalFormatting>
  <conditionalFormatting sqref="A26">
    <cfRule type="duplicateValues" dxfId="239" priority="56"/>
  </conditionalFormatting>
  <conditionalFormatting sqref="A27">
    <cfRule type="duplicateValues" dxfId="238" priority="53"/>
  </conditionalFormatting>
  <conditionalFormatting sqref="A28">
    <cfRule type="duplicateValues" dxfId="237" priority="50"/>
  </conditionalFormatting>
  <conditionalFormatting sqref="A57">
    <cfRule type="duplicateValues" dxfId="236" priority="47"/>
  </conditionalFormatting>
  <conditionalFormatting sqref="A58">
    <cfRule type="duplicateValues" dxfId="235" priority="44"/>
  </conditionalFormatting>
  <conditionalFormatting sqref="A59">
    <cfRule type="duplicateValues" dxfId="234" priority="41"/>
  </conditionalFormatting>
  <conditionalFormatting sqref="A70">
    <cfRule type="duplicateValues" dxfId="233" priority="38"/>
  </conditionalFormatting>
  <conditionalFormatting sqref="A85">
    <cfRule type="duplicateValues" dxfId="232" priority="35"/>
  </conditionalFormatting>
  <conditionalFormatting sqref="A86">
    <cfRule type="duplicateValues" dxfId="231" priority="32"/>
  </conditionalFormatting>
  <conditionalFormatting sqref="A87">
    <cfRule type="duplicateValues" dxfId="230" priority="29"/>
  </conditionalFormatting>
  <conditionalFormatting sqref="A109">
    <cfRule type="duplicateValues" dxfId="229" priority="26"/>
  </conditionalFormatting>
  <conditionalFormatting sqref="A128">
    <cfRule type="duplicateValues" dxfId="228" priority="23"/>
  </conditionalFormatting>
  <conditionalFormatting sqref="A557">
    <cfRule type="duplicateValues" dxfId="227" priority="84"/>
  </conditionalFormatting>
  <conditionalFormatting sqref="A560">
    <cfRule type="duplicateValues" dxfId="226" priority="83"/>
  </conditionalFormatting>
  <conditionalFormatting sqref="C571">
    <cfRule type="cellIs" dxfId="225" priority="82" operator="equal">
      <formula>"CANCELADO"</formula>
    </cfRule>
  </conditionalFormatting>
  <conditionalFormatting sqref="F62">
    <cfRule type="duplicateValues" dxfId="224" priority="72"/>
  </conditionalFormatting>
  <conditionalFormatting sqref="K3:K179">
    <cfRule type="cellIs" dxfId="223" priority="11" operator="equal">
      <formula>"LANÇADO"</formula>
    </cfRule>
    <cfRule type="containsText" dxfId="222" priority="13" operator="containsText" text="APROVADO;PENDENTE">
      <formula>NOT(ISERROR(SEARCH("APROVADO;PENDENTE",K3)))</formula>
    </cfRule>
  </conditionalFormatting>
  <conditionalFormatting sqref="K3:K180">
    <cfRule type="cellIs" dxfId="221" priority="14" operator="equal">
      <formula>"LANÇADO"</formula>
    </cfRule>
  </conditionalFormatting>
  <conditionalFormatting sqref="K3:K229">
    <cfRule type="cellIs" dxfId="220" priority="10" operator="equal">
      <formula>"PENDENTE"</formula>
    </cfRule>
  </conditionalFormatting>
  <conditionalFormatting sqref="K180 K222 K225 K234 K240 K243 K245:K247">
    <cfRule type="containsText" dxfId="219" priority="18" operator="containsText" text="APROVADO;PENDENTE">
      <formula>NOT(ISERROR(SEARCH("APROVADO;PENDENTE",K180)))</formula>
    </cfRule>
    <cfRule type="cellIs" dxfId="218" priority="19" operator="equal">
      <formula>"LANÇADO"</formula>
    </cfRule>
  </conditionalFormatting>
  <conditionalFormatting sqref="K181:K221 K223:K224 K226:K229">
    <cfRule type="cellIs" dxfId="217" priority="6" operator="equal">
      <formula>"LANÇADO"</formula>
    </cfRule>
    <cfRule type="containsText" dxfId="216" priority="8" operator="containsText" text="APROVADO;PENDENTE">
      <formula>NOT(ISERROR(SEARCH("APROVADO;PENDENTE",K181)))</formula>
    </cfRule>
  </conditionalFormatting>
  <conditionalFormatting sqref="K181:K229">
    <cfRule type="cellIs" dxfId="215" priority="9" operator="equal">
      <formula>"LANÇADO"</formula>
    </cfRule>
  </conditionalFormatting>
  <conditionalFormatting sqref="K231:K233 K235:K239 K241:K242 K244 K248:K251">
    <cfRule type="cellIs" dxfId="214" priority="1" operator="equal">
      <formula>"LANÇADO"</formula>
    </cfRule>
    <cfRule type="containsText" dxfId="213" priority="3" operator="containsText" text="APROVADO;PENDENTE">
      <formula>NOT(ISERROR(SEARCH("APROVADO;PENDENTE",K231)))</formula>
    </cfRule>
  </conditionalFormatting>
  <conditionalFormatting sqref="K231:K251">
    <cfRule type="cellIs" dxfId="212" priority="4" operator="equal">
      <formula>"LANÇADO"</formula>
    </cfRule>
    <cfRule type="cellIs" dxfId="211" priority="5" operator="equal">
      <formula>"PENDENTE"</formula>
    </cfRule>
  </conditionalFormatting>
  <conditionalFormatting sqref="L3:M3 M4:M89 L4:L574 M91:M228 W129:W574 L229:M574">
    <cfRule type="cellIs" dxfId="210" priority="85" operator="equal">
      <formula>"LANÇADO"</formula>
    </cfRule>
    <cfRule type="cellIs" dxfId="209" priority="86" operator="equal">
      <formula>"PENDENTE"</formula>
    </cfRule>
  </conditionalFormatting>
  <conditionalFormatting sqref="O3:T3 S4:T295 O296:T1048576 O1:P1 O2 O4:R61 V29:V41 V44:V56 V60:V68 O62:P62 R62 O63:R68 O69:P69 R69 V70:V84 O70:R295 V88:V90 V92:V108 V110:V127 V129:V186 V188:V573">
    <cfRule type="cellIs" dxfId="208" priority="87" operator="lessThan">
      <formula>0</formula>
    </cfRule>
  </conditionalFormatting>
  <conditionalFormatting sqref="S3:S574">
    <cfRule type="containsText" dxfId="207" priority="75" operator="containsText" text="RECEBIDO">
      <formula>NOT(ISERROR(SEARCH("RECEBIDO",S3)))</formula>
    </cfRule>
    <cfRule type="containsText" dxfId="206" priority="76" operator="containsText" text="PENDENTE">
      <formula>NOT(ISERROR(SEARCH("PENDENTE",S3)))</formula>
    </cfRule>
  </conditionalFormatting>
  <conditionalFormatting sqref="T49">
    <cfRule type="cellIs" dxfId="205" priority="77" operator="equal">
      <formula>"LANÇADO"</formula>
    </cfRule>
    <cfRule type="cellIs" dxfId="204" priority="78" operator="equal">
      <formula>"PENDENTE"</formula>
    </cfRule>
  </conditionalFormatting>
  <conditionalFormatting sqref="T57">
    <cfRule type="cellIs" dxfId="203" priority="70" operator="equal">
      <formula>"LANÇADO"</formula>
    </cfRule>
    <cfRule type="cellIs" dxfId="202" priority="71" operator="equal">
      <formula>"PENDENTE"</formula>
    </cfRule>
  </conditionalFormatting>
  <conditionalFormatting sqref="T62">
    <cfRule type="cellIs" dxfId="201" priority="79" operator="equal">
      <formula>"LANÇADO"</formula>
    </cfRule>
    <cfRule type="cellIs" dxfId="200" priority="80" operator="equal">
      <formula>"PENDENTE"</formula>
    </cfRule>
  </conditionalFormatting>
  <conditionalFormatting sqref="T69">
    <cfRule type="cellIs" dxfId="199" priority="62" operator="equal">
      <formula>"LANÇADO"</formula>
    </cfRule>
    <cfRule type="cellIs" dxfId="198" priority="63" operator="equal">
      <formula>"PENDENTE"</formula>
    </cfRule>
  </conditionalFormatting>
  <conditionalFormatting sqref="U3:U574 V574">
    <cfRule type="cellIs" dxfId="197" priority="68" operator="equal">
      <formula>"LANÇADO"</formula>
    </cfRule>
    <cfRule type="cellIs" dxfId="196" priority="69" operator="equal">
      <formula>"PENDENTE"</formula>
    </cfRule>
  </conditionalFormatting>
  <conditionalFormatting sqref="V3:V25">
    <cfRule type="cellIs" dxfId="195" priority="58" operator="lessThan">
      <formula>0</formula>
    </cfRule>
  </conditionalFormatting>
  <conditionalFormatting sqref="V26">
    <cfRule type="cellIs" dxfId="194" priority="54" operator="equal">
      <formula>"LANÇADO"</formula>
    </cfRule>
    <cfRule type="cellIs" dxfId="193" priority="55" operator="equal">
      <formula>"PENDENTE"</formula>
    </cfRule>
  </conditionalFormatting>
  <conditionalFormatting sqref="V27:W28">
    <cfRule type="cellIs" dxfId="192" priority="48" operator="equal">
      <formula>"LANÇADO"</formula>
    </cfRule>
    <cfRule type="cellIs" dxfId="191" priority="49" operator="equal">
      <formula>"PENDENTE"</formula>
    </cfRule>
  </conditionalFormatting>
  <conditionalFormatting sqref="V57:W59">
    <cfRule type="cellIs" dxfId="190" priority="39" operator="equal">
      <formula>"LANÇADO"</formula>
    </cfRule>
    <cfRule type="cellIs" dxfId="189" priority="40" operator="equal">
      <formula>"PENDENTE"</formula>
    </cfRule>
  </conditionalFormatting>
  <conditionalFormatting sqref="V69:W69">
    <cfRule type="cellIs" dxfId="188" priority="36" operator="equal">
      <formula>"LANÇADO"</formula>
    </cfRule>
    <cfRule type="cellIs" dxfId="187" priority="37" operator="equal">
      <formula>"PENDENTE"</formula>
    </cfRule>
  </conditionalFormatting>
  <conditionalFormatting sqref="V85:W87">
    <cfRule type="cellIs" dxfId="186" priority="27" operator="equal">
      <formula>"LANÇADO"</formula>
    </cfRule>
    <cfRule type="cellIs" dxfId="185" priority="28" operator="equal">
      <formula>"PENDENTE"</formula>
    </cfRule>
  </conditionalFormatting>
  <conditionalFormatting sqref="V109:W109">
    <cfRule type="cellIs" dxfId="184" priority="24" operator="equal">
      <formula>"LANÇADO"</formula>
    </cfRule>
    <cfRule type="cellIs" dxfId="183" priority="25" operator="equal">
      <formula>"PENDENTE"</formula>
    </cfRule>
  </conditionalFormatting>
  <conditionalFormatting sqref="V128:W128">
    <cfRule type="cellIs" dxfId="182" priority="21" operator="equal">
      <formula>"LANÇADO"</formula>
    </cfRule>
    <cfRule type="cellIs" dxfId="181" priority="22" operator="equal">
      <formula>"PENDENTE"</formula>
    </cfRule>
  </conditionalFormatting>
  <conditionalFormatting sqref="W3:W26 W29:W56">
    <cfRule type="cellIs" dxfId="180" priority="59" operator="lessThan">
      <formula>0</formula>
    </cfRule>
  </conditionalFormatting>
  <conditionalFormatting sqref="W60:W68 W70:W84 W88:W108 W110:W127">
    <cfRule type="cellIs" dxfId="179" priority="66" operator="equal">
      <formula>"LANÇADO"</formula>
    </cfRule>
    <cfRule type="cellIs" dxfId="178" priority="67" operator="equal">
      <formula>"PENDENTE"</formula>
    </cfRule>
  </conditionalFormatting>
  <dataValidations count="6">
    <dataValidation type="list" allowBlank="1" showInputMessage="1" showErrorMessage="1" sqref="S3:S574" xr:uid="{B6039DE9-2F30-435B-9639-3562E6F099E8}">
      <formula1>"PENDENTE,RECEBIDO"</formula1>
    </dataValidation>
    <dataValidation allowBlank="1" showInputMessage="1" showErrorMessage="1" sqref="W27:W28 W1:W2 V59 V26:V28 V57:W58 V69 V85:V87 E88 V109 V128 E129 E135 E155:E156 M1:M89 E182:E198 E236 E251 M91:M1048576 W59:W581" xr:uid="{97CC51E4-C00A-499F-9607-F81CDBF685AE}"/>
    <dataValidation type="list" allowBlank="1" showInputMessage="1" showErrorMessage="1" sqref="U574:V574 L3:L574 U3:U573" xr:uid="{29CF70F4-8C14-4BB8-A84F-D415D365E400}">
      <formula1>"LANÇADO,PENDENTE"</formula1>
    </dataValidation>
    <dataValidation type="list" allowBlank="1" showInputMessage="1" showErrorMessage="1" sqref="J3:J411" xr:uid="{CFD9642A-5EAE-4779-B937-BC6A2C9A58FA}">
      <formula1>"PENDENTE,OK"</formula1>
    </dataValidation>
    <dataValidation type="list" allowBlank="1" showInputMessage="1" showErrorMessage="1" sqref="K230 K252:K411" xr:uid="{C9948395-CAE3-46E2-8BC0-4BD5815FF0B1}">
      <formula1>"PENDENTE,ANEXADO"</formula1>
    </dataValidation>
    <dataValidation type="list" allowBlank="1" showInputMessage="1" showErrorMessage="1" sqref="K3:K229 K231:K251" xr:uid="{B22F5562-F387-455C-9F3F-31953DC1BBE1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E4E1-9C0B-4E28-9A48-A0C7E53FCBEA}">
  <dimension ref="A1:BL596"/>
  <sheetViews>
    <sheetView showGridLines="0" topLeftCell="O1" zoomScale="70" zoomScaleNormal="70" workbookViewId="0">
      <pane ySplit="2" topLeftCell="A3" activePane="bottomLeft" state="frozen"/>
      <selection pane="bottomLeft" activeCell="T461" sqref="T461"/>
    </sheetView>
  </sheetViews>
  <sheetFormatPr defaultColWidth="9.140625" defaultRowHeight="15" customHeight="1"/>
  <cols>
    <col min="1" max="1" width="9.140625" customWidth="1"/>
    <col min="2" max="2" width="20.85546875" customWidth="1"/>
    <col min="3" max="3" width="34.85546875" customWidth="1"/>
    <col min="4" max="4" width="45.28515625" customWidth="1"/>
    <col min="5" max="5" width="19.85546875" customWidth="1"/>
    <col min="6" max="6" width="93.28515625" customWidth="1"/>
    <col min="7" max="7" width="22.5703125" style="10" customWidth="1"/>
    <col min="8" max="8" width="19.140625" style="10" customWidth="1"/>
    <col min="9" max="9" width="13.42578125" style="12" customWidth="1"/>
    <col min="10" max="10" width="15" customWidth="1"/>
    <col min="11" max="11" width="23.5703125" customWidth="1"/>
    <col min="12" max="12" width="18.28515625" customWidth="1"/>
    <col min="13" max="13" width="25.7109375" style="10" customWidth="1"/>
    <col min="14" max="14" width="16.5703125" style="15" customWidth="1"/>
    <col min="15" max="16" width="26" customWidth="1"/>
    <col min="17" max="17" width="9.140625" style="1" customWidth="1"/>
    <col min="18" max="18" width="17.85546875" style="1" customWidth="1"/>
    <col min="19" max="19" width="21.5703125" customWidth="1"/>
    <col min="20" max="20" width="21.5703125" style="10" customWidth="1"/>
    <col min="21" max="21" width="17.28515625" customWidth="1"/>
    <col min="22" max="22" width="18.5703125" style="12" customWidth="1"/>
    <col min="23" max="23" width="19.7109375" style="233" customWidth="1"/>
    <col min="24" max="24" width="35.140625" bestFit="1" customWidth="1"/>
  </cols>
  <sheetData>
    <row r="1" spans="1:24">
      <c r="G1"/>
      <c r="K1" s="279">
        <f>SUBTOTAL(9,Tabela1316171819[Valor_recibo])</f>
        <v>0</v>
      </c>
      <c r="N1" s="15">
        <f>SUBTOTAL(9,Tabela1316171819[Match_Planilha])</f>
        <v>0</v>
      </c>
      <c r="O1" s="15">
        <f>SUBTOTAL(9,O3:O570)</f>
        <v>0</v>
      </c>
      <c r="P1" s="275"/>
      <c r="Q1" s="224"/>
      <c r="R1" s="224">
        <f>SUBTOTAL(9,R3:R189)</f>
        <v>0</v>
      </c>
      <c r="S1" s="224" t="s">
        <v>372</v>
      </c>
      <c r="T1" s="227"/>
      <c r="V1" s="279">
        <f>SUM(Tabela1316171819[[Valor ]])</f>
        <v>0</v>
      </c>
      <c r="W1" s="230"/>
    </row>
    <row r="2" spans="1:24" ht="20.25" customHeight="1">
      <c r="A2" s="18" t="s">
        <v>0</v>
      </c>
      <c r="B2" s="19" t="s">
        <v>1</v>
      </c>
      <c r="C2" s="19" t="s">
        <v>3</v>
      </c>
      <c r="D2" s="19" t="s">
        <v>316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529</v>
      </c>
      <c r="W2" s="231" t="s">
        <v>317</v>
      </c>
      <c r="X2" s="299" t="s">
        <v>15</v>
      </c>
    </row>
    <row r="3" spans="1:24" ht="15.75">
      <c r="A3" s="6"/>
      <c r="B3" s="7"/>
      <c r="C3" s="6"/>
      <c r="D3" s="6"/>
      <c r="E3" s="6"/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>
        <f>Tabela1316171819[[#This Row],[Valor_recibo]]</f>
        <v>0</v>
      </c>
      <c r="O3" s="16"/>
      <c r="P3" s="1" t="e">
        <f>VLOOKUP(Tabela1316171819[[#This Row],[DT]],Aprovados!A:A,1,0)</f>
        <v>#N/A</v>
      </c>
      <c r="Q3" s="16"/>
      <c r="R3" s="16"/>
      <c r="S3" s="16"/>
      <c r="T3" s="9"/>
      <c r="U3" s="1" t="s">
        <v>315</v>
      </c>
      <c r="V3" s="11"/>
      <c r="W3" s="239"/>
      <c r="X3" s="304"/>
    </row>
    <row r="4" spans="1:24" ht="15.75">
      <c r="A4" s="6"/>
      <c r="B4" s="7"/>
      <c r="C4" s="6"/>
      <c r="D4" s="6"/>
      <c r="E4" s="6"/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>
        <f>Tabela1316171819[[#This Row],[Valor_recibo]]</f>
        <v>0</v>
      </c>
      <c r="O4" s="16"/>
      <c r="P4" s="1" t="e">
        <f>VLOOKUP(Tabela1316171819[[#This Row],[DT]],Aprovados!A:A,1,0)</f>
        <v>#N/A</v>
      </c>
      <c r="Q4" s="16"/>
      <c r="R4" s="16"/>
      <c r="S4" s="16"/>
      <c r="T4" s="9"/>
      <c r="U4" s="1" t="s">
        <v>315</v>
      </c>
      <c r="V4" s="11"/>
      <c r="W4" s="239"/>
      <c r="X4" s="304"/>
    </row>
    <row r="5" spans="1:24" ht="15.75">
      <c r="A5" s="6"/>
      <c r="B5" s="7"/>
      <c r="C5" s="6"/>
      <c r="D5" s="6"/>
      <c r="E5" s="6"/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>
        <f>Tabela1316171819[[#This Row],[Valor_recibo]]</f>
        <v>0</v>
      </c>
      <c r="O5" s="16"/>
      <c r="P5" s="1" t="e">
        <f>VLOOKUP(Tabela1316171819[[#This Row],[DT]],Aprovados!A:A,1,0)</f>
        <v>#N/A</v>
      </c>
      <c r="Q5" s="16"/>
      <c r="R5" s="16"/>
      <c r="S5" s="16"/>
      <c r="T5" s="9"/>
      <c r="U5" s="1" t="s">
        <v>315</v>
      </c>
      <c r="V5" s="11"/>
      <c r="W5" s="239"/>
      <c r="X5" s="304"/>
    </row>
    <row r="6" spans="1:24" ht="15.75">
      <c r="A6" s="6"/>
      <c r="B6" s="7"/>
      <c r="C6" s="6"/>
      <c r="D6" s="6"/>
      <c r="E6" s="6"/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>
        <f>Tabela1316171819[[#This Row],[Valor_recibo]]</f>
        <v>0</v>
      </c>
      <c r="O6" s="16"/>
      <c r="P6" s="1" t="e">
        <f>VLOOKUP(Tabela1316171819[[#This Row],[DT]],Aprovados!A:A,1,0)</f>
        <v>#N/A</v>
      </c>
      <c r="Q6" s="16"/>
      <c r="R6" s="16"/>
      <c r="S6" s="16"/>
      <c r="T6" s="9"/>
      <c r="U6" s="1" t="s">
        <v>315</v>
      </c>
      <c r="V6" s="11"/>
      <c r="W6" s="239"/>
      <c r="X6" s="304"/>
    </row>
    <row r="7" spans="1:24" ht="15.75">
      <c r="A7" s="6"/>
      <c r="B7" s="7"/>
      <c r="C7" s="6"/>
      <c r="D7" s="6"/>
      <c r="E7" s="6"/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>
        <f>Tabela1316171819[[#This Row],[Valor_recibo]]</f>
        <v>0</v>
      </c>
      <c r="O7" s="16"/>
      <c r="P7" s="1" t="e">
        <f>VLOOKUP(Tabela1316171819[[#This Row],[DT]],Aprovados!A:A,1,0)</f>
        <v>#N/A</v>
      </c>
      <c r="Q7" s="16"/>
      <c r="R7" s="16"/>
      <c r="S7" s="16"/>
      <c r="T7" s="9"/>
      <c r="U7" s="1" t="s">
        <v>315</v>
      </c>
      <c r="V7" s="11"/>
      <c r="W7" s="239"/>
      <c r="X7" s="304"/>
    </row>
    <row r="8" spans="1:24" ht="15.75">
      <c r="A8" s="6"/>
      <c r="B8" s="7"/>
      <c r="C8" s="6"/>
      <c r="D8" s="6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>
        <f>Tabela1316171819[[#This Row],[Valor_recibo]]</f>
        <v>0</v>
      </c>
      <c r="O8" s="16"/>
      <c r="P8" s="1" t="e">
        <f>VLOOKUP(Tabela1316171819[[#This Row],[DT]],Aprovados!A:A,1,0)</f>
        <v>#N/A</v>
      </c>
      <c r="Q8" s="16"/>
      <c r="R8" s="16"/>
      <c r="S8" s="16"/>
      <c r="T8" s="9"/>
      <c r="U8" s="1" t="s">
        <v>315</v>
      </c>
      <c r="V8" s="11"/>
      <c r="W8" s="239"/>
      <c r="X8" s="304"/>
    </row>
    <row r="9" spans="1:24" ht="15.75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>
        <f>Tabela1316171819[[#This Row],[Valor_recibo]]</f>
        <v>0</v>
      </c>
      <c r="O9" s="16"/>
      <c r="P9" s="1" t="e">
        <f>VLOOKUP(Tabela1316171819[[#This Row],[DT]],Aprovados!A:A,1,0)</f>
        <v>#N/A</v>
      </c>
      <c r="Q9" s="16"/>
      <c r="R9" s="16"/>
      <c r="S9" s="16"/>
      <c r="T9" s="9"/>
      <c r="U9" s="1" t="s">
        <v>315</v>
      </c>
      <c r="V9" s="11"/>
      <c r="W9" s="239"/>
      <c r="X9" s="304"/>
    </row>
    <row r="10" spans="1:24" ht="15.75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>
        <f>Tabela1316171819[[#This Row],[Valor_recibo]]</f>
        <v>0</v>
      </c>
      <c r="O10" s="16"/>
      <c r="P10" s="1" t="e">
        <f>VLOOKUP(Tabela1316171819[[#This Row],[DT]],Aprovados!A:A,1,0)</f>
        <v>#N/A</v>
      </c>
      <c r="Q10" s="16"/>
      <c r="R10" s="16"/>
      <c r="S10" s="16"/>
      <c r="T10" s="9"/>
      <c r="U10" s="1" t="s">
        <v>315</v>
      </c>
      <c r="V10" s="11"/>
      <c r="W10" s="239"/>
      <c r="X10" s="304"/>
    </row>
    <row r="11" spans="1:24" ht="15.75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>
        <f>Tabela1316171819[[#This Row],[Valor_recibo]]</f>
        <v>0</v>
      </c>
      <c r="O11" s="16"/>
      <c r="P11" s="1" t="e">
        <f>VLOOKUP(Tabela1316171819[[#This Row],[DT]],Aprovados!A:A,1,0)</f>
        <v>#N/A</v>
      </c>
      <c r="Q11" s="16"/>
      <c r="R11" s="16"/>
      <c r="S11" s="16"/>
      <c r="T11" s="9"/>
      <c r="U11" s="1" t="s">
        <v>315</v>
      </c>
      <c r="V11" s="11"/>
      <c r="W11" s="239"/>
      <c r="X11" s="304"/>
    </row>
    <row r="12" spans="1:24" ht="15.75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>
        <f>Tabela1316171819[[#This Row],[Valor_recibo]]</f>
        <v>0</v>
      </c>
      <c r="O12" s="16"/>
      <c r="P12" s="1" t="e">
        <f>VLOOKUP(Tabela1316171819[[#This Row],[DT]],Aprovados!A:A,1,0)</f>
        <v>#N/A</v>
      </c>
      <c r="Q12" s="16"/>
      <c r="R12" s="16"/>
      <c r="S12" s="16"/>
      <c r="T12" s="9"/>
      <c r="U12" s="1" t="s">
        <v>315</v>
      </c>
      <c r="V12" s="11"/>
      <c r="W12" s="239"/>
      <c r="X12" s="304"/>
    </row>
    <row r="13" spans="1:24" ht="15.75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>
        <f>Tabela1316171819[[#This Row],[Valor_recibo]]</f>
        <v>0</v>
      </c>
      <c r="O13" s="16"/>
      <c r="P13" s="1" t="e">
        <f>VLOOKUP(Tabela1316171819[[#This Row],[DT]],Aprovados!A:A,1,0)</f>
        <v>#N/A</v>
      </c>
      <c r="Q13" s="16"/>
      <c r="R13" s="16"/>
      <c r="S13" s="16"/>
      <c r="T13" s="9"/>
      <c r="U13" s="1" t="s">
        <v>315</v>
      </c>
      <c r="V13" s="11"/>
      <c r="W13" s="239"/>
      <c r="X13" s="304"/>
    </row>
    <row r="14" spans="1:24" ht="15.75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>
        <f>Tabela1316171819[[#This Row],[Valor_recibo]]</f>
        <v>0</v>
      </c>
      <c r="O14" s="16"/>
      <c r="P14" s="1" t="e">
        <f>VLOOKUP(Tabela1316171819[[#This Row],[DT]],Aprovados!A:A,1,0)</f>
        <v>#N/A</v>
      </c>
      <c r="Q14" s="16"/>
      <c r="R14" s="16"/>
      <c r="S14" s="16"/>
      <c r="T14" s="9"/>
      <c r="U14" s="1" t="s">
        <v>315</v>
      </c>
      <c r="V14" s="11"/>
      <c r="W14" s="239"/>
      <c r="X14" s="304"/>
    </row>
    <row r="15" spans="1:24" ht="15.75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>
        <f>Tabela1316171819[[#This Row],[Valor_recibo]]</f>
        <v>0</v>
      </c>
      <c r="O15" s="16"/>
      <c r="P15" s="1" t="e">
        <f>VLOOKUP(Tabela1316171819[[#This Row],[DT]],Aprovados!A:A,1,0)</f>
        <v>#N/A</v>
      </c>
      <c r="Q15" s="16"/>
      <c r="R15" s="16"/>
      <c r="S15" s="16"/>
      <c r="T15" s="9"/>
      <c r="U15" s="1" t="s">
        <v>315</v>
      </c>
      <c r="V15" s="11"/>
      <c r="W15" s="239"/>
      <c r="X15" s="304"/>
    </row>
    <row r="16" spans="1:24" ht="15.75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>
        <f>Tabela1316171819[[#This Row],[Valor_recibo]]</f>
        <v>0</v>
      </c>
      <c r="O16" s="16"/>
      <c r="P16" s="1" t="e">
        <f>VLOOKUP(Tabela1316171819[[#This Row],[DT]],Aprovados!A:A,1,0)</f>
        <v>#N/A</v>
      </c>
      <c r="Q16" s="16"/>
      <c r="R16" s="16"/>
      <c r="S16" s="16"/>
      <c r="T16" s="9"/>
      <c r="U16" s="1" t="s">
        <v>315</v>
      </c>
      <c r="V16" s="11"/>
      <c r="W16" s="239"/>
      <c r="X16" s="304"/>
    </row>
    <row r="17" spans="1:24" ht="15.75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>
        <f>Tabela1316171819[[#This Row],[Valor_recibo]]</f>
        <v>0</v>
      </c>
      <c r="O17" s="16"/>
      <c r="P17" s="1" t="e">
        <f>VLOOKUP(Tabela1316171819[[#This Row],[DT]],Aprovados!A:A,1,0)</f>
        <v>#N/A</v>
      </c>
      <c r="Q17" s="16"/>
      <c r="R17" s="16"/>
      <c r="S17" s="16"/>
      <c r="T17" s="9"/>
      <c r="U17" s="1" t="s">
        <v>315</v>
      </c>
      <c r="V17" s="11"/>
      <c r="W17" s="232"/>
      <c r="X17" s="304"/>
    </row>
    <row r="18" spans="1:24" ht="15.75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>
        <f>Tabela1316171819[[#This Row],[Valor_recibo]]</f>
        <v>0</v>
      </c>
      <c r="O18" s="16"/>
      <c r="P18" s="1" t="e">
        <f>VLOOKUP(Tabela1316171819[[#This Row],[DT]],Aprovados!A:A,1,0)</f>
        <v>#N/A</v>
      </c>
      <c r="Q18" s="16"/>
      <c r="R18" s="16"/>
      <c r="S18" s="16"/>
      <c r="T18" s="9"/>
      <c r="U18" s="1" t="s">
        <v>315</v>
      </c>
      <c r="V18" s="11"/>
      <c r="W18" s="232"/>
      <c r="X18" s="304"/>
    </row>
    <row r="19" spans="1:24" ht="15.75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>
        <f>Tabela1316171819[[#This Row],[Valor_recibo]]</f>
        <v>0</v>
      </c>
      <c r="O19" s="16"/>
      <c r="P19" s="1" t="e">
        <f>VLOOKUP(Tabela1316171819[[#This Row],[DT]],Aprovados!A:A,1,0)</f>
        <v>#N/A</v>
      </c>
      <c r="Q19" s="16"/>
      <c r="R19" s="16"/>
      <c r="S19" s="16"/>
      <c r="T19" s="9"/>
      <c r="U19" s="1" t="s">
        <v>315</v>
      </c>
      <c r="V19" s="11"/>
      <c r="W19" s="232"/>
      <c r="X19" s="304"/>
    </row>
    <row r="20" spans="1:24" ht="15.75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>
        <f>Tabela1316171819[[#This Row],[Valor_recibo]]</f>
        <v>0</v>
      </c>
      <c r="O20" s="16"/>
      <c r="P20" s="1" t="e">
        <f>VLOOKUP(Tabela1316171819[[#This Row],[DT]],Aprovados!A:A,1,0)</f>
        <v>#N/A</v>
      </c>
      <c r="Q20" s="16"/>
      <c r="R20" s="16"/>
      <c r="S20" s="16"/>
      <c r="T20" s="9"/>
      <c r="U20" s="1" t="s">
        <v>315</v>
      </c>
      <c r="V20" s="11"/>
      <c r="W20" s="232"/>
      <c r="X20" s="304"/>
    </row>
    <row r="21" spans="1:24" ht="15.75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>
        <f>Tabela1316171819[[#This Row],[Valor_recibo]]</f>
        <v>0</v>
      </c>
      <c r="O21" s="16"/>
      <c r="P21" s="1" t="e">
        <f>VLOOKUP(Tabela1316171819[[#This Row],[DT]],Aprovados!A:A,1,0)</f>
        <v>#N/A</v>
      </c>
      <c r="Q21" s="16"/>
      <c r="R21" s="16"/>
      <c r="S21" s="16"/>
      <c r="T21" s="9"/>
      <c r="U21" s="1" t="s">
        <v>315</v>
      </c>
      <c r="V21" s="11"/>
      <c r="W21" s="232"/>
      <c r="X21" s="304"/>
    </row>
    <row r="22" spans="1:24" ht="15.75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>
        <f>Tabela1316171819[[#This Row],[Valor_recibo]]</f>
        <v>0</v>
      </c>
      <c r="O22" s="16"/>
      <c r="P22" s="1" t="e">
        <f>VLOOKUP(Tabela1316171819[[#This Row],[DT]],Aprovados!A:A,1,0)</f>
        <v>#N/A</v>
      </c>
      <c r="Q22" s="16"/>
      <c r="R22" s="16"/>
      <c r="S22" s="16"/>
      <c r="T22" s="9"/>
      <c r="U22" s="1" t="s">
        <v>315</v>
      </c>
      <c r="V22" s="11"/>
      <c r="W22" s="232"/>
      <c r="X22" s="304"/>
    </row>
    <row r="23" spans="1:24" ht="15.75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>
        <f>Tabela1316171819[[#This Row],[Valor_recibo]]</f>
        <v>0</v>
      </c>
      <c r="O23" s="16"/>
      <c r="P23" s="1" t="e">
        <f>VLOOKUP(Tabela1316171819[[#This Row],[DT]],Aprovados!A:A,1,0)</f>
        <v>#N/A</v>
      </c>
      <c r="Q23" s="16"/>
      <c r="R23" s="16"/>
      <c r="S23" s="16"/>
      <c r="T23" s="9"/>
      <c r="U23" s="1" t="s">
        <v>315</v>
      </c>
      <c r="V23" s="11"/>
      <c r="W23" s="232"/>
      <c r="X23" s="304"/>
    </row>
    <row r="24" spans="1:24" ht="15.75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>
        <f>Tabela1316171819[[#This Row],[Valor_recibo]]</f>
        <v>0</v>
      </c>
      <c r="O24" s="16"/>
      <c r="P24" s="1" t="e">
        <f>VLOOKUP(Tabela1316171819[[#This Row],[DT]],Aprovados!A:A,1,0)</f>
        <v>#N/A</v>
      </c>
      <c r="Q24" s="16"/>
      <c r="R24" s="16"/>
      <c r="S24" s="16"/>
      <c r="T24" s="9"/>
      <c r="U24" s="1" t="s">
        <v>315</v>
      </c>
      <c r="V24" s="11"/>
      <c r="W24" s="232"/>
      <c r="X24" s="304"/>
    </row>
    <row r="25" spans="1:24" ht="15.75">
      <c r="A25" s="6"/>
      <c r="B25" s="7"/>
      <c r="C25" s="6"/>
      <c r="D25" s="6"/>
      <c r="E25" s="6"/>
      <c r="F25" s="1"/>
      <c r="G25" s="9"/>
      <c r="H25" s="9"/>
      <c r="I25" s="11"/>
      <c r="J25" s="1"/>
      <c r="K25" s="205" t="s">
        <v>315</v>
      </c>
      <c r="L25" s="1" t="s">
        <v>315</v>
      </c>
      <c r="M25" s="9"/>
      <c r="N25" s="14">
        <f>Tabela1316171819[[#This Row],[Valor_recibo]]</f>
        <v>0</v>
      </c>
      <c r="O25" s="16"/>
      <c r="P25" s="1" t="e">
        <f>VLOOKUP(Tabela1316171819[[#This Row],[DT]],Aprovados!A:A,1,0)</f>
        <v>#N/A</v>
      </c>
      <c r="Q25" s="16"/>
      <c r="R25" s="16"/>
      <c r="S25" s="16"/>
      <c r="T25" s="9"/>
      <c r="U25" s="1" t="s">
        <v>315</v>
      </c>
      <c r="V25" s="11"/>
      <c r="W25" s="239"/>
      <c r="X25" s="304"/>
    </row>
    <row r="26" spans="1:24" ht="15.75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>
        <f>Tabela1316171819[[#This Row],[Valor_recibo]]</f>
        <v>0</v>
      </c>
      <c r="O26" s="16"/>
      <c r="P26" s="1" t="e">
        <f>VLOOKUP(Tabela1316171819[[#This Row],[DT]],Aprovados!A:A,1,0)</f>
        <v>#N/A</v>
      </c>
      <c r="Q26" s="16"/>
      <c r="R26" s="16"/>
      <c r="S26" s="16"/>
      <c r="T26" s="9"/>
      <c r="U26" s="1" t="s">
        <v>315</v>
      </c>
      <c r="V26" s="11"/>
      <c r="W26" s="239"/>
      <c r="X26" s="304"/>
    </row>
    <row r="27" spans="1:24" ht="15.75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>
        <f>Tabela1316171819[[#This Row],[Valor_recibo]]</f>
        <v>0</v>
      </c>
      <c r="O27" s="16"/>
      <c r="P27" s="1" t="e">
        <f>VLOOKUP(Tabela1316171819[[#This Row],[DT]],Aprovados!A:A,1,0)</f>
        <v>#N/A</v>
      </c>
      <c r="Q27" s="16"/>
      <c r="R27" s="16"/>
      <c r="S27" s="16"/>
      <c r="T27" s="9"/>
      <c r="U27" s="1" t="s">
        <v>315</v>
      </c>
      <c r="V27" s="11"/>
      <c r="W27" s="239"/>
      <c r="X27" s="304"/>
    </row>
    <row r="28" spans="1:24" ht="15.75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>
        <f>Tabela1316171819[[#This Row],[Valor_recibo]]</f>
        <v>0</v>
      </c>
      <c r="O28" s="16"/>
      <c r="P28" s="1" t="e">
        <f>VLOOKUP(Tabela1316171819[[#This Row],[DT]],Aprovados!A:A,1,0)</f>
        <v>#N/A</v>
      </c>
      <c r="Q28" s="16"/>
      <c r="R28" s="16"/>
      <c r="S28" s="16"/>
      <c r="T28" s="9"/>
      <c r="U28" s="1" t="s">
        <v>315</v>
      </c>
      <c r="V28" s="11"/>
      <c r="W28" s="239"/>
      <c r="X28" s="304"/>
    </row>
    <row r="29" spans="1:24" ht="15.75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>
        <f>Tabela1316171819[[#This Row],[Valor_recibo]]</f>
        <v>0</v>
      </c>
      <c r="O29" s="16"/>
      <c r="P29" s="1" t="e">
        <f>VLOOKUP(Tabela1316171819[[#This Row],[DT]],Aprovados!A:A,1,0)</f>
        <v>#N/A</v>
      </c>
      <c r="Q29" s="16"/>
      <c r="R29" s="16"/>
      <c r="S29" s="16"/>
      <c r="T29" s="9"/>
      <c r="U29" s="1" t="s">
        <v>315</v>
      </c>
      <c r="V29" s="11"/>
      <c r="W29" s="239"/>
      <c r="X29" s="304"/>
    </row>
    <row r="30" spans="1:24" ht="15.75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>
        <f>Tabela1316171819[[#This Row],[Valor_recibo]]</f>
        <v>0</v>
      </c>
      <c r="O30" s="16"/>
      <c r="P30" s="1" t="e">
        <f>VLOOKUP(Tabela1316171819[[#This Row],[DT]],Aprovados!A:A,1,0)</f>
        <v>#N/A</v>
      </c>
      <c r="Q30" s="16"/>
      <c r="R30" s="16"/>
      <c r="S30" s="16"/>
      <c r="T30" s="9"/>
      <c r="U30" s="1" t="s">
        <v>315</v>
      </c>
      <c r="V30" s="11"/>
      <c r="W30" s="239"/>
      <c r="X30" s="304"/>
    </row>
    <row r="31" spans="1:24" ht="15.75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>
        <f>Tabela1316171819[[#This Row],[Valor_recibo]]</f>
        <v>0</v>
      </c>
      <c r="O31" s="16"/>
      <c r="P31" s="1" t="e">
        <f>VLOOKUP(Tabela1316171819[[#This Row],[DT]],Aprovados!A:A,1,0)</f>
        <v>#N/A</v>
      </c>
      <c r="Q31" s="16"/>
      <c r="R31" s="16"/>
      <c r="S31" s="16"/>
      <c r="T31" s="9"/>
      <c r="U31" s="1" t="s">
        <v>315</v>
      </c>
      <c r="V31" s="11"/>
      <c r="W31" s="239"/>
      <c r="X31" s="304"/>
    </row>
    <row r="32" spans="1:24" ht="15.75">
      <c r="A32" s="6"/>
      <c r="B32" s="7"/>
      <c r="C32" s="6"/>
      <c r="D32" s="6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>
        <f>Tabela1316171819[[#This Row],[Valor_recibo]]</f>
        <v>0</v>
      </c>
      <c r="O32" s="16"/>
      <c r="P32" s="1" t="e">
        <f>VLOOKUP(Tabela1316171819[[#This Row],[DT]],Aprovados!A:A,1,0)</f>
        <v>#N/A</v>
      </c>
      <c r="Q32" s="16"/>
      <c r="R32" s="16"/>
      <c r="S32" s="16"/>
      <c r="T32" s="9"/>
      <c r="U32" s="1" t="s">
        <v>315</v>
      </c>
      <c r="V32" s="11"/>
      <c r="W32" s="239"/>
      <c r="X32" s="304"/>
    </row>
    <row r="33" spans="1:24" ht="15.75">
      <c r="A33" s="6"/>
      <c r="B33" s="7"/>
      <c r="C33" s="6"/>
      <c r="D33" s="6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>
        <f>Tabela1316171819[[#This Row],[Valor_recibo]]</f>
        <v>0</v>
      </c>
      <c r="O33" s="16"/>
      <c r="P33" s="1" t="e">
        <f>VLOOKUP(Tabela1316171819[[#This Row],[DT]],Aprovados!A:A,1,0)</f>
        <v>#N/A</v>
      </c>
      <c r="Q33" s="16"/>
      <c r="R33" s="16"/>
      <c r="S33" s="16"/>
      <c r="T33" s="9"/>
      <c r="U33" s="1" t="s">
        <v>315</v>
      </c>
      <c r="V33" s="11"/>
      <c r="W33" s="239"/>
      <c r="X33" s="304"/>
    </row>
    <row r="34" spans="1:24" ht="15.75">
      <c r="A34" s="6"/>
      <c r="B34" s="7"/>
      <c r="C34" s="6"/>
      <c r="D34" s="6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>
        <f>Tabela1316171819[[#This Row],[Valor_recibo]]</f>
        <v>0</v>
      </c>
      <c r="O34" s="16"/>
      <c r="P34" s="1" t="e">
        <f>VLOOKUP(Tabela1316171819[[#This Row],[DT]],Aprovados!A:A,1,0)</f>
        <v>#N/A</v>
      </c>
      <c r="Q34" s="16"/>
      <c r="R34" s="16"/>
      <c r="S34" s="16"/>
      <c r="T34" s="9"/>
      <c r="U34" s="1" t="s">
        <v>315</v>
      </c>
      <c r="V34" s="11"/>
      <c r="W34" s="239"/>
      <c r="X34" s="304"/>
    </row>
    <row r="35" spans="1:24" ht="15.75">
      <c r="A35" s="6"/>
      <c r="B35" s="7"/>
      <c r="C35" s="6"/>
      <c r="D35" s="6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>
        <f>Tabela1316171819[[#This Row],[Valor_recibo]]</f>
        <v>0</v>
      </c>
      <c r="O35" s="16"/>
      <c r="P35" s="1" t="e">
        <f>VLOOKUP(Tabela1316171819[[#This Row],[DT]],Aprovados!A:A,1,0)</f>
        <v>#N/A</v>
      </c>
      <c r="Q35" s="16"/>
      <c r="R35" s="16"/>
      <c r="S35" s="16"/>
      <c r="T35" s="9"/>
      <c r="U35" s="1" t="s">
        <v>315</v>
      </c>
      <c r="V35" s="11"/>
      <c r="W35" s="239"/>
      <c r="X35" s="304"/>
    </row>
    <row r="36" spans="1:24" ht="15.75">
      <c r="A36" s="6"/>
      <c r="B36" s="7"/>
      <c r="C36" s="6"/>
      <c r="D36" s="6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>
        <f>Tabela1316171819[[#This Row],[Valor_recibo]]</f>
        <v>0</v>
      </c>
      <c r="O36" s="16"/>
      <c r="P36" s="1" t="e">
        <f>VLOOKUP(Tabela1316171819[[#This Row],[DT]],Aprovados!A:A,1,0)</f>
        <v>#N/A</v>
      </c>
      <c r="Q36" s="16"/>
      <c r="R36" s="16"/>
      <c r="S36" s="16"/>
      <c r="T36" s="9"/>
      <c r="U36" s="1" t="s">
        <v>315</v>
      </c>
      <c r="V36" s="11"/>
      <c r="W36" s="239"/>
      <c r="X36" s="304"/>
    </row>
    <row r="37" spans="1:24" ht="15.75">
      <c r="A37" s="6"/>
      <c r="B37" s="7"/>
      <c r="C37" s="6"/>
      <c r="D37" s="6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>
        <f>Tabela1316171819[[#This Row],[Valor_recibo]]</f>
        <v>0</v>
      </c>
      <c r="O37" s="16"/>
      <c r="P37" s="1" t="e">
        <f>VLOOKUP(Tabela1316171819[[#This Row],[DT]],Aprovados!A:A,1,0)</f>
        <v>#N/A</v>
      </c>
      <c r="Q37" s="16"/>
      <c r="R37" s="16"/>
      <c r="S37" s="16"/>
      <c r="T37" s="9"/>
      <c r="U37" s="1" t="s">
        <v>315</v>
      </c>
      <c r="V37" s="11"/>
      <c r="W37" s="239"/>
      <c r="X37" s="304"/>
    </row>
    <row r="38" spans="1:24" ht="15.75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>
        <f>Tabela1316171819[[#This Row],[Valor_recibo]]</f>
        <v>0</v>
      </c>
      <c r="O38" s="16"/>
      <c r="P38" s="1" t="e">
        <f>VLOOKUP(Tabela1316171819[[#This Row],[DT]],Aprovados!A:A,1,0)</f>
        <v>#N/A</v>
      </c>
      <c r="Q38" s="16"/>
      <c r="R38" s="16"/>
      <c r="S38" s="16"/>
      <c r="T38" s="9"/>
      <c r="U38" s="1" t="s">
        <v>315</v>
      </c>
      <c r="V38" s="11"/>
      <c r="W38" s="239"/>
      <c r="X38" s="304"/>
    </row>
    <row r="39" spans="1:24" ht="15.75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>
        <f>Tabela1316171819[[#This Row],[Valor_recibo]]</f>
        <v>0</v>
      </c>
      <c r="O39" s="16"/>
      <c r="P39" s="1" t="e">
        <f>VLOOKUP(Tabela1316171819[[#This Row],[DT]],Aprovados!A:A,1,0)</f>
        <v>#N/A</v>
      </c>
      <c r="Q39" s="16"/>
      <c r="R39" s="16"/>
      <c r="S39" s="16"/>
      <c r="T39" s="9"/>
      <c r="U39" s="1" t="s">
        <v>315</v>
      </c>
      <c r="V39" s="11"/>
      <c r="W39" s="239"/>
      <c r="X39" s="304"/>
    </row>
    <row r="40" spans="1:24" ht="15.75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>
        <f>Tabela1316171819[[#This Row],[Valor_recibo]]</f>
        <v>0</v>
      </c>
      <c r="O40" s="16"/>
      <c r="P40" s="1" t="e">
        <f>VLOOKUP(Tabela1316171819[[#This Row],[DT]],Aprovados!A:A,1,0)</f>
        <v>#N/A</v>
      </c>
      <c r="Q40" s="16"/>
      <c r="R40" s="16"/>
      <c r="S40" s="16"/>
      <c r="T40" s="9"/>
      <c r="U40" s="1" t="s">
        <v>315</v>
      </c>
      <c r="V40" s="11"/>
      <c r="W40" s="239"/>
      <c r="X40" s="304"/>
    </row>
    <row r="41" spans="1:24" ht="15.75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>
        <f>Tabela1316171819[[#This Row],[Valor_recibo]]</f>
        <v>0</v>
      </c>
      <c r="O41" s="16"/>
      <c r="P41" s="1" t="e">
        <f>VLOOKUP(Tabela1316171819[[#This Row],[DT]],Aprovados!A:A,1,0)</f>
        <v>#N/A</v>
      </c>
      <c r="Q41" s="16"/>
      <c r="R41" s="16"/>
      <c r="S41" s="16"/>
      <c r="T41" s="9"/>
      <c r="U41" s="1" t="s">
        <v>315</v>
      </c>
      <c r="V41" s="11"/>
      <c r="W41" s="239"/>
      <c r="X41" s="304"/>
    </row>
    <row r="42" spans="1:24" ht="15.75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>
        <f>Tabela1316171819[[#This Row],[Valor_recibo]]</f>
        <v>0</v>
      </c>
      <c r="O42" s="16"/>
      <c r="P42" s="1" t="e">
        <f>VLOOKUP(Tabela1316171819[[#This Row],[DT]],Aprovados!A:A,1,0)</f>
        <v>#N/A</v>
      </c>
      <c r="Q42" s="16"/>
      <c r="R42" s="16"/>
      <c r="S42" s="16"/>
      <c r="T42" s="9"/>
      <c r="U42" s="1" t="s">
        <v>315</v>
      </c>
      <c r="V42" s="11"/>
      <c r="W42" s="239"/>
      <c r="X42" s="304"/>
    </row>
    <row r="43" spans="1:24" ht="15.75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>
        <f>Tabela1316171819[[#This Row],[Valor_recibo]]</f>
        <v>0</v>
      </c>
      <c r="O43" s="16"/>
      <c r="P43" s="1" t="e">
        <f>VLOOKUP(Tabela1316171819[[#This Row],[DT]],Aprovados!A:A,1,0)</f>
        <v>#N/A</v>
      </c>
      <c r="Q43" s="16"/>
      <c r="R43" s="16"/>
      <c r="S43" s="16"/>
      <c r="T43" s="9"/>
      <c r="U43" s="1" t="s">
        <v>315</v>
      </c>
      <c r="V43" s="11"/>
      <c r="W43" s="239"/>
      <c r="X43" s="304" t="s">
        <v>530</v>
      </c>
    </row>
    <row r="44" spans="1:24" ht="15.75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>
        <f>Tabela1316171819[[#This Row],[Valor_recibo]]</f>
        <v>0</v>
      </c>
      <c r="O44" s="16"/>
      <c r="P44" s="1" t="e">
        <f>VLOOKUP(Tabela1316171819[[#This Row],[DT]],Aprovados!A:A,1,0)</f>
        <v>#N/A</v>
      </c>
      <c r="Q44" s="16"/>
      <c r="R44" s="16"/>
      <c r="S44" s="16"/>
      <c r="T44" s="9"/>
      <c r="U44" s="1" t="s">
        <v>315</v>
      </c>
      <c r="V44" s="11"/>
      <c r="W44" s="239"/>
      <c r="X44" s="304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>
        <f>Tabela1316171819[[#This Row],[Valor_recibo]]</f>
        <v>0</v>
      </c>
      <c r="O45" s="16"/>
      <c r="P45" s="1" t="e">
        <f>VLOOKUP(Tabela1316171819[[#This Row],[DT]],Aprovados!A:A,1,0)</f>
        <v>#N/A</v>
      </c>
      <c r="Q45" s="16"/>
      <c r="R45" s="16"/>
      <c r="S45" s="16"/>
      <c r="T45" s="9"/>
      <c r="U45" s="1" t="s">
        <v>315</v>
      </c>
      <c r="V45" s="11"/>
      <c r="W45" s="239"/>
      <c r="X45" s="304"/>
    </row>
    <row r="46" spans="1:24" ht="15.75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>
        <f>Tabela1316171819[[#This Row],[Valor_recibo]]</f>
        <v>0</v>
      </c>
      <c r="O46" s="16"/>
      <c r="P46" s="1" t="e">
        <f>VLOOKUP(Tabela1316171819[[#This Row],[DT]],Aprovados!A:A,1,0)</f>
        <v>#N/A</v>
      </c>
      <c r="Q46" s="16"/>
      <c r="R46" s="16"/>
      <c r="S46" s="16"/>
      <c r="T46" s="9"/>
      <c r="U46" s="1" t="s">
        <v>315</v>
      </c>
      <c r="V46" s="11"/>
      <c r="W46" s="239"/>
      <c r="X46" s="304"/>
    </row>
    <row r="47" spans="1:24" ht="15.75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>
        <f>Tabela1316171819[[#This Row],[Valor_recibo]]</f>
        <v>0</v>
      </c>
      <c r="O47" s="16"/>
      <c r="P47" s="1" t="e">
        <f>VLOOKUP(Tabela1316171819[[#This Row],[DT]],Aprovados!A:A,1,0)</f>
        <v>#N/A</v>
      </c>
      <c r="Q47" s="16"/>
      <c r="R47" s="16"/>
      <c r="S47" s="1"/>
      <c r="T47" s="9"/>
      <c r="U47" s="1" t="s">
        <v>315</v>
      </c>
      <c r="V47" s="11"/>
      <c r="W47" s="239"/>
      <c r="X47" s="304"/>
    </row>
    <row r="48" spans="1:24" ht="15.75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>
        <f>Tabela1316171819[[#This Row],[Valor_recibo]]</f>
        <v>0</v>
      </c>
      <c r="O48" s="16"/>
      <c r="P48" s="1" t="e">
        <f>VLOOKUP(Tabela1316171819[[#This Row],[DT]],Aprovados!A:A,1,0)</f>
        <v>#N/A</v>
      </c>
      <c r="Q48" s="16"/>
      <c r="R48" s="16"/>
      <c r="S48" s="1"/>
      <c r="T48" s="9"/>
      <c r="U48" s="1" t="s">
        <v>315</v>
      </c>
      <c r="V48" s="11"/>
      <c r="W48" s="239"/>
      <c r="X48" s="304"/>
    </row>
    <row r="49" spans="1:24" ht="15.75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>
        <f>Tabela1316171819[[#This Row],[Valor_recibo]]</f>
        <v>0</v>
      </c>
      <c r="O49" s="16"/>
      <c r="P49" s="1" t="e">
        <f>VLOOKUP(Tabela1316171819[[#This Row],[DT]],Aprovados!A:A,1,0)</f>
        <v>#N/A</v>
      </c>
      <c r="Q49" s="16"/>
      <c r="R49" s="16"/>
      <c r="S49" s="1"/>
      <c r="T49" s="9"/>
      <c r="U49" s="1" t="s">
        <v>315</v>
      </c>
      <c r="V49" s="11"/>
      <c r="W49" s="239"/>
      <c r="X49" s="304"/>
    </row>
    <row r="50" spans="1:24" ht="15.75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>
        <f>Tabela1316171819[[#This Row],[Valor_recibo]]</f>
        <v>0</v>
      </c>
      <c r="O50" s="16"/>
      <c r="P50" s="1" t="e">
        <f>VLOOKUP(Tabela1316171819[[#This Row],[DT]],Aprovados!A:A,1,0)</f>
        <v>#N/A</v>
      </c>
      <c r="Q50" s="16"/>
      <c r="R50" s="16"/>
      <c r="S50" s="1"/>
      <c r="T50" s="9"/>
      <c r="U50" s="1" t="s">
        <v>315</v>
      </c>
      <c r="V50" s="11"/>
      <c r="W50" s="239"/>
      <c r="X50" s="304"/>
    </row>
    <row r="51" spans="1:24" ht="15.75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>
        <f>Tabela1316171819[[#This Row],[Valor_recibo]]</f>
        <v>0</v>
      </c>
      <c r="O51" s="16"/>
      <c r="P51" s="1" t="e">
        <f>VLOOKUP(Tabela1316171819[[#This Row],[DT]],Aprovados!A:A,1,0)</f>
        <v>#N/A</v>
      </c>
      <c r="Q51" s="16"/>
      <c r="R51" s="16"/>
      <c r="S51" s="1"/>
      <c r="T51" s="9"/>
      <c r="U51" s="1" t="s">
        <v>315</v>
      </c>
      <c r="V51" s="11"/>
      <c r="W51" s="239"/>
      <c r="X51" s="304"/>
    </row>
    <row r="52" spans="1:24" ht="15.75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>
        <f>Tabela1316171819[[#This Row],[Valor_recibo]]</f>
        <v>0</v>
      </c>
      <c r="O52" s="16"/>
      <c r="P52" s="1" t="e">
        <f>VLOOKUP(Tabela1316171819[[#This Row],[DT]],Aprovados!A:A,1,0)</f>
        <v>#N/A</v>
      </c>
      <c r="Q52" s="16"/>
      <c r="R52" s="16"/>
      <c r="S52" s="16"/>
      <c r="T52" s="9"/>
      <c r="U52" s="1" t="s">
        <v>315</v>
      </c>
      <c r="V52" s="11"/>
      <c r="W52" s="239"/>
      <c r="X52" s="304"/>
    </row>
    <row r="53" spans="1:24" ht="15.75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>
        <f>Tabela1316171819[[#This Row],[Valor_recibo]]</f>
        <v>0</v>
      </c>
      <c r="O53" s="16"/>
      <c r="P53" s="1" t="e">
        <f>VLOOKUP(Tabela1316171819[[#This Row],[DT]],Aprovados!A:A,1,0)</f>
        <v>#N/A</v>
      </c>
      <c r="Q53" s="16"/>
      <c r="R53" s="16"/>
      <c r="S53" s="1"/>
      <c r="T53" s="9"/>
      <c r="U53" s="1" t="s">
        <v>315</v>
      </c>
      <c r="V53" s="11"/>
      <c r="W53" s="239"/>
      <c r="X53" s="304"/>
    </row>
    <row r="54" spans="1:24" ht="15.75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>
        <f>Tabela1316171819[[#This Row],[Valor_recibo]]</f>
        <v>0</v>
      </c>
      <c r="O54" s="16"/>
      <c r="P54" s="1" t="e">
        <f>VLOOKUP(Tabela1316171819[[#This Row],[DT]],Aprovados!A:A,1,0)</f>
        <v>#N/A</v>
      </c>
      <c r="Q54" s="16"/>
      <c r="R54" s="16"/>
      <c r="S54" s="1"/>
      <c r="T54" s="9"/>
      <c r="U54" s="1" t="s">
        <v>315</v>
      </c>
      <c r="V54" s="11"/>
      <c r="W54" s="239"/>
      <c r="X54" s="304"/>
    </row>
    <row r="55" spans="1:24" ht="15.75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>
        <f>Tabela1316171819[[#This Row],[Valor_recibo]]</f>
        <v>0</v>
      </c>
      <c r="O55" s="16"/>
      <c r="P55" s="1" t="e">
        <f>VLOOKUP(Tabela1316171819[[#This Row],[DT]],Aprovados!A:A,1,0)</f>
        <v>#N/A</v>
      </c>
      <c r="Q55" s="16"/>
      <c r="R55" s="16"/>
      <c r="S55" s="1"/>
      <c r="T55" s="9"/>
      <c r="U55" s="1" t="s">
        <v>315</v>
      </c>
      <c r="V55" s="11"/>
      <c r="W55" s="239"/>
      <c r="X55" s="304"/>
    </row>
    <row r="56" spans="1:24" ht="15.75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>
        <f>Tabela1316171819[[#This Row],[Valor_recibo]]</f>
        <v>0</v>
      </c>
      <c r="O56" s="16"/>
      <c r="P56" s="1" t="e">
        <f>VLOOKUP(Tabela1316171819[[#This Row],[DT]],Aprovados!A:A,1,0)</f>
        <v>#N/A</v>
      </c>
      <c r="Q56" s="16"/>
      <c r="R56" s="16"/>
      <c r="S56" s="1"/>
      <c r="T56" s="9"/>
      <c r="U56" s="1" t="s">
        <v>315</v>
      </c>
      <c r="V56" s="11"/>
      <c r="W56" s="239"/>
      <c r="X56" s="304"/>
    </row>
    <row r="57" spans="1:24" ht="15.75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>
        <f>Tabela1316171819[[#This Row],[Valor_recibo]]</f>
        <v>0</v>
      </c>
      <c r="O57" s="16"/>
      <c r="P57" s="1" t="e">
        <f>VLOOKUP(Tabela1316171819[[#This Row],[DT]],Aprovados!A:A,1,0)</f>
        <v>#N/A</v>
      </c>
      <c r="R57" s="16"/>
      <c r="S57" s="1"/>
      <c r="T57" s="9"/>
      <c r="U57" s="1" t="s">
        <v>315</v>
      </c>
      <c r="V57" s="11"/>
      <c r="W57" s="239"/>
      <c r="X57" s="304"/>
    </row>
    <row r="58" spans="1:24" ht="15.75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>
        <f>Tabela1316171819[[#This Row],[Valor_recibo]]</f>
        <v>0</v>
      </c>
      <c r="O58" s="16"/>
      <c r="P58" s="1" t="e">
        <f>VLOOKUP(Tabela1316171819[[#This Row],[DT]],Aprovados!A:A,1,0)</f>
        <v>#N/A</v>
      </c>
      <c r="Q58" s="16"/>
      <c r="R58" s="16"/>
      <c r="S58" s="1"/>
      <c r="T58" s="9"/>
      <c r="U58" s="1" t="s">
        <v>315</v>
      </c>
      <c r="V58" s="11"/>
      <c r="W58" s="239"/>
      <c r="X58" s="304"/>
    </row>
    <row r="59" spans="1:24" ht="15.75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>
        <f>Tabela1316171819[[#This Row],[Valor_recibo]]</f>
        <v>0</v>
      </c>
      <c r="O59" s="16"/>
      <c r="P59" s="1" t="e">
        <f>VLOOKUP(Tabela1316171819[[#This Row],[DT]],Aprovados!A:A,1,0)</f>
        <v>#N/A</v>
      </c>
      <c r="Q59" s="16"/>
      <c r="R59" s="16"/>
      <c r="S59" s="16"/>
      <c r="T59" s="9"/>
      <c r="U59" s="1" t="s">
        <v>315</v>
      </c>
      <c r="V59" s="11"/>
      <c r="W59" s="232"/>
      <c r="X59" s="304"/>
    </row>
    <row r="60" spans="1:24" ht="15.75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>
        <f>Tabela1316171819[[#This Row],[Valor_recibo]]</f>
        <v>0</v>
      </c>
      <c r="O60" s="16"/>
      <c r="P60" s="1" t="e">
        <f>VLOOKUP(Tabela1316171819[[#This Row],[DT]],Aprovados!A:A,1,0)</f>
        <v>#N/A</v>
      </c>
      <c r="Q60" s="16"/>
      <c r="R60" s="16"/>
      <c r="S60" s="1"/>
      <c r="T60" s="9"/>
      <c r="U60" s="1" t="s">
        <v>315</v>
      </c>
      <c r="V60" s="11"/>
      <c r="W60" s="232"/>
      <c r="X60" s="304"/>
    </row>
    <row r="61" spans="1:24" ht="15.75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>
        <f>Tabela1316171819[[#This Row],[Valor_recibo]]</f>
        <v>0</v>
      </c>
      <c r="O61" s="16"/>
      <c r="P61" s="1" t="e">
        <f>VLOOKUP(Tabela1316171819[[#This Row],[DT]],Aprovados!A:A,1,0)</f>
        <v>#N/A</v>
      </c>
      <c r="Q61" s="16"/>
      <c r="R61" s="16"/>
      <c r="S61" s="16"/>
      <c r="T61" s="9"/>
      <c r="U61" s="1" t="s">
        <v>315</v>
      </c>
      <c r="V61" s="11"/>
      <c r="W61" s="232"/>
      <c r="X61" s="304"/>
    </row>
    <row r="62" spans="1:24" ht="15.75">
      <c r="A62" s="6"/>
      <c r="B62" s="7"/>
      <c r="C62" s="6"/>
      <c r="D62" s="6"/>
      <c r="E62" s="6"/>
      <c r="F62" s="1"/>
      <c r="G62" s="9"/>
      <c r="H62" s="9"/>
      <c r="I62" s="11"/>
      <c r="J62" s="1"/>
      <c r="K62" s="205" t="s">
        <v>315</v>
      </c>
      <c r="L62" s="1" t="s">
        <v>315</v>
      </c>
      <c r="M62" s="9"/>
      <c r="N62" s="14">
        <f>Tabela1316171819[[#This Row],[Valor_recibo]]</f>
        <v>0</v>
      </c>
      <c r="O62" s="16"/>
      <c r="P62" s="1" t="e">
        <f>VLOOKUP(Tabela1316171819[[#This Row],[DT]],Aprovados!A:A,1,0)</f>
        <v>#N/A</v>
      </c>
      <c r="Q62" s="16"/>
      <c r="R62" s="16"/>
      <c r="S62" s="16"/>
      <c r="T62" s="9"/>
      <c r="U62" s="1" t="s">
        <v>315</v>
      </c>
      <c r="V62" s="11"/>
      <c r="W62" s="232"/>
      <c r="X62" s="304"/>
    </row>
    <row r="63" spans="1:24" ht="15.75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>
        <f>Tabela1316171819[[#This Row],[Valor_recibo]]</f>
        <v>0</v>
      </c>
      <c r="O63" s="16"/>
      <c r="P63" s="1" t="e">
        <f>VLOOKUP(Tabela1316171819[[#This Row],[DT]],Aprovados!A:A,1,0)</f>
        <v>#N/A</v>
      </c>
      <c r="Q63" s="16"/>
      <c r="R63" s="16"/>
      <c r="S63" s="16"/>
      <c r="T63" s="9"/>
      <c r="U63" s="1" t="s">
        <v>315</v>
      </c>
      <c r="V63" s="11"/>
      <c r="W63" s="232"/>
      <c r="X63" s="304"/>
    </row>
    <row r="64" spans="1:24" ht="15.75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>
        <f>Tabela1316171819[[#This Row],[Valor_recibo]]</f>
        <v>0</v>
      </c>
      <c r="O64" s="16"/>
      <c r="P64" s="1" t="e">
        <f>VLOOKUP(Tabela1316171819[[#This Row],[DT]],Aprovados!A:A,1,0)</f>
        <v>#N/A</v>
      </c>
      <c r="Q64" s="16"/>
      <c r="R64" s="16"/>
      <c r="S64" s="16"/>
      <c r="T64" s="9"/>
      <c r="U64" s="1" t="s">
        <v>315</v>
      </c>
      <c r="V64" s="11"/>
      <c r="W64" s="232"/>
      <c r="X64" s="304"/>
    </row>
    <row r="65" spans="1:24" ht="15.75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>
        <f>Tabela1316171819[[#This Row],[Valor_recibo]]</f>
        <v>0</v>
      </c>
      <c r="O65" s="16"/>
      <c r="P65" s="1" t="e">
        <f>VLOOKUP(Tabela1316171819[[#This Row],[DT]],Aprovados!A:A,1,0)</f>
        <v>#N/A</v>
      </c>
      <c r="Q65" s="16"/>
      <c r="R65" s="16"/>
      <c r="S65" s="16"/>
      <c r="T65" s="9"/>
      <c r="U65" s="1" t="s">
        <v>315</v>
      </c>
      <c r="V65" s="11"/>
      <c r="W65" s="232"/>
      <c r="X65" s="304"/>
    </row>
    <row r="66" spans="1:24" ht="15.75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>
        <f>Tabela1316171819[[#This Row],[Valor_recibo]]</f>
        <v>0</v>
      </c>
      <c r="O66" s="16"/>
      <c r="P66" s="1" t="e">
        <f>VLOOKUP(Tabela1316171819[[#This Row],[DT]],Aprovados!A:A,1,0)</f>
        <v>#N/A</v>
      </c>
      <c r="Q66" s="16"/>
      <c r="R66" s="16"/>
      <c r="S66" s="16"/>
      <c r="T66" s="9"/>
      <c r="U66" s="1" t="s">
        <v>315</v>
      </c>
      <c r="V66" s="11"/>
      <c r="W66" s="232"/>
      <c r="X66" s="304"/>
    </row>
    <row r="67" spans="1:24" ht="15.75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>
        <f>Tabela1316171819[[#This Row],[Valor_recibo]]</f>
        <v>0</v>
      </c>
      <c r="O67" s="16"/>
      <c r="P67" s="1" t="e">
        <f>VLOOKUP(Tabela1316171819[[#This Row],[DT]],Aprovados!A:A,1,0)</f>
        <v>#N/A</v>
      </c>
      <c r="Q67" s="16"/>
      <c r="R67" s="16"/>
      <c r="S67" s="16"/>
      <c r="T67" s="9"/>
      <c r="U67" s="1" t="s">
        <v>315</v>
      </c>
      <c r="V67" s="11"/>
      <c r="W67" s="232"/>
      <c r="X67" s="304"/>
    </row>
    <row r="68" spans="1:24" ht="15.75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>
        <f>Tabela1316171819[[#This Row],[Valor_recibo]]</f>
        <v>0</v>
      </c>
      <c r="O68" s="16"/>
      <c r="P68" s="1" t="e">
        <f>VLOOKUP(Tabela1316171819[[#This Row],[DT]],Aprovados!A:A,1,0)</f>
        <v>#N/A</v>
      </c>
      <c r="Q68" s="16"/>
      <c r="R68" s="16"/>
      <c r="S68" s="16"/>
      <c r="T68" s="9"/>
      <c r="U68" s="1" t="s">
        <v>315</v>
      </c>
      <c r="V68" s="11"/>
      <c r="W68" s="232"/>
      <c r="X68" s="304"/>
    </row>
    <row r="69" spans="1:24" ht="15.75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>
        <f>Tabela1316171819[[#This Row],[Valor_recibo]]</f>
        <v>0</v>
      </c>
      <c r="O69" s="16"/>
      <c r="P69" s="1" t="e">
        <f>VLOOKUP(Tabela1316171819[[#This Row],[DT]],Aprovados!A:A,1,0)</f>
        <v>#N/A</v>
      </c>
      <c r="Q69" s="16"/>
      <c r="R69" s="16"/>
      <c r="S69" s="16"/>
      <c r="T69" s="9"/>
      <c r="U69" s="1" t="s">
        <v>315</v>
      </c>
      <c r="V69" s="11"/>
      <c r="W69" s="232"/>
      <c r="X69" s="304"/>
    </row>
    <row r="70" spans="1:24" ht="15.75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>
        <f>Tabela1316171819[[#This Row],[Valor_recibo]]</f>
        <v>0</v>
      </c>
      <c r="O70" s="16"/>
      <c r="P70" s="1" t="e">
        <f>VLOOKUP(Tabela1316171819[[#This Row],[DT]],Aprovados!A:A,1,0)</f>
        <v>#N/A</v>
      </c>
      <c r="Q70" s="16"/>
      <c r="R70" s="16"/>
      <c r="S70" s="16"/>
      <c r="T70" s="9"/>
      <c r="U70" s="1" t="s">
        <v>315</v>
      </c>
      <c r="V70" s="11"/>
      <c r="W70" s="232"/>
      <c r="X70" s="304"/>
    </row>
    <row r="71" spans="1:24" ht="15.75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>
        <f>Tabela1316171819[[#This Row],[Valor_recibo]]</f>
        <v>0</v>
      </c>
      <c r="O71" s="16"/>
      <c r="P71" s="1" t="e">
        <f>VLOOKUP(Tabela1316171819[[#This Row],[DT]],Aprovados!A:A,1,0)</f>
        <v>#N/A</v>
      </c>
      <c r="Q71" s="16"/>
      <c r="R71" s="16"/>
      <c r="S71" s="16"/>
      <c r="T71" s="9"/>
      <c r="U71" s="1" t="s">
        <v>315</v>
      </c>
      <c r="V71" s="11"/>
      <c r="W71" s="232"/>
      <c r="X71" s="304"/>
    </row>
    <row r="72" spans="1:24" ht="15.75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>
        <f>Tabela1316171819[[#This Row],[Valor_recibo]]</f>
        <v>0</v>
      </c>
      <c r="O72" s="16"/>
      <c r="P72" s="1" t="e">
        <f>VLOOKUP(Tabela1316171819[[#This Row],[DT]],Aprovados!A:A,1,0)</f>
        <v>#N/A</v>
      </c>
      <c r="Q72" s="16"/>
      <c r="R72" s="16"/>
      <c r="S72" s="16"/>
      <c r="T72" s="9"/>
      <c r="U72" s="1" t="s">
        <v>315</v>
      </c>
      <c r="V72" s="11"/>
      <c r="W72" s="232"/>
      <c r="X72" s="304"/>
    </row>
    <row r="73" spans="1:24" ht="15.75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>
        <f>Tabela1316171819[[#This Row],[Valor_recibo]]</f>
        <v>0</v>
      </c>
      <c r="O73" s="16"/>
      <c r="P73" s="1" t="e">
        <f>VLOOKUP(Tabela1316171819[[#This Row],[DT]],Aprovados!A:A,1,0)</f>
        <v>#N/A</v>
      </c>
      <c r="Q73" s="16"/>
      <c r="R73" s="16"/>
      <c r="S73" s="16"/>
      <c r="T73" s="9"/>
      <c r="U73" s="1" t="s">
        <v>315</v>
      </c>
      <c r="V73" s="11"/>
      <c r="W73" s="232"/>
      <c r="X73" s="304"/>
    </row>
    <row r="74" spans="1:24" ht="15.75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>
        <f>Tabela1316171819[[#This Row],[Valor_recibo]]</f>
        <v>0</v>
      </c>
      <c r="O74" s="16"/>
      <c r="P74" s="1" t="e">
        <f>VLOOKUP(Tabela1316171819[[#This Row],[DT]],Aprovados!A:A,1,0)</f>
        <v>#N/A</v>
      </c>
      <c r="Q74" s="16"/>
      <c r="R74" s="16"/>
      <c r="S74" s="16"/>
      <c r="T74" s="9"/>
      <c r="U74" s="1" t="s">
        <v>315</v>
      </c>
      <c r="V74" s="11"/>
      <c r="W74" s="232"/>
      <c r="X74" s="304"/>
    </row>
    <row r="75" spans="1:24" ht="15.75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>
        <f>Tabela1316171819[[#This Row],[Valor_recibo]]</f>
        <v>0</v>
      </c>
      <c r="O75" s="16"/>
      <c r="P75" s="1" t="e">
        <f>VLOOKUP(Tabela1316171819[[#This Row],[DT]],Aprovados!A:A,1,0)</f>
        <v>#N/A</v>
      </c>
      <c r="Q75" s="16"/>
      <c r="R75" s="16"/>
      <c r="S75" s="16"/>
      <c r="T75" s="9"/>
      <c r="U75" s="1" t="s">
        <v>315</v>
      </c>
      <c r="V75" s="11"/>
      <c r="W75" s="232"/>
      <c r="X75" s="304"/>
    </row>
    <row r="76" spans="1:24" ht="15.75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>
        <f>Tabela1316171819[[#This Row],[Valor_recibo]]</f>
        <v>0</v>
      </c>
      <c r="O76" s="16"/>
      <c r="P76" s="1" t="e">
        <f>VLOOKUP(Tabela1316171819[[#This Row],[DT]],Aprovados!A:A,1,0)</f>
        <v>#N/A</v>
      </c>
      <c r="Q76" s="16"/>
      <c r="R76" s="16"/>
      <c r="S76" s="16"/>
      <c r="T76" s="9"/>
      <c r="U76" s="1" t="s">
        <v>315</v>
      </c>
      <c r="V76" s="11"/>
      <c r="W76" s="232"/>
      <c r="X76" s="304"/>
    </row>
    <row r="77" spans="1:24" ht="15.75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>
        <f>Tabela1316171819[[#This Row],[Valor_recibo]]</f>
        <v>0</v>
      </c>
      <c r="O77" s="16"/>
      <c r="P77" s="1" t="e">
        <f>VLOOKUP(Tabela1316171819[[#This Row],[DT]],Aprovados!A:A,1,0)</f>
        <v>#N/A</v>
      </c>
      <c r="Q77" s="16"/>
      <c r="R77" s="16"/>
      <c r="S77" s="16"/>
      <c r="T77" s="9"/>
      <c r="U77" s="1" t="s">
        <v>315</v>
      </c>
      <c r="V77" s="11"/>
      <c r="W77" s="232"/>
      <c r="X77" s="304"/>
    </row>
    <row r="78" spans="1:24" ht="15.75">
      <c r="A78" s="6"/>
      <c r="B78" s="7"/>
      <c r="C78" s="6"/>
      <c r="D78" s="6"/>
      <c r="E78" s="6"/>
      <c r="F78" s="1"/>
      <c r="G78" s="9"/>
      <c r="H78" s="9"/>
      <c r="I78" s="11"/>
      <c r="J78" s="1"/>
      <c r="K78" s="205" t="s">
        <v>315</v>
      </c>
      <c r="L78" s="1" t="s">
        <v>315</v>
      </c>
      <c r="M78" s="9"/>
      <c r="N78" s="14">
        <f>Tabela1316171819[[#This Row],[Valor_recibo]]</f>
        <v>0</v>
      </c>
      <c r="O78" s="16"/>
      <c r="P78" s="1" t="e">
        <f>VLOOKUP(Tabela1316171819[[#This Row],[DT]],Aprovados!A:A,1,0)</f>
        <v>#N/A</v>
      </c>
      <c r="Q78" s="16"/>
      <c r="R78" s="16"/>
      <c r="S78" s="1"/>
      <c r="T78" s="9"/>
      <c r="U78" s="1" t="s">
        <v>315</v>
      </c>
      <c r="V78" s="11"/>
      <c r="W78" s="232"/>
      <c r="X78" s="304"/>
    </row>
    <row r="79" spans="1:24" ht="15.75">
      <c r="A79" s="6"/>
      <c r="B79" s="7"/>
      <c r="C79" s="6"/>
      <c r="D79" s="6"/>
      <c r="E79" s="6"/>
      <c r="F79" s="6"/>
      <c r="G79" s="9"/>
      <c r="H79" s="9"/>
      <c r="I79" s="11"/>
      <c r="J79" s="1"/>
      <c r="K79" s="205" t="s">
        <v>315</v>
      </c>
      <c r="L79" s="1" t="s">
        <v>315</v>
      </c>
      <c r="M79" s="9"/>
      <c r="N79" s="14">
        <f>Tabela1316171819[[#This Row],[Valor_recibo]]</f>
        <v>0</v>
      </c>
      <c r="O79" s="16"/>
      <c r="P79" s="1" t="e">
        <f>VLOOKUP(Tabela1316171819[[#This Row],[DT]],Aprovados!A:A,1,0)</f>
        <v>#N/A</v>
      </c>
      <c r="Q79" s="229"/>
      <c r="R79" s="16"/>
      <c r="S79" s="1"/>
      <c r="T79" s="9"/>
      <c r="U79" s="1" t="s">
        <v>315</v>
      </c>
      <c r="V79" s="11"/>
      <c r="W79" s="232"/>
      <c r="X79" s="304"/>
    </row>
    <row r="80" spans="1:24" ht="15.75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>
        <f>Tabela1316171819[[#This Row],[Valor_recibo]]</f>
        <v>0</v>
      </c>
      <c r="O80" s="16"/>
      <c r="P80" s="1" t="e">
        <f>VLOOKUP(Tabela1316171819[[#This Row],[DT]],Aprovados!A:A,1,0)</f>
        <v>#N/A</v>
      </c>
      <c r="Q80" s="16"/>
      <c r="R80" s="16"/>
      <c r="S80" s="16"/>
      <c r="T80" s="9"/>
      <c r="U80" s="1" t="s">
        <v>315</v>
      </c>
      <c r="V80" s="11"/>
      <c r="W80" s="232"/>
      <c r="X80" s="304"/>
    </row>
    <row r="81" spans="1:24" ht="15.75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>
        <f>Tabela1316171819[[#This Row],[Valor_recibo]]</f>
        <v>0</v>
      </c>
      <c r="O81" s="16"/>
      <c r="P81" s="1" t="e">
        <f>VLOOKUP(Tabela1316171819[[#This Row],[DT]],Aprovados!A:A,1,0)</f>
        <v>#N/A</v>
      </c>
      <c r="Q81" s="16"/>
      <c r="R81" s="16"/>
      <c r="S81" s="16"/>
      <c r="T81" s="9"/>
      <c r="U81" s="1" t="s">
        <v>315</v>
      </c>
      <c r="V81" s="11"/>
      <c r="W81" s="232"/>
      <c r="X81" s="304"/>
    </row>
    <row r="82" spans="1:24" ht="15.75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>
        <f>Tabela1316171819[[#This Row],[Valor_recibo]]</f>
        <v>0</v>
      </c>
      <c r="O82" s="16"/>
      <c r="P82" s="1" t="e">
        <f>VLOOKUP(Tabela1316171819[[#This Row],[DT]],Aprovados!A:A,1,0)</f>
        <v>#N/A</v>
      </c>
      <c r="Q82" s="16"/>
      <c r="R82" s="16"/>
      <c r="S82" s="16"/>
      <c r="T82" s="9"/>
      <c r="U82" s="1" t="s">
        <v>315</v>
      </c>
      <c r="V82" s="11"/>
      <c r="W82" s="232"/>
      <c r="X82" s="304"/>
    </row>
    <row r="83" spans="1:24" ht="15.75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>
        <f>Tabela1316171819[[#This Row],[Valor_recibo]]</f>
        <v>0</v>
      </c>
      <c r="O83" s="16"/>
      <c r="P83" s="1" t="e">
        <f>VLOOKUP(Tabela1316171819[[#This Row],[DT]],Aprovados!A:A,1,0)</f>
        <v>#N/A</v>
      </c>
      <c r="Q83" s="16"/>
      <c r="R83" s="16"/>
      <c r="S83" s="16"/>
      <c r="T83" s="9"/>
      <c r="U83" s="1" t="s">
        <v>315</v>
      </c>
      <c r="V83" s="11"/>
      <c r="W83" s="232"/>
      <c r="X83" s="304"/>
    </row>
    <row r="84" spans="1:24" ht="15.75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>
        <f>Tabela1316171819[[#This Row],[Valor_recibo]]</f>
        <v>0</v>
      </c>
      <c r="O84" s="16"/>
      <c r="P84" s="1" t="e">
        <f>VLOOKUP(Tabela1316171819[[#This Row],[DT]],Aprovados!A:A,1,0)</f>
        <v>#N/A</v>
      </c>
      <c r="Q84" s="16"/>
      <c r="R84" s="16"/>
      <c r="S84" s="16"/>
      <c r="T84" s="9"/>
      <c r="U84" s="1" t="s">
        <v>315</v>
      </c>
      <c r="V84" s="11"/>
      <c r="W84" s="232"/>
      <c r="X84" s="304"/>
    </row>
    <row r="85" spans="1:24" ht="15.75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>
        <f>Tabela1316171819[[#This Row],[Valor_recibo]]</f>
        <v>0</v>
      </c>
      <c r="O85" s="16"/>
      <c r="P85" s="1" t="e">
        <f>VLOOKUP(Tabela1316171819[[#This Row],[DT]],Aprovados!A:A,1,0)</f>
        <v>#N/A</v>
      </c>
      <c r="Q85" s="16"/>
      <c r="R85" s="16"/>
      <c r="S85" s="16"/>
      <c r="T85" s="9"/>
      <c r="U85" s="1" t="s">
        <v>315</v>
      </c>
      <c r="V85" s="11"/>
      <c r="W85" s="232"/>
      <c r="X85" s="304"/>
    </row>
    <row r="86" spans="1:24" ht="15.75">
      <c r="A86" s="1"/>
      <c r="B86" s="7"/>
      <c r="C86" s="6"/>
      <c r="D86" s="67"/>
      <c r="E86" s="255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>
        <f>Tabela1316171819[[#This Row],[Valor_recibo]]</f>
        <v>0</v>
      </c>
      <c r="O86" s="16"/>
      <c r="P86" s="1" t="e">
        <f>VLOOKUP(Tabela1316171819[[#This Row],[DT]],Aprovados!A:A,1,0)</f>
        <v>#N/A</v>
      </c>
      <c r="Q86" s="16"/>
      <c r="R86" s="16"/>
      <c r="S86" s="16"/>
      <c r="T86" s="9"/>
      <c r="U86" s="1" t="s">
        <v>315</v>
      </c>
      <c r="V86" s="11"/>
      <c r="W86" s="232"/>
      <c r="X86" s="304"/>
    </row>
    <row r="87" spans="1:24" ht="15.75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>
        <f>Tabela1316171819[[#This Row],[Valor_recibo]]</f>
        <v>0</v>
      </c>
      <c r="O87" s="16"/>
      <c r="P87" s="1" t="e">
        <f>VLOOKUP(Tabela1316171819[[#This Row],[DT]],Aprovados!A:A,1,0)</f>
        <v>#N/A</v>
      </c>
      <c r="Q87" s="16"/>
      <c r="R87" s="16"/>
      <c r="S87" s="16"/>
      <c r="T87" s="9"/>
      <c r="U87" s="1" t="s">
        <v>315</v>
      </c>
      <c r="V87" s="11"/>
      <c r="W87" s="232"/>
      <c r="X87" s="304"/>
    </row>
    <row r="88" spans="1:24" ht="15.75">
      <c r="A88" s="6"/>
      <c r="B88" s="7"/>
      <c r="C88" s="6"/>
      <c r="D88" s="6"/>
      <c r="E88" s="6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>
        <f>Tabela1316171819[[#This Row],[Valor_recibo]]</f>
        <v>0</v>
      </c>
      <c r="O88" s="16"/>
      <c r="P88" s="1" t="e">
        <f>VLOOKUP(Tabela1316171819[[#This Row],[DT]],Aprovados!A:A,1,0)</f>
        <v>#N/A</v>
      </c>
      <c r="Q88" s="16"/>
      <c r="R88" s="16"/>
      <c r="S88" s="16"/>
      <c r="T88" s="9"/>
      <c r="U88" s="1" t="s">
        <v>315</v>
      </c>
      <c r="V88" s="11"/>
      <c r="W88" s="232"/>
      <c r="X88" s="304"/>
    </row>
    <row r="89" spans="1:24" ht="15.75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>
        <f>Tabela1316171819[[#This Row],[Valor_recibo]]</f>
        <v>0</v>
      </c>
      <c r="O89" s="16"/>
      <c r="P89" s="1" t="e">
        <f>VLOOKUP(Tabela1316171819[[#This Row],[DT]],Aprovados!A:A,1,0)</f>
        <v>#N/A</v>
      </c>
      <c r="Q89" s="16"/>
      <c r="R89" s="16"/>
      <c r="S89" s="16"/>
      <c r="T89" s="9"/>
      <c r="U89" s="1" t="s">
        <v>315</v>
      </c>
      <c r="V89" s="11"/>
      <c r="W89" s="232"/>
      <c r="X89" s="304"/>
    </row>
    <row r="90" spans="1:24" ht="15.75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>
        <f>Tabela1316171819[[#This Row],[Valor_recibo]]</f>
        <v>0</v>
      </c>
      <c r="O90" s="16"/>
      <c r="P90" s="1" t="e">
        <f>VLOOKUP(Tabela1316171819[[#This Row],[DT]],Aprovados!A:A,1,0)</f>
        <v>#N/A</v>
      </c>
      <c r="Q90" s="16"/>
      <c r="R90" s="16"/>
      <c r="S90" s="16"/>
      <c r="T90" s="9"/>
      <c r="U90" s="1" t="s">
        <v>315</v>
      </c>
      <c r="V90" s="11"/>
      <c r="W90" s="232"/>
      <c r="X90" s="304"/>
    </row>
    <row r="91" spans="1:24" ht="15.75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>
        <f>Tabela1316171819[[#This Row],[Valor_recibo]]</f>
        <v>0</v>
      </c>
      <c r="O91" s="16"/>
      <c r="P91" s="1" t="e">
        <f>VLOOKUP(Tabela1316171819[[#This Row],[DT]],Aprovados!A:A,1,0)</f>
        <v>#N/A</v>
      </c>
      <c r="Q91" s="16"/>
      <c r="R91" s="16"/>
      <c r="S91" s="16"/>
      <c r="T91" s="9"/>
      <c r="U91" s="1" t="s">
        <v>315</v>
      </c>
      <c r="V91" s="11"/>
      <c r="W91" s="232"/>
      <c r="X91" s="304"/>
    </row>
    <row r="92" spans="1:24" ht="15.75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>
        <f>Tabela1316171819[[#This Row],[Valor_recibo]]</f>
        <v>0</v>
      </c>
      <c r="O92" s="16"/>
      <c r="P92" s="1" t="e">
        <f>VLOOKUP(Tabela1316171819[[#This Row],[DT]],Aprovados!A:A,1,0)</f>
        <v>#N/A</v>
      </c>
      <c r="Q92" s="16"/>
      <c r="R92" s="16"/>
      <c r="S92" s="16"/>
      <c r="T92" s="9"/>
      <c r="U92" s="1" t="s">
        <v>315</v>
      </c>
      <c r="V92" s="11"/>
      <c r="W92" s="232"/>
      <c r="X92" s="304"/>
    </row>
    <row r="93" spans="1:24" ht="15.75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>
        <f>Tabela1316171819[[#This Row],[Valor_recibo]]</f>
        <v>0</v>
      </c>
      <c r="O93" s="16"/>
      <c r="P93" s="1" t="e">
        <f>VLOOKUP(Tabela1316171819[[#This Row],[DT]],Aprovados!A:A,1,0)</f>
        <v>#N/A</v>
      </c>
      <c r="Q93" s="16"/>
      <c r="R93" s="16"/>
      <c r="S93" s="16"/>
      <c r="T93" s="9"/>
      <c r="U93" s="1" t="s">
        <v>315</v>
      </c>
      <c r="V93" s="11"/>
      <c r="W93" s="232"/>
      <c r="X93" s="304"/>
    </row>
    <row r="94" spans="1:24" ht="15.75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>
        <f>Tabela1316171819[[#This Row],[Valor_recibo]]</f>
        <v>0</v>
      </c>
      <c r="O94" s="16"/>
      <c r="P94" s="1" t="e">
        <f>VLOOKUP(Tabela1316171819[[#This Row],[DT]],Aprovados!A:A,1,0)</f>
        <v>#N/A</v>
      </c>
      <c r="Q94" s="16"/>
      <c r="R94" s="16"/>
      <c r="S94" s="16"/>
      <c r="T94" s="9"/>
      <c r="U94" s="1" t="s">
        <v>315</v>
      </c>
      <c r="V94" s="11"/>
      <c r="W94" s="232"/>
      <c r="X94" s="304"/>
    </row>
    <row r="95" spans="1:24" ht="15.75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>
        <f>Tabela1316171819[[#This Row],[Valor_recibo]]</f>
        <v>0</v>
      </c>
      <c r="O95" s="16"/>
      <c r="P95" s="1" t="e">
        <f>VLOOKUP(Tabela1316171819[[#This Row],[DT]],Aprovados!A:A,1,0)</f>
        <v>#N/A</v>
      </c>
      <c r="Q95" s="16"/>
      <c r="R95" s="16"/>
      <c r="S95" s="16"/>
      <c r="T95" s="9"/>
      <c r="U95" s="1" t="s">
        <v>315</v>
      </c>
      <c r="V95" s="11"/>
      <c r="W95" s="232"/>
      <c r="X95" s="304"/>
    </row>
    <row r="96" spans="1:24" ht="15.75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>
        <f>Tabela1316171819[[#This Row],[Valor_recibo]]</f>
        <v>0</v>
      </c>
      <c r="O96" s="16"/>
      <c r="P96" s="1" t="e">
        <f>VLOOKUP(Tabela1316171819[[#This Row],[DT]],Aprovados!A:A,1,0)</f>
        <v>#N/A</v>
      </c>
      <c r="Q96" s="16"/>
      <c r="R96" s="16"/>
      <c r="S96" s="16"/>
      <c r="T96" s="9"/>
      <c r="U96" s="1" t="s">
        <v>315</v>
      </c>
      <c r="V96" s="11"/>
      <c r="W96" s="232"/>
      <c r="X96" s="304"/>
    </row>
    <row r="97" spans="1:24" ht="15.75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>
        <f>Tabela1316171819[[#This Row],[Valor_recibo]]</f>
        <v>0</v>
      </c>
      <c r="O97" s="16"/>
      <c r="P97" s="1" t="e">
        <f>VLOOKUP(Tabela1316171819[[#This Row],[DT]],Aprovados!A:A,1,0)</f>
        <v>#N/A</v>
      </c>
      <c r="Q97" s="16"/>
      <c r="R97" s="16"/>
      <c r="S97" s="16"/>
      <c r="T97" s="9"/>
      <c r="U97" s="1" t="s">
        <v>315</v>
      </c>
      <c r="V97" s="11"/>
      <c r="W97" s="232"/>
      <c r="X97" s="304"/>
    </row>
    <row r="98" spans="1:24" ht="15.75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>
        <f>Tabela1316171819[[#This Row],[Valor_recibo]]</f>
        <v>0</v>
      </c>
      <c r="O98" s="16"/>
      <c r="P98" s="1" t="e">
        <f>VLOOKUP(Tabela1316171819[[#This Row],[DT]],Aprovados!A:A,1,0)</f>
        <v>#N/A</v>
      </c>
      <c r="Q98" s="16"/>
      <c r="R98" s="16"/>
      <c r="S98" s="16"/>
      <c r="T98" s="9"/>
      <c r="U98" s="1" t="s">
        <v>315</v>
      </c>
      <c r="V98" s="11"/>
      <c r="W98" s="232"/>
      <c r="X98" s="304"/>
    </row>
    <row r="99" spans="1:24" ht="15.75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>
        <f>Tabela1316171819[[#This Row],[Valor_recibo]]</f>
        <v>0</v>
      </c>
      <c r="O99" s="16"/>
      <c r="P99" s="1" t="e">
        <f>VLOOKUP(Tabela1316171819[[#This Row],[DT]],Aprovados!A:A,1,0)</f>
        <v>#N/A</v>
      </c>
      <c r="Q99" s="16"/>
      <c r="R99" s="16"/>
      <c r="S99" s="16"/>
      <c r="T99" s="9"/>
      <c r="U99" s="1" t="s">
        <v>315</v>
      </c>
      <c r="V99" s="11"/>
      <c r="W99" s="232"/>
      <c r="X99" s="304"/>
    </row>
    <row r="100" spans="1:24" ht="15.75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>
        <f>Tabela1316171819[[#This Row],[Valor_recibo]]</f>
        <v>0</v>
      </c>
      <c r="O100" s="16"/>
      <c r="P100" s="1" t="e">
        <f>VLOOKUP(Tabela1316171819[[#This Row],[DT]],Aprovados!A:A,1,0)</f>
        <v>#N/A</v>
      </c>
      <c r="Q100" s="16"/>
      <c r="R100" s="16"/>
      <c r="S100" s="16"/>
      <c r="T100" s="9"/>
      <c r="U100" s="1" t="s">
        <v>315</v>
      </c>
      <c r="V100" s="11"/>
      <c r="W100" s="232"/>
      <c r="X100" s="304"/>
    </row>
    <row r="101" spans="1:24" ht="15.75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>
        <f>Tabela1316171819[[#This Row],[Valor_recibo]]</f>
        <v>0</v>
      </c>
      <c r="O101" s="16"/>
      <c r="P101" s="1" t="e">
        <f>VLOOKUP(Tabela1316171819[[#This Row],[DT]],Aprovados!A:A,1,0)</f>
        <v>#N/A</v>
      </c>
      <c r="Q101" s="16"/>
      <c r="R101" s="16"/>
      <c r="S101" s="16"/>
      <c r="T101" s="9"/>
      <c r="U101" s="1" t="s">
        <v>315</v>
      </c>
      <c r="V101" s="11"/>
      <c r="W101" s="232"/>
      <c r="X101" s="304"/>
    </row>
    <row r="102" spans="1:24" ht="15.75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>
        <f>Tabela1316171819[[#This Row],[Valor_recibo]]</f>
        <v>0</v>
      </c>
      <c r="O102" s="16"/>
      <c r="P102" s="1" t="e">
        <f>VLOOKUP(Tabela1316171819[[#This Row],[DT]],Aprovados!A:A,1,0)</f>
        <v>#N/A</v>
      </c>
      <c r="Q102" s="16"/>
      <c r="R102" s="16"/>
      <c r="S102" s="16"/>
      <c r="T102" s="9"/>
      <c r="U102" s="1" t="s">
        <v>315</v>
      </c>
      <c r="V102" s="11"/>
      <c r="W102" s="232"/>
      <c r="X102" s="304"/>
    </row>
    <row r="103" spans="1:24" ht="15.75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>
        <f>Tabela1316171819[[#This Row],[Valor_recibo]]</f>
        <v>0</v>
      </c>
      <c r="O103" s="16"/>
      <c r="P103" s="1" t="e">
        <f>VLOOKUP(Tabela1316171819[[#This Row],[DT]],Aprovados!A:A,1,0)</f>
        <v>#N/A</v>
      </c>
      <c r="Q103" s="16"/>
      <c r="R103" s="16"/>
      <c r="S103" s="16"/>
      <c r="T103" s="9"/>
      <c r="U103" s="1" t="s">
        <v>315</v>
      </c>
      <c r="V103" s="11"/>
      <c r="W103" s="232"/>
      <c r="X103" s="304"/>
    </row>
    <row r="104" spans="1:24" ht="15.75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>
        <f>Tabela1316171819[[#This Row],[Valor_recibo]]</f>
        <v>0</v>
      </c>
      <c r="O104" s="16"/>
      <c r="P104" s="1" t="e">
        <f>VLOOKUP(Tabela1316171819[[#This Row],[DT]],Aprovados!A:A,1,0)</f>
        <v>#N/A</v>
      </c>
      <c r="Q104" s="16"/>
      <c r="R104" s="16"/>
      <c r="S104" s="16"/>
      <c r="T104" s="9"/>
      <c r="U104" s="1" t="s">
        <v>315</v>
      </c>
      <c r="V104" s="11"/>
      <c r="W104" s="232"/>
      <c r="X104" s="304"/>
    </row>
    <row r="105" spans="1:24" ht="15.75">
      <c r="A105" s="6"/>
      <c r="B105" s="7"/>
      <c r="C105" s="6"/>
      <c r="D105" s="6"/>
      <c r="E105" s="6"/>
      <c r="F105" s="1"/>
      <c r="G105" s="9"/>
      <c r="H105" s="9"/>
      <c r="I105" s="11"/>
      <c r="J105" s="1"/>
      <c r="K105" s="205" t="s">
        <v>315</v>
      </c>
      <c r="L105" s="1" t="s">
        <v>315</v>
      </c>
      <c r="M105" s="9"/>
      <c r="N105" s="14">
        <f>Tabela1316171819[[#This Row],[Valor_recibo]]</f>
        <v>0</v>
      </c>
      <c r="O105" s="16"/>
      <c r="P105" s="1" t="e">
        <f>VLOOKUP(Tabela1316171819[[#This Row],[DT]],Aprovados!A:A,1,0)</f>
        <v>#N/A</v>
      </c>
      <c r="Q105" s="16"/>
      <c r="R105" s="16"/>
      <c r="S105" s="16"/>
      <c r="T105" s="9"/>
      <c r="U105" s="1" t="s">
        <v>315</v>
      </c>
      <c r="V105" s="11"/>
      <c r="W105" s="232"/>
      <c r="X105" s="304"/>
    </row>
    <row r="106" spans="1:24" ht="15.75">
      <c r="A106" s="67"/>
      <c r="B106" s="68"/>
      <c r="C106" s="67"/>
      <c r="D106" s="67"/>
      <c r="E106" s="67"/>
      <c r="F106" s="71"/>
      <c r="G106" s="72"/>
      <c r="H106" s="72"/>
      <c r="I106" s="256"/>
      <c r="J106" s="71"/>
      <c r="K106" s="205" t="s">
        <v>315</v>
      </c>
      <c r="L106" s="1" t="s">
        <v>315</v>
      </c>
      <c r="M106" s="72"/>
      <c r="N106" s="14">
        <f>Tabela1316171819[[#This Row],[Valor_recibo]]</f>
        <v>0</v>
      </c>
      <c r="O106" s="81"/>
      <c r="P106" s="71" t="e">
        <f>VLOOKUP(Tabela1316171819[[#This Row],[DT]],Aprovados!A:A,1,0)</f>
        <v>#N/A</v>
      </c>
      <c r="Q106" s="81"/>
      <c r="R106" s="81"/>
      <c r="S106" s="81"/>
      <c r="T106" s="72"/>
      <c r="U106" s="1" t="s">
        <v>315</v>
      </c>
      <c r="V106" s="256"/>
      <c r="W106" s="232"/>
      <c r="X106" s="304"/>
    </row>
    <row r="107" spans="1:24" ht="15.75">
      <c r="A107" s="67"/>
      <c r="B107" s="68"/>
      <c r="C107" s="67"/>
      <c r="D107" s="67"/>
      <c r="E107" s="67"/>
      <c r="F107" s="71"/>
      <c r="G107" s="72"/>
      <c r="H107" s="72"/>
      <c r="I107" s="256"/>
      <c r="J107" s="71"/>
      <c r="K107" s="205" t="s">
        <v>315</v>
      </c>
      <c r="L107" s="1" t="s">
        <v>315</v>
      </c>
      <c r="M107" s="72"/>
      <c r="N107" s="14">
        <f>Tabela1316171819[[#This Row],[Valor_recibo]]</f>
        <v>0</v>
      </c>
      <c r="O107" s="81"/>
      <c r="P107" s="71" t="e">
        <f>VLOOKUP(Tabela1316171819[[#This Row],[DT]],Aprovados!A:A,1,0)</f>
        <v>#N/A</v>
      </c>
      <c r="Q107" s="81"/>
      <c r="R107" s="81"/>
      <c r="S107" s="81"/>
      <c r="T107" s="72"/>
      <c r="U107" s="1" t="s">
        <v>315</v>
      </c>
      <c r="V107" s="256"/>
      <c r="W107" s="232"/>
      <c r="X107" s="304"/>
    </row>
    <row r="108" spans="1:24" ht="15.75">
      <c r="A108" s="67"/>
      <c r="B108" s="68"/>
      <c r="C108" s="67"/>
      <c r="D108" s="67"/>
      <c r="E108" s="67"/>
      <c r="F108" s="71"/>
      <c r="G108" s="72"/>
      <c r="H108" s="72"/>
      <c r="I108" s="256"/>
      <c r="J108" s="71"/>
      <c r="K108" s="205" t="s">
        <v>315</v>
      </c>
      <c r="L108" s="1" t="s">
        <v>315</v>
      </c>
      <c r="M108" s="72"/>
      <c r="N108" s="14">
        <f>Tabela1316171819[[#This Row],[Valor_recibo]]</f>
        <v>0</v>
      </c>
      <c r="O108" s="81"/>
      <c r="P108" s="71" t="e">
        <f>VLOOKUP(Tabela1316171819[[#This Row],[DT]],Aprovados!A:A,1,0)</f>
        <v>#N/A</v>
      </c>
      <c r="Q108" s="81"/>
      <c r="R108" s="81"/>
      <c r="S108" s="81"/>
      <c r="T108" s="72"/>
      <c r="U108" s="1" t="s">
        <v>315</v>
      </c>
      <c r="V108" s="256"/>
      <c r="W108" s="232"/>
      <c r="X108" s="304"/>
    </row>
    <row r="109" spans="1:24" ht="15.75">
      <c r="A109" s="67"/>
      <c r="B109" s="68"/>
      <c r="C109" s="67"/>
      <c r="D109" s="67"/>
      <c r="E109" s="67"/>
      <c r="F109" s="71"/>
      <c r="G109" s="72"/>
      <c r="H109" s="72"/>
      <c r="I109" s="256"/>
      <c r="J109" s="71"/>
      <c r="K109" s="205" t="s">
        <v>315</v>
      </c>
      <c r="L109" s="1" t="s">
        <v>315</v>
      </c>
      <c r="M109" s="72"/>
      <c r="N109" s="14">
        <f>Tabela1316171819[[#This Row],[Valor_recibo]]</f>
        <v>0</v>
      </c>
      <c r="O109" s="81"/>
      <c r="P109" s="71" t="e">
        <f>VLOOKUP(Tabela1316171819[[#This Row],[DT]],Aprovados!A:A,1,0)</f>
        <v>#N/A</v>
      </c>
      <c r="Q109" s="81"/>
      <c r="R109" s="81"/>
      <c r="S109" s="81"/>
      <c r="T109" s="72"/>
      <c r="U109" s="1" t="s">
        <v>315</v>
      </c>
      <c r="V109" s="256"/>
      <c r="W109" s="232"/>
      <c r="X109" s="304"/>
    </row>
    <row r="110" spans="1:24" ht="15.75">
      <c r="A110" s="67"/>
      <c r="B110" s="68"/>
      <c r="C110" s="67"/>
      <c r="D110" s="67"/>
      <c r="E110" s="67"/>
      <c r="F110" s="71"/>
      <c r="G110" s="72"/>
      <c r="H110" s="72"/>
      <c r="I110" s="256"/>
      <c r="J110" s="71"/>
      <c r="K110" s="205" t="s">
        <v>315</v>
      </c>
      <c r="L110" s="1" t="s">
        <v>315</v>
      </c>
      <c r="M110" s="72"/>
      <c r="N110" s="14">
        <f>Tabela1316171819[[#This Row],[Valor_recibo]]</f>
        <v>0</v>
      </c>
      <c r="O110" s="81"/>
      <c r="P110" s="71" t="e">
        <f>VLOOKUP(Tabela1316171819[[#This Row],[DT]],Aprovados!A:A,1,0)</f>
        <v>#N/A</v>
      </c>
      <c r="Q110" s="81"/>
      <c r="R110" s="81"/>
      <c r="S110" s="81"/>
      <c r="T110" s="72"/>
      <c r="U110" s="1" t="s">
        <v>315</v>
      </c>
      <c r="V110" s="256"/>
      <c r="W110" s="232"/>
      <c r="X110" s="304"/>
    </row>
    <row r="111" spans="1:24" ht="15.75">
      <c r="A111" s="67"/>
      <c r="B111" s="68"/>
      <c r="C111" s="67"/>
      <c r="D111" s="67"/>
      <c r="E111" s="67"/>
      <c r="F111" s="71"/>
      <c r="G111" s="72"/>
      <c r="H111" s="72"/>
      <c r="I111" s="256"/>
      <c r="J111" s="71"/>
      <c r="K111" s="205" t="s">
        <v>315</v>
      </c>
      <c r="L111" s="1" t="s">
        <v>315</v>
      </c>
      <c r="M111" s="72"/>
      <c r="N111" s="14">
        <f>Tabela1316171819[[#This Row],[Valor_recibo]]</f>
        <v>0</v>
      </c>
      <c r="O111" s="81"/>
      <c r="P111" s="71" t="e">
        <f>VLOOKUP(Tabela1316171819[[#This Row],[DT]],Aprovados!A:A,1,0)</f>
        <v>#N/A</v>
      </c>
      <c r="Q111" s="81"/>
      <c r="R111" s="81"/>
      <c r="S111" s="81"/>
      <c r="T111" s="72"/>
      <c r="U111" s="1" t="s">
        <v>315</v>
      </c>
      <c r="V111" s="256"/>
      <c r="W111" s="232"/>
      <c r="X111" s="304"/>
    </row>
    <row r="112" spans="1:24" ht="15.75">
      <c r="A112" s="67"/>
      <c r="B112" s="68"/>
      <c r="C112" s="67"/>
      <c r="D112" s="67"/>
      <c r="E112" s="67"/>
      <c r="F112" s="71"/>
      <c r="G112" s="72"/>
      <c r="H112" s="72"/>
      <c r="I112" s="256"/>
      <c r="J112" s="71"/>
      <c r="K112" s="205" t="s">
        <v>315</v>
      </c>
      <c r="L112" s="1" t="s">
        <v>315</v>
      </c>
      <c r="M112" s="72"/>
      <c r="N112" s="14">
        <f>Tabela1316171819[[#This Row],[Valor_recibo]]</f>
        <v>0</v>
      </c>
      <c r="O112" s="81"/>
      <c r="P112" s="71" t="e">
        <f>VLOOKUP(Tabela1316171819[[#This Row],[DT]],Aprovados!A:A,1,0)</f>
        <v>#N/A</v>
      </c>
      <c r="Q112" s="81"/>
      <c r="R112" s="81"/>
      <c r="S112" s="81"/>
      <c r="T112" s="72"/>
      <c r="U112" s="1" t="s">
        <v>315</v>
      </c>
      <c r="V112" s="256"/>
      <c r="W112" s="232"/>
      <c r="X112" s="304"/>
    </row>
    <row r="113" spans="1:24" ht="15.75">
      <c r="A113" s="67"/>
      <c r="B113" s="68"/>
      <c r="C113" s="67"/>
      <c r="D113" s="67"/>
      <c r="E113" s="67"/>
      <c r="F113" s="71"/>
      <c r="G113" s="72"/>
      <c r="H113" s="72"/>
      <c r="I113" s="256"/>
      <c r="J113" s="71"/>
      <c r="K113" s="205" t="s">
        <v>315</v>
      </c>
      <c r="L113" s="1" t="s">
        <v>315</v>
      </c>
      <c r="M113" s="72"/>
      <c r="N113" s="14">
        <f>Tabela1316171819[[#This Row],[Valor_recibo]]</f>
        <v>0</v>
      </c>
      <c r="O113" s="81"/>
      <c r="P113" s="71" t="e">
        <f>VLOOKUP(Tabela1316171819[[#This Row],[DT]],Aprovados!A:A,1,0)</f>
        <v>#N/A</v>
      </c>
      <c r="Q113" s="81"/>
      <c r="R113" s="81"/>
      <c r="S113" s="81"/>
      <c r="T113" s="72"/>
      <c r="U113" s="1" t="s">
        <v>315</v>
      </c>
      <c r="V113" s="256"/>
      <c r="W113" s="232"/>
      <c r="X113" s="304"/>
    </row>
    <row r="114" spans="1:24" ht="15.75">
      <c r="A114" s="67"/>
      <c r="B114" s="68"/>
      <c r="C114" s="67"/>
      <c r="D114" s="67"/>
      <c r="E114" s="67"/>
      <c r="F114" s="71"/>
      <c r="G114" s="72"/>
      <c r="H114" s="72"/>
      <c r="I114" s="256"/>
      <c r="J114" s="71"/>
      <c r="K114" s="205" t="s">
        <v>315</v>
      </c>
      <c r="L114" s="1" t="s">
        <v>315</v>
      </c>
      <c r="M114" s="72"/>
      <c r="N114" s="14">
        <f>Tabela1316171819[[#This Row],[Valor_recibo]]</f>
        <v>0</v>
      </c>
      <c r="O114" s="81"/>
      <c r="P114" s="71" t="e">
        <f>VLOOKUP(Tabela1316171819[[#This Row],[DT]],Aprovados!A:A,1,0)</f>
        <v>#N/A</v>
      </c>
      <c r="Q114" s="81"/>
      <c r="R114" s="81"/>
      <c r="S114" s="81"/>
      <c r="T114" s="72"/>
      <c r="U114" s="1" t="s">
        <v>315</v>
      </c>
      <c r="V114" s="256"/>
      <c r="W114" s="232"/>
      <c r="X114" s="304"/>
    </row>
    <row r="115" spans="1:24" ht="15.75">
      <c r="A115" s="67"/>
      <c r="B115" s="7"/>
      <c r="C115" s="67"/>
      <c r="D115" s="67"/>
      <c r="E115" s="67"/>
      <c r="F115" s="71"/>
      <c r="G115" s="72"/>
      <c r="H115" s="72"/>
      <c r="I115" s="256"/>
      <c r="J115" s="71"/>
      <c r="K115" s="205" t="s">
        <v>315</v>
      </c>
      <c r="L115" s="1" t="s">
        <v>315</v>
      </c>
      <c r="M115" s="72"/>
      <c r="N115" s="14">
        <f>Tabela1316171819[[#This Row],[Valor_recibo]]</f>
        <v>0</v>
      </c>
      <c r="O115" s="81"/>
      <c r="P115" s="71" t="e">
        <f>VLOOKUP(Tabela1316171819[[#This Row],[DT]],Aprovados!A:A,1,0)</f>
        <v>#N/A</v>
      </c>
      <c r="Q115" s="81"/>
      <c r="R115" s="81"/>
      <c r="S115" s="81"/>
      <c r="T115" s="72"/>
      <c r="U115" s="1" t="s">
        <v>315</v>
      </c>
      <c r="V115" s="256"/>
      <c r="W115" s="232"/>
      <c r="X115" s="304"/>
    </row>
    <row r="116" spans="1:24" ht="15.75">
      <c r="A116" s="67"/>
      <c r="B116" s="7"/>
      <c r="C116" s="6"/>
      <c r="D116" s="6"/>
      <c r="E116" s="6"/>
      <c r="F116" s="1"/>
      <c r="G116" s="9"/>
      <c r="H116" s="9"/>
      <c r="I116" s="11"/>
      <c r="J116" s="1"/>
      <c r="K116" s="205" t="s">
        <v>315</v>
      </c>
      <c r="L116" s="1" t="s">
        <v>315</v>
      </c>
      <c r="M116" s="9"/>
      <c r="N116" s="14">
        <f>Tabela1316171819[[#This Row],[Valor_recibo]]</f>
        <v>0</v>
      </c>
      <c r="O116" s="16"/>
      <c r="P116" s="1" t="e">
        <f>VLOOKUP(Tabela1316171819[[#This Row],[DT]],Aprovados!A:A,1,0)</f>
        <v>#N/A</v>
      </c>
      <c r="Q116" s="16"/>
      <c r="R116" s="16"/>
      <c r="S116" s="16"/>
      <c r="T116" s="9"/>
      <c r="U116" s="1" t="s">
        <v>315</v>
      </c>
      <c r="V116" s="11"/>
      <c r="W116" s="232"/>
      <c r="X116" s="304"/>
    </row>
    <row r="117" spans="1:24" ht="15.75">
      <c r="A117" s="67"/>
      <c r="B117" s="7"/>
      <c r="C117" s="6"/>
      <c r="D117" s="6"/>
      <c r="E117" s="6"/>
      <c r="F117" s="1"/>
      <c r="G117" s="9"/>
      <c r="H117" s="9"/>
      <c r="I117" s="11"/>
      <c r="J117" s="1"/>
      <c r="K117" s="205" t="s">
        <v>315</v>
      </c>
      <c r="L117" s="1" t="s">
        <v>315</v>
      </c>
      <c r="M117" s="9"/>
      <c r="N117" s="14">
        <f>Tabela1316171819[[#This Row],[Valor_recibo]]</f>
        <v>0</v>
      </c>
      <c r="O117" s="16"/>
      <c r="P117" s="1" t="e">
        <f>VLOOKUP(Tabela1316171819[[#This Row],[DT]],Aprovados!A:A,1,0)</f>
        <v>#N/A</v>
      </c>
      <c r="Q117" s="16"/>
      <c r="R117" s="16"/>
      <c r="S117" s="16"/>
      <c r="T117" s="9"/>
      <c r="U117" s="1" t="s">
        <v>315</v>
      </c>
      <c r="V117" s="11"/>
      <c r="W117" s="232"/>
      <c r="X117" s="304"/>
    </row>
    <row r="118" spans="1:24" ht="15.75">
      <c r="A118" s="67"/>
      <c r="B118" s="7"/>
      <c r="C118" s="6"/>
      <c r="D118" s="6"/>
      <c r="E118" s="6"/>
      <c r="F118" s="9"/>
      <c r="G118" s="9"/>
      <c r="H118" s="9"/>
      <c r="I118" s="11"/>
      <c r="J118" s="1"/>
      <c r="K118" s="205" t="s">
        <v>315</v>
      </c>
      <c r="L118" s="1" t="s">
        <v>315</v>
      </c>
      <c r="M118" s="9"/>
      <c r="N118" s="14">
        <f>Tabela1316171819[[#This Row],[Valor_recibo]]</f>
        <v>0</v>
      </c>
      <c r="O118" s="16"/>
      <c r="P118" s="1" t="e">
        <f>VLOOKUP(Tabela1316171819[[#This Row],[DT]],Aprovados!A:A,1,0)</f>
        <v>#N/A</v>
      </c>
      <c r="Q118" s="16"/>
      <c r="R118" s="16"/>
      <c r="S118" s="16"/>
      <c r="T118" s="9"/>
      <c r="U118" s="1" t="s">
        <v>315</v>
      </c>
      <c r="V118" s="11"/>
      <c r="W118" s="232"/>
      <c r="X118" s="304"/>
    </row>
    <row r="119" spans="1:24" ht="15.75">
      <c r="A119" s="67"/>
      <c r="B119" s="7"/>
      <c r="C119" s="6"/>
      <c r="D119" s="6"/>
      <c r="E119" s="6"/>
      <c r="F119" s="1"/>
      <c r="G119" s="9"/>
      <c r="H119" s="9"/>
      <c r="I119" s="11"/>
      <c r="J119" s="1"/>
      <c r="K119" s="205" t="s">
        <v>315</v>
      </c>
      <c r="L119" s="1" t="s">
        <v>315</v>
      </c>
      <c r="M119" s="9"/>
      <c r="N119" s="14">
        <f>Tabela1316171819[[#This Row],[Valor_recibo]]</f>
        <v>0</v>
      </c>
      <c r="O119" s="16"/>
      <c r="P119" s="1" t="e">
        <f>VLOOKUP(Tabela1316171819[[#This Row],[DT]],Aprovados!A:A,1,0)</f>
        <v>#N/A</v>
      </c>
      <c r="Q119" s="16"/>
      <c r="R119" s="16"/>
      <c r="S119" s="16"/>
      <c r="T119" s="9"/>
      <c r="U119" s="1" t="s">
        <v>315</v>
      </c>
      <c r="V119" s="11"/>
      <c r="W119" s="232"/>
      <c r="X119" s="304"/>
    </row>
    <row r="120" spans="1:24" ht="15.75">
      <c r="A120" s="67"/>
      <c r="B120" s="7"/>
      <c r="C120" s="6"/>
      <c r="D120" s="6"/>
      <c r="E120" s="6"/>
      <c r="F120" s="1"/>
      <c r="G120" s="9"/>
      <c r="H120" s="9"/>
      <c r="I120" s="11"/>
      <c r="J120" s="1"/>
      <c r="K120" s="205" t="s">
        <v>315</v>
      </c>
      <c r="L120" s="1" t="s">
        <v>315</v>
      </c>
      <c r="M120" s="9"/>
      <c r="N120" s="14">
        <f>Tabela1316171819[[#This Row],[Valor_recibo]]</f>
        <v>0</v>
      </c>
      <c r="O120" s="16"/>
      <c r="P120" s="1" t="e">
        <f>VLOOKUP(Tabela1316171819[[#This Row],[DT]],Aprovados!A:A,1,0)</f>
        <v>#N/A</v>
      </c>
      <c r="Q120" s="16"/>
      <c r="R120" s="16"/>
      <c r="S120" s="16"/>
      <c r="T120" s="9"/>
      <c r="U120" s="1" t="s">
        <v>315</v>
      </c>
      <c r="V120" s="11"/>
      <c r="W120" s="232"/>
      <c r="X120" s="304"/>
    </row>
    <row r="121" spans="1:24" ht="15.75">
      <c r="A121" s="67"/>
      <c r="B121" s="7"/>
      <c r="C121" s="6"/>
      <c r="D121" s="6"/>
      <c r="E121" s="6"/>
      <c r="F121" s="1"/>
      <c r="G121" s="9"/>
      <c r="H121" s="9"/>
      <c r="I121" s="11"/>
      <c r="J121" s="1"/>
      <c r="K121" s="205" t="s">
        <v>315</v>
      </c>
      <c r="L121" s="1" t="s">
        <v>315</v>
      </c>
      <c r="M121" s="9"/>
      <c r="N121" s="14">
        <f>Tabela1316171819[[#This Row],[Valor_recibo]]</f>
        <v>0</v>
      </c>
      <c r="O121" s="16"/>
      <c r="P121" s="1" t="e">
        <f>VLOOKUP(Tabela1316171819[[#This Row],[DT]],Aprovados!A:A,1,0)</f>
        <v>#N/A</v>
      </c>
      <c r="Q121" s="16"/>
      <c r="R121" s="16"/>
      <c r="S121" s="16"/>
      <c r="T121" s="9"/>
      <c r="U121" s="1" t="s">
        <v>315</v>
      </c>
      <c r="V121" s="11"/>
      <c r="W121" s="232"/>
      <c r="X121" s="304"/>
    </row>
    <row r="122" spans="1:24" ht="15.75">
      <c r="A122" s="6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>
        <f>Tabela1316171819[[#This Row],[Valor_recibo]]</f>
        <v>0</v>
      </c>
      <c r="O122" s="16"/>
      <c r="P122" s="1" t="e">
        <f>VLOOKUP(Tabela1316171819[[#This Row],[DT]],Aprovados!A:A,1,0)</f>
        <v>#N/A</v>
      </c>
      <c r="Q122" s="16"/>
      <c r="R122" s="16"/>
      <c r="S122" s="16"/>
      <c r="T122" s="9"/>
      <c r="U122" s="1" t="s">
        <v>315</v>
      </c>
      <c r="V122" s="11"/>
      <c r="W122" s="232"/>
      <c r="X122" s="304"/>
    </row>
    <row r="123" spans="1:24" ht="15.75">
      <c r="A123" s="67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>
        <f>Tabela1316171819[[#This Row],[Valor_recibo]]</f>
        <v>0</v>
      </c>
      <c r="O123" s="16"/>
      <c r="P123" s="1" t="e">
        <f>VLOOKUP(Tabela1316171819[[#This Row],[DT]],Aprovados!A:A,1,0)</f>
        <v>#N/A</v>
      </c>
      <c r="Q123" s="16"/>
      <c r="R123" s="16"/>
      <c r="S123" s="16"/>
      <c r="T123" s="9"/>
      <c r="U123" s="1" t="s">
        <v>315</v>
      </c>
      <c r="V123" s="11"/>
      <c r="W123" s="232"/>
      <c r="X123" s="304"/>
    </row>
    <row r="124" spans="1:24" ht="15.75">
      <c r="A124" s="67"/>
      <c r="B124" s="7"/>
      <c r="C124" s="6"/>
      <c r="D124" s="6"/>
      <c r="E124" s="6"/>
      <c r="F124" s="1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>
        <f>Tabela1316171819[[#This Row],[Valor_recibo]]</f>
        <v>0</v>
      </c>
      <c r="O124" s="16"/>
      <c r="P124" s="1" t="e">
        <f>VLOOKUP(Tabela1316171819[[#This Row],[DT]],Aprovados!A:A,1,0)</f>
        <v>#N/A</v>
      </c>
      <c r="Q124" s="16"/>
      <c r="R124" s="16"/>
      <c r="S124" s="16"/>
      <c r="T124" s="9"/>
      <c r="U124" s="1" t="s">
        <v>315</v>
      </c>
      <c r="V124" s="11"/>
      <c r="W124" s="232"/>
      <c r="X124" s="304"/>
    </row>
    <row r="125" spans="1:24" ht="15.75">
      <c r="A125" s="67"/>
      <c r="B125" s="7"/>
      <c r="C125" s="6"/>
      <c r="D125" s="258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>
        <f>Tabela1316171819[[#This Row],[Valor_recibo]]</f>
        <v>0</v>
      </c>
      <c r="O125" s="16"/>
      <c r="P125" s="1" t="e">
        <f>VLOOKUP(Tabela1316171819[[#This Row],[DT]],Aprovados!A:A,1,0)</f>
        <v>#N/A</v>
      </c>
      <c r="Q125" s="16"/>
      <c r="R125" s="16"/>
      <c r="S125" s="16"/>
      <c r="T125" s="9"/>
      <c r="U125" s="1" t="s">
        <v>315</v>
      </c>
      <c r="V125" s="11"/>
      <c r="W125" s="232"/>
      <c r="X125" s="304"/>
    </row>
    <row r="126" spans="1:24" ht="15.75">
      <c r="A126" s="67"/>
      <c r="B126" s="7"/>
      <c r="C126" s="6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>
        <f>Tabela1316171819[[#This Row],[Valor_recibo]]</f>
        <v>0</v>
      </c>
      <c r="O126" s="16"/>
      <c r="P126" s="1" t="e">
        <f>VLOOKUP(Tabela1316171819[[#This Row],[DT]],Aprovados!A:A,1,0)</f>
        <v>#N/A</v>
      </c>
      <c r="Q126" s="16"/>
      <c r="R126" s="16"/>
      <c r="S126" s="16"/>
      <c r="T126" s="9"/>
      <c r="U126" s="1" t="s">
        <v>315</v>
      </c>
      <c r="V126" s="11"/>
      <c r="W126" s="232"/>
      <c r="X126" s="304"/>
    </row>
    <row r="127" spans="1:24" ht="15.75">
      <c r="A127" s="67"/>
      <c r="B127" s="7"/>
      <c r="C127" s="6"/>
      <c r="D127" s="258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>
        <f>Tabela1316171819[[#This Row],[Valor_recibo]]</f>
        <v>0</v>
      </c>
      <c r="O127" s="16"/>
      <c r="P127" s="1" t="e">
        <f>VLOOKUP(Tabela1316171819[[#This Row],[DT]],Aprovados!A:A,1,0)</f>
        <v>#N/A</v>
      </c>
      <c r="Q127" s="16"/>
      <c r="R127" s="16"/>
      <c r="S127" s="16"/>
      <c r="T127" s="9"/>
      <c r="U127" s="1" t="s">
        <v>315</v>
      </c>
      <c r="V127" s="11"/>
      <c r="W127" s="232"/>
      <c r="X127" s="304"/>
    </row>
    <row r="128" spans="1:24" ht="15.75">
      <c r="A128" s="259"/>
      <c r="B128" s="7"/>
      <c r="C128" s="6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>
        <f>Tabela1316171819[[#This Row],[Valor_recibo]]</f>
        <v>0</v>
      </c>
      <c r="O128" s="16"/>
      <c r="P128" s="1" t="e">
        <f>VLOOKUP(Tabela1316171819[[#This Row],[DT]],Aprovados!A:A,1,0)</f>
        <v>#N/A</v>
      </c>
      <c r="Q128" s="16"/>
      <c r="R128" s="16"/>
      <c r="S128" s="16"/>
      <c r="T128" s="9"/>
      <c r="U128" s="1" t="s">
        <v>315</v>
      </c>
      <c r="V128" s="11"/>
      <c r="W128" s="232"/>
      <c r="X128" s="304"/>
    </row>
    <row r="129" spans="1:24" ht="15.75">
      <c r="A129" s="67"/>
      <c r="B129" s="7"/>
      <c r="C129" s="6"/>
      <c r="D129" s="258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>
        <f>Tabela1316171819[[#This Row],[Valor_recibo]]</f>
        <v>0</v>
      </c>
      <c r="O129" s="16"/>
      <c r="P129" s="1" t="e">
        <f>VLOOKUP(Tabela1316171819[[#This Row],[DT]],Aprovados!A:A,1,0)</f>
        <v>#N/A</v>
      </c>
      <c r="Q129" s="16"/>
      <c r="R129" s="16"/>
      <c r="S129" s="16"/>
      <c r="T129" s="9"/>
      <c r="U129" s="1" t="s">
        <v>315</v>
      </c>
      <c r="V129" s="11"/>
      <c r="W129" s="232"/>
      <c r="X129" s="304"/>
    </row>
    <row r="130" spans="1:24" ht="15.75">
      <c r="A130" s="67"/>
      <c r="B130" s="7"/>
      <c r="C130" s="6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>
        <f>Tabela1316171819[[#This Row],[Valor_recibo]]</f>
        <v>0</v>
      </c>
      <c r="O130" s="16"/>
      <c r="P130" s="1" t="e">
        <f>VLOOKUP(Tabela1316171819[[#This Row],[DT]],Aprovados!A:A,1,0)</f>
        <v>#N/A</v>
      </c>
      <c r="Q130" s="16"/>
      <c r="R130" s="16"/>
      <c r="S130" s="16"/>
      <c r="T130" s="9"/>
      <c r="U130" s="1" t="s">
        <v>315</v>
      </c>
      <c r="V130" s="11"/>
      <c r="W130" s="232"/>
      <c r="X130" s="304"/>
    </row>
    <row r="131" spans="1:24" ht="15.75">
      <c r="A131" s="67"/>
      <c r="B131" s="7"/>
      <c r="C131" s="6"/>
      <c r="D131" s="258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>
        <f>Tabela1316171819[[#This Row],[Valor_recibo]]</f>
        <v>0</v>
      </c>
      <c r="O131" s="16"/>
      <c r="P131" s="1" t="e">
        <f>VLOOKUP(Tabela1316171819[[#This Row],[DT]],Aprovados!A:A,1,0)</f>
        <v>#N/A</v>
      </c>
      <c r="Q131" s="16"/>
      <c r="R131" s="16"/>
      <c r="S131" s="16"/>
      <c r="T131" s="9"/>
      <c r="U131" s="1" t="s">
        <v>315</v>
      </c>
      <c r="V131" s="11"/>
      <c r="W131" s="232"/>
      <c r="X131" s="304"/>
    </row>
    <row r="132" spans="1:24" ht="15.75">
      <c r="A132" s="67"/>
      <c r="B132" s="7"/>
      <c r="C132" s="6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>
        <f>Tabela1316171819[[#This Row],[Valor_recibo]]</f>
        <v>0</v>
      </c>
      <c r="O132" s="16"/>
      <c r="P132" s="1" t="e">
        <f>VLOOKUP(Tabela1316171819[[#This Row],[DT]],Aprovados!A:A,1,0)</f>
        <v>#N/A</v>
      </c>
      <c r="Q132" s="16"/>
      <c r="R132" s="16"/>
      <c r="S132" s="16"/>
      <c r="T132" s="9"/>
      <c r="U132" s="1" t="s">
        <v>315</v>
      </c>
      <c r="V132" s="11"/>
      <c r="W132" s="232"/>
      <c r="X132" s="304"/>
    </row>
    <row r="133" spans="1:24" ht="15.75">
      <c r="A133" s="67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>
        <f>Tabela1316171819[[#This Row],[Valor_recibo]]</f>
        <v>0</v>
      </c>
      <c r="O133" s="16"/>
      <c r="P133" s="1" t="e">
        <f>VLOOKUP(Tabela1316171819[[#This Row],[DT]],Aprovados!A:A,1,0)</f>
        <v>#N/A</v>
      </c>
      <c r="Q133" s="16"/>
      <c r="R133" s="16"/>
      <c r="S133" s="16"/>
      <c r="T133" s="9"/>
      <c r="U133" s="1" t="s">
        <v>315</v>
      </c>
      <c r="V133" s="11"/>
      <c r="W133" s="232"/>
      <c r="X133" s="304"/>
    </row>
    <row r="134" spans="1:24" ht="15.75">
      <c r="A134" s="67"/>
      <c r="B134" s="7"/>
      <c r="C134" s="6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>
        <f>Tabela1316171819[[#This Row],[Valor_recibo]]</f>
        <v>0</v>
      </c>
      <c r="O134" s="16"/>
      <c r="P134" s="1" t="e">
        <f>VLOOKUP(Tabela1316171819[[#This Row],[DT]],Aprovados!A:A,1,0)</f>
        <v>#N/A</v>
      </c>
      <c r="Q134" s="16"/>
      <c r="R134" s="16"/>
      <c r="S134" s="16"/>
      <c r="T134" s="9"/>
      <c r="U134" s="1" t="s">
        <v>315</v>
      </c>
      <c r="V134" s="11"/>
      <c r="W134" s="232"/>
      <c r="X134" s="304"/>
    </row>
    <row r="135" spans="1:24" ht="15.75">
      <c r="A135" s="67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>
        <f>Tabela1316171819[[#This Row],[Valor_recibo]]</f>
        <v>0</v>
      </c>
      <c r="O135" s="16"/>
      <c r="P135" s="1" t="e">
        <f>VLOOKUP(Tabela1316171819[[#This Row],[DT]],Aprovados!A:A,1,0)</f>
        <v>#N/A</v>
      </c>
      <c r="Q135" s="16"/>
      <c r="R135" s="16"/>
      <c r="S135" s="16"/>
      <c r="T135" s="9"/>
      <c r="U135" s="1" t="s">
        <v>315</v>
      </c>
      <c r="V135" s="256"/>
      <c r="W135" s="232"/>
      <c r="X135" s="304"/>
    </row>
    <row r="136" spans="1:24" ht="15.75">
      <c r="A136" s="67"/>
      <c r="B136" s="7"/>
      <c r="C136" s="6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>
        <f>Tabela1316171819[[#This Row],[Valor_recibo]]</f>
        <v>0</v>
      </c>
      <c r="O136" s="16"/>
      <c r="P136" s="1" t="e">
        <f>VLOOKUP(Tabela1316171819[[#This Row],[DT]],Aprovados!A:A,1,0)</f>
        <v>#N/A</v>
      </c>
      <c r="Q136" s="16"/>
      <c r="R136" s="16"/>
      <c r="S136" s="16"/>
      <c r="T136" s="9"/>
      <c r="U136" s="1" t="s">
        <v>315</v>
      </c>
      <c r="V136" s="11"/>
      <c r="W136" s="232"/>
      <c r="X136" s="304"/>
    </row>
    <row r="137" spans="1:24" ht="15.75">
      <c r="A137" s="67"/>
      <c r="B137" s="7"/>
      <c r="C137" s="6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>
        <f>Tabela1316171819[[#This Row],[Valor_recibo]]</f>
        <v>0</v>
      </c>
      <c r="O137" s="16"/>
      <c r="P137" s="1" t="e">
        <f>VLOOKUP(Tabela1316171819[[#This Row],[DT]],Aprovados!A:A,1,0)</f>
        <v>#N/A</v>
      </c>
      <c r="Q137" s="16"/>
      <c r="R137" s="16"/>
      <c r="S137" s="16"/>
      <c r="T137" s="9"/>
      <c r="U137" s="1" t="s">
        <v>315</v>
      </c>
      <c r="V137" s="11"/>
      <c r="W137" s="232"/>
      <c r="X137" s="304"/>
    </row>
    <row r="138" spans="1:24" ht="15.75">
      <c r="A138" s="67"/>
      <c r="B138" s="7"/>
      <c r="C138" s="6"/>
      <c r="D138" s="258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>
        <f>Tabela1316171819[[#This Row],[Valor_recibo]]</f>
        <v>0</v>
      </c>
      <c r="O138" s="16"/>
      <c r="P138" s="1" t="e">
        <f>VLOOKUP(Tabela1316171819[[#This Row],[DT]],Aprovados!A:A,1,0)</f>
        <v>#N/A</v>
      </c>
      <c r="Q138" s="16"/>
      <c r="R138" s="16"/>
      <c r="S138" s="16"/>
      <c r="T138" s="9"/>
      <c r="U138" s="1" t="s">
        <v>315</v>
      </c>
      <c r="V138" s="11"/>
      <c r="W138" s="232"/>
      <c r="X138" s="304"/>
    </row>
    <row r="139" spans="1:24" ht="15.75">
      <c r="A139" s="67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>
        <f>Tabela1316171819[[#This Row],[Valor_recibo]]</f>
        <v>0</v>
      </c>
      <c r="O139" s="16"/>
      <c r="P139" s="1" t="e">
        <f>VLOOKUP(Tabela1316171819[[#This Row],[DT]],Aprovados!A:A,1,0)</f>
        <v>#N/A</v>
      </c>
      <c r="Q139" s="16"/>
      <c r="R139" s="16"/>
      <c r="S139" s="16"/>
      <c r="T139" s="9"/>
      <c r="U139" s="1" t="s">
        <v>315</v>
      </c>
      <c r="V139" s="11"/>
      <c r="W139" s="232"/>
      <c r="X139" s="304"/>
    </row>
    <row r="140" spans="1:24" ht="15.75">
      <c r="A140" s="67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>
        <f>Tabela1316171819[[#This Row],[Valor_recibo]]</f>
        <v>0</v>
      </c>
      <c r="O140" s="16"/>
      <c r="P140" s="1" t="e">
        <f>VLOOKUP(Tabela1316171819[[#This Row],[DT]],Aprovados!A:A,1,0)</f>
        <v>#N/A</v>
      </c>
      <c r="Q140" s="16"/>
      <c r="R140" s="16"/>
      <c r="S140" s="16"/>
      <c r="T140" s="9"/>
      <c r="U140" s="1" t="s">
        <v>315</v>
      </c>
      <c r="V140" s="11"/>
      <c r="W140" s="232"/>
      <c r="X140" s="304"/>
    </row>
    <row r="141" spans="1:24" ht="15.75">
      <c r="A141" s="67"/>
      <c r="B141" s="7"/>
      <c r="C141" s="6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>
        <f>Tabela1316171819[[#This Row],[Valor_recibo]]</f>
        <v>0</v>
      </c>
      <c r="O141" s="16"/>
      <c r="P141" s="1" t="e">
        <f>VLOOKUP(Tabela1316171819[[#This Row],[DT]],Aprovados!A:A,1,0)</f>
        <v>#N/A</v>
      </c>
      <c r="Q141" s="16"/>
      <c r="R141" s="16"/>
      <c r="S141" s="16"/>
      <c r="T141" s="9"/>
      <c r="U141" s="1" t="s">
        <v>315</v>
      </c>
      <c r="V141" s="11"/>
      <c r="W141" s="232"/>
      <c r="X141" s="304"/>
    </row>
    <row r="142" spans="1:24" ht="15.75">
      <c r="A142" s="67"/>
      <c r="B142" s="7"/>
      <c r="C142" s="6"/>
      <c r="D142" s="1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>
        <f>Tabela1316171819[[#This Row],[Valor_recibo]]</f>
        <v>0</v>
      </c>
      <c r="O142" s="16"/>
      <c r="P142" s="1" t="e">
        <f>VLOOKUP(Tabela1316171819[[#This Row],[DT]],Aprovados!A:A,1,0)</f>
        <v>#N/A</v>
      </c>
      <c r="Q142" s="16"/>
      <c r="R142" s="16"/>
      <c r="S142" s="16"/>
      <c r="T142" s="9"/>
      <c r="U142" s="1" t="s">
        <v>315</v>
      </c>
      <c r="V142" s="11"/>
      <c r="W142" s="232"/>
      <c r="X142" s="304"/>
    </row>
    <row r="143" spans="1:24" ht="15.75">
      <c r="A143" s="67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>
        <f>Tabela1316171819[[#This Row],[Valor_recibo]]</f>
        <v>0</v>
      </c>
      <c r="O143" s="16"/>
      <c r="P143" s="1" t="e">
        <f>VLOOKUP(Tabela1316171819[[#This Row],[DT]],Aprovados!A:A,1,0)</f>
        <v>#N/A</v>
      </c>
      <c r="Q143" s="16"/>
      <c r="R143" s="16"/>
      <c r="S143" s="16"/>
      <c r="T143" s="9"/>
      <c r="U143" s="1" t="s">
        <v>315</v>
      </c>
      <c r="V143" s="11"/>
      <c r="W143" s="232"/>
      <c r="X143" s="304"/>
    </row>
    <row r="144" spans="1:24" ht="15.75">
      <c r="A144" s="67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>
        <f>Tabela1316171819[[#This Row],[Valor_recibo]]</f>
        <v>0</v>
      </c>
      <c r="O144" s="16"/>
      <c r="P144" s="1" t="e">
        <f>VLOOKUP(Tabela1316171819[[#This Row],[DT]],Aprovados!A:A,1,0)</f>
        <v>#N/A</v>
      </c>
      <c r="Q144" s="16"/>
      <c r="R144" s="16"/>
      <c r="S144" s="16"/>
      <c r="T144" s="9"/>
      <c r="U144" s="1" t="s">
        <v>315</v>
      </c>
      <c r="V144" s="11"/>
      <c r="W144" s="232"/>
      <c r="X144" s="304"/>
    </row>
    <row r="145" spans="1:24" ht="15.75">
      <c r="A145" s="67"/>
      <c r="B145" s="7"/>
      <c r="C145" s="6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>
        <f>Tabela1316171819[[#This Row],[Valor_recibo]]</f>
        <v>0</v>
      </c>
      <c r="O145" s="16"/>
      <c r="P145" s="1" t="e">
        <f>VLOOKUP(Tabela1316171819[[#This Row],[DT]],Aprovados!A:A,1,0)</f>
        <v>#N/A</v>
      </c>
      <c r="Q145" s="16"/>
      <c r="R145" s="16"/>
      <c r="S145" s="16"/>
      <c r="T145" s="9"/>
      <c r="U145" s="1" t="s">
        <v>315</v>
      </c>
      <c r="V145" s="11"/>
      <c r="W145" s="232"/>
      <c r="X145" s="304"/>
    </row>
    <row r="146" spans="1:24" ht="15.75">
      <c r="A146" s="67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>
        <f>Tabela1316171819[[#This Row],[Valor_recibo]]</f>
        <v>0</v>
      </c>
      <c r="O146" s="16"/>
      <c r="P146" s="1" t="e">
        <f>VLOOKUP(Tabela1316171819[[#This Row],[DT]],Aprovados!A:A,1,0)</f>
        <v>#N/A</v>
      </c>
      <c r="Q146" s="16"/>
      <c r="R146" s="16"/>
      <c r="S146" s="16"/>
      <c r="T146" s="9"/>
      <c r="U146" s="1" t="s">
        <v>315</v>
      </c>
      <c r="V146" s="11"/>
      <c r="W146" s="232"/>
      <c r="X146" s="304"/>
    </row>
    <row r="147" spans="1:24" ht="15.75">
      <c r="A147" s="67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>
        <f>Tabela1316171819[[#This Row],[Valor_recibo]]</f>
        <v>0</v>
      </c>
      <c r="O147" s="16"/>
      <c r="P147" s="1" t="e">
        <f>VLOOKUP(Tabela1316171819[[#This Row],[DT]],Aprovados!A:A,1,0)</f>
        <v>#N/A</v>
      </c>
      <c r="Q147" s="16"/>
      <c r="R147" s="16"/>
      <c r="S147" s="16"/>
      <c r="T147" s="9"/>
      <c r="U147" s="1" t="s">
        <v>315</v>
      </c>
      <c r="V147" s="11"/>
      <c r="W147" s="232"/>
      <c r="X147" s="304"/>
    </row>
    <row r="148" spans="1:24" ht="15.75">
      <c r="A148" s="67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>
        <f>Tabela1316171819[[#This Row],[Valor_recibo]]</f>
        <v>0</v>
      </c>
      <c r="O148" s="16"/>
      <c r="P148" s="1" t="e">
        <f>VLOOKUP(Tabela1316171819[[#This Row],[DT]],Aprovados!A:A,1,0)</f>
        <v>#N/A</v>
      </c>
      <c r="Q148" s="16"/>
      <c r="R148" s="16"/>
      <c r="S148" s="16"/>
      <c r="T148" s="9"/>
      <c r="U148" s="1" t="s">
        <v>315</v>
      </c>
      <c r="V148" s="11"/>
      <c r="W148" s="232"/>
      <c r="X148" s="304"/>
    </row>
    <row r="149" spans="1:24" ht="15.75">
      <c r="A149" s="67"/>
      <c r="B149" s="7"/>
      <c r="C149" s="6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>
        <f>Tabela1316171819[[#This Row],[Valor_recibo]]</f>
        <v>0</v>
      </c>
      <c r="O149" s="16"/>
      <c r="P149" s="1" t="e">
        <f>VLOOKUP(Tabela1316171819[[#This Row],[DT]],Aprovados!A:A,1,0)</f>
        <v>#N/A</v>
      </c>
      <c r="Q149" s="16"/>
      <c r="R149" s="16"/>
      <c r="S149" s="16"/>
      <c r="T149" s="9"/>
      <c r="U149" s="1" t="s">
        <v>315</v>
      </c>
      <c r="V149" s="11"/>
      <c r="W149" s="232"/>
      <c r="X149" s="304"/>
    </row>
    <row r="150" spans="1:24" ht="15.75">
      <c r="A150" s="6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>
        <f>Tabela1316171819[[#This Row],[Valor_recibo]]</f>
        <v>0</v>
      </c>
      <c r="O150" s="16"/>
      <c r="P150" s="1" t="e">
        <f>VLOOKUP(Tabela1316171819[[#This Row],[DT]],Aprovados!A:A,1,0)</f>
        <v>#N/A</v>
      </c>
      <c r="Q150" s="16"/>
      <c r="R150" s="16"/>
      <c r="S150" s="16"/>
      <c r="T150" s="9"/>
      <c r="U150" s="1" t="s">
        <v>315</v>
      </c>
      <c r="V150" s="11"/>
      <c r="W150" s="232"/>
      <c r="X150" s="304"/>
    </row>
    <row r="151" spans="1:24" ht="15.75">
      <c r="A151" s="6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>
        <f>Tabela1316171819[[#This Row],[Valor_recibo]]</f>
        <v>0</v>
      </c>
      <c r="O151" s="16"/>
      <c r="P151" s="1" t="e">
        <f>VLOOKUP(Tabela1316171819[[#This Row],[DT]],Aprovados!A:A,1,0)</f>
        <v>#N/A</v>
      </c>
      <c r="Q151" s="16"/>
      <c r="R151" s="16"/>
      <c r="S151" s="16"/>
      <c r="T151" s="9"/>
      <c r="U151" s="1" t="s">
        <v>315</v>
      </c>
      <c r="V151" s="11"/>
      <c r="W151" s="232"/>
      <c r="X151" s="304"/>
    </row>
    <row r="152" spans="1:24" ht="15.75">
      <c r="A152" s="6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>
        <f>Tabela1316171819[[#This Row],[Valor_recibo]]</f>
        <v>0</v>
      </c>
      <c r="O152" s="16"/>
      <c r="P152" s="1" t="e">
        <f>VLOOKUP(Tabela1316171819[[#This Row],[DT]],Aprovados!A:A,1,0)</f>
        <v>#N/A</v>
      </c>
      <c r="Q152" s="16"/>
      <c r="R152" s="16"/>
      <c r="S152" s="16"/>
      <c r="T152" s="9"/>
      <c r="U152" s="1" t="s">
        <v>315</v>
      </c>
      <c r="V152" s="11"/>
      <c r="W152" s="232"/>
      <c r="X152" s="304"/>
    </row>
    <row r="153" spans="1:24" ht="15.75">
      <c r="A153" s="6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>
        <f>Tabela1316171819[[#This Row],[Valor_recibo]]</f>
        <v>0</v>
      </c>
      <c r="O153" s="16"/>
      <c r="P153" s="1" t="e">
        <f>VLOOKUP(Tabela1316171819[[#This Row],[DT]],Aprovados!A:A,1,0)</f>
        <v>#N/A</v>
      </c>
      <c r="Q153" s="16"/>
      <c r="R153" s="16"/>
      <c r="S153" s="16"/>
      <c r="T153" s="9"/>
      <c r="U153" s="1" t="s">
        <v>315</v>
      </c>
      <c r="V153" s="11"/>
      <c r="W153" s="232"/>
      <c r="X153" s="304"/>
    </row>
    <row r="154" spans="1:24" ht="15.75">
      <c r="A154" s="6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>
        <f>Tabela1316171819[[#This Row],[Valor_recibo]]</f>
        <v>0</v>
      </c>
      <c r="O154" s="16"/>
      <c r="P154" s="1" t="e">
        <f>VLOOKUP(Tabela1316171819[[#This Row],[DT]],Aprovados!A:A,1,0)</f>
        <v>#N/A</v>
      </c>
      <c r="Q154" s="16"/>
      <c r="R154" s="16"/>
      <c r="S154" s="16"/>
      <c r="T154" s="9"/>
      <c r="U154" s="1" t="s">
        <v>315</v>
      </c>
      <c r="V154" s="11"/>
      <c r="W154" s="232"/>
      <c r="X154" s="304"/>
    </row>
    <row r="155" spans="1:24" ht="15.75">
      <c r="A155" s="6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>
        <f>Tabela1316171819[[#This Row],[Valor_recibo]]</f>
        <v>0</v>
      </c>
      <c r="O155" s="16"/>
      <c r="P155" s="1" t="e">
        <f>VLOOKUP(Tabela1316171819[[#This Row],[DT]],Aprovados!A:A,1,0)</f>
        <v>#N/A</v>
      </c>
      <c r="Q155" s="16"/>
      <c r="R155" s="16"/>
      <c r="S155" s="16"/>
      <c r="T155" s="9"/>
      <c r="U155" s="1" t="s">
        <v>315</v>
      </c>
      <c r="V155" s="11"/>
      <c r="W155" s="232"/>
      <c r="X155" s="304"/>
    </row>
    <row r="156" spans="1:24" ht="15.75">
      <c r="A156" s="6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>
        <f>Tabela1316171819[[#This Row],[Valor_recibo]]</f>
        <v>0</v>
      </c>
      <c r="O156" s="16"/>
      <c r="P156" s="1" t="e">
        <f>VLOOKUP(Tabela1316171819[[#This Row],[DT]],Aprovados!A:A,1,0)</f>
        <v>#N/A</v>
      </c>
      <c r="Q156" s="16"/>
      <c r="R156" s="16"/>
      <c r="S156" s="16"/>
      <c r="T156" s="9"/>
      <c r="U156" s="1" t="s">
        <v>315</v>
      </c>
      <c r="V156" s="11"/>
      <c r="W156" s="232"/>
      <c r="X156" s="304"/>
    </row>
    <row r="157" spans="1:24" ht="15.75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>
        <f>Tabela1316171819[[#This Row],[Valor_recibo]]</f>
        <v>0</v>
      </c>
      <c r="O157" s="16"/>
      <c r="P157" s="1" t="e">
        <f>VLOOKUP(Tabela1316171819[[#This Row],[DT]],Aprovados!A:A,1,0)</f>
        <v>#N/A</v>
      </c>
      <c r="Q157" s="16"/>
      <c r="R157" s="16"/>
      <c r="S157" s="16"/>
      <c r="T157" s="9"/>
      <c r="U157" s="1" t="s">
        <v>315</v>
      </c>
      <c r="V157" s="11"/>
      <c r="W157" s="232"/>
      <c r="X157" s="304"/>
    </row>
    <row r="158" spans="1:24" ht="15.75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>
        <f>Tabela1316171819[[#This Row],[Valor_recibo]]</f>
        <v>0</v>
      </c>
      <c r="O158" s="16"/>
      <c r="P158" s="1" t="e">
        <f>VLOOKUP(Tabela1316171819[[#This Row],[DT]],Aprovados!A:A,1,0)</f>
        <v>#N/A</v>
      </c>
      <c r="Q158" s="16"/>
      <c r="R158" s="16"/>
      <c r="S158" s="16"/>
      <c r="T158" s="9"/>
      <c r="U158" s="1" t="s">
        <v>315</v>
      </c>
      <c r="V158" s="11"/>
      <c r="W158" s="232"/>
      <c r="X158" s="304"/>
    </row>
    <row r="159" spans="1:24" ht="15.75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>
        <f>Tabela1316171819[[#This Row],[Valor_recibo]]</f>
        <v>0</v>
      </c>
      <c r="O159" s="16"/>
      <c r="P159" s="1" t="e">
        <f>VLOOKUP(Tabela1316171819[[#This Row],[DT]],Aprovados!A:A,1,0)</f>
        <v>#N/A</v>
      </c>
      <c r="Q159" s="16"/>
      <c r="R159" s="16"/>
      <c r="S159" s="16"/>
      <c r="T159" s="9"/>
      <c r="U159" s="1" t="s">
        <v>315</v>
      </c>
      <c r="V159" s="11"/>
      <c r="W159" s="232"/>
      <c r="X159" s="304"/>
    </row>
    <row r="160" spans="1:24" ht="15.75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>
        <f>Tabela1316171819[[#This Row],[Valor_recibo]]</f>
        <v>0</v>
      </c>
      <c r="O160" s="16"/>
      <c r="P160" s="1" t="e">
        <f>VLOOKUP(Tabela1316171819[[#This Row],[DT]],Aprovados!A:A,1,0)</f>
        <v>#N/A</v>
      </c>
      <c r="Q160" s="16"/>
      <c r="R160" s="16"/>
      <c r="S160" s="16"/>
      <c r="T160" s="9"/>
      <c r="U160" s="1" t="s">
        <v>315</v>
      </c>
      <c r="V160" s="11"/>
      <c r="W160" s="232"/>
      <c r="X160" s="304"/>
    </row>
    <row r="161" spans="1:24" ht="15.75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>
        <f>Tabela1316171819[[#This Row],[Valor_recibo]]</f>
        <v>0</v>
      </c>
      <c r="O161" s="16"/>
      <c r="P161" s="1" t="e">
        <f>VLOOKUP(Tabela1316171819[[#This Row],[DT]],Aprovados!A:A,1,0)</f>
        <v>#N/A</v>
      </c>
      <c r="Q161" s="16"/>
      <c r="R161" s="16"/>
      <c r="S161" s="16"/>
      <c r="T161" s="9"/>
      <c r="U161" s="1" t="s">
        <v>315</v>
      </c>
      <c r="V161" s="11"/>
      <c r="W161" s="232"/>
      <c r="X161" s="304"/>
    </row>
    <row r="162" spans="1:24" ht="15.75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>
        <f>Tabela1316171819[[#This Row],[Valor_recibo]]</f>
        <v>0</v>
      </c>
      <c r="O162" s="16"/>
      <c r="P162" s="1" t="e">
        <f>VLOOKUP(Tabela1316171819[[#This Row],[DT]],Aprovados!A:A,1,0)</f>
        <v>#N/A</v>
      </c>
      <c r="Q162" s="16"/>
      <c r="R162" s="16"/>
      <c r="S162" s="16"/>
      <c r="T162" s="9"/>
      <c r="U162" s="1" t="s">
        <v>315</v>
      </c>
      <c r="V162" s="11"/>
      <c r="W162" s="232"/>
      <c r="X162" s="304"/>
    </row>
    <row r="163" spans="1:24" ht="15.75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>
        <f>Tabela1316171819[[#This Row],[Valor_recibo]]</f>
        <v>0</v>
      </c>
      <c r="O163" s="16"/>
      <c r="P163" s="1" t="e">
        <f>VLOOKUP(Tabela1316171819[[#This Row],[DT]],Aprovados!A:A,1,0)</f>
        <v>#N/A</v>
      </c>
      <c r="Q163" s="16"/>
      <c r="R163" s="16"/>
      <c r="S163" s="16"/>
      <c r="T163" s="9"/>
      <c r="U163" s="1" t="s">
        <v>315</v>
      </c>
      <c r="V163" s="11"/>
      <c r="W163" s="232"/>
      <c r="X163" s="304"/>
    </row>
    <row r="164" spans="1:24" ht="15.75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>
        <f>Tabela1316171819[[#This Row],[Valor_recibo]]</f>
        <v>0</v>
      </c>
      <c r="O164" s="16"/>
      <c r="P164" s="1" t="e">
        <f>VLOOKUP(Tabela1316171819[[#This Row],[DT]],Aprovados!A:A,1,0)</f>
        <v>#N/A</v>
      </c>
      <c r="Q164" s="16"/>
      <c r="R164" s="16"/>
      <c r="S164" s="16"/>
      <c r="T164" s="9"/>
      <c r="U164" s="1" t="s">
        <v>315</v>
      </c>
      <c r="V164" s="11"/>
      <c r="W164" s="232"/>
      <c r="X164" s="304"/>
    </row>
    <row r="165" spans="1:24" ht="15.75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>
        <f>Tabela1316171819[[#This Row],[Valor_recibo]]</f>
        <v>0</v>
      </c>
      <c r="O165" s="16"/>
      <c r="P165" s="1" t="e">
        <f>VLOOKUP(Tabela1316171819[[#This Row],[DT]],Aprovados!A:A,1,0)</f>
        <v>#N/A</v>
      </c>
      <c r="Q165" s="16"/>
      <c r="R165" s="16"/>
      <c r="S165" s="16"/>
      <c r="T165" s="9"/>
      <c r="U165" s="1" t="s">
        <v>315</v>
      </c>
      <c r="V165" s="11"/>
      <c r="W165" s="232"/>
      <c r="X165" s="304"/>
    </row>
    <row r="166" spans="1:24" ht="15.75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>
        <f>Tabela1316171819[[#This Row],[Valor_recibo]]</f>
        <v>0</v>
      </c>
      <c r="O166" s="16"/>
      <c r="P166" s="1" t="e">
        <f>VLOOKUP(Tabela1316171819[[#This Row],[DT]],Aprovados!A:A,1,0)</f>
        <v>#N/A</v>
      </c>
      <c r="Q166" s="16"/>
      <c r="R166" s="16"/>
      <c r="S166" s="16"/>
      <c r="T166" s="9"/>
      <c r="U166" s="1" t="s">
        <v>315</v>
      </c>
      <c r="V166" s="11"/>
      <c r="W166" s="232"/>
      <c r="X166" s="304"/>
    </row>
    <row r="167" spans="1:24" ht="15.75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>
        <f>Tabela1316171819[[#This Row],[Valor_recibo]]</f>
        <v>0</v>
      </c>
      <c r="O167" s="16"/>
      <c r="P167" s="1" t="e">
        <f>VLOOKUP(Tabela1316171819[[#This Row],[DT]],Aprovados!A:A,1,0)</f>
        <v>#N/A</v>
      </c>
      <c r="Q167" s="16"/>
      <c r="R167" s="16"/>
      <c r="S167" s="16"/>
      <c r="T167" s="9"/>
      <c r="U167" s="1" t="s">
        <v>315</v>
      </c>
      <c r="V167" s="11"/>
      <c r="W167" s="232"/>
      <c r="X167" s="304"/>
    </row>
    <row r="168" spans="1:24" ht="15.75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>
        <f>Tabela1316171819[[#This Row],[Valor_recibo]]</f>
        <v>0</v>
      </c>
      <c r="O168" s="16"/>
      <c r="P168" s="1" t="e">
        <f>VLOOKUP(Tabela1316171819[[#This Row],[DT]],Aprovados!A:A,1,0)</f>
        <v>#N/A</v>
      </c>
      <c r="Q168" s="16"/>
      <c r="R168" s="16"/>
      <c r="S168" s="16"/>
      <c r="T168" s="9"/>
      <c r="U168" s="1" t="s">
        <v>315</v>
      </c>
      <c r="V168" s="11"/>
      <c r="W168" s="232"/>
      <c r="X168" s="304"/>
    </row>
    <row r="169" spans="1:24" ht="15.75">
      <c r="A169" s="6"/>
      <c r="B169" s="7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>
        <f>Tabela1316171819[[#This Row],[Valor_recibo]]</f>
        <v>0</v>
      </c>
      <c r="O169" s="16"/>
      <c r="P169" s="1" t="e">
        <f>VLOOKUP(Tabela1316171819[[#This Row],[DT]],Aprovados!A:A,1,0)</f>
        <v>#N/A</v>
      </c>
      <c r="Q169" s="16"/>
      <c r="R169" s="16"/>
      <c r="S169" s="16"/>
      <c r="T169" s="9"/>
      <c r="U169" s="1" t="s">
        <v>315</v>
      </c>
      <c r="V169" s="11"/>
      <c r="W169" s="232"/>
      <c r="X169" s="304"/>
    </row>
    <row r="170" spans="1:24" ht="15.75">
      <c r="A170" s="6"/>
      <c r="B170" s="7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>
        <f>Tabela1316171819[[#This Row],[Valor_recibo]]</f>
        <v>0</v>
      </c>
      <c r="O170" s="16"/>
      <c r="P170" s="1" t="e">
        <f>VLOOKUP(Tabela1316171819[[#This Row],[DT]],Aprovados!A:A,1,0)</f>
        <v>#N/A</v>
      </c>
      <c r="Q170" s="16"/>
      <c r="R170" s="16"/>
      <c r="S170" s="16"/>
      <c r="T170" s="9"/>
      <c r="U170" s="1" t="s">
        <v>315</v>
      </c>
      <c r="V170" s="11"/>
      <c r="W170" s="232"/>
      <c r="X170" s="304"/>
    </row>
    <row r="171" spans="1:24" ht="15.75">
      <c r="A171" s="6"/>
      <c r="B171" s="7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>
        <f>Tabela1316171819[[#This Row],[Valor_recibo]]</f>
        <v>0</v>
      </c>
      <c r="O171" s="16"/>
      <c r="P171" s="1" t="e">
        <f>VLOOKUP(Tabela1316171819[[#This Row],[DT]],Aprovados!A:A,1,0)</f>
        <v>#N/A</v>
      </c>
      <c r="Q171" s="16"/>
      <c r="R171" s="16"/>
      <c r="S171" s="16"/>
      <c r="T171" s="9"/>
      <c r="U171" s="1" t="s">
        <v>315</v>
      </c>
      <c r="V171" s="11"/>
      <c r="W171" s="232"/>
      <c r="X171" s="304"/>
    </row>
    <row r="172" spans="1:24" ht="15.75">
      <c r="A172" s="6"/>
      <c r="B172" s="7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>
        <f>Tabela1316171819[[#This Row],[Valor_recibo]]</f>
        <v>0</v>
      </c>
      <c r="O172" s="16"/>
      <c r="P172" s="1" t="e">
        <f>VLOOKUP(Tabela1316171819[[#This Row],[DT]],Aprovados!A:A,1,0)</f>
        <v>#N/A</v>
      </c>
      <c r="Q172" s="16"/>
      <c r="R172" s="16"/>
      <c r="S172" s="16"/>
      <c r="T172" s="9"/>
      <c r="U172" s="1" t="s">
        <v>315</v>
      </c>
      <c r="V172" s="11"/>
      <c r="W172" s="232"/>
      <c r="X172" s="304"/>
    </row>
    <row r="173" spans="1:24" ht="15.75">
      <c r="A173" s="6"/>
      <c r="B173" s="7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>
        <f>Tabela1316171819[[#This Row],[Valor_recibo]]</f>
        <v>0</v>
      </c>
      <c r="O173" s="16"/>
      <c r="P173" s="1" t="e">
        <f>VLOOKUP(Tabela1316171819[[#This Row],[DT]],Aprovados!A:A,1,0)</f>
        <v>#N/A</v>
      </c>
      <c r="Q173" s="16"/>
      <c r="R173" s="16"/>
      <c r="S173" s="16"/>
      <c r="T173" s="9"/>
      <c r="U173" s="1" t="s">
        <v>315</v>
      </c>
      <c r="V173" s="11"/>
      <c r="W173" s="232"/>
      <c r="X173" s="304"/>
    </row>
    <row r="174" spans="1:24" ht="15.75">
      <c r="A174" s="6"/>
      <c r="B174" s="7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>
        <f>Tabela1316171819[[#This Row],[Valor_recibo]]</f>
        <v>0</v>
      </c>
      <c r="O174" s="16"/>
      <c r="P174" s="1" t="e">
        <f>VLOOKUP(Tabela1316171819[[#This Row],[DT]],Aprovados!A:A,1,0)</f>
        <v>#N/A</v>
      </c>
      <c r="Q174" s="16"/>
      <c r="R174" s="16"/>
      <c r="S174" s="16"/>
      <c r="T174" s="9"/>
      <c r="U174" s="1" t="s">
        <v>315</v>
      </c>
      <c r="V174" s="11"/>
      <c r="W174" s="232"/>
      <c r="X174" s="304"/>
    </row>
    <row r="175" spans="1:24" ht="15.75">
      <c r="A175" s="6"/>
      <c r="B175" s="7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>
        <f>Tabela1316171819[[#This Row],[Valor_recibo]]</f>
        <v>0</v>
      </c>
      <c r="O175" s="16"/>
      <c r="P175" s="1" t="e">
        <f>VLOOKUP(Tabela1316171819[[#This Row],[DT]],Aprovados!A:A,1,0)</f>
        <v>#N/A</v>
      </c>
      <c r="Q175" s="16"/>
      <c r="R175" s="16"/>
      <c r="S175" s="16"/>
      <c r="T175" s="9"/>
      <c r="U175" s="1" t="s">
        <v>315</v>
      </c>
      <c r="V175" s="11"/>
      <c r="W175" s="232"/>
      <c r="X175" s="304"/>
    </row>
    <row r="176" spans="1:24" ht="15.75">
      <c r="A176" s="6"/>
      <c r="B176" s="7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>
        <f>Tabela1316171819[[#This Row],[Valor_recibo]]</f>
        <v>0</v>
      </c>
      <c r="O176" s="16"/>
      <c r="P176" s="1" t="e">
        <f>VLOOKUP(Tabela1316171819[[#This Row],[DT]],Aprovados!A:A,1,0)</f>
        <v>#N/A</v>
      </c>
      <c r="Q176" s="16"/>
      <c r="R176" s="16"/>
      <c r="S176" s="16"/>
      <c r="T176" s="9"/>
      <c r="U176" s="1" t="s">
        <v>315</v>
      </c>
      <c r="V176" s="11"/>
      <c r="W176" s="232"/>
      <c r="X176" s="304"/>
    </row>
    <row r="177" spans="1:24" ht="15.75">
      <c r="A177" s="6"/>
      <c r="B177" s="7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>
        <f>Tabela1316171819[[#This Row],[Valor_recibo]]</f>
        <v>0</v>
      </c>
      <c r="O177" s="16"/>
      <c r="P177" s="1" t="e">
        <f>VLOOKUP(Tabela1316171819[[#This Row],[DT]],Aprovados!A:A,1,0)</f>
        <v>#N/A</v>
      </c>
      <c r="Q177" s="16"/>
      <c r="R177" s="16"/>
      <c r="S177" s="16"/>
      <c r="T177" s="9"/>
      <c r="U177" s="1" t="s">
        <v>315</v>
      </c>
      <c r="V177" s="11"/>
      <c r="W177" s="232"/>
      <c r="X177" s="304"/>
    </row>
    <row r="178" spans="1:24" ht="15.75">
      <c r="A178" s="6"/>
      <c r="B178" s="7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>
        <f>Tabela1316171819[[#This Row],[Valor_recibo]]</f>
        <v>0</v>
      </c>
      <c r="O178" s="16"/>
      <c r="P178" s="1" t="e">
        <f>VLOOKUP(Tabela1316171819[[#This Row],[DT]],Aprovados!A:A,1,0)</f>
        <v>#N/A</v>
      </c>
      <c r="Q178" s="16"/>
      <c r="R178" s="16"/>
      <c r="S178" s="16"/>
      <c r="T178" s="9"/>
      <c r="U178" s="1" t="s">
        <v>315</v>
      </c>
      <c r="V178" s="11"/>
      <c r="W178" s="232"/>
      <c r="X178" s="304"/>
    </row>
    <row r="179" spans="1:24" ht="15.75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>
        <f>Tabela1316171819[[#This Row],[Valor_recibo]]</f>
        <v>0</v>
      </c>
      <c r="O179" s="16"/>
      <c r="P179" s="1" t="e">
        <f>VLOOKUP(Tabela1316171819[[#This Row],[DT]],Aprovados!A:A,1,0)</f>
        <v>#N/A</v>
      </c>
      <c r="Q179" s="16"/>
      <c r="R179" s="16"/>
      <c r="S179" s="16"/>
      <c r="T179" s="9"/>
      <c r="U179" s="1" t="s">
        <v>315</v>
      </c>
      <c r="V179" s="11"/>
      <c r="W179" s="232"/>
      <c r="X179" s="304"/>
    </row>
    <row r="180" spans="1:24" ht="15.75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>
        <f>Tabela1316171819[[#This Row],[Valor_recibo]]</f>
        <v>0</v>
      </c>
      <c r="O180" s="16"/>
      <c r="P180" s="1" t="e">
        <f>VLOOKUP(Tabela1316171819[[#This Row],[DT]],Aprovados!A:A,1,0)</f>
        <v>#N/A</v>
      </c>
      <c r="Q180" s="16"/>
      <c r="R180" s="16"/>
      <c r="S180" s="16"/>
      <c r="T180" s="9"/>
      <c r="U180" s="1" t="s">
        <v>315</v>
      </c>
      <c r="V180" s="11"/>
      <c r="W180" s="232"/>
      <c r="X180" s="304"/>
    </row>
    <row r="181" spans="1:24" ht="15.75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>
        <f>Tabela1316171819[[#This Row],[Valor_recibo]]</f>
        <v>0</v>
      </c>
      <c r="O181" s="16"/>
      <c r="P181" s="1" t="e">
        <f>VLOOKUP(Tabela1316171819[[#This Row],[DT]],Aprovados!A:A,1,0)</f>
        <v>#N/A</v>
      </c>
      <c r="Q181" s="16"/>
      <c r="R181" s="16"/>
      <c r="S181" s="16"/>
      <c r="T181" s="9"/>
      <c r="U181" s="1" t="s">
        <v>315</v>
      </c>
      <c r="V181" s="11"/>
      <c r="W181" s="232"/>
      <c r="X181" s="304"/>
    </row>
    <row r="182" spans="1:24" ht="15.75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>
        <f>Tabela1316171819[[#This Row],[Valor_recibo]]</f>
        <v>0</v>
      </c>
      <c r="O182" s="16"/>
      <c r="P182" s="1" t="e">
        <f>VLOOKUP(Tabela1316171819[[#This Row],[DT]],Aprovados!A:A,1,0)</f>
        <v>#N/A</v>
      </c>
      <c r="Q182" s="16"/>
      <c r="R182" s="16"/>
      <c r="S182" s="16"/>
      <c r="T182" s="9"/>
      <c r="U182" s="1" t="s">
        <v>315</v>
      </c>
      <c r="V182" s="11"/>
      <c r="W182" s="232"/>
      <c r="X182" s="304"/>
    </row>
    <row r="183" spans="1:24" ht="15.75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>
        <f>Tabela1316171819[[#This Row],[Valor_recibo]]</f>
        <v>0</v>
      </c>
      <c r="O183" s="16"/>
      <c r="P183" s="1" t="e">
        <f>VLOOKUP(Tabela1316171819[[#This Row],[DT]],Aprovados!A:A,1,0)</f>
        <v>#N/A</v>
      </c>
      <c r="Q183" s="16"/>
      <c r="R183" s="16"/>
      <c r="S183" s="16"/>
      <c r="T183" s="9"/>
      <c r="U183" s="1" t="s">
        <v>315</v>
      </c>
      <c r="V183" s="11"/>
      <c r="W183" s="232"/>
      <c r="X183" s="304"/>
    </row>
    <row r="184" spans="1:24" ht="15.75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>
        <f>Tabela1316171819[[#This Row],[Valor_recibo]]</f>
        <v>0</v>
      </c>
      <c r="O184" s="16"/>
      <c r="P184" s="1" t="e">
        <f>VLOOKUP(Tabela1316171819[[#This Row],[DT]],Aprovados!A:A,1,0)</f>
        <v>#N/A</v>
      </c>
      <c r="Q184" s="16"/>
      <c r="R184" s="16"/>
      <c r="S184" s="16"/>
      <c r="T184" s="9"/>
      <c r="U184" s="1" t="s">
        <v>315</v>
      </c>
      <c r="V184" s="11"/>
      <c r="W184" s="232"/>
      <c r="X184" s="304"/>
    </row>
    <row r="185" spans="1:24" ht="15.75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>
        <f>Tabela1316171819[[#This Row],[Valor_recibo]]</f>
        <v>0</v>
      </c>
      <c r="O185" s="16"/>
      <c r="P185" s="1" t="e">
        <f>VLOOKUP(Tabela1316171819[[#This Row],[DT]],Aprovados!A:A,1,0)</f>
        <v>#N/A</v>
      </c>
      <c r="Q185" s="16"/>
      <c r="R185" s="16"/>
      <c r="S185" s="16"/>
      <c r="T185" s="9"/>
      <c r="U185" s="1" t="s">
        <v>315</v>
      </c>
      <c r="V185" s="11"/>
      <c r="W185" s="232"/>
      <c r="X185" s="304"/>
    </row>
    <row r="186" spans="1:24" ht="15.75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>
        <f>Tabela1316171819[[#This Row],[Valor_recibo]]</f>
        <v>0</v>
      </c>
      <c r="O186" s="16"/>
      <c r="P186" s="1" t="e">
        <f>VLOOKUP(Tabela1316171819[[#This Row],[DT]],Aprovados!A:A,1,0)</f>
        <v>#N/A</v>
      </c>
      <c r="Q186" s="16"/>
      <c r="R186" s="16"/>
      <c r="S186" s="16"/>
      <c r="T186" s="9"/>
      <c r="U186" s="1" t="s">
        <v>315</v>
      </c>
      <c r="V186" s="11"/>
      <c r="W186" s="232"/>
      <c r="X186" s="304"/>
    </row>
    <row r="187" spans="1:24" ht="15.75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>
        <f>Tabela1316171819[[#This Row],[Valor_recibo]]</f>
        <v>0</v>
      </c>
      <c r="O187" s="16"/>
      <c r="P187" s="1" t="e">
        <f>VLOOKUP(Tabela1316171819[[#This Row],[DT]],Aprovados!A:A,1,0)</f>
        <v>#N/A</v>
      </c>
      <c r="Q187" s="16"/>
      <c r="R187" s="16"/>
      <c r="S187" s="16"/>
      <c r="T187" s="9"/>
      <c r="U187" s="1" t="s">
        <v>315</v>
      </c>
      <c r="V187" s="11"/>
      <c r="W187" s="232"/>
      <c r="X187" s="304"/>
    </row>
    <row r="188" spans="1:24" ht="15.75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>
        <f>Tabela1316171819[[#This Row],[Valor_recibo]]</f>
        <v>0</v>
      </c>
      <c r="O188" s="16"/>
      <c r="P188" s="1" t="e">
        <f>VLOOKUP(Tabela1316171819[[#This Row],[DT]],Aprovados!A:A,1,0)</f>
        <v>#N/A</v>
      </c>
      <c r="Q188" s="16"/>
      <c r="R188" s="16"/>
      <c r="S188" s="16"/>
      <c r="T188" s="9"/>
      <c r="U188" s="1" t="s">
        <v>315</v>
      </c>
      <c r="V188" s="11"/>
      <c r="W188" s="232"/>
      <c r="X188" s="304"/>
    </row>
    <row r="189" spans="1:24" ht="15.75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>
        <f>Tabela1316171819[[#This Row],[Valor_recibo]]</f>
        <v>0</v>
      </c>
      <c r="O189" s="16"/>
      <c r="P189" s="1" t="e">
        <f>VLOOKUP(Tabela1316171819[[#This Row],[DT]],Aprovados!A:A,1,0)</f>
        <v>#N/A</v>
      </c>
      <c r="Q189" s="16"/>
      <c r="R189" s="16"/>
      <c r="S189" s="16"/>
      <c r="T189" s="9"/>
      <c r="U189" s="1" t="s">
        <v>315</v>
      </c>
      <c r="V189" s="11"/>
      <c r="W189" s="232"/>
      <c r="X189" s="304"/>
    </row>
    <row r="190" spans="1:24" ht="15.75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>
        <f>Tabela1316171819[[#This Row],[Valor_recibo]]</f>
        <v>0</v>
      </c>
      <c r="O190" s="16"/>
      <c r="P190" s="1" t="e">
        <f>VLOOKUP(Tabela1316171819[[#This Row],[DT]],Aprovados!A:A,1,0)</f>
        <v>#N/A</v>
      </c>
      <c r="Q190" s="16"/>
      <c r="R190" s="16"/>
      <c r="S190" s="16"/>
      <c r="T190" s="9"/>
      <c r="U190" s="1" t="s">
        <v>315</v>
      </c>
      <c r="V190" s="11"/>
      <c r="W190" s="232"/>
      <c r="X190" s="304"/>
    </row>
    <row r="191" spans="1:24" ht="15.75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>
        <f>Tabela1316171819[[#This Row],[Valor_recibo]]</f>
        <v>0</v>
      </c>
      <c r="O191" s="16"/>
      <c r="P191" s="1" t="e">
        <f>VLOOKUP(Tabela1316171819[[#This Row],[DT]],Aprovados!A:A,1,0)</f>
        <v>#N/A</v>
      </c>
      <c r="Q191" s="16"/>
      <c r="R191" s="16"/>
      <c r="S191" s="16"/>
      <c r="T191" s="9"/>
      <c r="U191" s="1" t="s">
        <v>315</v>
      </c>
      <c r="V191" s="11"/>
      <c r="W191" s="232"/>
      <c r="X191" s="304"/>
    </row>
    <row r="192" spans="1:24" ht="15.75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>
        <f>Tabela1316171819[[#This Row],[Valor_recibo]]</f>
        <v>0</v>
      </c>
      <c r="O192" s="16"/>
      <c r="P192" s="1" t="e">
        <f>VLOOKUP(Tabela1316171819[[#This Row],[DT]],Aprovados!A:A,1,0)</f>
        <v>#N/A</v>
      </c>
      <c r="Q192" s="16"/>
      <c r="R192" s="16"/>
      <c r="S192" s="16"/>
      <c r="T192" s="9"/>
      <c r="U192" s="1" t="s">
        <v>315</v>
      </c>
      <c r="V192" s="11"/>
      <c r="W192" s="232"/>
      <c r="X192" s="304"/>
    </row>
    <row r="193" spans="1:24" ht="15.75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>
        <f>Tabela1316171819[[#This Row],[Valor_recibo]]</f>
        <v>0</v>
      </c>
      <c r="O193" s="16"/>
      <c r="P193" s="1" t="e">
        <f>VLOOKUP(Tabela1316171819[[#This Row],[DT]],Aprovados!A:A,1,0)</f>
        <v>#N/A</v>
      </c>
      <c r="Q193" s="16"/>
      <c r="R193" s="16"/>
      <c r="S193" s="16"/>
      <c r="T193" s="9"/>
      <c r="U193" s="1" t="s">
        <v>315</v>
      </c>
      <c r="V193" s="11"/>
      <c r="W193" s="232"/>
      <c r="X193" s="304"/>
    </row>
    <row r="194" spans="1:24" ht="15.75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>
        <f>Tabela1316171819[[#This Row],[Valor_recibo]]</f>
        <v>0</v>
      </c>
      <c r="O194" s="16"/>
      <c r="P194" s="1" t="e">
        <f>VLOOKUP(Tabela1316171819[[#This Row],[DT]],Aprovados!A:A,1,0)</f>
        <v>#N/A</v>
      </c>
      <c r="Q194" s="16"/>
      <c r="R194" s="16"/>
      <c r="S194" s="16"/>
      <c r="T194" s="9"/>
      <c r="U194" s="1" t="s">
        <v>315</v>
      </c>
      <c r="V194" s="11"/>
      <c r="W194" s="232"/>
      <c r="X194" s="304"/>
    </row>
    <row r="195" spans="1:24" ht="15.75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>
        <f>Tabela1316171819[[#This Row],[Valor_recibo]]</f>
        <v>0</v>
      </c>
      <c r="O195" s="16"/>
      <c r="P195" s="1" t="e">
        <f>VLOOKUP(Tabela1316171819[[#This Row],[DT]],Aprovados!A:A,1,0)</f>
        <v>#N/A</v>
      </c>
      <c r="Q195" s="16"/>
      <c r="R195" s="16"/>
      <c r="S195" s="16"/>
      <c r="T195" s="9"/>
      <c r="U195" s="1" t="s">
        <v>315</v>
      </c>
      <c r="V195" s="11"/>
      <c r="W195" s="232"/>
      <c r="X195" s="304"/>
    </row>
    <row r="196" spans="1:24" ht="15.75">
      <c r="A196" s="6"/>
      <c r="B196" s="7"/>
      <c r="C196" s="6"/>
      <c r="D196" s="6"/>
      <c r="E196" s="6"/>
      <c r="F196" s="1"/>
      <c r="G196" s="9"/>
      <c r="H196" s="9"/>
      <c r="I196" s="11"/>
      <c r="J196" s="1"/>
      <c r="K196" s="205" t="s">
        <v>315</v>
      </c>
      <c r="L196" s="1" t="s">
        <v>315</v>
      </c>
      <c r="M196" s="9"/>
      <c r="N196" s="14">
        <f>Tabela1316171819[[#This Row],[Valor_recibo]]</f>
        <v>0</v>
      </c>
      <c r="O196" s="16"/>
      <c r="P196" s="1" t="e">
        <f>VLOOKUP(Tabela1316171819[[#This Row],[DT]],Aprovados!A:A,1,0)</f>
        <v>#N/A</v>
      </c>
      <c r="Q196" s="16"/>
      <c r="R196" s="16"/>
      <c r="S196" s="16"/>
      <c r="T196" s="9"/>
      <c r="U196" s="1" t="s">
        <v>315</v>
      </c>
      <c r="V196" s="11"/>
      <c r="W196" s="232"/>
      <c r="X196" s="304"/>
    </row>
    <row r="197" spans="1:24" ht="15.75">
      <c r="A197" s="6"/>
      <c r="B197" s="7"/>
      <c r="C197" s="6"/>
      <c r="D197" s="6"/>
      <c r="E197" s="6"/>
      <c r="F197" s="1"/>
      <c r="G197" s="9"/>
      <c r="H197" s="9"/>
      <c r="I197" s="11"/>
      <c r="J197" s="1"/>
      <c r="K197" s="205" t="s">
        <v>315</v>
      </c>
      <c r="L197" s="1" t="s">
        <v>315</v>
      </c>
      <c r="M197" s="9"/>
      <c r="N197" s="14">
        <f>Tabela1316171819[[#This Row],[Valor_recibo]]</f>
        <v>0</v>
      </c>
      <c r="O197" s="16"/>
      <c r="P197" s="1" t="e">
        <f>VLOOKUP(Tabela1316171819[[#This Row],[DT]],Aprovados!A:A,1,0)</f>
        <v>#N/A</v>
      </c>
      <c r="Q197" s="16"/>
      <c r="R197" s="16"/>
      <c r="S197" s="16"/>
      <c r="T197" s="9"/>
      <c r="U197" s="1" t="s">
        <v>315</v>
      </c>
      <c r="V197" s="11"/>
      <c r="W197" s="232"/>
      <c r="X197" s="304"/>
    </row>
    <row r="198" spans="1:24" ht="15.75">
      <c r="A198" s="6"/>
      <c r="B198" s="7"/>
      <c r="C198" s="6"/>
      <c r="D198" s="6"/>
      <c r="E198" s="6"/>
      <c r="F198" s="1"/>
      <c r="G198" s="9"/>
      <c r="H198" s="9"/>
      <c r="I198" s="11"/>
      <c r="J198" s="1"/>
      <c r="K198" s="205" t="s">
        <v>315</v>
      </c>
      <c r="L198" s="1" t="s">
        <v>315</v>
      </c>
      <c r="M198" s="9"/>
      <c r="N198" s="14">
        <f>Tabela1316171819[[#This Row],[Valor_recibo]]</f>
        <v>0</v>
      </c>
      <c r="O198" s="16"/>
      <c r="P198" s="1" t="e">
        <f>VLOOKUP(Tabela1316171819[[#This Row],[DT]],Aprovados!A:A,1,0)</f>
        <v>#N/A</v>
      </c>
      <c r="Q198" s="16"/>
      <c r="R198" s="16"/>
      <c r="S198" s="16"/>
      <c r="T198" s="9"/>
      <c r="U198" s="1" t="s">
        <v>315</v>
      </c>
      <c r="V198" s="11"/>
      <c r="W198" s="232"/>
      <c r="X198" s="304"/>
    </row>
    <row r="199" spans="1:24" ht="15.75">
      <c r="A199" s="6"/>
      <c r="B199" s="7"/>
      <c r="C199" s="6"/>
      <c r="D199" s="6"/>
      <c r="E199" s="6"/>
      <c r="F199" s="1"/>
      <c r="G199" s="9"/>
      <c r="H199" s="9"/>
      <c r="I199" s="11"/>
      <c r="J199" s="1"/>
      <c r="K199" s="205" t="s">
        <v>315</v>
      </c>
      <c r="L199" s="1" t="s">
        <v>315</v>
      </c>
      <c r="M199" s="9"/>
      <c r="N199" s="14">
        <f>Tabela1316171819[[#This Row],[Valor_recibo]]</f>
        <v>0</v>
      </c>
      <c r="O199" s="16"/>
      <c r="P199" s="1" t="e">
        <f>VLOOKUP(Tabela1316171819[[#This Row],[DT]],Aprovados!A:A,1,0)</f>
        <v>#N/A</v>
      </c>
      <c r="Q199" s="16"/>
      <c r="R199" s="16"/>
      <c r="S199" s="16"/>
      <c r="T199" s="9"/>
      <c r="U199" s="1" t="s">
        <v>315</v>
      </c>
      <c r="V199" s="11"/>
      <c r="W199" s="232"/>
      <c r="X199" s="304"/>
    </row>
    <row r="200" spans="1:24" ht="15.75">
      <c r="A200" s="6"/>
      <c r="B200" s="7"/>
      <c r="C200" s="6"/>
      <c r="D200" s="6"/>
      <c r="E200" s="6"/>
      <c r="F200" s="1"/>
      <c r="G200" s="9"/>
      <c r="H200" s="9"/>
      <c r="I200" s="11"/>
      <c r="J200" s="1"/>
      <c r="K200" s="205" t="s">
        <v>315</v>
      </c>
      <c r="L200" s="1" t="s">
        <v>315</v>
      </c>
      <c r="M200" s="9"/>
      <c r="N200" s="14">
        <f>Tabela1316171819[[#This Row],[Valor_recibo]]</f>
        <v>0</v>
      </c>
      <c r="O200" s="16"/>
      <c r="P200" s="1" t="e">
        <f>VLOOKUP(Tabela1316171819[[#This Row],[DT]],Aprovados!A:A,1,0)</f>
        <v>#N/A</v>
      </c>
      <c r="Q200" s="16"/>
      <c r="R200" s="16"/>
      <c r="S200" s="16"/>
      <c r="T200" s="9"/>
      <c r="U200" s="1" t="s">
        <v>315</v>
      </c>
      <c r="V200" s="11"/>
      <c r="W200" s="232"/>
      <c r="X200" s="304"/>
    </row>
    <row r="201" spans="1:24" ht="15.75">
      <c r="A201" s="6"/>
      <c r="B201" s="7"/>
      <c r="C201" s="6"/>
      <c r="D201" s="6"/>
      <c r="E201" s="6"/>
      <c r="F201" s="1"/>
      <c r="G201" s="9"/>
      <c r="H201" s="9"/>
      <c r="I201" s="11"/>
      <c r="J201" s="1"/>
      <c r="K201" s="205" t="s">
        <v>315</v>
      </c>
      <c r="L201" s="1" t="s">
        <v>315</v>
      </c>
      <c r="M201" s="9"/>
      <c r="N201" s="14">
        <f>Tabela1316171819[[#This Row],[Valor_recibo]]</f>
        <v>0</v>
      </c>
      <c r="O201" s="16"/>
      <c r="P201" s="1" t="e">
        <f>VLOOKUP(Tabela1316171819[[#This Row],[DT]],Aprovados!A:A,1,0)</f>
        <v>#N/A</v>
      </c>
      <c r="Q201" s="16"/>
      <c r="R201" s="16"/>
      <c r="S201" s="16"/>
      <c r="T201" s="9"/>
      <c r="U201" s="1" t="s">
        <v>315</v>
      </c>
      <c r="V201" s="11"/>
      <c r="W201" s="232"/>
      <c r="X201" s="304"/>
    </row>
    <row r="202" spans="1:24" ht="15.75">
      <c r="A202" s="6"/>
      <c r="B202" s="7"/>
      <c r="C202" s="6"/>
      <c r="D202" s="6"/>
      <c r="E202" s="6"/>
      <c r="F202" s="1"/>
      <c r="G202" s="9"/>
      <c r="H202" s="9"/>
      <c r="I202" s="11"/>
      <c r="J202" s="1"/>
      <c r="K202" s="205" t="s">
        <v>315</v>
      </c>
      <c r="L202" s="1" t="s">
        <v>315</v>
      </c>
      <c r="M202" s="9"/>
      <c r="N202" s="14">
        <f>Tabela1316171819[[#This Row],[Valor_recibo]]</f>
        <v>0</v>
      </c>
      <c r="O202" s="16"/>
      <c r="P202" s="1" t="e">
        <f>VLOOKUP(Tabela1316171819[[#This Row],[DT]],Aprovados!A:A,1,0)</f>
        <v>#N/A</v>
      </c>
      <c r="Q202" s="16"/>
      <c r="R202" s="16"/>
      <c r="S202" s="16"/>
      <c r="T202" s="9"/>
      <c r="U202" s="1" t="s">
        <v>315</v>
      </c>
      <c r="V202" s="11"/>
      <c r="W202" s="232"/>
      <c r="X202" s="304"/>
    </row>
    <row r="203" spans="1:24" ht="15.75">
      <c r="A203" s="6"/>
      <c r="B203" s="7"/>
      <c r="C203" s="6"/>
      <c r="D203" s="6"/>
      <c r="E203" s="6"/>
      <c r="F203" s="1"/>
      <c r="G203" s="9"/>
      <c r="H203" s="9"/>
      <c r="I203" s="11"/>
      <c r="J203" s="1"/>
      <c r="K203" s="205" t="s">
        <v>315</v>
      </c>
      <c r="L203" s="1" t="s">
        <v>315</v>
      </c>
      <c r="M203" s="9"/>
      <c r="N203" s="14">
        <f>Tabela1316171819[[#This Row],[Valor_recibo]]</f>
        <v>0</v>
      </c>
      <c r="O203" s="16"/>
      <c r="P203" s="1" t="e">
        <f>VLOOKUP(Tabela1316171819[[#This Row],[DT]],Aprovados!A:A,1,0)</f>
        <v>#N/A</v>
      </c>
      <c r="Q203" s="16"/>
      <c r="R203" s="16"/>
      <c r="S203" s="16"/>
      <c r="T203" s="9"/>
      <c r="U203" s="1" t="s">
        <v>315</v>
      </c>
      <c r="V203" s="11"/>
      <c r="W203" s="232"/>
      <c r="X203" s="304"/>
    </row>
    <row r="204" spans="1:24" ht="15.75">
      <c r="A204" s="6"/>
      <c r="B204" s="7"/>
      <c r="C204" s="6"/>
      <c r="D204" s="6"/>
      <c r="E204" s="6"/>
      <c r="F204" s="1"/>
      <c r="G204" s="9"/>
      <c r="H204" s="9"/>
      <c r="I204" s="11"/>
      <c r="J204" s="1"/>
      <c r="K204" s="205" t="s">
        <v>315</v>
      </c>
      <c r="L204" s="1" t="s">
        <v>315</v>
      </c>
      <c r="M204" s="9"/>
      <c r="N204" s="14">
        <f>Tabela1316171819[[#This Row],[Valor_recibo]]</f>
        <v>0</v>
      </c>
      <c r="O204" s="16"/>
      <c r="P204" s="1" t="e">
        <f>VLOOKUP(Tabela1316171819[[#This Row],[DT]],Aprovados!A:A,1,0)</f>
        <v>#N/A</v>
      </c>
      <c r="Q204" s="16"/>
      <c r="R204" s="16"/>
      <c r="S204" s="16"/>
      <c r="T204" s="9"/>
      <c r="U204" s="1" t="s">
        <v>315</v>
      </c>
      <c r="V204" s="11"/>
      <c r="W204" s="232"/>
      <c r="X204" s="304"/>
    </row>
    <row r="205" spans="1:24" ht="15.75">
      <c r="A205" s="6"/>
      <c r="B205" s="7"/>
      <c r="C205" s="6"/>
      <c r="D205" s="6"/>
      <c r="E205" s="6"/>
      <c r="F205" s="1"/>
      <c r="G205" s="9"/>
      <c r="H205" s="9"/>
      <c r="I205" s="11"/>
      <c r="J205" s="1"/>
      <c r="K205" s="205" t="s">
        <v>315</v>
      </c>
      <c r="L205" s="1" t="s">
        <v>315</v>
      </c>
      <c r="M205" s="9"/>
      <c r="N205" s="14">
        <f>Tabela1316171819[[#This Row],[Valor_recibo]]</f>
        <v>0</v>
      </c>
      <c r="O205" s="16"/>
      <c r="P205" s="1" t="e">
        <f>VLOOKUP(Tabela1316171819[[#This Row],[DT]],Aprovados!A:A,1,0)</f>
        <v>#N/A</v>
      </c>
      <c r="Q205" s="16"/>
      <c r="R205" s="16"/>
      <c r="S205" s="16"/>
      <c r="T205" s="9"/>
      <c r="U205" s="1" t="s">
        <v>315</v>
      </c>
      <c r="V205" s="11"/>
      <c r="W205" s="232"/>
      <c r="X205" s="304"/>
    </row>
    <row r="206" spans="1:24" ht="15.75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205" t="s">
        <v>315</v>
      </c>
      <c r="L206" s="1" t="s">
        <v>315</v>
      </c>
      <c r="M206" s="9"/>
      <c r="N206" s="14">
        <f>Tabela1316171819[[#This Row],[Valor_recibo]]</f>
        <v>0</v>
      </c>
      <c r="O206" s="16"/>
      <c r="P206" s="1" t="e">
        <f>VLOOKUP(Tabela1316171819[[#This Row],[DT]],Aprovados!A:A,1,0)</f>
        <v>#N/A</v>
      </c>
      <c r="Q206" s="16"/>
      <c r="R206" s="16"/>
      <c r="S206" s="16"/>
      <c r="T206" s="9"/>
      <c r="U206" s="1" t="s">
        <v>315</v>
      </c>
      <c r="V206" s="11"/>
      <c r="W206" s="232"/>
      <c r="X206" s="304"/>
    </row>
    <row r="207" spans="1:24" ht="15.75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205" t="s">
        <v>315</v>
      </c>
      <c r="L207" s="1" t="s">
        <v>315</v>
      </c>
      <c r="M207" s="9"/>
      <c r="N207" s="14">
        <f>Tabela1316171819[[#This Row],[Valor_recibo]]</f>
        <v>0</v>
      </c>
      <c r="O207" s="16"/>
      <c r="P207" s="1" t="e">
        <f>VLOOKUP(Tabela1316171819[[#This Row],[DT]],Aprovados!A:A,1,0)</f>
        <v>#N/A</v>
      </c>
      <c r="Q207" s="16"/>
      <c r="R207" s="16"/>
      <c r="S207" s="16"/>
      <c r="T207" s="9"/>
      <c r="U207" s="1" t="s">
        <v>315</v>
      </c>
      <c r="V207" s="11"/>
      <c r="W207" s="232"/>
      <c r="X207" s="304"/>
    </row>
    <row r="208" spans="1:24" ht="15.75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205" t="s">
        <v>315</v>
      </c>
      <c r="L208" s="1" t="s">
        <v>315</v>
      </c>
      <c r="M208" s="9"/>
      <c r="N208" s="14">
        <f>Tabela1316171819[[#This Row],[Valor_recibo]]</f>
        <v>0</v>
      </c>
      <c r="O208" s="16"/>
      <c r="P208" s="1" t="e">
        <f>VLOOKUP(Tabela1316171819[[#This Row],[DT]],Aprovados!A:A,1,0)</f>
        <v>#N/A</v>
      </c>
      <c r="Q208" s="16"/>
      <c r="R208" s="16"/>
      <c r="S208" s="16"/>
      <c r="T208" s="9"/>
      <c r="U208" s="1" t="s">
        <v>315</v>
      </c>
      <c r="V208" s="11"/>
      <c r="W208" s="232"/>
      <c r="X208" s="304"/>
    </row>
    <row r="209" spans="1:24" ht="15.75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205" t="s">
        <v>315</v>
      </c>
      <c r="L209" s="1" t="s">
        <v>315</v>
      </c>
      <c r="M209" s="9"/>
      <c r="N209" s="14">
        <f>Tabela1316171819[[#This Row],[Valor_recibo]]</f>
        <v>0</v>
      </c>
      <c r="O209" s="16"/>
      <c r="P209" s="1" t="e">
        <f>VLOOKUP(Tabela1316171819[[#This Row],[DT]],Aprovados!A:A,1,0)</f>
        <v>#N/A</v>
      </c>
      <c r="Q209" s="16"/>
      <c r="R209" s="16"/>
      <c r="S209" s="16"/>
      <c r="T209" s="9"/>
      <c r="U209" s="1" t="s">
        <v>315</v>
      </c>
      <c r="V209" s="11"/>
      <c r="W209" s="232"/>
      <c r="X209" s="304"/>
    </row>
    <row r="210" spans="1:24" ht="15.75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205" t="s">
        <v>315</v>
      </c>
      <c r="L210" s="1" t="s">
        <v>315</v>
      </c>
      <c r="M210" s="9"/>
      <c r="N210" s="14">
        <f>Tabela1316171819[[#This Row],[Valor_recibo]]</f>
        <v>0</v>
      </c>
      <c r="O210" s="16"/>
      <c r="P210" s="1" t="e">
        <f>VLOOKUP(Tabela1316171819[[#This Row],[DT]],Aprovados!A:A,1,0)</f>
        <v>#N/A</v>
      </c>
      <c r="Q210" s="16"/>
      <c r="R210" s="16"/>
      <c r="S210" s="16"/>
      <c r="T210" s="9"/>
      <c r="U210" s="1" t="s">
        <v>315</v>
      </c>
      <c r="V210" s="11"/>
      <c r="W210" s="232"/>
      <c r="X210" s="304"/>
    </row>
    <row r="211" spans="1:24" ht="15.75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205" t="s">
        <v>315</v>
      </c>
      <c r="L211" s="1" t="s">
        <v>315</v>
      </c>
      <c r="M211" s="9"/>
      <c r="N211" s="14">
        <f>Tabela1316171819[[#This Row],[Valor_recibo]]</f>
        <v>0</v>
      </c>
      <c r="O211" s="16"/>
      <c r="P211" s="1" t="e">
        <f>VLOOKUP(Tabela1316171819[[#This Row],[DT]],Aprovados!A:A,1,0)</f>
        <v>#N/A</v>
      </c>
      <c r="Q211" s="16"/>
      <c r="R211" s="16"/>
      <c r="S211" s="16"/>
      <c r="T211" s="9"/>
      <c r="U211" s="1" t="s">
        <v>315</v>
      </c>
      <c r="V211" s="11"/>
      <c r="W211" s="232"/>
      <c r="X211" s="304"/>
    </row>
    <row r="212" spans="1:24" ht="15.75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205" t="s">
        <v>315</v>
      </c>
      <c r="L212" s="1" t="s">
        <v>315</v>
      </c>
      <c r="M212" s="9"/>
      <c r="N212" s="14">
        <f>Tabela1316171819[[#This Row],[Valor_recibo]]</f>
        <v>0</v>
      </c>
      <c r="O212" s="16"/>
      <c r="P212" s="1" t="e">
        <f>VLOOKUP(Tabela1316171819[[#This Row],[DT]],Aprovados!A:A,1,0)</f>
        <v>#N/A</v>
      </c>
      <c r="Q212" s="16"/>
      <c r="R212" s="16"/>
      <c r="S212" s="16"/>
      <c r="T212" s="9"/>
      <c r="U212" s="1" t="s">
        <v>315</v>
      </c>
      <c r="V212" s="11"/>
      <c r="W212" s="232"/>
      <c r="X212" s="304"/>
    </row>
    <row r="213" spans="1:24" ht="15.75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205" t="s">
        <v>315</v>
      </c>
      <c r="L213" s="1" t="s">
        <v>315</v>
      </c>
      <c r="M213" s="9"/>
      <c r="N213" s="14">
        <f>Tabela1316171819[[#This Row],[Valor_recibo]]</f>
        <v>0</v>
      </c>
      <c r="O213" s="16"/>
      <c r="P213" s="1" t="e">
        <f>VLOOKUP(Tabela1316171819[[#This Row],[DT]],Aprovados!A:A,1,0)</f>
        <v>#N/A</v>
      </c>
      <c r="Q213" s="16"/>
      <c r="R213" s="16"/>
      <c r="S213" s="16"/>
      <c r="T213" s="9"/>
      <c r="U213" s="1" t="s">
        <v>315</v>
      </c>
      <c r="V213" s="11"/>
      <c r="W213" s="232"/>
      <c r="X213" s="304"/>
    </row>
    <row r="214" spans="1:24" ht="15.75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205" t="s">
        <v>315</v>
      </c>
      <c r="L214" s="1" t="s">
        <v>315</v>
      </c>
      <c r="M214" s="9"/>
      <c r="N214" s="14">
        <f>Tabela1316171819[[#This Row],[Valor_recibo]]</f>
        <v>0</v>
      </c>
      <c r="O214" s="16"/>
      <c r="P214" s="1" t="e">
        <f>VLOOKUP(Tabela1316171819[[#This Row],[DT]],Aprovados!A:A,1,0)</f>
        <v>#N/A</v>
      </c>
      <c r="Q214" s="16"/>
      <c r="R214" s="16"/>
      <c r="S214" s="16"/>
      <c r="T214" s="9"/>
      <c r="U214" s="1" t="s">
        <v>315</v>
      </c>
      <c r="V214" s="11"/>
      <c r="W214" s="232"/>
      <c r="X214" s="304"/>
    </row>
    <row r="215" spans="1:24" ht="15.75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205" t="s">
        <v>315</v>
      </c>
      <c r="L215" s="1" t="s">
        <v>315</v>
      </c>
      <c r="M215" s="9"/>
      <c r="N215" s="14">
        <f>Tabela1316171819[[#This Row],[Valor_recibo]]</f>
        <v>0</v>
      </c>
      <c r="O215" s="16"/>
      <c r="P215" s="1" t="e">
        <f>VLOOKUP(Tabela1316171819[[#This Row],[DT]],Aprovados!A:A,1,0)</f>
        <v>#N/A</v>
      </c>
      <c r="Q215" s="16"/>
      <c r="R215" s="16"/>
      <c r="S215" s="16"/>
      <c r="T215" s="9"/>
      <c r="U215" s="1" t="s">
        <v>315</v>
      </c>
      <c r="V215" s="11"/>
      <c r="W215" s="232"/>
      <c r="X215" s="304"/>
    </row>
    <row r="216" spans="1:24" ht="15.75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205" t="s">
        <v>315</v>
      </c>
      <c r="L216" s="1" t="s">
        <v>315</v>
      </c>
      <c r="M216" s="9"/>
      <c r="N216" s="14">
        <f>Tabela1316171819[[#This Row],[Valor_recibo]]</f>
        <v>0</v>
      </c>
      <c r="O216" s="16"/>
      <c r="P216" s="1" t="e">
        <f>VLOOKUP(Tabela1316171819[[#This Row],[DT]],Aprovados!A:A,1,0)</f>
        <v>#N/A</v>
      </c>
      <c r="Q216" s="16"/>
      <c r="R216" s="16"/>
      <c r="S216" s="16"/>
      <c r="T216" s="9"/>
      <c r="U216" s="1" t="s">
        <v>315</v>
      </c>
      <c r="V216" s="11"/>
      <c r="W216" s="232"/>
      <c r="X216" s="304"/>
    </row>
    <row r="217" spans="1:24" ht="15.75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205" t="s">
        <v>315</v>
      </c>
      <c r="L217" s="1" t="s">
        <v>315</v>
      </c>
      <c r="M217" s="9"/>
      <c r="N217" s="14">
        <f>Tabela1316171819[[#This Row],[Valor_recibo]]</f>
        <v>0</v>
      </c>
      <c r="O217" s="16"/>
      <c r="P217" s="1" t="e">
        <f>VLOOKUP(Tabela1316171819[[#This Row],[DT]],Aprovados!A:A,1,0)</f>
        <v>#N/A</v>
      </c>
      <c r="Q217" s="16"/>
      <c r="R217" s="16"/>
      <c r="S217" s="16"/>
      <c r="T217" s="9"/>
      <c r="U217" s="1" t="s">
        <v>315</v>
      </c>
      <c r="V217" s="11"/>
      <c r="W217" s="232"/>
      <c r="X217" s="304"/>
    </row>
    <row r="218" spans="1:24" ht="15.75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205" t="s">
        <v>315</v>
      </c>
      <c r="L218" s="1" t="s">
        <v>315</v>
      </c>
      <c r="M218" s="9"/>
      <c r="N218" s="14">
        <f>Tabela1316171819[[#This Row],[Valor_recibo]]</f>
        <v>0</v>
      </c>
      <c r="O218" s="16"/>
      <c r="P218" s="1" t="e">
        <f>VLOOKUP(Tabela1316171819[[#This Row],[DT]],Aprovados!A:A,1,0)</f>
        <v>#N/A</v>
      </c>
      <c r="Q218" s="16"/>
      <c r="R218" s="16"/>
      <c r="S218" s="16"/>
      <c r="T218" s="9"/>
      <c r="U218" s="1" t="s">
        <v>315</v>
      </c>
      <c r="V218" s="11"/>
      <c r="W218" s="232"/>
      <c r="X218" s="304"/>
    </row>
    <row r="219" spans="1:24" ht="15.75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205" t="s">
        <v>315</v>
      </c>
      <c r="L219" s="1" t="s">
        <v>315</v>
      </c>
      <c r="M219" s="9"/>
      <c r="N219" s="14">
        <f>Tabela1316171819[[#This Row],[Valor_recibo]]</f>
        <v>0</v>
      </c>
      <c r="O219" s="16"/>
      <c r="P219" s="1" t="e">
        <f>VLOOKUP(Tabela1316171819[[#This Row],[DT]],Aprovados!A:A,1,0)</f>
        <v>#N/A</v>
      </c>
      <c r="Q219" s="16"/>
      <c r="R219" s="16"/>
      <c r="S219" s="16"/>
      <c r="T219" s="9"/>
      <c r="U219" s="1" t="s">
        <v>315</v>
      </c>
      <c r="V219" s="11"/>
      <c r="W219" s="232"/>
      <c r="X219" s="304"/>
    </row>
    <row r="220" spans="1:24" ht="15.75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205" t="s">
        <v>315</v>
      </c>
      <c r="L220" s="1" t="s">
        <v>315</v>
      </c>
      <c r="M220" s="9"/>
      <c r="N220" s="14">
        <f>Tabela1316171819[[#This Row],[Valor_recibo]]</f>
        <v>0</v>
      </c>
      <c r="O220" s="16"/>
      <c r="P220" s="1" t="e">
        <f>VLOOKUP(Tabela1316171819[[#This Row],[DT]],Aprovados!A:A,1,0)</f>
        <v>#N/A</v>
      </c>
      <c r="Q220" s="16"/>
      <c r="R220" s="16"/>
      <c r="S220" s="16"/>
      <c r="T220" s="9"/>
      <c r="U220" s="1" t="s">
        <v>315</v>
      </c>
      <c r="V220" s="11"/>
      <c r="W220" s="232"/>
      <c r="X220" s="304"/>
    </row>
    <row r="221" spans="1:24" ht="15.75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205" t="s">
        <v>315</v>
      </c>
      <c r="L221" s="1" t="s">
        <v>315</v>
      </c>
      <c r="M221" s="9"/>
      <c r="N221" s="14">
        <f>Tabela1316171819[[#This Row],[Valor_recibo]]</f>
        <v>0</v>
      </c>
      <c r="O221" s="16"/>
      <c r="P221" s="1" t="e">
        <f>VLOOKUP(Tabela1316171819[[#This Row],[DT]],Aprovados!A:A,1,0)</f>
        <v>#N/A</v>
      </c>
      <c r="Q221" s="16"/>
      <c r="R221" s="16"/>
      <c r="S221" s="16"/>
      <c r="T221" s="9"/>
      <c r="U221" s="1" t="s">
        <v>315</v>
      </c>
      <c r="V221" s="11"/>
      <c r="W221" s="232"/>
      <c r="X221" s="304"/>
    </row>
    <row r="222" spans="1:24" ht="15.75">
      <c r="A222" s="6"/>
      <c r="B222" s="7"/>
      <c r="C222" s="6"/>
      <c r="D222" s="6"/>
      <c r="E222" s="6"/>
      <c r="F222" s="1"/>
      <c r="G222" s="9"/>
      <c r="H222" s="9"/>
      <c r="I222" s="11"/>
      <c r="J222" s="1"/>
      <c r="K222" s="205" t="s">
        <v>315</v>
      </c>
      <c r="L222" s="1" t="s">
        <v>315</v>
      </c>
      <c r="M222" s="9"/>
      <c r="N222" s="14">
        <f>Tabela1316171819[[#This Row],[Valor_recibo]]</f>
        <v>0</v>
      </c>
      <c r="O222" s="16"/>
      <c r="P222" s="1" t="e">
        <f>VLOOKUP(Tabela1316171819[[#This Row],[DT]],Aprovados!A:A,1,0)</f>
        <v>#N/A</v>
      </c>
      <c r="Q222" s="16"/>
      <c r="R222" s="16"/>
      <c r="S222" s="16"/>
      <c r="T222" s="9"/>
      <c r="U222" s="1" t="s">
        <v>315</v>
      </c>
      <c r="V222" s="11"/>
      <c r="W222" s="232"/>
      <c r="X222" s="304"/>
    </row>
    <row r="223" spans="1:24" ht="15.75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205" t="s">
        <v>315</v>
      </c>
      <c r="L223" s="1" t="s">
        <v>315</v>
      </c>
      <c r="M223" s="9"/>
      <c r="N223" s="14">
        <f>Tabela1316171819[[#This Row],[Valor_recibo]]</f>
        <v>0</v>
      </c>
      <c r="O223" s="16"/>
      <c r="P223" s="1" t="e">
        <f>VLOOKUP(Tabela1316171819[[#This Row],[DT]],Aprovados!A:A,1,0)</f>
        <v>#N/A</v>
      </c>
      <c r="Q223" s="16"/>
      <c r="R223" s="16"/>
      <c r="S223" s="16"/>
      <c r="T223" s="9"/>
      <c r="U223" s="1" t="s">
        <v>315</v>
      </c>
      <c r="V223" s="11"/>
      <c r="W223" s="232"/>
      <c r="X223" s="304"/>
    </row>
    <row r="224" spans="1:24" ht="15.75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205" t="s">
        <v>315</v>
      </c>
      <c r="L224" s="1" t="s">
        <v>315</v>
      </c>
      <c r="M224" s="9"/>
      <c r="N224" s="14">
        <f>Tabela1316171819[[#This Row],[Valor_recibo]]</f>
        <v>0</v>
      </c>
      <c r="O224" s="16"/>
      <c r="P224" s="1" t="e">
        <f>VLOOKUP(Tabela1316171819[[#This Row],[DT]],Aprovados!A:A,1,0)</f>
        <v>#N/A</v>
      </c>
      <c r="Q224" s="16"/>
      <c r="R224" s="16"/>
      <c r="S224" s="16"/>
      <c r="T224" s="9"/>
      <c r="U224" s="1" t="s">
        <v>315</v>
      </c>
      <c r="V224" s="11"/>
      <c r="W224" s="232"/>
      <c r="X224" s="304"/>
    </row>
    <row r="225" spans="1:24" ht="15.75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205" t="s">
        <v>315</v>
      </c>
      <c r="L225" s="1" t="s">
        <v>315</v>
      </c>
      <c r="M225" s="9"/>
      <c r="N225" s="14">
        <f>Tabela1316171819[[#This Row],[Valor_recibo]]</f>
        <v>0</v>
      </c>
      <c r="O225" s="16"/>
      <c r="P225" s="1" t="e">
        <f>VLOOKUP(Tabela1316171819[[#This Row],[DT]],Aprovados!A:A,1,0)</f>
        <v>#N/A</v>
      </c>
      <c r="Q225" s="16"/>
      <c r="R225" s="16"/>
      <c r="S225" s="16"/>
      <c r="T225" s="9"/>
      <c r="U225" s="1" t="s">
        <v>315</v>
      </c>
      <c r="V225" s="11"/>
      <c r="W225" s="232"/>
      <c r="X225" s="304"/>
    </row>
    <row r="226" spans="1:24" ht="15.75">
      <c r="K226" s="205" t="s">
        <v>315</v>
      </c>
      <c r="L226" s="1" t="s">
        <v>315</v>
      </c>
      <c r="P226" t="e">
        <f>VLOOKUP(Tabela1316171819[[#This Row],[DT]],Aprovados!A:A,1,0)</f>
        <v>#N/A</v>
      </c>
      <c r="U226" s="1" t="s">
        <v>315</v>
      </c>
      <c r="X226" s="304"/>
    </row>
    <row r="227" spans="1:24" ht="15.75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205" t="s">
        <v>315</v>
      </c>
      <c r="L227" s="1" t="s">
        <v>315</v>
      </c>
      <c r="M227" s="9"/>
      <c r="N227" s="14">
        <f>Tabela1316171819[[#This Row],[Valor_recibo]]</f>
        <v>0</v>
      </c>
      <c r="O227" s="16"/>
      <c r="P227" s="1" t="e">
        <f>VLOOKUP(Tabela1316171819[[#This Row],[DT]],Aprovados!A:A,1,0)</f>
        <v>#N/A</v>
      </c>
      <c r="Q227" s="16"/>
      <c r="R227" s="16"/>
      <c r="S227" s="16"/>
      <c r="T227" s="9"/>
      <c r="U227" s="1" t="s">
        <v>315</v>
      </c>
      <c r="V227" s="11"/>
      <c r="W227" s="232"/>
      <c r="X227" s="304"/>
    </row>
    <row r="228" spans="1:24" ht="15.75">
      <c r="A228" s="6"/>
      <c r="B228" s="7"/>
      <c r="C228" s="6"/>
      <c r="D228" s="6"/>
      <c r="E228" s="6"/>
      <c r="F228" s="1"/>
      <c r="G228" s="9"/>
      <c r="H228" s="9"/>
      <c r="I228" s="11"/>
      <c r="J228" s="1"/>
      <c r="K228" s="205" t="s">
        <v>315</v>
      </c>
      <c r="L228" s="1" t="s">
        <v>315</v>
      </c>
      <c r="M228" s="9"/>
      <c r="N228" s="14">
        <f>Tabela1316171819[[#This Row],[Valor_recibo]]</f>
        <v>0</v>
      </c>
      <c r="O228" s="16"/>
      <c r="P228" s="1" t="e">
        <f>VLOOKUP(Tabela1316171819[[#This Row],[DT]],Aprovados!A:A,1,0)</f>
        <v>#N/A</v>
      </c>
      <c r="Q228" s="16"/>
      <c r="R228" s="16"/>
      <c r="S228" s="16"/>
      <c r="T228" s="9"/>
      <c r="U228" s="1" t="s">
        <v>315</v>
      </c>
      <c r="V228" s="11"/>
      <c r="W228" s="232"/>
      <c r="X228" s="304"/>
    </row>
    <row r="229" spans="1:24" ht="15.75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205" t="s">
        <v>315</v>
      </c>
      <c r="L229" s="1" t="s">
        <v>315</v>
      </c>
      <c r="M229" s="9"/>
      <c r="N229" s="14">
        <f>Tabela1316171819[[#This Row],[Valor_recibo]]</f>
        <v>0</v>
      </c>
      <c r="O229" s="16"/>
      <c r="P229" s="1" t="e">
        <f>VLOOKUP(Tabela1316171819[[#This Row],[DT]],Aprovados!A:A,1,0)</f>
        <v>#N/A</v>
      </c>
      <c r="Q229" s="16"/>
      <c r="R229" s="16"/>
      <c r="S229" s="16"/>
      <c r="T229" s="9"/>
      <c r="U229" s="1" t="s">
        <v>315</v>
      </c>
      <c r="V229" s="11"/>
      <c r="W229" s="232"/>
      <c r="X229" s="304"/>
    </row>
    <row r="230" spans="1:24" ht="15.75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205" t="s">
        <v>315</v>
      </c>
      <c r="L230" s="1" t="s">
        <v>315</v>
      </c>
      <c r="M230" s="9"/>
      <c r="N230" s="14">
        <f>Tabela1316171819[[#This Row],[Valor_recibo]]</f>
        <v>0</v>
      </c>
      <c r="O230" s="16"/>
      <c r="P230" s="1" t="e">
        <f>VLOOKUP(Tabela1316171819[[#This Row],[DT]],Aprovados!A:A,1,0)</f>
        <v>#N/A</v>
      </c>
      <c r="Q230" s="16"/>
      <c r="R230" s="16"/>
      <c r="S230" s="16"/>
      <c r="T230" s="9"/>
      <c r="U230" s="1" t="s">
        <v>315</v>
      </c>
      <c r="V230" s="11"/>
      <c r="W230" s="232"/>
      <c r="X230" s="304"/>
    </row>
    <row r="231" spans="1:24" ht="15.75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205" t="s">
        <v>315</v>
      </c>
      <c r="L231" s="1" t="s">
        <v>315</v>
      </c>
      <c r="M231" s="9"/>
      <c r="N231" s="14">
        <f>Tabela1316171819[[#This Row],[Valor_recibo]]</f>
        <v>0</v>
      </c>
      <c r="O231" s="16"/>
      <c r="P231" s="1" t="e">
        <f>VLOOKUP(Tabela1316171819[[#This Row],[DT]],Aprovados!A:A,1,0)</f>
        <v>#N/A</v>
      </c>
      <c r="Q231" s="16"/>
      <c r="R231" s="16"/>
      <c r="S231" s="16"/>
      <c r="T231" s="9"/>
      <c r="U231" s="1" t="s">
        <v>315</v>
      </c>
      <c r="V231" s="11"/>
      <c r="W231" s="232"/>
      <c r="X231" s="304"/>
    </row>
    <row r="232" spans="1:24" ht="15.75">
      <c r="A232" s="6"/>
      <c r="B232" s="7"/>
      <c r="C232" s="6"/>
      <c r="D232" s="6"/>
      <c r="E232" s="6"/>
      <c r="F232" s="1"/>
      <c r="G232" s="9"/>
      <c r="H232" s="9"/>
      <c r="I232" s="11"/>
      <c r="J232" s="1"/>
      <c r="K232" s="205" t="s">
        <v>315</v>
      </c>
      <c r="L232" s="1" t="s">
        <v>315</v>
      </c>
      <c r="M232" s="9"/>
      <c r="N232" s="14">
        <f>Tabela1316171819[[#This Row],[Valor_recibo]]</f>
        <v>0</v>
      </c>
      <c r="O232" s="16"/>
      <c r="P232" s="1" t="e">
        <f>VLOOKUP(Tabela1316171819[[#This Row],[DT]],Aprovados!A:A,1,0)</f>
        <v>#N/A</v>
      </c>
      <c r="Q232" s="16"/>
      <c r="R232" s="16"/>
      <c r="S232" s="16"/>
      <c r="T232" s="9"/>
      <c r="U232" s="1" t="s">
        <v>315</v>
      </c>
      <c r="V232" s="11"/>
      <c r="W232" s="232"/>
      <c r="X232" s="304"/>
    </row>
    <row r="233" spans="1:24" ht="15.75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205" t="s">
        <v>315</v>
      </c>
      <c r="L233" s="1" t="s">
        <v>315</v>
      </c>
      <c r="M233" s="9"/>
      <c r="N233" s="14">
        <f>Tabela1316171819[[#This Row],[Valor_recibo]]</f>
        <v>0</v>
      </c>
      <c r="O233" s="16"/>
      <c r="P233" s="1" t="e">
        <f>VLOOKUP(Tabela1316171819[[#This Row],[DT]],Aprovados!A:A,1,0)</f>
        <v>#N/A</v>
      </c>
      <c r="Q233" s="16"/>
      <c r="R233" s="16"/>
      <c r="S233" s="16"/>
      <c r="T233" s="9"/>
      <c r="U233" s="1" t="s">
        <v>315</v>
      </c>
      <c r="V233" s="11"/>
      <c r="W233" s="232"/>
      <c r="X233" s="304"/>
    </row>
    <row r="234" spans="1:24" ht="15.75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205" t="s">
        <v>315</v>
      </c>
      <c r="L234" s="1" t="s">
        <v>315</v>
      </c>
      <c r="M234" s="9"/>
      <c r="N234" s="14">
        <f>Tabela1316171819[[#This Row],[Valor_recibo]]</f>
        <v>0</v>
      </c>
      <c r="O234" s="16"/>
      <c r="P234" s="1" t="e">
        <f>VLOOKUP(Tabela1316171819[[#This Row],[DT]],Aprovados!A:A,1,0)</f>
        <v>#N/A</v>
      </c>
      <c r="Q234" s="16"/>
      <c r="R234" s="16"/>
      <c r="S234" s="16"/>
      <c r="T234" s="9"/>
      <c r="U234" s="1" t="s">
        <v>315</v>
      </c>
      <c r="V234" s="11"/>
      <c r="W234" s="232"/>
      <c r="X234" s="304"/>
    </row>
    <row r="235" spans="1:24" ht="15.75">
      <c r="A235" s="6"/>
      <c r="B235" s="7"/>
      <c r="C235" s="6"/>
      <c r="D235" s="260"/>
      <c r="E235" s="6"/>
      <c r="F235" s="1"/>
      <c r="G235" s="9"/>
      <c r="H235" s="9"/>
      <c r="I235" s="11"/>
      <c r="J235" s="1"/>
      <c r="K235" s="205" t="s">
        <v>315</v>
      </c>
      <c r="L235" s="1" t="s">
        <v>315</v>
      </c>
      <c r="M235" s="9"/>
      <c r="N235" s="14">
        <f>Tabela1316171819[[#This Row],[Valor_recibo]]</f>
        <v>0</v>
      </c>
      <c r="O235" s="16"/>
      <c r="P235" s="1" t="e">
        <f>VLOOKUP(Tabela1316171819[[#This Row],[DT]],Aprovados!A:A,1,0)</f>
        <v>#N/A</v>
      </c>
      <c r="Q235" s="16"/>
      <c r="R235" s="16"/>
      <c r="S235" s="16"/>
      <c r="T235" s="9"/>
      <c r="U235" s="1" t="s">
        <v>315</v>
      </c>
      <c r="V235" s="11"/>
      <c r="W235" s="232"/>
      <c r="X235" s="304"/>
    </row>
    <row r="236" spans="1:24" ht="15.75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205" t="s">
        <v>315</v>
      </c>
      <c r="L236" s="1" t="s">
        <v>315</v>
      </c>
      <c r="M236" s="9"/>
      <c r="N236" s="14">
        <f>Tabela1316171819[[#This Row],[Valor_recibo]]</f>
        <v>0</v>
      </c>
      <c r="O236" s="16"/>
      <c r="P236" s="1" t="e">
        <f>VLOOKUP(Tabela1316171819[[#This Row],[DT]],Aprovados!A:A,1,0)</f>
        <v>#N/A</v>
      </c>
      <c r="Q236" s="16"/>
      <c r="R236" s="16"/>
      <c r="S236" s="16"/>
      <c r="T236" s="9"/>
      <c r="U236" s="1" t="s">
        <v>315</v>
      </c>
      <c r="V236" s="11"/>
      <c r="W236" s="232"/>
      <c r="X236" s="304"/>
    </row>
    <row r="237" spans="1:24" ht="15.75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205" t="s">
        <v>315</v>
      </c>
      <c r="L237" s="1" t="s">
        <v>315</v>
      </c>
      <c r="M237" s="9"/>
      <c r="N237" s="14">
        <f>Tabela1316171819[[#This Row],[Valor_recibo]]</f>
        <v>0</v>
      </c>
      <c r="O237" s="16"/>
      <c r="P237" s="1" t="e">
        <f>VLOOKUP(Tabela1316171819[[#This Row],[DT]],Aprovados!A:A,1,0)</f>
        <v>#N/A</v>
      </c>
      <c r="Q237" s="16"/>
      <c r="R237" s="16"/>
      <c r="S237" s="16"/>
      <c r="T237" s="9"/>
      <c r="U237" s="1" t="s">
        <v>315</v>
      </c>
      <c r="V237" s="11"/>
      <c r="W237" s="232"/>
      <c r="X237" s="304"/>
    </row>
    <row r="238" spans="1:24" ht="15.75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205" t="s">
        <v>315</v>
      </c>
      <c r="L238" s="1" t="s">
        <v>315</v>
      </c>
      <c r="M238" s="9"/>
      <c r="N238" s="14">
        <f>Tabela1316171819[[#This Row],[Valor_recibo]]</f>
        <v>0</v>
      </c>
      <c r="O238" s="16"/>
      <c r="P238" s="1" t="e">
        <f>VLOOKUP(Tabela1316171819[[#This Row],[DT]],Aprovados!A:A,1,0)</f>
        <v>#N/A</v>
      </c>
      <c r="Q238" s="16"/>
      <c r="R238" s="16"/>
      <c r="S238" s="16"/>
      <c r="T238" s="9"/>
      <c r="U238" s="1" t="s">
        <v>315</v>
      </c>
      <c r="V238" s="11"/>
      <c r="W238" s="232"/>
      <c r="X238" s="304"/>
    </row>
    <row r="239" spans="1:24" ht="15.75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205" t="s">
        <v>315</v>
      </c>
      <c r="L239" s="1" t="s">
        <v>315</v>
      </c>
      <c r="M239" s="9"/>
      <c r="N239" s="14">
        <f>Tabela1316171819[[#This Row],[Valor_recibo]]</f>
        <v>0</v>
      </c>
      <c r="O239" s="16"/>
      <c r="P239" s="1" t="e">
        <f>VLOOKUP(Tabela1316171819[[#This Row],[DT]],Aprovados!A:A,1,0)</f>
        <v>#N/A</v>
      </c>
      <c r="Q239" s="16"/>
      <c r="R239" s="16"/>
      <c r="S239" s="16"/>
      <c r="T239" s="9"/>
      <c r="U239" s="1" t="s">
        <v>315</v>
      </c>
      <c r="V239" s="11"/>
      <c r="W239" s="232"/>
      <c r="X239" s="304"/>
    </row>
    <row r="240" spans="1:24" ht="15.75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205" t="s">
        <v>315</v>
      </c>
      <c r="L240" s="1" t="s">
        <v>315</v>
      </c>
      <c r="M240" s="9"/>
      <c r="N240" s="14">
        <f>Tabela1316171819[[#This Row],[Valor_recibo]]</f>
        <v>0</v>
      </c>
      <c r="O240" s="16"/>
      <c r="P240" s="1" t="e">
        <f>VLOOKUP(Tabela1316171819[[#This Row],[DT]],Aprovados!A:A,1,0)</f>
        <v>#N/A</v>
      </c>
      <c r="Q240" s="16"/>
      <c r="R240" s="16"/>
      <c r="S240" s="16"/>
      <c r="T240" s="9"/>
      <c r="U240" s="1" t="s">
        <v>315</v>
      </c>
      <c r="V240" s="11"/>
      <c r="W240" s="232"/>
      <c r="X240" s="304"/>
    </row>
    <row r="241" spans="1:24" ht="15.75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205" t="s">
        <v>315</v>
      </c>
      <c r="L241" s="1" t="s">
        <v>315</v>
      </c>
      <c r="M241" s="9"/>
      <c r="N241" s="14">
        <f>Tabela1316171819[[#This Row],[Valor_recibo]]</f>
        <v>0</v>
      </c>
      <c r="O241" s="16"/>
      <c r="P241" s="1" t="e">
        <f>VLOOKUP(Tabela1316171819[[#This Row],[DT]],Aprovados!A:A,1,0)</f>
        <v>#N/A</v>
      </c>
      <c r="Q241" s="16"/>
      <c r="R241" s="16"/>
      <c r="S241" s="16"/>
      <c r="T241" s="9"/>
      <c r="U241" s="1" t="s">
        <v>315</v>
      </c>
      <c r="V241" s="11"/>
      <c r="W241" s="232"/>
      <c r="X241" s="304"/>
    </row>
    <row r="242" spans="1:24" ht="15.75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205" t="s">
        <v>315</v>
      </c>
      <c r="L242" s="1" t="s">
        <v>315</v>
      </c>
      <c r="M242" s="9"/>
      <c r="N242" s="14">
        <f>Tabela1316171819[[#This Row],[Valor_recibo]]</f>
        <v>0</v>
      </c>
      <c r="O242" s="16"/>
      <c r="P242" s="1" t="e">
        <f>VLOOKUP(Tabela1316171819[[#This Row],[DT]],Aprovados!A:A,1,0)</f>
        <v>#N/A</v>
      </c>
      <c r="Q242" s="16"/>
      <c r="R242" s="16"/>
      <c r="S242" s="16"/>
      <c r="T242" s="9"/>
      <c r="U242" s="1" t="s">
        <v>315</v>
      </c>
      <c r="V242" s="11"/>
      <c r="W242" s="232"/>
      <c r="X242" s="304"/>
    </row>
    <row r="243" spans="1:24" ht="15.75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205" t="s">
        <v>315</v>
      </c>
      <c r="L243" s="1" t="s">
        <v>315</v>
      </c>
      <c r="M243" s="9"/>
      <c r="N243" s="14">
        <f>Tabela1316171819[[#This Row],[Valor_recibo]]</f>
        <v>0</v>
      </c>
      <c r="O243" s="16"/>
      <c r="P243" s="1" t="e">
        <f>VLOOKUP(Tabela1316171819[[#This Row],[DT]],Aprovados!A:A,1,0)</f>
        <v>#N/A</v>
      </c>
      <c r="Q243" s="16"/>
      <c r="R243" s="16"/>
      <c r="S243" s="16"/>
      <c r="T243" s="9"/>
      <c r="U243" s="1" t="s">
        <v>315</v>
      </c>
      <c r="V243" s="11"/>
      <c r="W243" s="232"/>
      <c r="X243" s="304"/>
    </row>
    <row r="244" spans="1:24" ht="15.75">
      <c r="A244" s="6"/>
      <c r="B244" s="7"/>
      <c r="C244" s="6"/>
      <c r="D244" s="6"/>
      <c r="E244" s="6"/>
      <c r="F244" s="1"/>
      <c r="G244" s="9"/>
      <c r="H244" s="9"/>
      <c r="I244" s="11"/>
      <c r="J244" s="1"/>
      <c r="K244" s="205" t="s">
        <v>315</v>
      </c>
      <c r="L244" s="1" t="s">
        <v>315</v>
      </c>
      <c r="M244" s="9"/>
      <c r="N244" s="14">
        <f>Tabela1316171819[[#This Row],[Valor_recibo]]</f>
        <v>0</v>
      </c>
      <c r="O244" s="16"/>
      <c r="P244" s="1" t="e">
        <f>VLOOKUP(Tabela1316171819[[#This Row],[DT]],Aprovados!A:A,1,0)</f>
        <v>#N/A</v>
      </c>
      <c r="Q244" s="16"/>
      <c r="R244" s="16"/>
      <c r="S244" s="16"/>
      <c r="T244" s="9"/>
      <c r="U244" s="1" t="s">
        <v>315</v>
      </c>
      <c r="V244" s="11"/>
      <c r="W244" s="232"/>
      <c r="X244" s="304"/>
    </row>
    <row r="245" spans="1:24" ht="15.75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205" t="s">
        <v>315</v>
      </c>
      <c r="L245" s="1" t="s">
        <v>315</v>
      </c>
      <c r="M245" s="9"/>
      <c r="N245" s="14">
        <f>Tabela1316171819[[#This Row],[Valor_recibo]]</f>
        <v>0</v>
      </c>
      <c r="O245" s="16"/>
      <c r="P245" s="1" t="e">
        <f>VLOOKUP(Tabela1316171819[[#This Row],[DT]],Aprovados!A:A,1,0)</f>
        <v>#N/A</v>
      </c>
      <c r="Q245" s="16"/>
      <c r="R245" s="16"/>
      <c r="S245" s="16"/>
      <c r="T245" s="9"/>
      <c r="U245" s="1" t="s">
        <v>315</v>
      </c>
      <c r="V245" s="11"/>
      <c r="W245" s="232"/>
      <c r="X245" s="304"/>
    </row>
    <row r="246" spans="1:24" ht="15.75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205" t="s">
        <v>315</v>
      </c>
      <c r="L246" s="1" t="s">
        <v>315</v>
      </c>
      <c r="M246" s="9"/>
      <c r="N246" s="14">
        <f>Tabela1316171819[[#This Row],[Valor_recibo]]</f>
        <v>0</v>
      </c>
      <c r="O246" s="16"/>
      <c r="P246" s="1" t="e">
        <f>VLOOKUP(Tabela1316171819[[#This Row],[DT]],Aprovados!A:A,1,0)</f>
        <v>#N/A</v>
      </c>
      <c r="Q246" s="16"/>
      <c r="R246" s="16"/>
      <c r="S246" s="16"/>
      <c r="T246" s="9"/>
      <c r="U246" s="1" t="s">
        <v>315</v>
      </c>
      <c r="V246" s="11"/>
      <c r="W246" s="232"/>
      <c r="X246" s="304"/>
    </row>
    <row r="247" spans="1:24" ht="15.75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205" t="s">
        <v>315</v>
      </c>
      <c r="L247" s="1" t="s">
        <v>315</v>
      </c>
      <c r="M247" s="9"/>
      <c r="N247" s="14">
        <f>Tabela1316171819[[#This Row],[Valor_recibo]]</f>
        <v>0</v>
      </c>
      <c r="O247" s="16"/>
      <c r="P247" s="1" t="e">
        <f>VLOOKUP(Tabela1316171819[[#This Row],[DT]],Aprovados!A:A,1,0)</f>
        <v>#N/A</v>
      </c>
      <c r="Q247" s="16"/>
      <c r="R247" s="16"/>
      <c r="S247" s="16"/>
      <c r="T247" s="9"/>
      <c r="U247" s="1" t="s">
        <v>315</v>
      </c>
      <c r="V247" s="11"/>
      <c r="W247" s="232"/>
      <c r="X247" s="304"/>
    </row>
    <row r="248" spans="1:24" ht="15.75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205" t="s">
        <v>315</v>
      </c>
      <c r="L248" s="1" t="s">
        <v>315</v>
      </c>
      <c r="M248" s="9"/>
      <c r="N248" s="14">
        <f>Tabela1316171819[[#This Row],[Valor_recibo]]</f>
        <v>0</v>
      </c>
      <c r="O248" s="16"/>
      <c r="P248" s="1" t="e">
        <f>VLOOKUP(Tabela1316171819[[#This Row],[DT]],Aprovados!A:A,1,0)</f>
        <v>#N/A</v>
      </c>
      <c r="Q248" s="16"/>
      <c r="R248" s="16"/>
      <c r="S248" s="16"/>
      <c r="T248" s="9"/>
      <c r="U248" s="1" t="s">
        <v>315</v>
      </c>
      <c r="V248" s="11"/>
      <c r="W248" s="232"/>
      <c r="X248" s="304"/>
    </row>
    <row r="249" spans="1:24" ht="15.75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205" t="s">
        <v>315</v>
      </c>
      <c r="L249" s="1" t="s">
        <v>315</v>
      </c>
      <c r="M249" s="9"/>
      <c r="N249" s="14">
        <f>Tabela1316171819[[#This Row],[Valor_recibo]]</f>
        <v>0</v>
      </c>
      <c r="O249" s="16"/>
      <c r="P249" s="1" t="e">
        <f>VLOOKUP(Tabela1316171819[[#This Row],[DT]],Aprovados!A:A,1,0)</f>
        <v>#N/A</v>
      </c>
      <c r="Q249" s="16"/>
      <c r="R249" s="16"/>
      <c r="S249" s="16"/>
      <c r="T249" s="9"/>
      <c r="U249" s="1" t="s">
        <v>315</v>
      </c>
      <c r="V249" s="11"/>
      <c r="W249" s="232"/>
      <c r="X249" s="304"/>
    </row>
    <row r="250" spans="1:24" ht="15.75">
      <c r="A250" s="6"/>
      <c r="B250" s="7"/>
      <c r="C250" s="6"/>
      <c r="D250" s="59"/>
      <c r="E250" s="6"/>
      <c r="F250" s="1"/>
      <c r="G250" s="9"/>
      <c r="H250" s="9"/>
      <c r="I250" s="11"/>
      <c r="J250" s="1"/>
      <c r="K250" s="205" t="s">
        <v>315</v>
      </c>
      <c r="L250" s="1" t="s">
        <v>315</v>
      </c>
      <c r="M250" s="9"/>
      <c r="N250" s="14">
        <f>Tabela1316171819[[#This Row],[Valor_recibo]]</f>
        <v>0</v>
      </c>
      <c r="O250" s="16"/>
      <c r="P250" s="1" t="e">
        <f>VLOOKUP(Tabela1316171819[[#This Row],[DT]],Aprovados!A:A,1,0)</f>
        <v>#N/A</v>
      </c>
      <c r="Q250" s="16"/>
      <c r="R250" s="16"/>
      <c r="S250" s="16"/>
      <c r="T250" s="9"/>
      <c r="U250" s="1" t="s">
        <v>315</v>
      </c>
      <c r="V250" s="11"/>
      <c r="W250" s="232"/>
      <c r="X250" s="304"/>
    </row>
    <row r="251" spans="1:24" ht="15.75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205" t="s">
        <v>315</v>
      </c>
      <c r="L251" s="1" t="s">
        <v>315</v>
      </c>
      <c r="M251" s="9"/>
      <c r="N251" s="14">
        <f>Tabela1316171819[[#This Row],[Valor_recibo]]</f>
        <v>0</v>
      </c>
      <c r="O251" s="16"/>
      <c r="P251" s="1" t="e">
        <f>VLOOKUP(Tabela1316171819[[#This Row],[DT]],Aprovados!A:A,1,0)</f>
        <v>#N/A</v>
      </c>
      <c r="Q251" s="16"/>
      <c r="R251" s="16"/>
      <c r="S251" s="16"/>
      <c r="T251" s="9"/>
      <c r="U251" s="1" t="s">
        <v>315</v>
      </c>
      <c r="V251" s="11"/>
      <c r="W251" s="232"/>
      <c r="X251" s="304"/>
    </row>
    <row r="252" spans="1:24" ht="15.75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205" t="s">
        <v>315</v>
      </c>
      <c r="L252" s="1" t="s">
        <v>315</v>
      </c>
      <c r="M252" s="9"/>
      <c r="N252" s="14">
        <f>Tabela1316171819[[#This Row],[Valor_recibo]]</f>
        <v>0</v>
      </c>
      <c r="O252" s="16"/>
      <c r="P252" s="1" t="e">
        <f>VLOOKUP(Tabela1316171819[[#This Row],[DT]],Aprovados!A:A,1,0)</f>
        <v>#N/A</v>
      </c>
      <c r="Q252" s="16"/>
      <c r="R252" s="16"/>
      <c r="S252" s="16"/>
      <c r="T252" s="9"/>
      <c r="U252" s="1" t="s">
        <v>315</v>
      </c>
      <c r="V252" s="11"/>
      <c r="W252" s="232"/>
      <c r="X252" s="304"/>
    </row>
    <row r="253" spans="1:24" ht="15.75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205" t="s">
        <v>315</v>
      </c>
      <c r="L253" s="1" t="s">
        <v>315</v>
      </c>
      <c r="M253" s="9"/>
      <c r="N253" s="14">
        <f>Tabela1316171819[[#This Row],[Valor_recibo]]</f>
        <v>0</v>
      </c>
      <c r="O253" s="16"/>
      <c r="P253" s="1" t="e">
        <f>VLOOKUP(Tabela1316171819[[#This Row],[DT]],Aprovados!A:A,1,0)</f>
        <v>#N/A</v>
      </c>
      <c r="Q253" s="16"/>
      <c r="R253" s="16"/>
      <c r="S253" s="16"/>
      <c r="T253" s="9"/>
      <c r="U253" s="1" t="s">
        <v>315</v>
      </c>
      <c r="V253" s="11"/>
      <c r="W253" s="232"/>
      <c r="X253" s="304"/>
    </row>
    <row r="254" spans="1:24" ht="15.75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205" t="s">
        <v>315</v>
      </c>
      <c r="L254" s="1" t="s">
        <v>315</v>
      </c>
      <c r="M254" s="9"/>
      <c r="N254" s="14">
        <f>Tabela1316171819[[#This Row],[Valor_recibo]]</f>
        <v>0</v>
      </c>
      <c r="O254" s="16"/>
      <c r="P254" s="1" t="e">
        <f>VLOOKUP(Tabela1316171819[[#This Row],[DT]],Aprovados!A:A,1,0)</f>
        <v>#N/A</v>
      </c>
      <c r="Q254" s="16"/>
      <c r="R254" s="16"/>
      <c r="S254" s="16"/>
      <c r="T254" s="9"/>
      <c r="U254" s="1" t="s">
        <v>315</v>
      </c>
      <c r="V254" s="11"/>
      <c r="W254" s="232"/>
      <c r="X254" s="304"/>
    </row>
    <row r="255" spans="1:24" ht="15.75">
      <c r="A255" s="6"/>
      <c r="B255" s="7"/>
      <c r="C255" s="6"/>
      <c r="D255" s="59"/>
      <c r="E255" s="6"/>
      <c r="F255" s="1"/>
      <c r="G255" s="9"/>
      <c r="H255" s="9"/>
      <c r="I255" s="11"/>
      <c r="J255" s="1"/>
      <c r="K255" s="205" t="s">
        <v>315</v>
      </c>
      <c r="L255" s="1" t="s">
        <v>315</v>
      </c>
      <c r="M255" s="9"/>
      <c r="N255" s="14">
        <f>Tabela1316171819[[#This Row],[Valor_recibo]]</f>
        <v>0</v>
      </c>
      <c r="O255" s="16"/>
      <c r="P255" s="1" t="e">
        <f>VLOOKUP(Tabela1316171819[[#This Row],[DT]],Aprovados!A:A,1,0)</f>
        <v>#N/A</v>
      </c>
      <c r="Q255" s="16"/>
      <c r="R255" s="16"/>
      <c r="S255" s="16"/>
      <c r="T255" s="9"/>
      <c r="U255" s="1" t="s">
        <v>315</v>
      </c>
      <c r="V255" s="11"/>
      <c r="W255" s="232"/>
      <c r="X255" s="304"/>
    </row>
    <row r="256" spans="1:24" ht="15.75">
      <c r="A256" s="6"/>
      <c r="B256" s="7"/>
      <c r="C256" s="6"/>
      <c r="D256" s="6"/>
      <c r="E256" s="6"/>
      <c r="F256" s="1"/>
      <c r="G256" s="9"/>
      <c r="H256" s="9"/>
      <c r="I256" s="11"/>
      <c r="J256" s="1"/>
      <c r="K256" s="205" t="s">
        <v>315</v>
      </c>
      <c r="L256" s="1" t="s">
        <v>315</v>
      </c>
      <c r="M256" s="9"/>
      <c r="N256" s="14">
        <f>Tabela1316171819[[#This Row],[Valor_recibo]]</f>
        <v>0</v>
      </c>
      <c r="O256" s="16"/>
      <c r="P256" s="1" t="e">
        <f>VLOOKUP(Tabela1316171819[[#This Row],[DT]],Aprovados!A:A,1,0)</f>
        <v>#N/A</v>
      </c>
      <c r="Q256" s="16"/>
      <c r="R256" s="16"/>
      <c r="S256" s="16"/>
      <c r="T256" s="9"/>
      <c r="U256" s="1" t="s">
        <v>315</v>
      </c>
      <c r="V256" s="11"/>
      <c r="W256" s="232"/>
      <c r="X256" s="304"/>
    </row>
    <row r="257" spans="1:24" ht="15.75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205" t="s">
        <v>315</v>
      </c>
      <c r="L257" s="1" t="s">
        <v>315</v>
      </c>
      <c r="M257" s="9"/>
      <c r="N257" s="14">
        <f>Tabela1316171819[[#This Row],[Valor_recibo]]</f>
        <v>0</v>
      </c>
      <c r="O257" s="16"/>
      <c r="P257" s="1" t="e">
        <f>VLOOKUP(Tabela1316171819[[#This Row],[DT]],Aprovados!A:A,1,0)</f>
        <v>#N/A</v>
      </c>
      <c r="Q257" s="16"/>
      <c r="R257" s="16"/>
      <c r="S257" s="16"/>
      <c r="T257" s="9"/>
      <c r="U257" s="1" t="s">
        <v>315</v>
      </c>
      <c r="V257" s="11"/>
      <c r="W257" s="232"/>
      <c r="X257" s="304"/>
    </row>
    <row r="258" spans="1:24" ht="15.75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205" t="s">
        <v>315</v>
      </c>
      <c r="L258" s="1" t="s">
        <v>315</v>
      </c>
      <c r="M258" s="9"/>
      <c r="N258" s="14">
        <f>Tabela1316171819[[#This Row],[Valor_recibo]]</f>
        <v>0</v>
      </c>
      <c r="O258" s="16"/>
      <c r="P258" s="1" t="e">
        <f>VLOOKUP(Tabela1316171819[[#This Row],[DT]],Aprovados!A:A,1,0)</f>
        <v>#N/A</v>
      </c>
      <c r="Q258" s="16"/>
      <c r="R258" s="16"/>
      <c r="S258" s="16"/>
      <c r="T258" s="9"/>
      <c r="U258" s="1" t="s">
        <v>315</v>
      </c>
      <c r="V258" s="11"/>
      <c r="W258" s="232"/>
      <c r="X258" s="304"/>
    </row>
    <row r="259" spans="1:24" ht="15.75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205" t="s">
        <v>315</v>
      </c>
      <c r="L259" s="1" t="s">
        <v>315</v>
      </c>
      <c r="M259" s="9"/>
      <c r="N259" s="14">
        <f>Tabela1316171819[[#This Row],[Valor_recibo]]</f>
        <v>0</v>
      </c>
      <c r="O259" s="16"/>
      <c r="P259" s="1" t="e">
        <f>VLOOKUP(Tabela1316171819[[#This Row],[DT]],Aprovados!A:A,1,0)</f>
        <v>#N/A</v>
      </c>
      <c r="Q259" s="16"/>
      <c r="R259" s="16"/>
      <c r="S259" s="16"/>
      <c r="T259" s="9"/>
      <c r="U259" s="1" t="s">
        <v>315</v>
      </c>
      <c r="V259" s="11"/>
      <c r="W259" s="232"/>
      <c r="X259" s="304"/>
    </row>
    <row r="260" spans="1:24" ht="15.75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205" t="s">
        <v>315</v>
      </c>
      <c r="L260" s="1" t="s">
        <v>315</v>
      </c>
      <c r="M260" s="9"/>
      <c r="N260" s="14">
        <f>Tabela1316171819[[#This Row],[Valor_recibo]]</f>
        <v>0</v>
      </c>
      <c r="O260" s="16"/>
      <c r="P260" s="1" t="e">
        <f>VLOOKUP(Tabela1316171819[[#This Row],[DT]],Aprovados!A:A,1,0)</f>
        <v>#N/A</v>
      </c>
      <c r="Q260" s="16"/>
      <c r="R260" s="16"/>
      <c r="S260" s="16"/>
      <c r="T260" s="9"/>
      <c r="U260" s="1" t="s">
        <v>315</v>
      </c>
      <c r="V260" s="11"/>
      <c r="W260" s="232"/>
      <c r="X260" s="304"/>
    </row>
    <row r="261" spans="1:24" ht="15.75">
      <c r="A261" s="6"/>
      <c r="B261" s="7"/>
      <c r="C261" s="6"/>
      <c r="D261" s="6"/>
      <c r="E261" s="6"/>
      <c r="F261" s="1"/>
      <c r="G261" s="9"/>
      <c r="H261" s="9"/>
      <c r="I261" s="11"/>
      <c r="J261" s="1"/>
      <c r="K261" s="205" t="s">
        <v>315</v>
      </c>
      <c r="L261" s="1" t="s">
        <v>315</v>
      </c>
      <c r="M261" s="9"/>
      <c r="N261" s="14">
        <f>Tabela1316171819[[#This Row],[Valor_recibo]]</f>
        <v>0</v>
      </c>
      <c r="O261" s="16"/>
      <c r="P261" s="1" t="e">
        <f>VLOOKUP(Tabela1316171819[[#This Row],[DT]],Aprovados!A:A,1,0)</f>
        <v>#N/A</v>
      </c>
      <c r="Q261" s="16"/>
      <c r="R261" s="16"/>
      <c r="S261" s="16"/>
      <c r="T261" s="9"/>
      <c r="U261" s="1" t="s">
        <v>315</v>
      </c>
      <c r="V261" s="11"/>
      <c r="W261" s="232"/>
      <c r="X261" s="304"/>
    </row>
    <row r="262" spans="1:24" ht="15.75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205" t="s">
        <v>315</v>
      </c>
      <c r="L262" s="1" t="s">
        <v>315</v>
      </c>
      <c r="M262" s="9"/>
      <c r="N262" s="14">
        <f>Tabela1316171819[[#This Row],[Valor_recibo]]</f>
        <v>0</v>
      </c>
      <c r="O262" s="16"/>
      <c r="P262" s="1" t="e">
        <f>VLOOKUP(Tabela1316171819[[#This Row],[DT]],Aprovados!A:A,1,0)</f>
        <v>#N/A</v>
      </c>
      <c r="Q262" s="16"/>
      <c r="R262" s="16"/>
      <c r="S262" s="16"/>
      <c r="T262" s="9"/>
      <c r="U262" s="1" t="s">
        <v>315</v>
      </c>
      <c r="V262" s="11"/>
      <c r="W262" s="232"/>
      <c r="X262" s="304"/>
    </row>
    <row r="263" spans="1:24" ht="15.75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205" t="s">
        <v>315</v>
      </c>
      <c r="L263" s="1" t="s">
        <v>315</v>
      </c>
      <c r="M263" s="9"/>
      <c r="N263" s="14">
        <f>Tabela1316171819[[#This Row],[Valor_recibo]]</f>
        <v>0</v>
      </c>
      <c r="O263" s="16"/>
      <c r="P263" s="1" t="e">
        <f>VLOOKUP(Tabela1316171819[[#This Row],[DT]],Aprovados!A:A,1,0)</f>
        <v>#N/A</v>
      </c>
      <c r="Q263" s="16"/>
      <c r="R263" s="16"/>
      <c r="S263" s="16"/>
      <c r="T263" s="9"/>
      <c r="U263" s="1" t="s">
        <v>315</v>
      </c>
      <c r="V263" s="11"/>
      <c r="W263" s="232"/>
      <c r="X263" s="304"/>
    </row>
    <row r="264" spans="1:24" ht="15.75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205" t="s">
        <v>315</v>
      </c>
      <c r="L264" s="1" t="s">
        <v>315</v>
      </c>
      <c r="M264" s="9"/>
      <c r="N264" s="14">
        <f>Tabela1316171819[[#This Row],[Valor_recibo]]</f>
        <v>0</v>
      </c>
      <c r="O264" s="16"/>
      <c r="P264" s="1" t="e">
        <f>VLOOKUP(Tabela1316171819[[#This Row],[DT]],Aprovados!A:A,1,0)</f>
        <v>#N/A</v>
      </c>
      <c r="Q264" s="16"/>
      <c r="R264" s="16"/>
      <c r="S264" s="16"/>
      <c r="T264" s="9"/>
      <c r="U264" s="1" t="s">
        <v>315</v>
      </c>
      <c r="V264" s="11"/>
      <c r="W264" s="232"/>
      <c r="X264" s="304"/>
    </row>
    <row r="265" spans="1:24" ht="15.75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205" t="s">
        <v>315</v>
      </c>
      <c r="L265" s="1" t="s">
        <v>315</v>
      </c>
      <c r="M265" s="9"/>
      <c r="N265" s="14">
        <f>Tabela1316171819[[#This Row],[Valor_recibo]]</f>
        <v>0</v>
      </c>
      <c r="O265" s="16"/>
      <c r="P265" s="1" t="e">
        <f>VLOOKUP(Tabela1316171819[[#This Row],[DT]],Aprovados!A:A,1,0)</f>
        <v>#N/A</v>
      </c>
      <c r="Q265" s="16"/>
      <c r="R265" s="16"/>
      <c r="S265" s="16"/>
      <c r="T265" s="9"/>
      <c r="U265" s="1" t="s">
        <v>315</v>
      </c>
      <c r="V265" s="11"/>
      <c r="W265" s="232"/>
      <c r="X265" s="304"/>
    </row>
    <row r="266" spans="1:24" ht="15.75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205" t="s">
        <v>315</v>
      </c>
      <c r="L266" s="1" t="s">
        <v>315</v>
      </c>
      <c r="M266" s="9"/>
      <c r="N266" s="14">
        <f>Tabela1316171819[[#This Row],[Valor_recibo]]</f>
        <v>0</v>
      </c>
      <c r="O266" s="16"/>
      <c r="P266" s="1" t="e">
        <f>VLOOKUP(Tabela1316171819[[#This Row],[DT]],Aprovados!A:A,1,0)</f>
        <v>#N/A</v>
      </c>
      <c r="Q266" s="16"/>
      <c r="R266" s="16"/>
      <c r="S266" s="16"/>
      <c r="T266" s="9"/>
      <c r="U266" s="1" t="s">
        <v>315</v>
      </c>
      <c r="V266" s="11"/>
      <c r="W266" s="232"/>
      <c r="X266" s="304"/>
    </row>
    <row r="267" spans="1:24" ht="15.75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205" t="s">
        <v>315</v>
      </c>
      <c r="L267" s="1" t="s">
        <v>315</v>
      </c>
      <c r="M267" s="9"/>
      <c r="N267" s="14">
        <f>Tabela1316171819[[#This Row],[Valor_recibo]]</f>
        <v>0</v>
      </c>
      <c r="O267" s="16"/>
      <c r="P267" s="1" t="e">
        <f>VLOOKUP(Tabela1316171819[[#This Row],[DT]],Aprovados!A:A,1,0)</f>
        <v>#N/A</v>
      </c>
      <c r="Q267" s="16"/>
      <c r="R267" s="16"/>
      <c r="S267" s="16"/>
      <c r="T267" s="9"/>
      <c r="U267" s="1" t="s">
        <v>315</v>
      </c>
      <c r="V267" s="11"/>
      <c r="W267" s="232"/>
      <c r="X267" s="304"/>
    </row>
    <row r="268" spans="1:24" ht="15.75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205" t="s">
        <v>315</v>
      </c>
      <c r="L268" s="1" t="s">
        <v>315</v>
      </c>
      <c r="M268" s="9"/>
      <c r="N268" s="14">
        <f>Tabela1316171819[[#This Row],[Valor_recibo]]</f>
        <v>0</v>
      </c>
      <c r="O268" s="16"/>
      <c r="P268" s="1" t="e">
        <f>VLOOKUP(Tabela1316171819[[#This Row],[DT]],Aprovados!A:A,1,0)</f>
        <v>#N/A</v>
      </c>
      <c r="Q268" s="16"/>
      <c r="R268" s="16"/>
      <c r="S268" s="16"/>
      <c r="T268" s="9"/>
      <c r="U268" s="1" t="s">
        <v>315</v>
      </c>
      <c r="V268" s="11"/>
      <c r="W268" s="232"/>
      <c r="X268" s="304"/>
    </row>
    <row r="269" spans="1:24" ht="15.75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205" t="s">
        <v>315</v>
      </c>
      <c r="L269" s="1" t="s">
        <v>315</v>
      </c>
      <c r="M269" s="9"/>
      <c r="N269" s="14">
        <f>Tabela1316171819[[#This Row],[Valor_recibo]]</f>
        <v>0</v>
      </c>
      <c r="O269" s="16"/>
      <c r="P269" s="1" t="e">
        <f>VLOOKUP(Tabela1316171819[[#This Row],[DT]],Aprovados!A:A,1,0)</f>
        <v>#N/A</v>
      </c>
      <c r="Q269" s="16"/>
      <c r="R269" s="16"/>
      <c r="S269" s="16"/>
      <c r="T269" s="9"/>
      <c r="U269" s="1" t="s">
        <v>315</v>
      </c>
      <c r="V269" s="11"/>
      <c r="W269" s="232"/>
      <c r="X269" s="304"/>
    </row>
    <row r="270" spans="1:24" ht="15.75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205" t="s">
        <v>315</v>
      </c>
      <c r="L270" s="1" t="s">
        <v>315</v>
      </c>
      <c r="M270" s="9"/>
      <c r="N270" s="14">
        <f>Tabela1316171819[[#This Row],[Valor_recibo]]</f>
        <v>0</v>
      </c>
      <c r="O270" s="16"/>
      <c r="P270" s="1" t="e">
        <f>VLOOKUP(Tabela1316171819[[#This Row],[DT]],Aprovados!A:A,1,0)</f>
        <v>#N/A</v>
      </c>
      <c r="Q270" s="16"/>
      <c r="R270" s="16"/>
      <c r="S270" s="16"/>
      <c r="T270" s="9"/>
      <c r="U270" s="1" t="s">
        <v>315</v>
      </c>
      <c r="V270" s="11"/>
      <c r="W270" s="232"/>
      <c r="X270" s="304"/>
    </row>
    <row r="271" spans="1:24" ht="15.75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205" t="s">
        <v>315</v>
      </c>
      <c r="L271" s="1" t="s">
        <v>315</v>
      </c>
      <c r="M271" s="9"/>
      <c r="N271" s="14">
        <f>Tabela1316171819[[#This Row],[Valor_recibo]]</f>
        <v>0</v>
      </c>
      <c r="O271" s="16"/>
      <c r="P271" s="1" t="e">
        <f>VLOOKUP(Tabela1316171819[[#This Row],[DT]],Aprovados!A:A,1,0)</f>
        <v>#N/A</v>
      </c>
      <c r="Q271" s="16"/>
      <c r="R271" s="16"/>
      <c r="S271" s="16"/>
      <c r="T271" s="9"/>
      <c r="U271" s="1" t="s">
        <v>315</v>
      </c>
      <c r="V271" s="11"/>
      <c r="W271" s="232"/>
      <c r="X271" s="304"/>
    </row>
    <row r="272" spans="1:24" ht="15.75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205" t="s">
        <v>315</v>
      </c>
      <c r="L272" s="1" t="s">
        <v>315</v>
      </c>
      <c r="M272" s="9"/>
      <c r="N272" s="14">
        <f>Tabela1316171819[[#This Row],[Valor_recibo]]</f>
        <v>0</v>
      </c>
      <c r="O272" s="16"/>
      <c r="P272" s="1" t="e">
        <f>VLOOKUP(Tabela1316171819[[#This Row],[DT]],Aprovados!A:A,1,0)</f>
        <v>#N/A</v>
      </c>
      <c r="Q272" s="16"/>
      <c r="R272" s="16"/>
      <c r="S272" s="16"/>
      <c r="T272" s="9"/>
      <c r="U272" s="1" t="s">
        <v>315</v>
      </c>
      <c r="V272" s="11"/>
      <c r="W272" s="232"/>
      <c r="X272" s="304"/>
    </row>
    <row r="273" spans="1:24" ht="15.75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205" t="s">
        <v>315</v>
      </c>
      <c r="L273" s="1" t="s">
        <v>315</v>
      </c>
      <c r="M273" s="9"/>
      <c r="N273" s="14">
        <f>Tabela1316171819[[#This Row],[Valor_recibo]]</f>
        <v>0</v>
      </c>
      <c r="O273" s="16"/>
      <c r="P273" s="1" t="e">
        <f>VLOOKUP(Tabela1316171819[[#This Row],[DT]],Aprovados!A:A,1,0)</f>
        <v>#N/A</v>
      </c>
      <c r="Q273" s="16"/>
      <c r="R273" s="16"/>
      <c r="S273" s="16"/>
      <c r="T273" s="9"/>
      <c r="U273" s="1" t="s">
        <v>315</v>
      </c>
      <c r="V273" s="11"/>
      <c r="W273" s="232"/>
      <c r="X273" s="304"/>
    </row>
    <row r="274" spans="1:24" ht="15.75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205" t="s">
        <v>315</v>
      </c>
      <c r="L274" s="1" t="s">
        <v>315</v>
      </c>
      <c r="M274" s="9"/>
      <c r="N274" s="14">
        <f>Tabela1316171819[[#This Row],[Valor_recibo]]</f>
        <v>0</v>
      </c>
      <c r="O274" s="16"/>
      <c r="P274" s="1" t="e">
        <f>VLOOKUP(Tabela1316171819[[#This Row],[DT]],Aprovados!A:A,1,0)</f>
        <v>#N/A</v>
      </c>
      <c r="Q274" s="16"/>
      <c r="R274" s="16"/>
      <c r="S274" s="16"/>
      <c r="T274" s="9"/>
      <c r="U274" s="1" t="s">
        <v>315</v>
      </c>
      <c r="V274" s="11"/>
      <c r="W274" s="232"/>
      <c r="X274" s="304"/>
    </row>
    <row r="275" spans="1:24" ht="15.75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205" t="s">
        <v>315</v>
      </c>
      <c r="L275" s="1" t="s">
        <v>315</v>
      </c>
      <c r="M275" s="9"/>
      <c r="N275" s="14">
        <f>Tabela1316171819[[#This Row],[Valor_recibo]]</f>
        <v>0</v>
      </c>
      <c r="O275" s="16"/>
      <c r="P275" s="1" t="e">
        <f>VLOOKUP(Tabela1316171819[[#This Row],[DT]],Aprovados!A:A,1,0)</f>
        <v>#N/A</v>
      </c>
      <c r="Q275" s="16"/>
      <c r="R275" s="16"/>
      <c r="S275" s="16"/>
      <c r="T275" s="9"/>
      <c r="U275" s="1" t="s">
        <v>315</v>
      </c>
      <c r="V275" s="11"/>
      <c r="W275" s="232"/>
      <c r="X275" s="304"/>
    </row>
    <row r="276" spans="1:24" ht="15.75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205" t="s">
        <v>315</v>
      </c>
      <c r="L276" s="1" t="s">
        <v>315</v>
      </c>
      <c r="M276" s="9"/>
      <c r="N276" s="14">
        <f>Tabela1316171819[[#This Row],[Valor_recibo]]</f>
        <v>0</v>
      </c>
      <c r="O276" s="16"/>
      <c r="P276" s="1" t="e">
        <f>VLOOKUP(Tabela1316171819[[#This Row],[DT]],Aprovados!A:A,1,0)</f>
        <v>#N/A</v>
      </c>
      <c r="Q276" s="16"/>
      <c r="R276" s="16"/>
      <c r="S276" s="16"/>
      <c r="T276" s="9"/>
      <c r="U276" s="1" t="s">
        <v>315</v>
      </c>
      <c r="V276" s="11"/>
      <c r="W276" s="232"/>
      <c r="X276" s="304"/>
    </row>
    <row r="277" spans="1:24" ht="15.75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205" t="s">
        <v>315</v>
      </c>
      <c r="L277" s="1" t="s">
        <v>315</v>
      </c>
      <c r="M277" s="9"/>
      <c r="N277" s="14">
        <f>Tabela1316171819[[#This Row],[Valor_recibo]]</f>
        <v>0</v>
      </c>
      <c r="O277" s="16"/>
      <c r="P277" s="1" t="e">
        <f>VLOOKUP(Tabela1316171819[[#This Row],[DT]],Aprovados!A:A,1,0)</f>
        <v>#N/A</v>
      </c>
      <c r="Q277" s="16"/>
      <c r="R277" s="16"/>
      <c r="S277" s="16"/>
      <c r="T277" s="9"/>
      <c r="U277" s="1" t="s">
        <v>315</v>
      </c>
      <c r="V277" s="11"/>
      <c r="W277" s="232"/>
      <c r="X277" s="304"/>
    </row>
    <row r="278" spans="1:24" ht="15.75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205" t="s">
        <v>315</v>
      </c>
      <c r="L278" s="1" t="s">
        <v>315</v>
      </c>
      <c r="M278" s="9"/>
      <c r="N278" s="14">
        <f>Tabela1316171819[[#This Row],[Valor_recibo]]</f>
        <v>0</v>
      </c>
      <c r="O278" s="16"/>
      <c r="P278" s="1" t="e">
        <f>VLOOKUP(Tabela1316171819[[#This Row],[DT]],Aprovados!A:A,1,0)</f>
        <v>#N/A</v>
      </c>
      <c r="Q278" s="16"/>
      <c r="R278" s="16"/>
      <c r="S278" s="16"/>
      <c r="T278" s="9"/>
      <c r="U278" s="1" t="s">
        <v>315</v>
      </c>
      <c r="V278" s="11"/>
      <c r="W278" s="232"/>
      <c r="X278" s="304"/>
    </row>
    <row r="279" spans="1:24" ht="15.75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205" t="s">
        <v>315</v>
      </c>
      <c r="L279" s="1" t="s">
        <v>315</v>
      </c>
      <c r="M279" s="9"/>
      <c r="N279" s="14">
        <f>Tabela1316171819[[#This Row],[Valor_recibo]]</f>
        <v>0</v>
      </c>
      <c r="O279" s="16"/>
      <c r="P279" s="1" t="e">
        <f>VLOOKUP(Tabela1316171819[[#This Row],[DT]],Aprovados!A:A,1,0)</f>
        <v>#N/A</v>
      </c>
      <c r="Q279" s="16"/>
      <c r="R279" s="16"/>
      <c r="S279" s="16"/>
      <c r="T279" s="9"/>
      <c r="U279" s="1" t="s">
        <v>315</v>
      </c>
      <c r="V279" s="11"/>
      <c r="W279" s="232"/>
      <c r="X279" s="304"/>
    </row>
    <row r="280" spans="1:24" ht="15.75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205" t="s">
        <v>315</v>
      </c>
      <c r="L280" s="1" t="s">
        <v>315</v>
      </c>
      <c r="M280" s="9"/>
      <c r="N280" s="14">
        <f>Tabela1316171819[[#This Row],[Valor_recibo]]</f>
        <v>0</v>
      </c>
      <c r="O280" s="16"/>
      <c r="P280" s="1" t="e">
        <f>VLOOKUP(Tabela1316171819[[#This Row],[DT]],Aprovados!A:A,1,0)</f>
        <v>#N/A</v>
      </c>
      <c r="Q280" s="16"/>
      <c r="R280" s="16"/>
      <c r="S280" s="16"/>
      <c r="T280" s="9"/>
      <c r="U280" s="1" t="s">
        <v>315</v>
      </c>
      <c r="V280" s="11"/>
      <c r="W280" s="232"/>
      <c r="X280" s="304"/>
    </row>
    <row r="281" spans="1:24" ht="15.75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205" t="s">
        <v>315</v>
      </c>
      <c r="L281" s="1" t="s">
        <v>315</v>
      </c>
      <c r="M281" s="9"/>
      <c r="N281" s="14">
        <f>Tabela1316171819[[#This Row],[Valor_recibo]]</f>
        <v>0</v>
      </c>
      <c r="O281" s="16"/>
      <c r="P281" s="1" t="e">
        <f>VLOOKUP(Tabela1316171819[[#This Row],[DT]],Aprovados!A:A,1,0)</f>
        <v>#N/A</v>
      </c>
      <c r="Q281" s="16"/>
      <c r="R281" s="16"/>
      <c r="S281" s="16"/>
      <c r="T281" s="9"/>
      <c r="U281" s="1" t="s">
        <v>315</v>
      </c>
      <c r="V281" s="11"/>
      <c r="W281" s="232"/>
      <c r="X281" s="304"/>
    </row>
    <row r="282" spans="1:24" ht="15.75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205" t="s">
        <v>315</v>
      </c>
      <c r="L282" s="1" t="s">
        <v>315</v>
      </c>
      <c r="M282" s="9"/>
      <c r="N282" s="14">
        <f>Tabela1316171819[[#This Row],[Valor_recibo]]</f>
        <v>0</v>
      </c>
      <c r="O282" s="16"/>
      <c r="P282" s="1" t="e">
        <f>VLOOKUP(Tabela1316171819[[#This Row],[DT]],Aprovados!A:A,1,0)</f>
        <v>#N/A</v>
      </c>
      <c r="Q282" s="16"/>
      <c r="R282" s="16"/>
      <c r="S282" s="16"/>
      <c r="T282" s="9"/>
      <c r="U282" s="1" t="s">
        <v>315</v>
      </c>
      <c r="V282" s="11"/>
      <c r="W282" s="232"/>
      <c r="X282" s="304"/>
    </row>
    <row r="283" spans="1:24" ht="15.75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205" t="s">
        <v>315</v>
      </c>
      <c r="L283" s="1" t="s">
        <v>315</v>
      </c>
      <c r="M283" s="9"/>
      <c r="N283" s="14">
        <f>Tabela1316171819[[#This Row],[Valor_recibo]]</f>
        <v>0</v>
      </c>
      <c r="O283" s="16"/>
      <c r="P283" s="1" t="e">
        <f>VLOOKUP(Tabela1316171819[[#This Row],[DT]],Aprovados!A:A,1,0)</f>
        <v>#N/A</v>
      </c>
      <c r="Q283" s="16"/>
      <c r="R283" s="16"/>
      <c r="S283" s="16"/>
      <c r="T283" s="9"/>
      <c r="U283" s="1" t="s">
        <v>315</v>
      </c>
      <c r="V283" s="11"/>
      <c r="W283" s="232"/>
      <c r="X283" s="304"/>
    </row>
    <row r="284" spans="1:24" ht="15.75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205" t="s">
        <v>315</v>
      </c>
      <c r="L284" s="1" t="s">
        <v>315</v>
      </c>
      <c r="M284" s="9"/>
      <c r="N284" s="14">
        <f>Tabela1316171819[[#This Row],[Valor_recibo]]</f>
        <v>0</v>
      </c>
      <c r="O284" s="16"/>
      <c r="P284" s="1" t="e">
        <f>VLOOKUP(Tabela1316171819[[#This Row],[DT]],Aprovados!A:A,1,0)</f>
        <v>#N/A</v>
      </c>
      <c r="Q284" s="16"/>
      <c r="R284" s="16"/>
      <c r="S284" s="16"/>
      <c r="T284" s="9"/>
      <c r="U284" s="1" t="s">
        <v>315</v>
      </c>
      <c r="V284" s="11"/>
      <c r="W284" s="232"/>
      <c r="X284" s="304"/>
    </row>
    <row r="285" spans="1:24" ht="15.75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205" t="s">
        <v>315</v>
      </c>
      <c r="L285" s="1" t="s">
        <v>315</v>
      </c>
      <c r="M285" s="9"/>
      <c r="N285" s="14">
        <f>Tabela1316171819[[#This Row],[Valor_recibo]]</f>
        <v>0</v>
      </c>
      <c r="O285" s="16"/>
      <c r="P285" s="1" t="e">
        <f>VLOOKUP(Tabela1316171819[[#This Row],[DT]],Aprovados!A:A,1,0)</f>
        <v>#N/A</v>
      </c>
      <c r="Q285" s="16"/>
      <c r="R285" s="16"/>
      <c r="S285" s="16"/>
      <c r="T285" s="9"/>
      <c r="U285" s="1" t="s">
        <v>315</v>
      </c>
      <c r="V285" s="11"/>
      <c r="W285" s="232"/>
      <c r="X285" s="304"/>
    </row>
    <row r="286" spans="1:24" ht="15.75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205" t="s">
        <v>315</v>
      </c>
      <c r="L286" s="1" t="s">
        <v>315</v>
      </c>
      <c r="M286" s="9"/>
      <c r="N286" s="14">
        <f>Tabela1316171819[[#This Row],[Valor_recibo]]</f>
        <v>0</v>
      </c>
      <c r="O286" s="16"/>
      <c r="P286" s="1" t="e">
        <f>VLOOKUP(Tabela1316171819[[#This Row],[DT]],Aprovados!A:A,1,0)</f>
        <v>#N/A</v>
      </c>
      <c r="Q286" s="16"/>
      <c r="R286" s="16"/>
      <c r="S286" s="16"/>
      <c r="T286" s="9"/>
      <c r="U286" s="1" t="s">
        <v>315</v>
      </c>
      <c r="V286" s="11"/>
      <c r="W286" s="232"/>
      <c r="X286" s="304"/>
    </row>
    <row r="287" spans="1:24" ht="15.75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205" t="s">
        <v>315</v>
      </c>
      <c r="L287" s="1" t="s">
        <v>315</v>
      </c>
      <c r="M287" s="9"/>
      <c r="N287" s="14">
        <f>Tabela1316171819[[#This Row],[Valor_recibo]]</f>
        <v>0</v>
      </c>
      <c r="O287" s="16"/>
      <c r="P287" s="1" t="e">
        <f>VLOOKUP(Tabela1316171819[[#This Row],[DT]],Aprovados!A:A,1,0)</f>
        <v>#N/A</v>
      </c>
      <c r="Q287" s="16"/>
      <c r="R287" s="16"/>
      <c r="S287" s="16"/>
      <c r="T287" s="9"/>
      <c r="U287" s="1" t="s">
        <v>315</v>
      </c>
      <c r="V287" s="11"/>
      <c r="W287" s="232"/>
      <c r="X287" s="304"/>
    </row>
    <row r="288" spans="1:24" ht="15.75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205" t="s">
        <v>315</v>
      </c>
      <c r="L288" s="1" t="s">
        <v>315</v>
      </c>
      <c r="M288" s="9"/>
      <c r="N288" s="14">
        <f>Tabela1316171819[[#This Row],[Valor_recibo]]</f>
        <v>0</v>
      </c>
      <c r="O288" s="16"/>
      <c r="P288" s="1" t="e">
        <f>VLOOKUP(Tabela1316171819[[#This Row],[DT]],Aprovados!A:A,1,0)</f>
        <v>#N/A</v>
      </c>
      <c r="Q288" s="16"/>
      <c r="R288" s="16"/>
      <c r="S288" s="16"/>
      <c r="T288" s="9"/>
      <c r="U288" s="1" t="s">
        <v>315</v>
      </c>
      <c r="V288" s="11"/>
      <c r="W288" s="232"/>
      <c r="X288" s="304"/>
    </row>
    <row r="289" spans="1:24" ht="15.75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205" t="s">
        <v>315</v>
      </c>
      <c r="L289" s="1" t="s">
        <v>315</v>
      </c>
      <c r="M289" s="9"/>
      <c r="N289" s="14">
        <f>Tabela1316171819[[#This Row],[Valor_recibo]]</f>
        <v>0</v>
      </c>
      <c r="O289" s="16"/>
      <c r="P289" s="1" t="e">
        <f>VLOOKUP(Tabela1316171819[[#This Row],[DT]],Aprovados!A:A,1,0)</f>
        <v>#N/A</v>
      </c>
      <c r="Q289" s="16"/>
      <c r="R289" s="16"/>
      <c r="S289" s="16"/>
      <c r="T289" s="9"/>
      <c r="U289" s="1" t="s">
        <v>315</v>
      </c>
      <c r="V289" s="11"/>
      <c r="W289" s="232"/>
      <c r="X289" s="304"/>
    </row>
    <row r="290" spans="1:24" ht="15.75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205" t="s">
        <v>315</v>
      </c>
      <c r="L290" s="1" t="s">
        <v>315</v>
      </c>
      <c r="M290" s="9"/>
      <c r="N290" s="14">
        <f>Tabela1316171819[[#This Row],[Valor_recibo]]</f>
        <v>0</v>
      </c>
      <c r="O290" s="16"/>
      <c r="P290" s="1" t="e">
        <f>VLOOKUP(Tabela1316171819[[#This Row],[DT]],Aprovados!A:A,1,0)</f>
        <v>#N/A</v>
      </c>
      <c r="Q290" s="16"/>
      <c r="R290" s="16"/>
      <c r="S290" s="16"/>
      <c r="T290" s="9"/>
      <c r="U290" s="1" t="s">
        <v>315</v>
      </c>
      <c r="V290" s="11"/>
      <c r="W290" s="232"/>
      <c r="X290" s="304"/>
    </row>
    <row r="291" spans="1:24" ht="15.75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205" t="s">
        <v>315</v>
      </c>
      <c r="L291" s="1" t="s">
        <v>315</v>
      </c>
      <c r="M291" s="9"/>
      <c r="N291" s="14">
        <f>Tabela1316171819[[#This Row],[Valor_recibo]]</f>
        <v>0</v>
      </c>
      <c r="O291" s="16"/>
      <c r="P291" s="1" t="e">
        <f>VLOOKUP(Tabela1316171819[[#This Row],[DT]],Aprovados!A:A,1,0)</f>
        <v>#N/A</v>
      </c>
      <c r="Q291" s="16"/>
      <c r="R291" s="16"/>
      <c r="S291" s="16"/>
      <c r="T291" s="9"/>
      <c r="U291" s="1" t="s">
        <v>315</v>
      </c>
      <c r="V291" s="11"/>
      <c r="W291" s="232"/>
      <c r="X291" s="304"/>
    </row>
    <row r="292" spans="1:24" ht="15.75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205" t="s">
        <v>315</v>
      </c>
      <c r="L292" s="1" t="s">
        <v>315</v>
      </c>
      <c r="M292" s="9"/>
      <c r="N292" s="14">
        <f>Tabela1316171819[[#This Row],[Valor_recibo]]</f>
        <v>0</v>
      </c>
      <c r="O292" s="16"/>
      <c r="P292" s="1" t="e">
        <f>VLOOKUP(Tabela1316171819[[#This Row],[DT]],Aprovados!A:A,1,0)</f>
        <v>#N/A</v>
      </c>
      <c r="Q292" s="16"/>
      <c r="R292" s="16"/>
      <c r="S292" s="16"/>
      <c r="T292" s="9"/>
      <c r="U292" s="1" t="s">
        <v>315</v>
      </c>
      <c r="V292" s="11"/>
      <c r="W292" s="232"/>
      <c r="X292" s="304"/>
    </row>
    <row r="293" spans="1:24" ht="15.75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205" t="s">
        <v>315</v>
      </c>
      <c r="L293" s="1" t="s">
        <v>315</v>
      </c>
      <c r="M293" s="9"/>
      <c r="N293" s="14">
        <f>Tabela1316171819[[#This Row],[Valor_recibo]]</f>
        <v>0</v>
      </c>
      <c r="O293" s="16"/>
      <c r="P293" s="1" t="e">
        <f>VLOOKUP(Tabela1316171819[[#This Row],[DT]],Aprovados!A:A,1,0)</f>
        <v>#N/A</v>
      </c>
      <c r="Q293" s="16"/>
      <c r="R293" s="16"/>
      <c r="S293" s="16"/>
      <c r="T293" s="9"/>
      <c r="U293" s="1" t="s">
        <v>315</v>
      </c>
      <c r="V293" s="11"/>
      <c r="W293" s="232"/>
      <c r="X293" s="304"/>
    </row>
    <row r="294" spans="1:24" ht="15.75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205" t="s">
        <v>315</v>
      </c>
      <c r="L294" s="1" t="s">
        <v>315</v>
      </c>
      <c r="M294" s="9"/>
      <c r="N294" s="14">
        <f>Tabela1316171819[[#This Row],[Valor_recibo]]</f>
        <v>0</v>
      </c>
      <c r="O294" s="16"/>
      <c r="P294" s="1" t="e">
        <f>VLOOKUP(Tabela1316171819[[#This Row],[DT]],Aprovados!A:A,1,0)</f>
        <v>#N/A</v>
      </c>
      <c r="Q294" s="16"/>
      <c r="R294" s="16"/>
      <c r="S294" s="16"/>
      <c r="T294" s="9"/>
      <c r="U294" s="1" t="s">
        <v>315</v>
      </c>
      <c r="V294" s="11"/>
      <c r="W294" s="232"/>
      <c r="X294" s="304"/>
    </row>
    <row r="295" spans="1:24" ht="15.75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205" t="s">
        <v>315</v>
      </c>
      <c r="L295" s="1" t="s">
        <v>315</v>
      </c>
      <c r="M295" s="9"/>
      <c r="N295" s="14">
        <f>Tabela1316171819[[#This Row],[Valor_recibo]]</f>
        <v>0</v>
      </c>
      <c r="O295" s="16"/>
      <c r="P295" s="1" t="e">
        <f>VLOOKUP(Tabela1316171819[[#This Row],[DT]],Aprovados!A:A,1,0)</f>
        <v>#N/A</v>
      </c>
      <c r="Q295" s="16"/>
      <c r="R295" s="16"/>
      <c r="S295" s="16"/>
      <c r="T295" s="9"/>
      <c r="U295" s="1" t="s">
        <v>315</v>
      </c>
      <c r="V295" s="11"/>
      <c r="W295" s="232"/>
      <c r="X295" s="304"/>
    </row>
    <row r="296" spans="1:24" ht="15.75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205" t="s">
        <v>315</v>
      </c>
      <c r="L296" s="1" t="s">
        <v>315</v>
      </c>
      <c r="M296" s="9"/>
      <c r="N296" s="14">
        <f>Tabela1316171819[[#This Row],[Valor_recibo]]</f>
        <v>0</v>
      </c>
      <c r="O296" s="16"/>
      <c r="P296" s="1" t="e">
        <f>VLOOKUP(Tabela1316171819[[#This Row],[DT]],Aprovados!A:A,1,0)</f>
        <v>#N/A</v>
      </c>
      <c r="Q296" s="16"/>
      <c r="R296" s="16"/>
      <c r="S296" s="16"/>
      <c r="T296" s="9"/>
      <c r="U296" s="1" t="s">
        <v>315</v>
      </c>
      <c r="V296" s="11"/>
      <c r="W296" s="232"/>
      <c r="X296" s="304"/>
    </row>
    <row r="297" spans="1:24" ht="15.75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205" t="s">
        <v>315</v>
      </c>
      <c r="L297" s="1" t="s">
        <v>315</v>
      </c>
      <c r="M297" s="9"/>
      <c r="N297" s="14">
        <f>Tabela1316171819[[#This Row],[Valor_recibo]]</f>
        <v>0</v>
      </c>
      <c r="O297" s="16"/>
      <c r="P297" s="1" t="e">
        <f>VLOOKUP(Tabela1316171819[[#This Row],[DT]],Aprovados!A:A,1,0)</f>
        <v>#N/A</v>
      </c>
      <c r="Q297" s="16"/>
      <c r="R297" s="16"/>
      <c r="S297" s="16"/>
      <c r="T297" s="9"/>
      <c r="U297" s="1" t="s">
        <v>315</v>
      </c>
      <c r="V297" s="11"/>
      <c r="W297" s="232"/>
      <c r="X297" s="304"/>
    </row>
    <row r="298" spans="1:24" ht="15.75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205" t="s">
        <v>315</v>
      </c>
      <c r="L298" s="1" t="s">
        <v>315</v>
      </c>
      <c r="M298" s="9"/>
      <c r="N298" s="14">
        <f>Tabela1316171819[[#This Row],[Valor_recibo]]</f>
        <v>0</v>
      </c>
      <c r="O298" s="16"/>
      <c r="P298" s="1" t="e">
        <f>VLOOKUP(Tabela1316171819[[#This Row],[DT]],Aprovados!A:A,1,0)</f>
        <v>#N/A</v>
      </c>
      <c r="Q298" s="16"/>
      <c r="R298" s="16"/>
      <c r="S298" s="16"/>
      <c r="T298" s="9"/>
      <c r="U298" s="1" t="s">
        <v>315</v>
      </c>
      <c r="V298" s="11"/>
      <c r="W298" s="232"/>
      <c r="X298" s="304"/>
    </row>
    <row r="299" spans="1:24" ht="15.75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205" t="s">
        <v>315</v>
      </c>
      <c r="L299" s="1" t="s">
        <v>315</v>
      </c>
      <c r="M299" s="9"/>
      <c r="N299" s="14">
        <f>Tabela1316171819[[#This Row],[Valor_recibo]]</f>
        <v>0</v>
      </c>
      <c r="O299" s="16"/>
      <c r="P299" s="1" t="e">
        <f>VLOOKUP(Tabela1316171819[[#This Row],[DT]],Aprovados!A:A,1,0)</f>
        <v>#N/A</v>
      </c>
      <c r="Q299" s="16"/>
      <c r="R299" s="16"/>
      <c r="S299" s="16"/>
      <c r="T299" s="9"/>
      <c r="U299" s="1" t="s">
        <v>315</v>
      </c>
      <c r="V299" s="11"/>
      <c r="W299" s="232"/>
      <c r="X299" s="304"/>
    </row>
    <row r="300" spans="1:24" ht="15.75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205" t="s">
        <v>315</v>
      </c>
      <c r="L300" s="1" t="s">
        <v>315</v>
      </c>
      <c r="M300" s="9"/>
      <c r="N300" s="14">
        <f>Tabela1316171819[[#This Row],[Valor_recibo]]</f>
        <v>0</v>
      </c>
      <c r="O300" s="16"/>
      <c r="P300" s="1" t="e">
        <f>VLOOKUP(Tabela1316171819[[#This Row],[DT]],Aprovados!A:A,1,0)</f>
        <v>#N/A</v>
      </c>
      <c r="Q300" s="16"/>
      <c r="R300" s="16"/>
      <c r="S300" s="16"/>
      <c r="T300" s="9"/>
      <c r="U300" s="1" t="s">
        <v>315</v>
      </c>
      <c r="V300" s="11"/>
      <c r="W300" s="232"/>
      <c r="X300" s="304"/>
    </row>
    <row r="301" spans="1:24" ht="15.75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205" t="s">
        <v>315</v>
      </c>
      <c r="L301" s="1" t="s">
        <v>315</v>
      </c>
      <c r="M301" s="9"/>
      <c r="N301" s="14">
        <f>Tabela1316171819[[#This Row],[Valor_recibo]]</f>
        <v>0</v>
      </c>
      <c r="O301" s="16"/>
      <c r="P301" s="1" t="e">
        <f>VLOOKUP(Tabela1316171819[[#This Row],[DT]],Aprovados!A:A,1,0)</f>
        <v>#N/A</v>
      </c>
      <c r="Q301" s="16"/>
      <c r="R301" s="16"/>
      <c r="S301" s="16"/>
      <c r="T301" s="9"/>
      <c r="U301" s="1" t="s">
        <v>315</v>
      </c>
      <c r="V301" s="11"/>
      <c r="W301" s="232"/>
      <c r="X301" s="304"/>
    </row>
    <row r="302" spans="1:24" ht="15.75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205" t="s">
        <v>315</v>
      </c>
      <c r="L302" s="1" t="s">
        <v>315</v>
      </c>
      <c r="M302" s="9"/>
      <c r="N302" s="14">
        <f>Tabela1316171819[[#This Row],[Valor_recibo]]</f>
        <v>0</v>
      </c>
      <c r="O302" s="16"/>
      <c r="P302" s="1" t="e">
        <f>VLOOKUP(Tabela1316171819[[#This Row],[DT]],Aprovados!A:A,1,0)</f>
        <v>#N/A</v>
      </c>
      <c r="Q302" s="16"/>
      <c r="R302" s="16"/>
      <c r="S302" s="16"/>
      <c r="T302" s="9"/>
      <c r="U302" s="1" t="s">
        <v>315</v>
      </c>
      <c r="V302" s="11"/>
      <c r="W302" s="232"/>
      <c r="X302" s="304"/>
    </row>
    <row r="303" spans="1:24" ht="15.75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205" t="s">
        <v>315</v>
      </c>
      <c r="L303" s="1" t="s">
        <v>315</v>
      </c>
      <c r="M303" s="9"/>
      <c r="N303" s="14">
        <f>Tabela1316171819[[#This Row],[Valor_recibo]]</f>
        <v>0</v>
      </c>
      <c r="O303" s="16"/>
      <c r="P303" s="1" t="e">
        <f>VLOOKUP(Tabela1316171819[[#This Row],[DT]],Aprovados!A:A,1,0)</f>
        <v>#N/A</v>
      </c>
      <c r="Q303" s="16"/>
      <c r="R303" s="16"/>
      <c r="S303" s="16"/>
      <c r="T303" s="9"/>
      <c r="U303" s="1" t="s">
        <v>315</v>
      </c>
      <c r="V303" s="11"/>
      <c r="W303" s="232"/>
      <c r="X303" s="304"/>
    </row>
    <row r="304" spans="1:24" ht="15.75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205" t="s">
        <v>315</v>
      </c>
      <c r="L304" s="1" t="s">
        <v>315</v>
      </c>
      <c r="M304" s="9"/>
      <c r="N304" s="14">
        <f>Tabela1316171819[[#This Row],[Valor_recibo]]</f>
        <v>0</v>
      </c>
      <c r="O304" s="16"/>
      <c r="P304" s="1" t="e">
        <f>VLOOKUP(Tabela1316171819[[#This Row],[DT]],Aprovados!A:A,1,0)</f>
        <v>#N/A</v>
      </c>
      <c r="Q304" s="16"/>
      <c r="R304" s="16"/>
      <c r="S304" s="16"/>
      <c r="T304" s="9"/>
      <c r="U304" s="1" t="s">
        <v>315</v>
      </c>
      <c r="V304" s="11"/>
      <c r="W304" s="232"/>
      <c r="X304" s="304"/>
    </row>
    <row r="305" spans="1:24" ht="15.75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205" t="s">
        <v>315</v>
      </c>
      <c r="L305" s="1" t="s">
        <v>315</v>
      </c>
      <c r="M305" s="9"/>
      <c r="N305" s="14">
        <f>Tabela1316171819[[#This Row],[Valor_recibo]]</f>
        <v>0</v>
      </c>
      <c r="O305" s="16"/>
      <c r="P305" s="1" t="e">
        <f>VLOOKUP(Tabela1316171819[[#This Row],[DT]],Aprovados!A:A,1,0)</f>
        <v>#N/A</v>
      </c>
      <c r="Q305" s="16"/>
      <c r="R305" s="16"/>
      <c r="S305" s="16"/>
      <c r="T305" s="9"/>
      <c r="U305" s="1" t="s">
        <v>315</v>
      </c>
      <c r="V305" s="11"/>
      <c r="W305" s="232"/>
      <c r="X305" s="304"/>
    </row>
    <row r="306" spans="1:24" ht="15.75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205" t="s">
        <v>315</v>
      </c>
      <c r="L306" s="1" t="s">
        <v>315</v>
      </c>
      <c r="M306" s="9"/>
      <c r="N306" s="14">
        <f>Tabela1316171819[[#This Row],[Valor_recibo]]</f>
        <v>0</v>
      </c>
      <c r="O306" s="16"/>
      <c r="P306" s="1" t="e">
        <f>VLOOKUP(Tabela1316171819[[#This Row],[DT]],Aprovados!A:A,1,0)</f>
        <v>#N/A</v>
      </c>
      <c r="Q306" s="16"/>
      <c r="R306" s="16"/>
      <c r="S306" s="16"/>
      <c r="T306" s="9"/>
      <c r="U306" s="1" t="s">
        <v>315</v>
      </c>
      <c r="V306" s="11"/>
      <c r="W306" s="232"/>
      <c r="X306" s="304"/>
    </row>
    <row r="307" spans="1:24" ht="15.75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205" t="s">
        <v>315</v>
      </c>
      <c r="L307" s="1" t="s">
        <v>315</v>
      </c>
      <c r="M307" s="9"/>
      <c r="N307" s="14">
        <f>Tabela1316171819[[#This Row],[Valor_recibo]]</f>
        <v>0</v>
      </c>
      <c r="O307" s="16"/>
      <c r="P307" s="1" t="e">
        <f>VLOOKUP(Tabela1316171819[[#This Row],[DT]],Aprovados!A:A,1,0)</f>
        <v>#N/A</v>
      </c>
      <c r="Q307" s="16"/>
      <c r="R307" s="16"/>
      <c r="S307" s="16"/>
      <c r="T307" s="9"/>
      <c r="U307" s="1" t="s">
        <v>315</v>
      </c>
      <c r="V307" s="11"/>
      <c r="W307" s="232"/>
      <c r="X307" s="304"/>
    </row>
    <row r="308" spans="1:24" ht="15.75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205" t="s">
        <v>315</v>
      </c>
      <c r="L308" s="1" t="s">
        <v>315</v>
      </c>
      <c r="M308" s="9"/>
      <c r="N308" s="14">
        <f>Tabela1316171819[[#This Row],[Valor_recibo]]</f>
        <v>0</v>
      </c>
      <c r="O308" s="16"/>
      <c r="P308" s="1" t="e">
        <f>VLOOKUP(Tabela1316171819[[#This Row],[DT]],Aprovados!A:A,1,0)</f>
        <v>#N/A</v>
      </c>
      <c r="Q308" s="16"/>
      <c r="R308" s="16"/>
      <c r="S308" s="16"/>
      <c r="T308" s="9"/>
      <c r="U308" s="1" t="s">
        <v>315</v>
      </c>
      <c r="V308" s="11"/>
      <c r="W308" s="232"/>
      <c r="X308" s="304"/>
    </row>
    <row r="309" spans="1:24" ht="15.75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205" t="s">
        <v>315</v>
      </c>
      <c r="L309" s="1" t="s">
        <v>315</v>
      </c>
      <c r="M309" s="9"/>
      <c r="N309" s="14">
        <f>Tabela1316171819[[#This Row],[Valor_recibo]]</f>
        <v>0</v>
      </c>
      <c r="O309" s="16"/>
      <c r="P309" s="1" t="e">
        <f>VLOOKUP(Tabela1316171819[[#This Row],[DT]],Aprovados!A:A,1,0)</f>
        <v>#N/A</v>
      </c>
      <c r="Q309" s="16"/>
      <c r="R309" s="16"/>
      <c r="S309" s="16"/>
      <c r="T309" s="9"/>
      <c r="U309" s="1" t="s">
        <v>315</v>
      </c>
      <c r="V309" s="11"/>
      <c r="W309" s="232"/>
      <c r="X309" s="304"/>
    </row>
    <row r="310" spans="1:24" ht="15.75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205" t="s">
        <v>315</v>
      </c>
      <c r="L310" s="1" t="s">
        <v>315</v>
      </c>
      <c r="M310" s="9"/>
      <c r="N310" s="14">
        <f>Tabela1316171819[[#This Row],[Valor_recibo]]</f>
        <v>0</v>
      </c>
      <c r="O310" s="16"/>
      <c r="P310" s="1" t="e">
        <f>VLOOKUP(Tabela1316171819[[#This Row],[DT]],Aprovados!A:A,1,0)</f>
        <v>#N/A</v>
      </c>
      <c r="Q310" s="16"/>
      <c r="R310" s="16"/>
      <c r="S310" s="16"/>
      <c r="T310" s="9"/>
      <c r="U310" s="1" t="s">
        <v>315</v>
      </c>
      <c r="V310" s="11"/>
      <c r="W310" s="232"/>
      <c r="X310" s="304"/>
    </row>
    <row r="311" spans="1:24" ht="15.75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205" t="s">
        <v>315</v>
      </c>
      <c r="L311" s="1" t="s">
        <v>315</v>
      </c>
      <c r="M311" s="9"/>
      <c r="N311" s="14">
        <f>Tabela1316171819[[#This Row],[Valor_recibo]]</f>
        <v>0</v>
      </c>
      <c r="O311" s="16"/>
      <c r="P311" s="1" t="e">
        <f>VLOOKUP(Tabela1316171819[[#This Row],[DT]],Aprovados!A:A,1,0)</f>
        <v>#N/A</v>
      </c>
      <c r="Q311" s="16"/>
      <c r="R311" s="16"/>
      <c r="S311" s="16"/>
      <c r="T311" s="9"/>
      <c r="U311" s="1" t="s">
        <v>315</v>
      </c>
      <c r="V311" s="11"/>
      <c r="W311" s="232"/>
      <c r="X311" s="304"/>
    </row>
    <row r="312" spans="1:24" ht="15.75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205" t="s">
        <v>315</v>
      </c>
      <c r="L312" s="1" t="s">
        <v>315</v>
      </c>
      <c r="M312" s="9"/>
      <c r="N312" s="14">
        <f>Tabela1316171819[[#This Row],[Valor_recibo]]</f>
        <v>0</v>
      </c>
      <c r="O312" s="16"/>
      <c r="P312" s="1" t="e">
        <f>VLOOKUP(Tabela1316171819[[#This Row],[DT]],Aprovados!A:A,1,0)</f>
        <v>#N/A</v>
      </c>
      <c r="Q312" s="16"/>
      <c r="R312" s="16"/>
      <c r="S312" s="16"/>
      <c r="T312" s="9"/>
      <c r="U312" s="1" t="s">
        <v>315</v>
      </c>
      <c r="V312" s="11"/>
      <c r="W312" s="232"/>
      <c r="X312" s="304"/>
    </row>
    <row r="313" spans="1:24" ht="15.75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205" t="s">
        <v>315</v>
      </c>
      <c r="L313" s="1" t="s">
        <v>315</v>
      </c>
      <c r="M313" s="9"/>
      <c r="N313" s="14">
        <f>Tabela1316171819[[#This Row],[Valor_recibo]]</f>
        <v>0</v>
      </c>
      <c r="O313" s="16"/>
      <c r="P313" s="1" t="e">
        <f>VLOOKUP(Tabela1316171819[[#This Row],[DT]],Aprovados!A:A,1,0)</f>
        <v>#N/A</v>
      </c>
      <c r="Q313" s="16"/>
      <c r="R313" s="16"/>
      <c r="S313" s="16"/>
      <c r="T313" s="9"/>
      <c r="U313" s="1" t="s">
        <v>315</v>
      </c>
      <c r="V313" s="11"/>
      <c r="W313" s="232"/>
      <c r="X313" s="304"/>
    </row>
    <row r="314" spans="1:24" ht="15.75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205" t="s">
        <v>315</v>
      </c>
      <c r="L314" s="1" t="s">
        <v>315</v>
      </c>
      <c r="M314" s="9"/>
      <c r="N314" s="14">
        <f>Tabela1316171819[[#This Row],[Valor_recibo]]</f>
        <v>0</v>
      </c>
      <c r="O314" s="16"/>
      <c r="P314" s="1" t="e">
        <f>VLOOKUP(Tabela1316171819[[#This Row],[DT]],Aprovados!A:A,1,0)</f>
        <v>#N/A</v>
      </c>
      <c r="Q314" s="16"/>
      <c r="R314" s="16"/>
      <c r="S314" s="16"/>
      <c r="T314" s="9"/>
      <c r="U314" s="1" t="s">
        <v>315</v>
      </c>
      <c r="V314" s="11"/>
      <c r="W314" s="232"/>
      <c r="X314" s="304"/>
    </row>
    <row r="315" spans="1:24" ht="15.75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205" t="s">
        <v>315</v>
      </c>
      <c r="L315" s="1" t="s">
        <v>315</v>
      </c>
      <c r="M315" s="9"/>
      <c r="N315" s="14">
        <f>Tabela1316171819[[#This Row],[Valor_recibo]]</f>
        <v>0</v>
      </c>
      <c r="O315" s="16"/>
      <c r="P315" s="1" t="e">
        <f>VLOOKUP(Tabela1316171819[[#This Row],[DT]],Aprovados!A:A,1,0)</f>
        <v>#N/A</v>
      </c>
      <c r="Q315" s="16"/>
      <c r="R315" s="16"/>
      <c r="S315" s="16"/>
      <c r="T315" s="9"/>
      <c r="U315" s="1" t="s">
        <v>315</v>
      </c>
      <c r="V315" s="11"/>
      <c r="W315" s="232"/>
      <c r="X315" s="304"/>
    </row>
    <row r="316" spans="1:24" ht="15.75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205" t="s">
        <v>315</v>
      </c>
      <c r="L316" s="1" t="s">
        <v>315</v>
      </c>
      <c r="M316" s="9"/>
      <c r="N316" s="14">
        <f>Tabela1316171819[[#This Row],[Valor_recibo]]</f>
        <v>0</v>
      </c>
      <c r="O316" s="16"/>
      <c r="P316" s="1" t="e">
        <f>VLOOKUP(Tabela1316171819[[#This Row],[DT]],Aprovados!A:A,1,0)</f>
        <v>#N/A</v>
      </c>
      <c r="Q316" s="16"/>
      <c r="R316" s="16"/>
      <c r="S316" s="16"/>
      <c r="T316" s="9"/>
      <c r="U316" s="1" t="s">
        <v>315</v>
      </c>
      <c r="V316" s="11"/>
      <c r="W316" s="232"/>
      <c r="X316" s="304"/>
    </row>
    <row r="317" spans="1:24" ht="15.75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205" t="s">
        <v>315</v>
      </c>
      <c r="L317" s="1" t="s">
        <v>315</v>
      </c>
      <c r="M317" s="9"/>
      <c r="N317" s="14">
        <f>Tabela1316171819[[#This Row],[Valor_recibo]]</f>
        <v>0</v>
      </c>
      <c r="O317" s="16"/>
      <c r="P317" s="1" t="e">
        <f>VLOOKUP(Tabela1316171819[[#This Row],[DT]],Aprovados!A:A,1,0)</f>
        <v>#N/A</v>
      </c>
      <c r="Q317" s="16"/>
      <c r="R317" s="16"/>
      <c r="S317" s="16"/>
      <c r="T317" s="9"/>
      <c r="U317" s="1" t="s">
        <v>315</v>
      </c>
      <c r="V317" s="11"/>
      <c r="W317" s="232"/>
      <c r="X317" s="304"/>
    </row>
    <row r="318" spans="1:24" ht="15.75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205" t="s">
        <v>315</v>
      </c>
      <c r="L318" s="1" t="s">
        <v>315</v>
      </c>
      <c r="M318" s="9"/>
      <c r="N318" s="14">
        <f>Tabela1316171819[[#This Row],[Valor_recibo]]</f>
        <v>0</v>
      </c>
      <c r="O318" s="16"/>
      <c r="P318" s="1" t="e">
        <f>VLOOKUP(Tabela1316171819[[#This Row],[DT]],Aprovados!A:A,1,0)</f>
        <v>#N/A</v>
      </c>
      <c r="Q318" s="16"/>
      <c r="R318" s="16"/>
      <c r="S318" s="16"/>
      <c r="T318" s="9"/>
      <c r="U318" s="1" t="s">
        <v>315</v>
      </c>
      <c r="V318" s="11"/>
      <c r="W318" s="232"/>
      <c r="X318" s="304"/>
    </row>
    <row r="319" spans="1:24" ht="15.75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205" t="s">
        <v>315</v>
      </c>
      <c r="L319" s="1" t="s">
        <v>315</v>
      </c>
      <c r="M319" s="9"/>
      <c r="N319" s="14">
        <f>Tabela1316171819[[#This Row],[Valor_recibo]]</f>
        <v>0</v>
      </c>
      <c r="O319" s="16"/>
      <c r="P319" s="1" t="e">
        <f>VLOOKUP(Tabela1316171819[[#This Row],[DT]],Aprovados!A:A,1,0)</f>
        <v>#N/A</v>
      </c>
      <c r="Q319" s="16"/>
      <c r="R319" s="16"/>
      <c r="S319" s="16"/>
      <c r="T319" s="9"/>
      <c r="U319" s="1" t="s">
        <v>315</v>
      </c>
      <c r="V319" s="11"/>
      <c r="W319" s="232"/>
      <c r="X319" s="304"/>
    </row>
    <row r="320" spans="1:24" ht="15.75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205" t="s">
        <v>315</v>
      </c>
      <c r="L320" s="1" t="s">
        <v>315</v>
      </c>
      <c r="M320" s="9"/>
      <c r="N320" s="14">
        <f>Tabela1316171819[[#This Row],[Valor_recibo]]</f>
        <v>0</v>
      </c>
      <c r="O320" s="16"/>
      <c r="P320" s="1" t="e">
        <f>VLOOKUP(Tabela1316171819[[#This Row],[DT]],Aprovados!A:A,1,0)</f>
        <v>#N/A</v>
      </c>
      <c r="Q320" s="16"/>
      <c r="R320" s="16"/>
      <c r="S320" s="16"/>
      <c r="T320" s="9"/>
      <c r="U320" s="1" t="s">
        <v>315</v>
      </c>
      <c r="V320" s="11"/>
      <c r="W320" s="232"/>
      <c r="X320" s="304"/>
    </row>
    <row r="321" spans="1:24" ht="15.75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205" t="s">
        <v>315</v>
      </c>
      <c r="L321" s="1" t="s">
        <v>315</v>
      </c>
      <c r="M321" s="9"/>
      <c r="N321" s="14">
        <f>Tabela1316171819[[#This Row],[Valor_recibo]]</f>
        <v>0</v>
      </c>
      <c r="O321" s="16"/>
      <c r="P321" s="1" t="e">
        <f>VLOOKUP(Tabela1316171819[[#This Row],[DT]],Aprovados!A:A,1,0)</f>
        <v>#N/A</v>
      </c>
      <c r="Q321" s="16"/>
      <c r="R321" s="16"/>
      <c r="S321" s="16"/>
      <c r="T321" s="9"/>
      <c r="U321" s="1" t="s">
        <v>315</v>
      </c>
      <c r="V321" s="11"/>
      <c r="W321" s="232"/>
      <c r="X321" s="304"/>
    </row>
    <row r="322" spans="1:24" ht="15.75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205" t="s">
        <v>315</v>
      </c>
      <c r="L322" s="1" t="s">
        <v>315</v>
      </c>
      <c r="M322" s="9"/>
      <c r="N322" s="14">
        <f>Tabela1316171819[[#This Row],[Valor_recibo]]</f>
        <v>0</v>
      </c>
      <c r="O322" s="16"/>
      <c r="P322" s="1" t="e">
        <f>VLOOKUP(Tabela1316171819[[#This Row],[DT]],Aprovados!A:A,1,0)</f>
        <v>#N/A</v>
      </c>
      <c r="Q322" s="16"/>
      <c r="R322" s="16"/>
      <c r="S322" s="16"/>
      <c r="T322" s="9"/>
      <c r="U322" s="1" t="s">
        <v>315</v>
      </c>
      <c r="V322" s="11"/>
      <c r="W322" s="232"/>
      <c r="X322" s="304"/>
    </row>
    <row r="323" spans="1:24" ht="15.75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205" t="s">
        <v>315</v>
      </c>
      <c r="L323" s="1" t="s">
        <v>315</v>
      </c>
      <c r="M323" s="9"/>
      <c r="N323" s="14">
        <f>Tabela1316171819[[#This Row],[Valor_recibo]]</f>
        <v>0</v>
      </c>
      <c r="O323" s="16"/>
      <c r="P323" s="1" t="e">
        <f>VLOOKUP(Tabela1316171819[[#This Row],[DT]],Aprovados!A:A,1,0)</f>
        <v>#N/A</v>
      </c>
      <c r="Q323" s="16"/>
      <c r="R323" s="16"/>
      <c r="S323" s="16"/>
      <c r="T323" s="9"/>
      <c r="U323" s="1" t="s">
        <v>315</v>
      </c>
      <c r="V323" s="11"/>
      <c r="W323" s="232"/>
      <c r="X323" s="304"/>
    </row>
    <row r="324" spans="1:24" ht="15.75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205" t="s">
        <v>315</v>
      </c>
      <c r="L324" s="1" t="s">
        <v>315</v>
      </c>
      <c r="M324" s="9"/>
      <c r="N324" s="14">
        <f>Tabela1316171819[[#This Row],[Valor_recibo]]</f>
        <v>0</v>
      </c>
      <c r="O324" s="16"/>
      <c r="P324" s="1" t="e">
        <f>VLOOKUP(Tabela1316171819[[#This Row],[DT]],Aprovados!A:A,1,0)</f>
        <v>#N/A</v>
      </c>
      <c r="Q324" s="16"/>
      <c r="R324" s="16"/>
      <c r="S324" s="16"/>
      <c r="T324" s="9"/>
      <c r="U324" s="1" t="s">
        <v>315</v>
      </c>
      <c r="V324" s="11"/>
      <c r="W324" s="232"/>
      <c r="X324" s="304"/>
    </row>
    <row r="325" spans="1:24" ht="15.75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205" t="s">
        <v>315</v>
      </c>
      <c r="L325" s="1" t="s">
        <v>315</v>
      </c>
      <c r="M325" s="9"/>
      <c r="N325" s="14">
        <f>Tabela1316171819[[#This Row],[Valor_recibo]]</f>
        <v>0</v>
      </c>
      <c r="O325" s="16"/>
      <c r="P325" s="1" t="e">
        <f>VLOOKUP(Tabela1316171819[[#This Row],[DT]],Aprovados!A:A,1,0)</f>
        <v>#N/A</v>
      </c>
      <c r="Q325" s="16"/>
      <c r="R325" s="16"/>
      <c r="S325" s="16"/>
      <c r="T325" s="9"/>
      <c r="U325" s="1" t="s">
        <v>315</v>
      </c>
      <c r="V325" s="11"/>
      <c r="W325" s="232"/>
      <c r="X325" s="304"/>
    </row>
    <row r="326" spans="1:24" ht="15.75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205" t="s">
        <v>315</v>
      </c>
      <c r="L326" s="1" t="s">
        <v>315</v>
      </c>
      <c r="M326" s="9"/>
      <c r="N326" s="14">
        <f>Tabela1316171819[[#This Row],[Valor_recibo]]</f>
        <v>0</v>
      </c>
      <c r="O326" s="16"/>
      <c r="P326" s="1" t="e">
        <f>VLOOKUP(Tabela1316171819[[#This Row],[DT]],Aprovados!A:A,1,0)</f>
        <v>#N/A</v>
      </c>
      <c r="Q326" s="16"/>
      <c r="R326" s="16"/>
      <c r="S326" s="16"/>
      <c r="T326" s="9"/>
      <c r="U326" s="1" t="s">
        <v>315</v>
      </c>
      <c r="V326" s="11"/>
      <c r="W326" s="232"/>
      <c r="X326" s="304"/>
    </row>
    <row r="327" spans="1:24" ht="15.75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205" t="s">
        <v>315</v>
      </c>
      <c r="L327" s="1" t="s">
        <v>315</v>
      </c>
      <c r="M327" s="9"/>
      <c r="N327" s="14">
        <f>Tabela1316171819[[#This Row],[Valor_recibo]]</f>
        <v>0</v>
      </c>
      <c r="O327" s="16"/>
      <c r="P327" s="1" t="e">
        <f>VLOOKUP(Tabela1316171819[[#This Row],[DT]],Aprovados!A:A,1,0)</f>
        <v>#N/A</v>
      </c>
      <c r="Q327" s="16"/>
      <c r="R327" s="16"/>
      <c r="S327" s="16"/>
      <c r="T327" s="9"/>
      <c r="U327" s="1" t="s">
        <v>315</v>
      </c>
      <c r="V327" s="11"/>
      <c r="W327" s="232"/>
      <c r="X327" s="304"/>
    </row>
    <row r="328" spans="1:24" ht="15.75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205" t="s">
        <v>315</v>
      </c>
      <c r="L328" s="1" t="s">
        <v>315</v>
      </c>
      <c r="M328" s="9"/>
      <c r="N328" s="14">
        <f>Tabela1316171819[[#This Row],[Valor_recibo]]</f>
        <v>0</v>
      </c>
      <c r="O328" s="16"/>
      <c r="P328" s="1" t="e">
        <f>VLOOKUP(Tabela1316171819[[#This Row],[DT]],Aprovados!A:A,1,0)</f>
        <v>#N/A</v>
      </c>
      <c r="Q328" s="16"/>
      <c r="R328" s="16"/>
      <c r="S328" s="16"/>
      <c r="T328" s="9"/>
      <c r="U328" s="1" t="s">
        <v>315</v>
      </c>
      <c r="V328" s="11"/>
      <c r="W328" s="232"/>
      <c r="X328" s="304"/>
    </row>
    <row r="329" spans="1:24" ht="15.75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205" t="s">
        <v>315</v>
      </c>
      <c r="L329" s="1" t="s">
        <v>315</v>
      </c>
      <c r="M329" s="9"/>
      <c r="N329" s="14">
        <f>Tabela1316171819[[#This Row],[Valor_recibo]]</f>
        <v>0</v>
      </c>
      <c r="O329" s="16"/>
      <c r="P329" s="1" t="e">
        <f>VLOOKUP(Tabela1316171819[[#This Row],[DT]],Aprovados!A:A,1,0)</f>
        <v>#N/A</v>
      </c>
      <c r="Q329" s="16"/>
      <c r="R329" s="16"/>
      <c r="S329" s="16"/>
      <c r="T329" s="9"/>
      <c r="U329" s="1" t="s">
        <v>315</v>
      </c>
      <c r="V329" s="11"/>
      <c r="W329" s="232"/>
      <c r="X329" s="304"/>
    </row>
    <row r="330" spans="1:24" ht="15.75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205" t="s">
        <v>315</v>
      </c>
      <c r="L330" s="1" t="s">
        <v>315</v>
      </c>
      <c r="M330" s="9"/>
      <c r="N330" s="14">
        <f>Tabela1316171819[[#This Row],[Valor_recibo]]</f>
        <v>0</v>
      </c>
      <c r="O330" s="16"/>
      <c r="P330" s="1" t="e">
        <f>VLOOKUP(Tabela1316171819[[#This Row],[DT]],Aprovados!A:A,1,0)</f>
        <v>#N/A</v>
      </c>
      <c r="Q330" s="16"/>
      <c r="R330" s="16"/>
      <c r="S330" s="16"/>
      <c r="T330" s="9"/>
      <c r="U330" s="1" t="s">
        <v>315</v>
      </c>
      <c r="V330" s="11"/>
      <c r="W330" s="232"/>
      <c r="X330" s="304"/>
    </row>
    <row r="331" spans="1:24" ht="15.75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205" t="s">
        <v>315</v>
      </c>
      <c r="L331" s="1" t="s">
        <v>315</v>
      </c>
      <c r="M331" s="9"/>
      <c r="N331" s="14">
        <f>Tabela1316171819[[#This Row],[Valor_recibo]]</f>
        <v>0</v>
      </c>
      <c r="O331" s="16"/>
      <c r="P331" s="1" t="e">
        <f>VLOOKUP(Tabela1316171819[[#This Row],[DT]],Aprovados!A:A,1,0)</f>
        <v>#N/A</v>
      </c>
      <c r="Q331" s="16"/>
      <c r="R331" s="16"/>
      <c r="S331" s="16"/>
      <c r="T331" s="9"/>
      <c r="U331" s="1" t="s">
        <v>315</v>
      </c>
      <c r="V331" s="11"/>
      <c r="W331" s="232"/>
      <c r="X331" s="304"/>
    </row>
    <row r="332" spans="1:24" ht="15.75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205" t="s">
        <v>315</v>
      </c>
      <c r="L332" s="1" t="s">
        <v>315</v>
      </c>
      <c r="M332" s="9"/>
      <c r="N332" s="14">
        <f>Tabela1316171819[[#This Row],[Valor_recibo]]</f>
        <v>0</v>
      </c>
      <c r="O332" s="16"/>
      <c r="P332" s="1" t="e">
        <f>VLOOKUP(Tabela1316171819[[#This Row],[DT]],Aprovados!A:A,1,0)</f>
        <v>#N/A</v>
      </c>
      <c r="Q332" s="16"/>
      <c r="R332" s="16"/>
      <c r="S332" s="16"/>
      <c r="T332" s="9"/>
      <c r="U332" s="1" t="s">
        <v>315</v>
      </c>
      <c r="V332" s="11"/>
      <c r="W332" s="232"/>
      <c r="X332" s="304"/>
    </row>
    <row r="333" spans="1:24" ht="15.75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205" t="s">
        <v>315</v>
      </c>
      <c r="L333" s="1" t="s">
        <v>315</v>
      </c>
      <c r="M333" s="9"/>
      <c r="N333" s="14">
        <f>Tabela1316171819[[#This Row],[Valor_recibo]]</f>
        <v>0</v>
      </c>
      <c r="O333" s="16"/>
      <c r="P333" s="1" t="e">
        <f>VLOOKUP(Tabela1316171819[[#This Row],[DT]],Aprovados!A:A,1,0)</f>
        <v>#N/A</v>
      </c>
      <c r="Q333" s="16"/>
      <c r="R333" s="16"/>
      <c r="S333" s="16"/>
      <c r="T333" s="9"/>
      <c r="U333" s="1" t="s">
        <v>315</v>
      </c>
      <c r="V333" s="11"/>
      <c r="W333" s="232"/>
      <c r="X333" s="304"/>
    </row>
    <row r="334" spans="1:24" ht="15.75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205" t="s">
        <v>315</v>
      </c>
      <c r="L334" s="1" t="s">
        <v>315</v>
      </c>
      <c r="M334" s="9"/>
      <c r="N334" s="14">
        <f>Tabela1316171819[[#This Row],[Valor_recibo]]</f>
        <v>0</v>
      </c>
      <c r="O334" s="16"/>
      <c r="P334" s="1" t="e">
        <f>VLOOKUP(Tabela1316171819[[#This Row],[DT]],Aprovados!A:A,1,0)</f>
        <v>#N/A</v>
      </c>
      <c r="Q334" s="16"/>
      <c r="R334" s="16"/>
      <c r="S334" s="16"/>
      <c r="T334" s="9"/>
      <c r="U334" s="1" t="s">
        <v>315</v>
      </c>
      <c r="V334" s="11"/>
      <c r="W334" s="232"/>
      <c r="X334" s="304"/>
    </row>
    <row r="335" spans="1:24" ht="15.75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205" t="s">
        <v>315</v>
      </c>
      <c r="L335" s="1" t="s">
        <v>315</v>
      </c>
      <c r="M335" s="9"/>
      <c r="N335" s="14">
        <f>Tabela1316171819[[#This Row],[Valor_recibo]]</f>
        <v>0</v>
      </c>
      <c r="O335" s="16"/>
      <c r="P335" s="1" t="e">
        <f>VLOOKUP(Tabela1316171819[[#This Row],[DT]],Aprovados!A:A,1,0)</f>
        <v>#N/A</v>
      </c>
      <c r="Q335" s="16"/>
      <c r="R335" s="16"/>
      <c r="S335" s="16"/>
      <c r="T335" s="9"/>
      <c r="U335" s="1" t="s">
        <v>315</v>
      </c>
      <c r="V335" s="11"/>
      <c r="W335" s="232"/>
      <c r="X335" s="304"/>
    </row>
    <row r="336" spans="1:24" ht="15.75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205" t="s">
        <v>315</v>
      </c>
      <c r="L336" s="1" t="s">
        <v>315</v>
      </c>
      <c r="M336" s="9"/>
      <c r="N336" s="14">
        <f>Tabela1316171819[[#This Row],[Valor_recibo]]</f>
        <v>0</v>
      </c>
      <c r="O336" s="16"/>
      <c r="P336" s="1" t="e">
        <f>VLOOKUP(Tabela1316171819[[#This Row],[DT]],Aprovados!A:A,1,0)</f>
        <v>#N/A</v>
      </c>
      <c r="Q336" s="16"/>
      <c r="R336" s="16"/>
      <c r="S336" s="16"/>
      <c r="T336" s="9"/>
      <c r="U336" s="1" t="s">
        <v>315</v>
      </c>
      <c r="V336" s="11"/>
      <c r="W336" s="232"/>
      <c r="X336" s="304"/>
    </row>
    <row r="337" spans="1:24" ht="15.75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205" t="s">
        <v>315</v>
      </c>
      <c r="L337" s="1" t="s">
        <v>315</v>
      </c>
      <c r="M337" s="9"/>
      <c r="N337" s="14">
        <f>Tabela1316171819[[#This Row],[Valor_recibo]]</f>
        <v>0</v>
      </c>
      <c r="O337" s="16"/>
      <c r="P337" s="1" t="e">
        <f>VLOOKUP(Tabela1316171819[[#This Row],[DT]],Aprovados!A:A,1,0)</f>
        <v>#N/A</v>
      </c>
      <c r="Q337" s="16"/>
      <c r="R337" s="16"/>
      <c r="S337" s="16"/>
      <c r="T337" s="9"/>
      <c r="U337" s="1" t="s">
        <v>315</v>
      </c>
      <c r="V337" s="11"/>
      <c r="W337" s="232"/>
      <c r="X337" s="304"/>
    </row>
    <row r="338" spans="1:24" ht="15.75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205" t="s">
        <v>315</v>
      </c>
      <c r="L338" s="1" t="s">
        <v>315</v>
      </c>
      <c r="M338" s="9"/>
      <c r="N338" s="14">
        <f>Tabela1316171819[[#This Row],[Valor_recibo]]</f>
        <v>0</v>
      </c>
      <c r="O338" s="16"/>
      <c r="P338" s="1" t="e">
        <f>VLOOKUP(Tabela1316171819[[#This Row],[DT]],Aprovados!A:A,1,0)</f>
        <v>#N/A</v>
      </c>
      <c r="Q338" s="16"/>
      <c r="R338" s="16"/>
      <c r="S338" s="16"/>
      <c r="T338" s="9"/>
      <c r="U338" s="1" t="s">
        <v>315</v>
      </c>
      <c r="V338" s="11"/>
      <c r="W338" s="232"/>
      <c r="X338" s="304"/>
    </row>
    <row r="339" spans="1:24" ht="15.75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205" t="s">
        <v>315</v>
      </c>
      <c r="L339" s="1" t="s">
        <v>315</v>
      </c>
      <c r="M339" s="9"/>
      <c r="N339" s="14">
        <f>Tabela1316171819[[#This Row],[Valor_recibo]]</f>
        <v>0</v>
      </c>
      <c r="O339" s="16"/>
      <c r="P339" s="1" t="e">
        <f>VLOOKUP(Tabela1316171819[[#This Row],[DT]],Aprovados!A:A,1,0)</f>
        <v>#N/A</v>
      </c>
      <c r="Q339" s="16"/>
      <c r="R339" s="16"/>
      <c r="S339" s="16"/>
      <c r="T339" s="9"/>
      <c r="U339" s="1" t="s">
        <v>315</v>
      </c>
      <c r="V339" s="11"/>
      <c r="W339" s="232"/>
      <c r="X339" s="304"/>
    </row>
    <row r="340" spans="1:24" ht="15.75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205" t="s">
        <v>315</v>
      </c>
      <c r="L340" s="1" t="s">
        <v>315</v>
      </c>
      <c r="M340" s="9"/>
      <c r="N340" s="14">
        <f>Tabela1316171819[[#This Row],[Valor_recibo]]</f>
        <v>0</v>
      </c>
      <c r="O340" s="16"/>
      <c r="P340" s="1" t="e">
        <f>VLOOKUP(Tabela1316171819[[#This Row],[DT]],Aprovados!A:A,1,0)</f>
        <v>#N/A</v>
      </c>
      <c r="Q340" s="16"/>
      <c r="R340" s="16"/>
      <c r="S340" s="16"/>
      <c r="T340" s="9"/>
      <c r="U340" s="1" t="s">
        <v>315</v>
      </c>
      <c r="V340" s="11"/>
      <c r="W340" s="232"/>
      <c r="X340" s="304"/>
    </row>
    <row r="341" spans="1:24" ht="15.75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205" t="s">
        <v>315</v>
      </c>
      <c r="L341" s="1" t="s">
        <v>315</v>
      </c>
      <c r="M341" s="9"/>
      <c r="N341" s="14">
        <f>Tabela1316171819[[#This Row],[Valor_recibo]]</f>
        <v>0</v>
      </c>
      <c r="O341" s="16"/>
      <c r="P341" s="1" t="e">
        <f>VLOOKUP(Tabela1316171819[[#This Row],[DT]],Aprovados!A:A,1,0)</f>
        <v>#N/A</v>
      </c>
      <c r="Q341" s="16"/>
      <c r="R341" s="16"/>
      <c r="S341" s="16"/>
      <c r="T341" s="9"/>
      <c r="U341" s="1" t="s">
        <v>315</v>
      </c>
      <c r="V341" s="11"/>
      <c r="W341" s="232"/>
      <c r="X341" s="304"/>
    </row>
    <row r="342" spans="1:24" ht="15.75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205" t="s">
        <v>315</v>
      </c>
      <c r="L342" s="1" t="s">
        <v>315</v>
      </c>
      <c r="M342" s="9"/>
      <c r="N342" s="14">
        <f>Tabela1316171819[[#This Row],[Valor_recibo]]</f>
        <v>0</v>
      </c>
      <c r="O342" s="16"/>
      <c r="P342" s="1" t="e">
        <f>VLOOKUP(Tabela1316171819[[#This Row],[DT]],Aprovados!A:A,1,0)</f>
        <v>#N/A</v>
      </c>
      <c r="Q342" s="16"/>
      <c r="R342" s="16"/>
      <c r="S342" s="16"/>
      <c r="T342" s="9"/>
      <c r="U342" s="1" t="s">
        <v>315</v>
      </c>
      <c r="V342" s="11"/>
      <c r="W342" s="232"/>
      <c r="X342" s="304"/>
    </row>
    <row r="343" spans="1:24" ht="15.75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205" t="s">
        <v>315</v>
      </c>
      <c r="L343" s="1" t="s">
        <v>315</v>
      </c>
      <c r="M343" s="9"/>
      <c r="N343" s="14">
        <f>Tabela1316171819[[#This Row],[Valor_recibo]]</f>
        <v>0</v>
      </c>
      <c r="O343" s="16"/>
      <c r="P343" s="1" t="e">
        <f>VLOOKUP(Tabela1316171819[[#This Row],[DT]],Aprovados!A:A,1,0)</f>
        <v>#N/A</v>
      </c>
      <c r="Q343" s="16"/>
      <c r="R343" s="16"/>
      <c r="S343" s="16"/>
      <c r="T343" s="9"/>
      <c r="U343" s="1" t="s">
        <v>315</v>
      </c>
      <c r="V343" s="11"/>
      <c r="W343" s="232"/>
      <c r="X343" s="304"/>
    </row>
    <row r="344" spans="1:24" ht="15.75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205" t="s">
        <v>315</v>
      </c>
      <c r="L344" s="1" t="s">
        <v>315</v>
      </c>
      <c r="M344" s="9"/>
      <c r="N344" s="14">
        <f>Tabela1316171819[[#This Row],[Valor_recibo]]</f>
        <v>0</v>
      </c>
      <c r="O344" s="16"/>
      <c r="P344" s="1" t="e">
        <f>VLOOKUP(Tabela1316171819[[#This Row],[DT]],Aprovados!A:A,1,0)</f>
        <v>#N/A</v>
      </c>
      <c r="Q344" s="16"/>
      <c r="R344" s="16"/>
      <c r="S344" s="16"/>
      <c r="T344" s="9"/>
      <c r="U344" s="1" t="s">
        <v>315</v>
      </c>
      <c r="V344" s="11"/>
      <c r="W344" s="232"/>
      <c r="X344" s="304"/>
    </row>
    <row r="345" spans="1:24" ht="15.75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205" t="s">
        <v>315</v>
      </c>
      <c r="L345" s="1" t="s">
        <v>315</v>
      </c>
      <c r="M345" s="9"/>
      <c r="N345" s="14">
        <f>Tabela1316171819[[#This Row],[Valor_recibo]]</f>
        <v>0</v>
      </c>
      <c r="O345" s="16"/>
      <c r="P345" s="1" t="e">
        <f>VLOOKUP(Tabela1316171819[[#This Row],[DT]],Aprovados!A:A,1,0)</f>
        <v>#N/A</v>
      </c>
      <c r="Q345" s="16"/>
      <c r="R345" s="16"/>
      <c r="S345" s="16"/>
      <c r="T345" s="9"/>
      <c r="U345" s="1" t="s">
        <v>315</v>
      </c>
      <c r="V345" s="11"/>
      <c r="W345" s="232"/>
      <c r="X345" s="304"/>
    </row>
    <row r="346" spans="1:24" ht="15.75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205" t="s">
        <v>315</v>
      </c>
      <c r="L346" s="1" t="s">
        <v>315</v>
      </c>
      <c r="M346" s="9"/>
      <c r="N346" s="14">
        <f>Tabela1316171819[[#This Row],[Valor_recibo]]</f>
        <v>0</v>
      </c>
      <c r="O346" s="16"/>
      <c r="P346" s="1" t="e">
        <f>VLOOKUP(Tabela1316171819[[#This Row],[DT]],Aprovados!A:A,1,0)</f>
        <v>#N/A</v>
      </c>
      <c r="Q346" s="16"/>
      <c r="R346" s="16"/>
      <c r="S346" s="16"/>
      <c r="T346" s="9"/>
      <c r="U346" s="1" t="s">
        <v>315</v>
      </c>
      <c r="V346" s="11"/>
      <c r="W346" s="232"/>
      <c r="X346" s="304"/>
    </row>
    <row r="347" spans="1:24" ht="15.75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205" t="s">
        <v>315</v>
      </c>
      <c r="L347" s="1" t="s">
        <v>315</v>
      </c>
      <c r="M347" s="9"/>
      <c r="N347" s="14">
        <f>Tabela1316171819[[#This Row],[Valor_recibo]]</f>
        <v>0</v>
      </c>
      <c r="O347" s="16"/>
      <c r="P347" s="1" t="e">
        <f>VLOOKUP(Tabela1316171819[[#This Row],[DT]],Aprovados!A:A,1,0)</f>
        <v>#N/A</v>
      </c>
      <c r="Q347" s="16"/>
      <c r="R347" s="16"/>
      <c r="S347" s="16"/>
      <c r="T347" s="9"/>
      <c r="U347" s="1" t="s">
        <v>315</v>
      </c>
      <c r="V347" s="11"/>
      <c r="W347" s="232"/>
      <c r="X347" s="304"/>
    </row>
    <row r="348" spans="1:24" ht="15.75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205" t="s">
        <v>315</v>
      </c>
      <c r="L348" s="1" t="s">
        <v>315</v>
      </c>
      <c r="M348" s="9"/>
      <c r="N348" s="14">
        <f>Tabela1316171819[[#This Row],[Valor_recibo]]</f>
        <v>0</v>
      </c>
      <c r="O348" s="16"/>
      <c r="P348" s="1" t="e">
        <f>VLOOKUP(Tabela1316171819[[#This Row],[DT]],Aprovados!A:A,1,0)</f>
        <v>#N/A</v>
      </c>
      <c r="Q348" s="16"/>
      <c r="R348" s="16"/>
      <c r="S348" s="16"/>
      <c r="T348" s="9"/>
      <c r="U348" s="1" t="s">
        <v>315</v>
      </c>
      <c r="V348" s="11"/>
      <c r="W348" s="232"/>
      <c r="X348" s="304"/>
    </row>
    <row r="349" spans="1:24" ht="15.75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205" t="s">
        <v>315</v>
      </c>
      <c r="L349" s="1" t="s">
        <v>315</v>
      </c>
      <c r="M349" s="9"/>
      <c r="N349" s="14">
        <f>Tabela1316171819[[#This Row],[Valor_recibo]]</f>
        <v>0</v>
      </c>
      <c r="O349" s="16"/>
      <c r="P349" s="1" t="e">
        <f>VLOOKUP(Tabela1316171819[[#This Row],[DT]],Aprovados!A:A,1,0)</f>
        <v>#N/A</v>
      </c>
      <c r="Q349" s="16"/>
      <c r="R349" s="16"/>
      <c r="S349" s="16"/>
      <c r="T349" s="9"/>
      <c r="U349" s="1" t="s">
        <v>315</v>
      </c>
      <c r="V349" s="11"/>
      <c r="W349" s="232"/>
      <c r="X349" s="304"/>
    </row>
    <row r="350" spans="1:24" ht="15.75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205" t="s">
        <v>315</v>
      </c>
      <c r="L350" s="1" t="s">
        <v>315</v>
      </c>
      <c r="M350" s="9"/>
      <c r="N350" s="14">
        <f>Tabela1316171819[[#This Row],[Valor_recibo]]</f>
        <v>0</v>
      </c>
      <c r="O350" s="16"/>
      <c r="P350" s="1" t="e">
        <f>VLOOKUP(Tabela1316171819[[#This Row],[DT]],Aprovados!A:A,1,0)</f>
        <v>#N/A</v>
      </c>
      <c r="Q350" s="16"/>
      <c r="R350" s="16"/>
      <c r="S350" s="16"/>
      <c r="T350" s="9"/>
      <c r="U350" s="1" t="s">
        <v>315</v>
      </c>
      <c r="V350" s="11"/>
      <c r="W350" s="232"/>
      <c r="X350" s="304"/>
    </row>
    <row r="351" spans="1:24" ht="15.75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205" t="s">
        <v>315</v>
      </c>
      <c r="L351" s="1" t="s">
        <v>315</v>
      </c>
      <c r="M351" s="9"/>
      <c r="N351" s="14">
        <f>Tabela1316171819[[#This Row],[Valor_recibo]]</f>
        <v>0</v>
      </c>
      <c r="O351" s="16"/>
      <c r="P351" s="1" t="e">
        <f>VLOOKUP(Tabela1316171819[[#This Row],[DT]],Aprovados!A:A,1,0)</f>
        <v>#N/A</v>
      </c>
      <c r="Q351" s="16"/>
      <c r="R351" s="16"/>
      <c r="S351" s="16"/>
      <c r="T351" s="9"/>
      <c r="U351" s="1" t="s">
        <v>315</v>
      </c>
      <c r="V351" s="11"/>
      <c r="W351" s="232"/>
      <c r="X351" s="304"/>
    </row>
    <row r="352" spans="1:24" ht="15.75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205" t="s">
        <v>315</v>
      </c>
      <c r="L352" s="1" t="s">
        <v>315</v>
      </c>
      <c r="M352" s="9"/>
      <c r="N352" s="14">
        <f>Tabela1316171819[[#This Row],[Valor_recibo]]</f>
        <v>0</v>
      </c>
      <c r="O352" s="16"/>
      <c r="P352" s="1" t="e">
        <f>VLOOKUP(Tabela1316171819[[#This Row],[DT]],Aprovados!A:A,1,0)</f>
        <v>#N/A</v>
      </c>
      <c r="Q352" s="16"/>
      <c r="R352" s="16"/>
      <c r="S352" s="16"/>
      <c r="T352" s="9"/>
      <c r="U352" s="1" t="s">
        <v>315</v>
      </c>
      <c r="V352" s="11"/>
      <c r="W352" s="232"/>
      <c r="X352" s="304"/>
    </row>
    <row r="353" spans="1:24" ht="15.75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205" t="s">
        <v>315</v>
      </c>
      <c r="L353" s="1" t="s">
        <v>315</v>
      </c>
      <c r="M353" s="9"/>
      <c r="N353" s="14">
        <f>Tabela1316171819[[#This Row],[Valor_recibo]]</f>
        <v>0</v>
      </c>
      <c r="O353" s="16"/>
      <c r="P353" s="1" t="e">
        <f>VLOOKUP(Tabela1316171819[[#This Row],[DT]],Aprovados!A:A,1,0)</f>
        <v>#N/A</v>
      </c>
      <c r="Q353" s="16"/>
      <c r="R353" s="16"/>
      <c r="S353" s="16"/>
      <c r="T353" s="9"/>
      <c r="U353" s="1" t="s">
        <v>315</v>
      </c>
      <c r="V353" s="11"/>
      <c r="W353" s="232"/>
      <c r="X353" s="304"/>
    </row>
    <row r="354" spans="1:24" ht="15.75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205" t="s">
        <v>315</v>
      </c>
      <c r="L354" s="1" t="s">
        <v>315</v>
      </c>
      <c r="M354" s="9"/>
      <c r="N354" s="14">
        <f>Tabela1316171819[[#This Row],[Valor_recibo]]</f>
        <v>0</v>
      </c>
      <c r="O354" s="16"/>
      <c r="P354" s="1" t="e">
        <f>VLOOKUP(Tabela1316171819[[#This Row],[DT]],Aprovados!A:A,1,0)</f>
        <v>#N/A</v>
      </c>
      <c r="Q354" s="16"/>
      <c r="R354" s="16"/>
      <c r="S354" s="16"/>
      <c r="T354" s="9"/>
      <c r="U354" s="1" t="s">
        <v>315</v>
      </c>
      <c r="V354" s="11"/>
      <c r="W354" s="232"/>
      <c r="X354" s="304"/>
    </row>
    <row r="355" spans="1:24" ht="15.75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205" t="s">
        <v>315</v>
      </c>
      <c r="L355" s="1" t="s">
        <v>315</v>
      </c>
      <c r="M355" s="9"/>
      <c r="N355" s="14">
        <f>Tabela1316171819[[#This Row],[Valor_recibo]]</f>
        <v>0</v>
      </c>
      <c r="O355" s="16"/>
      <c r="P355" s="1" t="e">
        <f>VLOOKUP(Tabela1316171819[[#This Row],[DT]],Aprovados!A:A,1,0)</f>
        <v>#N/A</v>
      </c>
      <c r="Q355" s="16"/>
      <c r="R355" s="16"/>
      <c r="S355" s="16"/>
      <c r="T355" s="9"/>
      <c r="U355" s="1" t="s">
        <v>315</v>
      </c>
      <c r="V355" s="11"/>
      <c r="W355" s="232"/>
      <c r="X355" s="304"/>
    </row>
    <row r="356" spans="1:24" ht="15.75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205" t="s">
        <v>315</v>
      </c>
      <c r="L356" s="1" t="s">
        <v>315</v>
      </c>
      <c r="M356" s="9"/>
      <c r="N356" s="14">
        <f>Tabela1316171819[[#This Row],[Valor_recibo]]</f>
        <v>0</v>
      </c>
      <c r="O356" s="16"/>
      <c r="P356" s="1" t="e">
        <f>VLOOKUP(Tabela1316171819[[#This Row],[DT]],Aprovados!A:A,1,0)</f>
        <v>#N/A</v>
      </c>
      <c r="Q356" s="16"/>
      <c r="R356" s="16"/>
      <c r="S356" s="16"/>
      <c r="T356" s="9"/>
      <c r="U356" s="1" t="s">
        <v>315</v>
      </c>
      <c r="V356" s="11"/>
      <c r="W356" s="232"/>
      <c r="X356" s="304"/>
    </row>
    <row r="357" spans="1:24" ht="15.75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205" t="s">
        <v>315</v>
      </c>
      <c r="L357" s="1" t="s">
        <v>315</v>
      </c>
      <c r="M357" s="9"/>
      <c r="N357" s="14">
        <f>Tabela1316171819[[#This Row],[Valor_recibo]]</f>
        <v>0</v>
      </c>
      <c r="O357" s="16"/>
      <c r="P357" s="1" t="e">
        <f>VLOOKUP(Tabela1316171819[[#This Row],[DT]],Aprovados!A:A,1,0)</f>
        <v>#N/A</v>
      </c>
      <c r="Q357" s="16"/>
      <c r="R357" s="16"/>
      <c r="S357" s="16"/>
      <c r="T357" s="9"/>
      <c r="U357" s="1" t="s">
        <v>315</v>
      </c>
      <c r="V357" s="11"/>
      <c r="W357" s="232"/>
      <c r="X357" s="304"/>
    </row>
    <row r="358" spans="1:24" ht="15.75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205" t="s">
        <v>315</v>
      </c>
      <c r="L358" s="1" t="s">
        <v>315</v>
      </c>
      <c r="M358" s="9"/>
      <c r="N358" s="14">
        <f>Tabela1316171819[[#This Row],[Valor_recibo]]</f>
        <v>0</v>
      </c>
      <c r="O358" s="16"/>
      <c r="P358" s="1" t="e">
        <f>VLOOKUP(Tabela1316171819[[#This Row],[DT]],Aprovados!A:A,1,0)</f>
        <v>#N/A</v>
      </c>
      <c r="Q358" s="16"/>
      <c r="R358" s="16"/>
      <c r="S358" s="16"/>
      <c r="T358" s="9"/>
      <c r="U358" s="1" t="s">
        <v>315</v>
      </c>
      <c r="V358" s="11"/>
      <c r="W358" s="232"/>
      <c r="X358" s="304"/>
    </row>
    <row r="359" spans="1:24" ht="15.75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205" t="s">
        <v>315</v>
      </c>
      <c r="L359" s="1" t="s">
        <v>315</v>
      </c>
      <c r="M359" s="9"/>
      <c r="N359" s="14">
        <f>Tabela1316171819[[#This Row],[Valor_recibo]]</f>
        <v>0</v>
      </c>
      <c r="O359" s="16"/>
      <c r="P359" s="1" t="e">
        <f>VLOOKUP(Tabela1316171819[[#This Row],[DT]],Aprovados!A:A,1,0)</f>
        <v>#N/A</v>
      </c>
      <c r="Q359" s="16"/>
      <c r="R359" s="16"/>
      <c r="S359" s="16"/>
      <c r="T359" s="9"/>
      <c r="U359" s="1" t="s">
        <v>315</v>
      </c>
      <c r="V359" s="11"/>
      <c r="W359" s="232"/>
      <c r="X359" s="304"/>
    </row>
    <row r="360" spans="1:24" ht="15.75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205" t="s">
        <v>315</v>
      </c>
      <c r="L360" s="1" t="s">
        <v>315</v>
      </c>
      <c r="M360" s="9"/>
      <c r="N360" s="14">
        <f>Tabela1316171819[[#This Row],[Valor_recibo]]</f>
        <v>0</v>
      </c>
      <c r="O360" s="16"/>
      <c r="P360" s="1" t="e">
        <f>VLOOKUP(Tabela1316171819[[#This Row],[DT]],Aprovados!A:A,1,0)</f>
        <v>#N/A</v>
      </c>
      <c r="Q360" s="16"/>
      <c r="R360" s="16"/>
      <c r="S360" s="16"/>
      <c r="T360" s="9"/>
      <c r="U360" s="1" t="s">
        <v>315</v>
      </c>
      <c r="V360" s="11"/>
      <c r="W360" s="232"/>
      <c r="X360" s="304"/>
    </row>
    <row r="361" spans="1:24" ht="15.75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205" t="s">
        <v>315</v>
      </c>
      <c r="L361" s="1" t="s">
        <v>315</v>
      </c>
      <c r="M361" s="9"/>
      <c r="N361" s="14">
        <f>Tabela1316171819[[#This Row],[Valor_recibo]]</f>
        <v>0</v>
      </c>
      <c r="O361" s="16"/>
      <c r="P361" s="1" t="e">
        <f>VLOOKUP(Tabela1316171819[[#This Row],[DT]],Aprovados!A:A,1,0)</f>
        <v>#N/A</v>
      </c>
      <c r="Q361" s="16"/>
      <c r="R361" s="16"/>
      <c r="S361" s="16"/>
      <c r="T361" s="9"/>
      <c r="U361" s="1" t="s">
        <v>315</v>
      </c>
      <c r="V361" s="11"/>
      <c r="W361" s="232"/>
      <c r="X361" s="304"/>
    </row>
    <row r="362" spans="1:24" ht="15.75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205" t="s">
        <v>315</v>
      </c>
      <c r="L362" s="1" t="s">
        <v>315</v>
      </c>
      <c r="M362" s="9"/>
      <c r="N362" s="14">
        <f>Tabela1316171819[[#This Row],[Valor_recibo]]</f>
        <v>0</v>
      </c>
      <c r="O362" s="16"/>
      <c r="P362" s="1" t="e">
        <f>VLOOKUP(Tabela1316171819[[#This Row],[DT]],Aprovados!A:A,1,0)</f>
        <v>#N/A</v>
      </c>
      <c r="Q362" s="16"/>
      <c r="R362" s="16"/>
      <c r="S362" s="16"/>
      <c r="T362" s="9"/>
      <c r="U362" s="1" t="s">
        <v>315</v>
      </c>
      <c r="V362" s="11"/>
      <c r="W362" s="232"/>
      <c r="X362" s="304"/>
    </row>
    <row r="363" spans="1:24" ht="15.75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205" t="s">
        <v>315</v>
      </c>
      <c r="L363" s="1" t="s">
        <v>315</v>
      </c>
      <c r="M363" s="9"/>
      <c r="N363" s="14">
        <f>Tabela1316171819[[#This Row],[Valor_recibo]]</f>
        <v>0</v>
      </c>
      <c r="O363" s="16"/>
      <c r="P363" s="1" t="e">
        <f>VLOOKUP(Tabela1316171819[[#This Row],[DT]],Aprovados!A:A,1,0)</f>
        <v>#N/A</v>
      </c>
      <c r="Q363" s="16"/>
      <c r="R363" s="16"/>
      <c r="S363" s="16"/>
      <c r="T363" s="9"/>
      <c r="U363" s="1" t="s">
        <v>315</v>
      </c>
      <c r="V363" s="11"/>
      <c r="W363" s="232"/>
      <c r="X363" s="304"/>
    </row>
    <row r="364" spans="1:24" ht="15.75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205" t="s">
        <v>315</v>
      </c>
      <c r="L364" s="1" t="s">
        <v>315</v>
      </c>
      <c r="M364" s="9"/>
      <c r="N364" s="14">
        <f>Tabela1316171819[[#This Row],[Valor_recibo]]</f>
        <v>0</v>
      </c>
      <c r="O364" s="16"/>
      <c r="P364" s="1" t="e">
        <f>VLOOKUP(Tabela1316171819[[#This Row],[DT]],Aprovados!A:A,1,0)</f>
        <v>#N/A</v>
      </c>
      <c r="Q364" s="16"/>
      <c r="R364" s="16"/>
      <c r="S364" s="16"/>
      <c r="T364" s="9"/>
      <c r="U364" s="1" t="s">
        <v>315</v>
      </c>
      <c r="V364" s="11"/>
      <c r="W364" s="232"/>
      <c r="X364" s="304"/>
    </row>
    <row r="365" spans="1:24" ht="15.75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205" t="s">
        <v>315</v>
      </c>
      <c r="L365" s="1" t="s">
        <v>315</v>
      </c>
      <c r="M365" s="9"/>
      <c r="N365" s="14">
        <f>Tabela1316171819[[#This Row],[Valor_recibo]]</f>
        <v>0</v>
      </c>
      <c r="O365" s="16"/>
      <c r="P365" s="1" t="e">
        <f>VLOOKUP(Tabela1316171819[[#This Row],[DT]],Aprovados!A:A,1,0)</f>
        <v>#N/A</v>
      </c>
      <c r="Q365" s="16"/>
      <c r="R365" s="16"/>
      <c r="S365" s="16"/>
      <c r="T365" s="9"/>
      <c r="U365" s="1" t="s">
        <v>315</v>
      </c>
      <c r="V365" s="11"/>
      <c r="W365" s="232"/>
      <c r="X365" s="304"/>
    </row>
    <row r="366" spans="1:24" ht="15.75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205" t="s">
        <v>315</v>
      </c>
      <c r="L366" s="1" t="s">
        <v>315</v>
      </c>
      <c r="M366" s="9"/>
      <c r="N366" s="14">
        <f>Tabela1316171819[[#This Row],[Valor_recibo]]</f>
        <v>0</v>
      </c>
      <c r="O366" s="16"/>
      <c r="P366" s="1" t="e">
        <f>VLOOKUP(Tabela1316171819[[#This Row],[DT]],Aprovados!A:A,1,0)</f>
        <v>#N/A</v>
      </c>
      <c r="Q366" s="16"/>
      <c r="R366" s="16"/>
      <c r="S366" s="16"/>
      <c r="T366" s="9"/>
      <c r="U366" s="1" t="s">
        <v>315</v>
      </c>
      <c r="V366" s="11"/>
      <c r="W366" s="232"/>
      <c r="X366" s="304"/>
    </row>
    <row r="367" spans="1:24" ht="15.75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205" t="s">
        <v>315</v>
      </c>
      <c r="L367" s="1" t="s">
        <v>315</v>
      </c>
      <c r="M367" s="9"/>
      <c r="N367" s="14">
        <f>Tabela1316171819[[#This Row],[Valor_recibo]]</f>
        <v>0</v>
      </c>
      <c r="O367" s="16"/>
      <c r="P367" s="1" t="e">
        <f>VLOOKUP(Tabela1316171819[[#This Row],[DT]],Aprovados!A:A,1,0)</f>
        <v>#N/A</v>
      </c>
      <c r="Q367" s="16"/>
      <c r="R367" s="16"/>
      <c r="S367" s="16"/>
      <c r="T367" s="9"/>
      <c r="U367" s="1" t="s">
        <v>315</v>
      </c>
      <c r="V367" s="11"/>
      <c r="W367" s="232"/>
      <c r="X367" s="304"/>
    </row>
    <row r="368" spans="1:24" ht="15.75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205" t="s">
        <v>315</v>
      </c>
      <c r="L368" s="1" t="s">
        <v>315</v>
      </c>
      <c r="M368" s="9"/>
      <c r="N368" s="14">
        <f>Tabela1316171819[[#This Row],[Valor_recibo]]</f>
        <v>0</v>
      </c>
      <c r="O368" s="16"/>
      <c r="P368" s="1" t="e">
        <f>VLOOKUP(Tabela1316171819[[#This Row],[DT]],Aprovados!A:A,1,0)</f>
        <v>#N/A</v>
      </c>
      <c r="Q368" s="16"/>
      <c r="R368" s="16"/>
      <c r="S368" s="16"/>
      <c r="T368" s="9"/>
      <c r="U368" s="1" t="s">
        <v>315</v>
      </c>
      <c r="V368" s="11"/>
      <c r="W368" s="232"/>
      <c r="X368" s="304"/>
    </row>
    <row r="369" spans="1:24" ht="15.75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205" t="s">
        <v>315</v>
      </c>
      <c r="L369" s="1" t="s">
        <v>315</v>
      </c>
      <c r="M369" s="9"/>
      <c r="N369" s="14">
        <f>Tabela1316171819[[#This Row],[Valor_recibo]]</f>
        <v>0</v>
      </c>
      <c r="O369" s="16"/>
      <c r="P369" s="1" t="e">
        <f>VLOOKUP(Tabela1316171819[[#This Row],[DT]],Aprovados!A:A,1,0)</f>
        <v>#N/A</v>
      </c>
      <c r="Q369" s="16"/>
      <c r="R369" s="16"/>
      <c r="S369" s="16"/>
      <c r="T369" s="9"/>
      <c r="U369" s="1" t="s">
        <v>315</v>
      </c>
      <c r="V369" s="11"/>
      <c r="W369" s="232"/>
      <c r="X369" s="304"/>
    </row>
    <row r="370" spans="1:24" ht="15.75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205" t="s">
        <v>315</v>
      </c>
      <c r="L370" s="1" t="s">
        <v>315</v>
      </c>
      <c r="M370" s="9"/>
      <c r="N370" s="14">
        <f>Tabela1316171819[[#This Row],[Valor_recibo]]</f>
        <v>0</v>
      </c>
      <c r="O370" s="16"/>
      <c r="P370" s="1" t="e">
        <f>VLOOKUP(Tabela1316171819[[#This Row],[DT]],Aprovados!A:A,1,0)</f>
        <v>#N/A</v>
      </c>
      <c r="Q370" s="16"/>
      <c r="R370" s="16"/>
      <c r="S370" s="16"/>
      <c r="T370" s="9"/>
      <c r="U370" s="1" t="s">
        <v>315</v>
      </c>
      <c r="V370" s="11"/>
      <c r="W370" s="232"/>
      <c r="X370" s="304"/>
    </row>
    <row r="371" spans="1:24" ht="15.75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205" t="s">
        <v>315</v>
      </c>
      <c r="L371" s="1" t="s">
        <v>315</v>
      </c>
      <c r="M371" s="9"/>
      <c r="N371" s="14">
        <f>Tabela1316171819[[#This Row],[Valor_recibo]]</f>
        <v>0</v>
      </c>
      <c r="O371" s="16"/>
      <c r="P371" s="1" t="e">
        <f>VLOOKUP(Tabela1316171819[[#This Row],[DT]],Aprovados!A:A,1,0)</f>
        <v>#N/A</v>
      </c>
      <c r="Q371" s="16"/>
      <c r="R371" s="16"/>
      <c r="S371" s="16"/>
      <c r="T371" s="9"/>
      <c r="U371" s="1" t="s">
        <v>315</v>
      </c>
      <c r="V371" s="11"/>
      <c r="W371" s="232"/>
      <c r="X371" s="304"/>
    </row>
    <row r="372" spans="1:24" ht="15.75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205" t="s">
        <v>315</v>
      </c>
      <c r="L372" s="1" t="s">
        <v>315</v>
      </c>
      <c r="M372" s="9"/>
      <c r="N372" s="14">
        <f>Tabela1316171819[[#This Row],[Valor_recibo]]</f>
        <v>0</v>
      </c>
      <c r="O372" s="16"/>
      <c r="P372" s="1" t="e">
        <f>VLOOKUP(Tabela1316171819[[#This Row],[DT]],Aprovados!A:A,1,0)</f>
        <v>#N/A</v>
      </c>
      <c r="Q372" s="16"/>
      <c r="R372" s="16"/>
      <c r="S372" s="16"/>
      <c r="T372" s="9"/>
      <c r="U372" s="1" t="s">
        <v>315</v>
      </c>
      <c r="V372" s="11"/>
      <c r="W372" s="232"/>
      <c r="X372" s="304"/>
    </row>
    <row r="373" spans="1:24" ht="15.75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205" t="s">
        <v>315</v>
      </c>
      <c r="L373" s="1" t="s">
        <v>315</v>
      </c>
      <c r="M373" s="9"/>
      <c r="N373" s="14">
        <f>Tabela1316171819[[#This Row],[Valor_recibo]]</f>
        <v>0</v>
      </c>
      <c r="O373" s="16"/>
      <c r="P373" s="1" t="e">
        <f>VLOOKUP(Tabela1316171819[[#This Row],[DT]],Aprovados!A:A,1,0)</f>
        <v>#N/A</v>
      </c>
      <c r="Q373" s="16"/>
      <c r="R373" s="16"/>
      <c r="S373" s="16"/>
      <c r="T373" s="9"/>
      <c r="U373" s="1" t="s">
        <v>315</v>
      </c>
      <c r="V373" s="11"/>
      <c r="W373" s="232"/>
      <c r="X373" s="304"/>
    </row>
    <row r="374" spans="1:24" ht="15.75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205" t="s">
        <v>315</v>
      </c>
      <c r="L374" s="1" t="s">
        <v>315</v>
      </c>
      <c r="M374" s="9"/>
      <c r="N374" s="14">
        <f>Tabela1316171819[[#This Row],[Valor_recibo]]</f>
        <v>0</v>
      </c>
      <c r="O374" s="16"/>
      <c r="P374" s="1" t="e">
        <f>VLOOKUP(Tabela1316171819[[#This Row],[DT]],Aprovados!A:A,1,0)</f>
        <v>#N/A</v>
      </c>
      <c r="Q374" s="16"/>
      <c r="R374" s="16"/>
      <c r="S374" s="16"/>
      <c r="T374" s="9"/>
      <c r="U374" s="1" t="s">
        <v>315</v>
      </c>
      <c r="V374" s="11"/>
      <c r="W374" s="232"/>
      <c r="X374" s="304"/>
    </row>
    <row r="375" spans="1:24" ht="15.75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205" t="s">
        <v>315</v>
      </c>
      <c r="L375" s="1" t="s">
        <v>315</v>
      </c>
      <c r="M375" s="9"/>
      <c r="N375" s="14">
        <f>Tabela1316171819[[#This Row],[Valor_recibo]]</f>
        <v>0</v>
      </c>
      <c r="O375" s="16"/>
      <c r="P375" s="1" t="e">
        <f>VLOOKUP(Tabela1316171819[[#This Row],[DT]],Aprovados!A:A,1,0)</f>
        <v>#N/A</v>
      </c>
      <c r="Q375" s="16"/>
      <c r="R375" s="16"/>
      <c r="S375" s="16"/>
      <c r="T375" s="9"/>
      <c r="U375" s="1" t="s">
        <v>315</v>
      </c>
      <c r="V375" s="11"/>
      <c r="W375" s="232"/>
      <c r="X375" s="304"/>
    </row>
    <row r="376" spans="1:24" ht="15.75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205" t="s">
        <v>315</v>
      </c>
      <c r="L376" s="1" t="s">
        <v>315</v>
      </c>
      <c r="M376" s="9"/>
      <c r="N376" s="14">
        <f>Tabela1316171819[[#This Row],[Valor_recibo]]</f>
        <v>0</v>
      </c>
      <c r="O376" s="16"/>
      <c r="P376" s="1" t="e">
        <f>VLOOKUP(Tabela1316171819[[#This Row],[DT]],Aprovados!A:A,1,0)</f>
        <v>#N/A</v>
      </c>
      <c r="Q376" s="16"/>
      <c r="R376" s="16"/>
      <c r="S376" s="16"/>
      <c r="T376" s="9"/>
      <c r="U376" s="1" t="s">
        <v>315</v>
      </c>
      <c r="V376" s="11"/>
      <c r="W376" s="232"/>
      <c r="X376" s="304"/>
    </row>
    <row r="377" spans="1:24" ht="15.75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205" t="s">
        <v>315</v>
      </c>
      <c r="L377" s="1" t="s">
        <v>315</v>
      </c>
      <c r="M377" s="9"/>
      <c r="N377" s="14">
        <f>Tabela1316171819[[#This Row],[Valor_recibo]]</f>
        <v>0</v>
      </c>
      <c r="O377" s="16"/>
      <c r="P377" s="1" t="e">
        <f>VLOOKUP(Tabela1316171819[[#This Row],[DT]],Aprovados!A:A,1,0)</f>
        <v>#N/A</v>
      </c>
      <c r="Q377" s="16"/>
      <c r="R377" s="16"/>
      <c r="S377" s="16"/>
      <c r="T377" s="9"/>
      <c r="U377" s="1" t="s">
        <v>315</v>
      </c>
      <c r="V377" s="11"/>
      <c r="W377" s="232"/>
      <c r="X377" s="304"/>
    </row>
    <row r="378" spans="1:24" ht="15.75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205" t="s">
        <v>315</v>
      </c>
      <c r="L378" s="1" t="s">
        <v>315</v>
      </c>
      <c r="M378" s="9"/>
      <c r="N378" s="14">
        <f>Tabela1316171819[[#This Row],[Valor_recibo]]</f>
        <v>0</v>
      </c>
      <c r="O378" s="16"/>
      <c r="P378" s="1" t="e">
        <f>VLOOKUP(Tabela1316171819[[#This Row],[DT]],Aprovados!A:A,1,0)</f>
        <v>#N/A</v>
      </c>
      <c r="Q378" s="16"/>
      <c r="R378" s="16"/>
      <c r="S378" s="16"/>
      <c r="T378" s="9"/>
      <c r="U378" s="1" t="s">
        <v>315</v>
      </c>
      <c r="V378" s="11"/>
      <c r="W378" s="232"/>
      <c r="X378" s="304"/>
    </row>
    <row r="379" spans="1:24" ht="15.75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205" t="s">
        <v>315</v>
      </c>
      <c r="L379" s="1" t="s">
        <v>315</v>
      </c>
      <c r="M379" s="9"/>
      <c r="N379" s="14">
        <f>Tabela1316171819[[#This Row],[Valor_recibo]]</f>
        <v>0</v>
      </c>
      <c r="O379" s="16"/>
      <c r="P379" s="1" t="e">
        <f>VLOOKUP(Tabela1316171819[[#This Row],[DT]],Aprovados!A:A,1,0)</f>
        <v>#N/A</v>
      </c>
      <c r="Q379" s="16"/>
      <c r="R379" s="16"/>
      <c r="S379" s="16"/>
      <c r="T379" s="9"/>
      <c r="U379" s="1" t="s">
        <v>315</v>
      </c>
      <c r="V379" s="11"/>
      <c r="W379" s="232"/>
      <c r="X379" s="304"/>
    </row>
    <row r="380" spans="1:24" ht="15.75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205" t="s">
        <v>315</v>
      </c>
      <c r="L380" s="1" t="s">
        <v>315</v>
      </c>
      <c r="M380" s="9"/>
      <c r="N380" s="14">
        <f>Tabela1316171819[[#This Row],[Valor_recibo]]</f>
        <v>0</v>
      </c>
      <c r="O380" s="16"/>
      <c r="P380" s="1" t="e">
        <f>VLOOKUP(Tabela1316171819[[#This Row],[DT]],Aprovados!A:A,1,0)</f>
        <v>#N/A</v>
      </c>
      <c r="Q380" s="16"/>
      <c r="R380" s="16"/>
      <c r="S380" s="16"/>
      <c r="T380" s="9"/>
      <c r="U380" s="1" t="s">
        <v>315</v>
      </c>
      <c r="V380" s="11"/>
      <c r="W380" s="232"/>
      <c r="X380" s="304"/>
    </row>
    <row r="381" spans="1:24" ht="15.75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205" t="s">
        <v>315</v>
      </c>
      <c r="L381" s="1" t="s">
        <v>315</v>
      </c>
      <c r="M381" s="9"/>
      <c r="N381" s="14">
        <f>Tabela1316171819[[#This Row],[Valor_recibo]]</f>
        <v>0</v>
      </c>
      <c r="O381" s="16"/>
      <c r="P381" s="1" t="e">
        <f>VLOOKUP(Tabela1316171819[[#This Row],[DT]],Aprovados!A:A,1,0)</f>
        <v>#N/A</v>
      </c>
      <c r="Q381" s="16"/>
      <c r="R381" s="16"/>
      <c r="S381" s="16"/>
      <c r="T381" s="9"/>
      <c r="U381" s="1" t="s">
        <v>315</v>
      </c>
      <c r="V381" s="11"/>
      <c r="W381" s="232"/>
      <c r="X381" s="304"/>
    </row>
    <row r="382" spans="1:24" ht="15.75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205" t="s">
        <v>315</v>
      </c>
      <c r="L382" s="1" t="s">
        <v>315</v>
      </c>
      <c r="M382" s="9"/>
      <c r="N382" s="14">
        <f>Tabela1316171819[[#This Row],[Valor_recibo]]</f>
        <v>0</v>
      </c>
      <c r="O382" s="16"/>
      <c r="P382" s="1" t="e">
        <f>VLOOKUP(Tabela1316171819[[#This Row],[DT]],Aprovados!A:A,1,0)</f>
        <v>#N/A</v>
      </c>
      <c r="Q382" s="16"/>
      <c r="R382" s="16"/>
      <c r="S382" s="16"/>
      <c r="T382" s="9"/>
      <c r="U382" s="1" t="s">
        <v>315</v>
      </c>
      <c r="V382" s="11"/>
      <c r="W382" s="232"/>
      <c r="X382" s="304"/>
    </row>
    <row r="383" spans="1:24" ht="15.75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205" t="s">
        <v>315</v>
      </c>
      <c r="L383" s="1" t="s">
        <v>315</v>
      </c>
      <c r="M383" s="9"/>
      <c r="N383" s="14">
        <f>Tabela1316171819[[#This Row],[Valor_recibo]]</f>
        <v>0</v>
      </c>
      <c r="O383" s="16"/>
      <c r="P383" s="1" t="e">
        <f>VLOOKUP(Tabela1316171819[[#This Row],[DT]],Aprovados!A:A,1,0)</f>
        <v>#N/A</v>
      </c>
      <c r="Q383" s="16"/>
      <c r="R383" s="16"/>
      <c r="S383" s="16"/>
      <c r="T383" s="9"/>
      <c r="U383" s="1" t="s">
        <v>315</v>
      </c>
      <c r="V383" s="11"/>
      <c r="W383" s="232"/>
      <c r="X383" s="304"/>
    </row>
    <row r="384" spans="1:24" ht="15.75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205" t="s">
        <v>315</v>
      </c>
      <c r="L384" s="1" t="s">
        <v>315</v>
      </c>
      <c r="M384" s="9"/>
      <c r="N384" s="14">
        <f>Tabela1316171819[[#This Row],[Valor_recibo]]</f>
        <v>0</v>
      </c>
      <c r="O384" s="16"/>
      <c r="P384" s="1" t="e">
        <f>VLOOKUP(Tabela1316171819[[#This Row],[DT]],Aprovados!A:A,1,0)</f>
        <v>#N/A</v>
      </c>
      <c r="Q384" s="16"/>
      <c r="R384" s="16"/>
      <c r="S384" s="16"/>
      <c r="T384" s="9"/>
      <c r="U384" s="1" t="s">
        <v>315</v>
      </c>
      <c r="V384" s="11"/>
      <c r="W384" s="232"/>
      <c r="X384" s="304"/>
    </row>
    <row r="385" spans="1:24" ht="15.75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205" t="s">
        <v>315</v>
      </c>
      <c r="L385" s="1" t="s">
        <v>315</v>
      </c>
      <c r="M385" s="9"/>
      <c r="N385" s="14">
        <f>Tabela1316171819[[#This Row],[Valor_recibo]]</f>
        <v>0</v>
      </c>
      <c r="O385" s="16"/>
      <c r="P385" s="1" t="e">
        <f>VLOOKUP(Tabela1316171819[[#This Row],[DT]],Aprovados!A:A,1,0)</f>
        <v>#N/A</v>
      </c>
      <c r="Q385" s="16"/>
      <c r="R385" s="16"/>
      <c r="S385" s="16"/>
      <c r="T385" s="9"/>
      <c r="U385" s="1" t="s">
        <v>315</v>
      </c>
      <c r="V385" s="11"/>
      <c r="W385" s="232"/>
      <c r="X385" s="304"/>
    </row>
    <row r="386" spans="1:24" ht="15.75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205" t="s">
        <v>315</v>
      </c>
      <c r="L386" s="1" t="s">
        <v>315</v>
      </c>
      <c r="M386" s="9"/>
      <c r="N386" s="14">
        <f>Tabela1316171819[[#This Row],[Valor_recibo]]</f>
        <v>0</v>
      </c>
      <c r="O386" s="16"/>
      <c r="P386" s="1" t="e">
        <f>VLOOKUP(Tabela1316171819[[#This Row],[DT]],Aprovados!A:A,1,0)</f>
        <v>#N/A</v>
      </c>
      <c r="Q386" s="16"/>
      <c r="R386" s="16"/>
      <c r="S386" s="16"/>
      <c r="T386" s="9"/>
      <c r="U386" s="1" t="s">
        <v>315</v>
      </c>
      <c r="V386" s="11"/>
      <c r="W386" s="232"/>
      <c r="X386" s="304"/>
    </row>
    <row r="387" spans="1:24" ht="15.75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205" t="s">
        <v>315</v>
      </c>
      <c r="L387" s="1" t="s">
        <v>315</v>
      </c>
      <c r="M387" s="9"/>
      <c r="N387" s="14">
        <f>Tabela1316171819[[#This Row],[Valor_recibo]]</f>
        <v>0</v>
      </c>
      <c r="O387" s="16"/>
      <c r="P387" s="1" t="e">
        <f>VLOOKUP(Tabela1316171819[[#This Row],[DT]],Aprovados!A:A,1,0)</f>
        <v>#N/A</v>
      </c>
      <c r="Q387" s="16"/>
      <c r="R387" s="16"/>
      <c r="S387" s="16"/>
      <c r="T387" s="9"/>
      <c r="U387" s="1" t="s">
        <v>315</v>
      </c>
      <c r="V387" s="11"/>
      <c r="W387" s="232"/>
      <c r="X387" s="304"/>
    </row>
    <row r="388" spans="1:24" ht="15.75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205" t="s">
        <v>315</v>
      </c>
      <c r="L388" s="1" t="s">
        <v>315</v>
      </c>
      <c r="M388" s="9"/>
      <c r="N388" s="14">
        <f>Tabela1316171819[[#This Row],[Valor_recibo]]</f>
        <v>0</v>
      </c>
      <c r="O388" s="16"/>
      <c r="P388" s="1" t="e">
        <f>VLOOKUP(Tabela1316171819[[#This Row],[DT]],Aprovados!A:A,1,0)</f>
        <v>#N/A</v>
      </c>
      <c r="Q388" s="16"/>
      <c r="R388" s="16"/>
      <c r="S388" s="16"/>
      <c r="T388" s="9"/>
      <c r="U388" s="1" t="s">
        <v>315</v>
      </c>
      <c r="V388" s="11"/>
      <c r="W388" s="232"/>
      <c r="X388" s="304"/>
    </row>
    <row r="389" spans="1:24" ht="15.75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205" t="s">
        <v>315</v>
      </c>
      <c r="L389" s="1" t="s">
        <v>315</v>
      </c>
      <c r="M389" s="9"/>
      <c r="N389" s="14">
        <f>Tabela1316171819[[#This Row],[Valor_recibo]]</f>
        <v>0</v>
      </c>
      <c r="O389" s="16"/>
      <c r="P389" s="1" t="e">
        <f>VLOOKUP(Tabela1316171819[[#This Row],[DT]],Aprovados!A:A,1,0)</f>
        <v>#N/A</v>
      </c>
      <c r="Q389" s="16"/>
      <c r="R389" s="16"/>
      <c r="S389" s="16"/>
      <c r="T389" s="9"/>
      <c r="U389" s="1" t="s">
        <v>315</v>
      </c>
      <c r="V389" s="11"/>
      <c r="W389" s="232"/>
      <c r="X389" s="304"/>
    </row>
    <row r="390" spans="1:24" ht="15.75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205" t="s">
        <v>315</v>
      </c>
      <c r="L390" s="1" t="s">
        <v>315</v>
      </c>
      <c r="M390" s="9"/>
      <c r="N390" s="14">
        <f>Tabela1316171819[[#This Row],[Valor_recibo]]</f>
        <v>0</v>
      </c>
      <c r="O390" s="16"/>
      <c r="P390" s="1" t="e">
        <f>VLOOKUP(Tabela1316171819[[#This Row],[DT]],Aprovados!A:A,1,0)</f>
        <v>#N/A</v>
      </c>
      <c r="Q390" s="16"/>
      <c r="R390" s="16"/>
      <c r="S390" s="16"/>
      <c r="T390" s="9"/>
      <c r="U390" s="1" t="s">
        <v>315</v>
      </c>
      <c r="V390" s="11"/>
      <c r="W390" s="232"/>
      <c r="X390" s="304"/>
    </row>
    <row r="391" spans="1:24" ht="15.75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205" t="s">
        <v>315</v>
      </c>
      <c r="L391" s="1" t="s">
        <v>315</v>
      </c>
      <c r="M391" s="9"/>
      <c r="N391" s="14">
        <f>Tabela1316171819[[#This Row],[Valor_recibo]]</f>
        <v>0</v>
      </c>
      <c r="O391" s="16"/>
      <c r="P391" s="1" t="e">
        <f>VLOOKUP(Tabela1316171819[[#This Row],[DT]],Aprovados!A:A,1,0)</f>
        <v>#N/A</v>
      </c>
      <c r="Q391" s="16"/>
      <c r="R391" s="16"/>
      <c r="S391" s="16"/>
      <c r="T391" s="9"/>
      <c r="U391" s="1" t="s">
        <v>315</v>
      </c>
      <c r="V391" s="11"/>
      <c r="W391" s="232"/>
      <c r="X391" s="304"/>
    </row>
    <row r="392" spans="1:24" ht="15.75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205" t="s">
        <v>315</v>
      </c>
      <c r="L392" s="1" t="s">
        <v>315</v>
      </c>
      <c r="M392" s="9"/>
      <c r="N392" s="14">
        <f>Tabela1316171819[[#This Row],[Valor_recibo]]</f>
        <v>0</v>
      </c>
      <c r="O392" s="16"/>
      <c r="P392" s="1" t="e">
        <f>VLOOKUP(Tabela1316171819[[#This Row],[DT]],Aprovados!A:A,1,0)</f>
        <v>#N/A</v>
      </c>
      <c r="Q392" s="16"/>
      <c r="R392" s="16"/>
      <c r="S392" s="16"/>
      <c r="T392" s="9"/>
      <c r="U392" s="1" t="s">
        <v>315</v>
      </c>
      <c r="V392" s="11"/>
      <c r="W392" s="232"/>
      <c r="X392" s="304"/>
    </row>
    <row r="393" spans="1:24" ht="15.75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205" t="s">
        <v>315</v>
      </c>
      <c r="L393" s="1" t="s">
        <v>315</v>
      </c>
      <c r="M393" s="9"/>
      <c r="N393" s="14">
        <f>Tabela1316171819[[#This Row],[Valor_recibo]]</f>
        <v>0</v>
      </c>
      <c r="O393" s="16"/>
      <c r="P393" s="1" t="e">
        <f>VLOOKUP(Tabela1316171819[[#This Row],[DT]],Aprovados!A:A,1,0)</f>
        <v>#N/A</v>
      </c>
      <c r="Q393" s="16"/>
      <c r="R393" s="16"/>
      <c r="S393" s="16"/>
      <c r="T393" s="9"/>
      <c r="U393" s="1" t="s">
        <v>315</v>
      </c>
      <c r="V393" s="11"/>
      <c r="W393" s="232"/>
      <c r="X393" s="304"/>
    </row>
    <row r="394" spans="1:24" ht="15.75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205" t="s">
        <v>315</v>
      </c>
      <c r="L394" s="1" t="s">
        <v>315</v>
      </c>
      <c r="M394" s="9"/>
      <c r="N394" s="14">
        <f>Tabela1316171819[[#This Row],[Valor_recibo]]</f>
        <v>0</v>
      </c>
      <c r="O394" s="16"/>
      <c r="P394" s="1" t="e">
        <f>VLOOKUP(Tabela1316171819[[#This Row],[DT]],Aprovados!A:A,1,0)</f>
        <v>#N/A</v>
      </c>
      <c r="Q394" s="16"/>
      <c r="R394" s="16"/>
      <c r="S394" s="16"/>
      <c r="T394" s="9"/>
      <c r="U394" s="1" t="s">
        <v>315</v>
      </c>
      <c r="V394" s="11"/>
      <c r="W394" s="232"/>
      <c r="X394" s="304"/>
    </row>
    <row r="395" spans="1:24" ht="15.75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205" t="s">
        <v>315</v>
      </c>
      <c r="L395" s="1" t="s">
        <v>315</v>
      </c>
      <c r="M395" s="9"/>
      <c r="N395" s="14">
        <f>Tabela1316171819[[#This Row],[Valor_recibo]]</f>
        <v>0</v>
      </c>
      <c r="O395" s="16"/>
      <c r="P395" s="1" t="e">
        <f>VLOOKUP(Tabela1316171819[[#This Row],[DT]],Aprovados!A:A,1,0)</f>
        <v>#N/A</v>
      </c>
      <c r="Q395" s="16"/>
      <c r="R395" s="16"/>
      <c r="S395" s="16"/>
      <c r="T395" s="9"/>
      <c r="U395" s="1" t="s">
        <v>315</v>
      </c>
      <c r="V395" s="11"/>
      <c r="W395" s="232"/>
      <c r="X395" s="304"/>
    </row>
    <row r="396" spans="1:24" ht="15.75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205" t="s">
        <v>315</v>
      </c>
      <c r="L396" s="1" t="s">
        <v>315</v>
      </c>
      <c r="M396" s="9"/>
      <c r="N396" s="14">
        <f>Tabela1316171819[[#This Row],[Valor_recibo]]</f>
        <v>0</v>
      </c>
      <c r="O396" s="16"/>
      <c r="P396" s="1" t="e">
        <f>VLOOKUP(Tabela1316171819[[#This Row],[DT]],Aprovados!A:A,1,0)</f>
        <v>#N/A</v>
      </c>
      <c r="Q396" s="16"/>
      <c r="R396" s="16"/>
      <c r="S396" s="16"/>
      <c r="T396" s="9"/>
      <c r="U396" s="1" t="s">
        <v>315</v>
      </c>
      <c r="V396" s="11"/>
      <c r="W396" s="232"/>
      <c r="X396" s="304"/>
    </row>
    <row r="397" spans="1:24" ht="15.75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205" t="s">
        <v>315</v>
      </c>
      <c r="L397" s="1" t="s">
        <v>315</v>
      </c>
      <c r="M397" s="9"/>
      <c r="N397" s="14">
        <f>Tabela1316171819[[#This Row],[Valor_recibo]]</f>
        <v>0</v>
      </c>
      <c r="O397" s="16"/>
      <c r="P397" s="1" t="e">
        <f>VLOOKUP(Tabela1316171819[[#This Row],[DT]],Aprovados!A:A,1,0)</f>
        <v>#N/A</v>
      </c>
      <c r="Q397" s="16"/>
      <c r="R397" s="16"/>
      <c r="S397" s="16"/>
      <c r="T397" s="9"/>
      <c r="U397" s="1" t="s">
        <v>315</v>
      </c>
      <c r="V397" s="11"/>
      <c r="W397" s="232"/>
      <c r="X397" s="304"/>
    </row>
    <row r="398" spans="1:24" ht="15.75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205" t="s">
        <v>315</v>
      </c>
      <c r="L398" s="1" t="s">
        <v>315</v>
      </c>
      <c r="M398" s="9"/>
      <c r="N398" s="14">
        <f>Tabela1316171819[[#This Row],[Valor_recibo]]</f>
        <v>0</v>
      </c>
      <c r="O398" s="16"/>
      <c r="P398" s="1" t="e">
        <f>VLOOKUP(Tabela1316171819[[#This Row],[DT]],Aprovados!A:A,1,0)</f>
        <v>#N/A</v>
      </c>
      <c r="Q398" s="16"/>
      <c r="R398" s="16"/>
      <c r="S398" s="16"/>
      <c r="T398" s="9"/>
      <c r="U398" s="1" t="s">
        <v>315</v>
      </c>
      <c r="V398" s="11"/>
      <c r="W398" s="232"/>
      <c r="X398" s="304"/>
    </row>
    <row r="399" spans="1:24" ht="15.75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205" t="s">
        <v>315</v>
      </c>
      <c r="L399" s="1" t="s">
        <v>315</v>
      </c>
      <c r="M399" s="9"/>
      <c r="N399" s="14">
        <f>Tabela1316171819[[#This Row],[Valor_recibo]]</f>
        <v>0</v>
      </c>
      <c r="O399" s="16"/>
      <c r="P399" s="1" t="e">
        <f>VLOOKUP(Tabela1316171819[[#This Row],[DT]],Aprovados!A:A,1,0)</f>
        <v>#N/A</v>
      </c>
      <c r="Q399" s="16"/>
      <c r="R399" s="16"/>
      <c r="S399" s="16"/>
      <c r="T399" s="9"/>
      <c r="U399" s="1" t="s">
        <v>315</v>
      </c>
      <c r="V399" s="11"/>
      <c r="W399" s="232"/>
      <c r="X399" s="304"/>
    </row>
    <row r="400" spans="1:24" ht="15.75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205" t="s">
        <v>315</v>
      </c>
      <c r="L400" s="1" t="s">
        <v>315</v>
      </c>
      <c r="M400" s="9"/>
      <c r="N400" s="14">
        <f>Tabela1316171819[[#This Row],[Valor_recibo]]</f>
        <v>0</v>
      </c>
      <c r="O400" s="16"/>
      <c r="P400" s="1" t="e">
        <f>VLOOKUP(Tabela1316171819[[#This Row],[DT]],Aprovados!A:A,1,0)</f>
        <v>#N/A</v>
      </c>
      <c r="Q400" s="16"/>
      <c r="R400" s="16"/>
      <c r="S400" s="16"/>
      <c r="T400" s="9"/>
      <c r="U400" s="1" t="s">
        <v>315</v>
      </c>
      <c r="V400" s="11"/>
      <c r="W400" s="232"/>
      <c r="X400" s="304"/>
    </row>
    <row r="401" spans="1:24" ht="15.75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205" t="s">
        <v>315</v>
      </c>
      <c r="L401" s="1" t="s">
        <v>315</v>
      </c>
      <c r="M401" s="9"/>
      <c r="N401" s="14">
        <f>Tabela1316171819[[#This Row],[Valor_recibo]]</f>
        <v>0</v>
      </c>
      <c r="O401" s="16"/>
      <c r="P401" s="1" t="e">
        <f>VLOOKUP(Tabela1316171819[[#This Row],[DT]],Aprovados!A:A,1,0)</f>
        <v>#N/A</v>
      </c>
      <c r="Q401" s="16"/>
      <c r="R401" s="16"/>
      <c r="S401" s="16"/>
      <c r="T401" s="9"/>
      <c r="U401" s="1" t="s">
        <v>315</v>
      </c>
      <c r="V401" s="11"/>
      <c r="W401" s="232"/>
      <c r="X401" s="304"/>
    </row>
    <row r="402" spans="1:24" ht="15.75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205" t="s">
        <v>315</v>
      </c>
      <c r="L402" s="1" t="s">
        <v>315</v>
      </c>
      <c r="M402" s="9"/>
      <c r="N402" s="14">
        <f>Tabela1316171819[[#This Row],[Valor_recibo]]</f>
        <v>0</v>
      </c>
      <c r="O402" s="16"/>
      <c r="P402" s="1" t="e">
        <f>VLOOKUP(Tabela1316171819[[#This Row],[DT]],Aprovados!A:A,1,0)</f>
        <v>#N/A</v>
      </c>
      <c r="Q402" s="16"/>
      <c r="R402" s="16"/>
      <c r="S402" s="16"/>
      <c r="T402" s="9"/>
      <c r="U402" s="1" t="s">
        <v>315</v>
      </c>
      <c r="V402" s="11"/>
      <c r="W402" s="232"/>
      <c r="X402" s="304"/>
    </row>
    <row r="403" spans="1:24" ht="15.75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205" t="s">
        <v>315</v>
      </c>
      <c r="L403" s="1" t="s">
        <v>315</v>
      </c>
      <c r="M403" s="9"/>
      <c r="N403" s="14">
        <f>Tabela1316171819[[#This Row],[Valor_recibo]]</f>
        <v>0</v>
      </c>
      <c r="O403" s="16"/>
      <c r="P403" s="1" t="e">
        <f>VLOOKUP(Tabela1316171819[[#This Row],[DT]],Aprovados!A:A,1,0)</f>
        <v>#N/A</v>
      </c>
      <c r="Q403" s="16"/>
      <c r="R403" s="16"/>
      <c r="S403" s="16"/>
      <c r="T403" s="9"/>
      <c r="U403" s="1" t="s">
        <v>315</v>
      </c>
      <c r="V403" s="11"/>
      <c r="W403" s="232"/>
      <c r="X403" s="304"/>
    </row>
    <row r="404" spans="1:24" ht="15.75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205" t="s">
        <v>315</v>
      </c>
      <c r="L404" s="1" t="s">
        <v>315</v>
      </c>
      <c r="M404" s="9"/>
      <c r="N404" s="14">
        <f>Tabela1316171819[[#This Row],[Valor_recibo]]</f>
        <v>0</v>
      </c>
      <c r="O404" s="16"/>
      <c r="P404" s="1" t="e">
        <f>VLOOKUP(Tabela1316171819[[#This Row],[DT]],Aprovados!A:A,1,0)</f>
        <v>#N/A</v>
      </c>
      <c r="Q404" s="16"/>
      <c r="R404" s="16"/>
      <c r="S404" s="16"/>
      <c r="T404" s="9"/>
      <c r="U404" s="1" t="s">
        <v>315</v>
      </c>
      <c r="V404" s="11"/>
      <c r="W404" s="232"/>
      <c r="X404" s="304"/>
    </row>
    <row r="405" spans="1:24" ht="15.75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205" t="s">
        <v>315</v>
      </c>
      <c r="L405" s="1" t="s">
        <v>315</v>
      </c>
      <c r="M405" s="9"/>
      <c r="N405" s="14">
        <f>Tabela1316171819[[#This Row],[Valor_recibo]]</f>
        <v>0</v>
      </c>
      <c r="O405" s="16"/>
      <c r="P405" s="1" t="e">
        <f>VLOOKUP(Tabela1316171819[[#This Row],[DT]],Aprovados!A:A,1,0)</f>
        <v>#N/A</v>
      </c>
      <c r="Q405" s="16"/>
      <c r="R405" s="16"/>
      <c r="S405" s="16"/>
      <c r="T405" s="9"/>
      <c r="U405" s="1" t="s">
        <v>315</v>
      </c>
      <c r="V405" s="11"/>
      <c r="W405" s="232"/>
      <c r="X405" s="304"/>
    </row>
    <row r="406" spans="1:24" ht="15.75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205" t="s">
        <v>315</v>
      </c>
      <c r="L406" s="1" t="s">
        <v>315</v>
      </c>
      <c r="M406" s="9"/>
      <c r="N406" s="14">
        <f>Tabela1316171819[[#This Row],[Valor_recibo]]</f>
        <v>0</v>
      </c>
      <c r="O406" s="16"/>
      <c r="P406" s="1" t="e">
        <f>VLOOKUP(Tabela1316171819[[#This Row],[DT]],Aprovados!A:A,1,0)</f>
        <v>#N/A</v>
      </c>
      <c r="Q406" s="16"/>
      <c r="R406" s="16"/>
      <c r="S406" s="16"/>
      <c r="T406" s="9"/>
      <c r="U406" s="1" t="s">
        <v>315</v>
      </c>
      <c r="V406" s="11"/>
      <c r="W406" s="232"/>
      <c r="X406" s="304"/>
    </row>
    <row r="407" spans="1:24" ht="15.75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205" t="s">
        <v>315</v>
      </c>
      <c r="L407" s="1" t="s">
        <v>315</v>
      </c>
      <c r="M407" s="9"/>
      <c r="N407" s="14">
        <f>Tabela1316171819[[#This Row],[Valor_recibo]]</f>
        <v>0</v>
      </c>
      <c r="O407" s="16"/>
      <c r="P407" s="1" t="e">
        <f>VLOOKUP(Tabela1316171819[[#This Row],[DT]],Aprovados!A:A,1,0)</f>
        <v>#N/A</v>
      </c>
      <c r="Q407" s="16"/>
      <c r="R407" s="16"/>
      <c r="S407" s="16"/>
      <c r="T407" s="9"/>
      <c r="U407" s="1" t="s">
        <v>315</v>
      </c>
      <c r="V407" s="11"/>
      <c r="W407" s="232"/>
      <c r="X407" s="304"/>
    </row>
    <row r="408" spans="1:24" ht="15.75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205" t="s">
        <v>315</v>
      </c>
      <c r="L408" s="1" t="s">
        <v>315</v>
      </c>
      <c r="M408" s="9"/>
      <c r="N408" s="14">
        <f>Tabela1316171819[[#This Row],[Valor_recibo]]</f>
        <v>0</v>
      </c>
      <c r="O408" s="16"/>
      <c r="P408" s="1" t="e">
        <f>VLOOKUP(Tabela1316171819[[#This Row],[DT]],Aprovados!A:A,1,0)</f>
        <v>#N/A</v>
      </c>
      <c r="Q408" s="16"/>
      <c r="R408" s="16"/>
      <c r="S408" s="16"/>
      <c r="T408" s="9"/>
      <c r="U408" s="1" t="s">
        <v>315</v>
      </c>
      <c r="V408" s="11"/>
      <c r="W408" s="232"/>
      <c r="X408" s="304"/>
    </row>
    <row r="409" spans="1:24" ht="15.75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205" t="s">
        <v>315</v>
      </c>
      <c r="L409" s="1" t="s">
        <v>315</v>
      </c>
      <c r="M409" s="9"/>
      <c r="N409" s="14">
        <f>Tabela1316171819[[#This Row],[Valor_recibo]]</f>
        <v>0</v>
      </c>
      <c r="O409" s="16"/>
      <c r="P409" s="1" t="e">
        <f>VLOOKUP(Tabela1316171819[[#This Row],[DT]],Aprovados!A:A,1,0)</f>
        <v>#N/A</v>
      </c>
      <c r="Q409" s="16"/>
      <c r="R409" s="16"/>
      <c r="S409" s="16"/>
      <c r="T409" s="9"/>
      <c r="U409" s="1" t="s">
        <v>315</v>
      </c>
      <c r="V409" s="11"/>
      <c r="W409" s="232"/>
      <c r="X409" s="304"/>
    </row>
    <row r="410" spans="1:24" ht="15.75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205" t="s">
        <v>315</v>
      </c>
      <c r="L410" s="1" t="s">
        <v>315</v>
      </c>
      <c r="M410" s="9"/>
      <c r="N410" s="14">
        <f>Tabela1316171819[[#This Row],[Valor_recibo]]</f>
        <v>0</v>
      </c>
      <c r="O410" s="16"/>
      <c r="P410" s="1" t="e">
        <f>VLOOKUP(Tabela1316171819[[#This Row],[DT]],Aprovados!A:A,1,0)</f>
        <v>#N/A</v>
      </c>
      <c r="Q410" s="16"/>
      <c r="R410" s="16"/>
      <c r="S410" s="16"/>
      <c r="T410" s="9"/>
      <c r="U410" s="1" t="s">
        <v>315</v>
      </c>
      <c r="V410" s="11"/>
      <c r="W410" s="232"/>
      <c r="X410" s="304"/>
    </row>
    <row r="411" spans="1:24" ht="15.75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205" t="s">
        <v>315</v>
      </c>
      <c r="L411" s="1" t="s">
        <v>315</v>
      </c>
      <c r="M411" s="9"/>
      <c r="N411" s="14">
        <f>Tabela1316171819[[#This Row],[Valor_recibo]]</f>
        <v>0</v>
      </c>
      <c r="O411" s="16"/>
      <c r="P411" s="1" t="e">
        <f>VLOOKUP(Tabela1316171819[[#This Row],[DT]],Aprovados!A:A,1,0)</f>
        <v>#N/A</v>
      </c>
      <c r="Q411" s="16"/>
      <c r="R411" s="16"/>
      <c r="S411" s="16"/>
      <c r="T411" s="9"/>
      <c r="U411" s="1" t="s">
        <v>315</v>
      </c>
      <c r="V411" s="11"/>
      <c r="W411" s="232"/>
      <c r="X411" s="304"/>
    </row>
    <row r="412" spans="1:24" ht="15.75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205" t="s">
        <v>315</v>
      </c>
      <c r="L412" s="1" t="s">
        <v>315</v>
      </c>
      <c r="M412" s="9"/>
      <c r="N412" s="14">
        <f>Tabela1316171819[[#This Row],[Valor_recibo]]</f>
        <v>0</v>
      </c>
      <c r="O412" s="16"/>
      <c r="P412" s="1" t="e">
        <f>VLOOKUP(Tabela1316171819[[#This Row],[DT]],Aprovados!A:A,1,0)</f>
        <v>#N/A</v>
      </c>
      <c r="Q412" s="16"/>
      <c r="R412" s="16"/>
      <c r="S412" s="16"/>
      <c r="T412" s="9"/>
      <c r="U412" s="1" t="s">
        <v>315</v>
      </c>
      <c r="V412" s="11"/>
      <c r="W412" s="232"/>
      <c r="X412" s="304"/>
    </row>
    <row r="413" spans="1:24" ht="15.75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205" t="s">
        <v>315</v>
      </c>
      <c r="L413" s="1" t="s">
        <v>315</v>
      </c>
      <c r="M413" s="9"/>
      <c r="N413" s="14">
        <f>Tabela1316171819[[#This Row],[Valor_recibo]]</f>
        <v>0</v>
      </c>
      <c r="O413" s="16"/>
      <c r="P413" s="1" t="e">
        <f>VLOOKUP(Tabela1316171819[[#This Row],[DT]],Aprovados!A:A,1,0)</f>
        <v>#N/A</v>
      </c>
      <c r="Q413" s="16"/>
      <c r="R413" s="16"/>
      <c r="S413" s="16"/>
      <c r="T413" s="9"/>
      <c r="U413" s="1" t="s">
        <v>315</v>
      </c>
      <c r="V413" s="11"/>
      <c r="W413" s="232"/>
      <c r="X413" s="304"/>
    </row>
    <row r="414" spans="1:24" ht="15.75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205" t="s">
        <v>315</v>
      </c>
      <c r="L414" s="1" t="s">
        <v>315</v>
      </c>
      <c r="M414" s="9"/>
      <c r="N414" s="14">
        <f>Tabela1316171819[[#This Row],[Valor_recibo]]</f>
        <v>0</v>
      </c>
      <c r="O414" s="16"/>
      <c r="P414" s="1" t="e">
        <f>VLOOKUP(Tabela1316171819[[#This Row],[DT]],Aprovados!A:A,1,0)</f>
        <v>#N/A</v>
      </c>
      <c r="Q414" s="16"/>
      <c r="R414" s="16"/>
      <c r="S414" s="16"/>
      <c r="T414" s="9"/>
      <c r="U414" s="1" t="s">
        <v>315</v>
      </c>
      <c r="V414" s="11"/>
      <c r="W414" s="232"/>
      <c r="X414" s="304"/>
    </row>
    <row r="415" spans="1:24" ht="15.75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205" t="s">
        <v>315</v>
      </c>
      <c r="L415" s="1" t="s">
        <v>315</v>
      </c>
      <c r="M415" s="9"/>
      <c r="N415" s="14">
        <f>Tabela1316171819[[#This Row],[Valor_recibo]]</f>
        <v>0</v>
      </c>
      <c r="O415" s="16"/>
      <c r="P415" s="1" t="e">
        <f>VLOOKUP(Tabela1316171819[[#This Row],[DT]],Aprovados!A:A,1,0)</f>
        <v>#N/A</v>
      </c>
      <c r="Q415" s="16"/>
      <c r="R415" s="16"/>
      <c r="S415" s="16"/>
      <c r="T415" s="9"/>
      <c r="U415" s="1" t="s">
        <v>315</v>
      </c>
      <c r="V415" s="11"/>
      <c r="W415" s="232"/>
      <c r="X415" s="304"/>
    </row>
    <row r="416" spans="1:24" ht="15.75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205" t="s">
        <v>315</v>
      </c>
      <c r="L416" s="1" t="s">
        <v>315</v>
      </c>
      <c r="M416" s="9"/>
      <c r="N416" s="14">
        <f>Tabela1316171819[[#This Row],[Valor_recibo]]</f>
        <v>0</v>
      </c>
      <c r="O416" s="16"/>
      <c r="P416" s="1" t="e">
        <f>VLOOKUP(Tabela1316171819[[#This Row],[DT]],Aprovados!A:A,1,0)</f>
        <v>#N/A</v>
      </c>
      <c r="Q416" s="16"/>
      <c r="R416" s="16"/>
      <c r="S416" s="16"/>
      <c r="T416" s="9"/>
      <c r="U416" s="1" t="s">
        <v>315</v>
      </c>
      <c r="V416" s="11"/>
      <c r="W416" s="232"/>
      <c r="X416" s="304"/>
    </row>
    <row r="417" spans="1:24" ht="15.75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205" t="s">
        <v>315</v>
      </c>
      <c r="L417" s="1" t="s">
        <v>315</v>
      </c>
      <c r="M417" s="9"/>
      <c r="N417" s="14">
        <f>Tabela1316171819[[#This Row],[Valor_recibo]]</f>
        <v>0</v>
      </c>
      <c r="O417" s="16"/>
      <c r="P417" s="1" t="e">
        <f>VLOOKUP(Tabela1316171819[[#This Row],[DT]],Aprovados!A:A,1,0)</f>
        <v>#N/A</v>
      </c>
      <c r="Q417" s="16"/>
      <c r="R417" s="16"/>
      <c r="S417" s="16"/>
      <c r="T417" s="9"/>
      <c r="U417" s="1" t="s">
        <v>315</v>
      </c>
      <c r="V417" s="11"/>
      <c r="W417" s="232"/>
      <c r="X417" s="304"/>
    </row>
    <row r="418" spans="1:24" ht="15.75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205" t="s">
        <v>315</v>
      </c>
      <c r="L418" s="1" t="s">
        <v>315</v>
      </c>
      <c r="M418" s="9"/>
      <c r="N418" s="14">
        <f>Tabela1316171819[[#This Row],[Valor_recibo]]</f>
        <v>0</v>
      </c>
      <c r="O418" s="16"/>
      <c r="P418" s="1" t="e">
        <f>VLOOKUP(Tabela1316171819[[#This Row],[DT]],Aprovados!A:A,1,0)</f>
        <v>#N/A</v>
      </c>
      <c r="Q418" s="16"/>
      <c r="R418" s="16"/>
      <c r="S418" s="16"/>
      <c r="T418" s="9"/>
      <c r="U418" s="1" t="s">
        <v>315</v>
      </c>
      <c r="V418" s="11"/>
      <c r="W418" s="232"/>
      <c r="X418" s="304"/>
    </row>
    <row r="419" spans="1:24" ht="15.75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205" t="s">
        <v>315</v>
      </c>
      <c r="L419" s="1" t="s">
        <v>315</v>
      </c>
      <c r="M419" s="9"/>
      <c r="N419" s="14">
        <f>Tabela1316171819[[#This Row],[Valor_recibo]]</f>
        <v>0</v>
      </c>
      <c r="O419" s="16"/>
      <c r="P419" s="1" t="e">
        <f>VLOOKUP(Tabela1316171819[[#This Row],[DT]],Aprovados!A:A,1,0)</f>
        <v>#N/A</v>
      </c>
      <c r="Q419" s="16"/>
      <c r="R419" s="16"/>
      <c r="S419" s="16"/>
      <c r="T419" s="9"/>
      <c r="U419" s="1" t="s">
        <v>315</v>
      </c>
      <c r="V419" s="11"/>
      <c r="W419" s="232"/>
      <c r="X419" s="304"/>
    </row>
    <row r="420" spans="1:24" ht="15.75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205" t="s">
        <v>315</v>
      </c>
      <c r="L420" s="1" t="s">
        <v>315</v>
      </c>
      <c r="M420" s="9"/>
      <c r="N420" s="14">
        <f>Tabela1316171819[[#This Row],[Valor_recibo]]</f>
        <v>0</v>
      </c>
      <c r="O420" s="16"/>
      <c r="P420" s="1" t="e">
        <f>VLOOKUP(Tabela1316171819[[#This Row],[DT]],Aprovados!A:A,1,0)</f>
        <v>#N/A</v>
      </c>
      <c r="Q420" s="16"/>
      <c r="R420" s="16"/>
      <c r="S420" s="16"/>
      <c r="T420" s="9"/>
      <c r="U420" s="1" t="s">
        <v>315</v>
      </c>
      <c r="V420" s="11"/>
      <c r="W420" s="232"/>
      <c r="X420" s="304"/>
    </row>
    <row r="421" spans="1:24" ht="15.75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205" t="s">
        <v>315</v>
      </c>
      <c r="L421" s="1" t="s">
        <v>315</v>
      </c>
      <c r="M421" s="9"/>
      <c r="N421" s="14">
        <f>Tabela1316171819[[#This Row],[Valor_recibo]]</f>
        <v>0</v>
      </c>
      <c r="O421" s="16"/>
      <c r="P421" s="1" t="e">
        <f>VLOOKUP(Tabela1316171819[[#This Row],[DT]],Aprovados!A:A,1,0)</f>
        <v>#N/A</v>
      </c>
      <c r="Q421" s="16"/>
      <c r="R421" s="16"/>
      <c r="S421" s="16"/>
      <c r="T421" s="9"/>
      <c r="U421" s="1" t="s">
        <v>315</v>
      </c>
      <c r="V421" s="11"/>
      <c r="W421" s="232"/>
      <c r="X421" s="304"/>
    </row>
    <row r="422" spans="1:24" ht="15.75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205" t="s">
        <v>315</v>
      </c>
      <c r="L422" s="1" t="s">
        <v>315</v>
      </c>
      <c r="M422" s="9"/>
      <c r="N422" s="14">
        <f>Tabela1316171819[[#This Row],[Valor_recibo]]</f>
        <v>0</v>
      </c>
      <c r="O422" s="16"/>
      <c r="P422" s="1" t="e">
        <f>VLOOKUP(Tabela1316171819[[#This Row],[DT]],Aprovados!A:A,1,0)</f>
        <v>#N/A</v>
      </c>
      <c r="Q422" s="16"/>
      <c r="R422" s="16"/>
      <c r="S422" s="16"/>
      <c r="T422" s="9"/>
      <c r="U422" s="1" t="s">
        <v>315</v>
      </c>
      <c r="V422" s="11"/>
      <c r="W422" s="232"/>
      <c r="X422" s="304"/>
    </row>
    <row r="423" spans="1:24" ht="15.75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205" t="s">
        <v>315</v>
      </c>
      <c r="L423" s="1" t="s">
        <v>315</v>
      </c>
      <c r="M423" s="9"/>
      <c r="N423" s="14">
        <f>Tabela1316171819[[#This Row],[Valor_recibo]]</f>
        <v>0</v>
      </c>
      <c r="O423" s="16"/>
      <c r="P423" s="1" t="e">
        <f>VLOOKUP(Tabela1316171819[[#This Row],[DT]],Aprovados!A:A,1,0)</f>
        <v>#N/A</v>
      </c>
      <c r="Q423" s="16"/>
      <c r="R423" s="16"/>
      <c r="S423" s="16"/>
      <c r="T423" s="9"/>
      <c r="U423" s="1" t="s">
        <v>315</v>
      </c>
      <c r="V423" s="11"/>
      <c r="W423" s="232"/>
      <c r="X423" s="304"/>
    </row>
    <row r="424" spans="1:24" ht="15.75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205" t="s">
        <v>315</v>
      </c>
      <c r="L424" s="1" t="s">
        <v>315</v>
      </c>
      <c r="M424" s="9"/>
      <c r="N424" s="14">
        <f>Tabela1316171819[[#This Row],[Valor_recibo]]</f>
        <v>0</v>
      </c>
      <c r="O424" s="16"/>
      <c r="P424" s="1" t="e">
        <f>VLOOKUP(Tabela1316171819[[#This Row],[DT]],Aprovados!A:A,1,0)</f>
        <v>#N/A</v>
      </c>
      <c r="Q424" s="16"/>
      <c r="R424" s="16"/>
      <c r="S424" s="16"/>
      <c r="T424" s="9"/>
      <c r="U424" s="1" t="s">
        <v>315</v>
      </c>
      <c r="V424" s="11"/>
      <c r="W424" s="232"/>
      <c r="X424" s="304"/>
    </row>
    <row r="425" spans="1:24" ht="15.75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205" t="s">
        <v>315</v>
      </c>
      <c r="L425" s="1" t="s">
        <v>315</v>
      </c>
      <c r="M425" s="9"/>
      <c r="N425" s="14">
        <f>Tabela1316171819[[#This Row],[Valor_recibo]]</f>
        <v>0</v>
      </c>
      <c r="O425" s="16"/>
      <c r="P425" s="1" t="e">
        <f>VLOOKUP(Tabela1316171819[[#This Row],[DT]],Aprovados!A:A,1,0)</f>
        <v>#N/A</v>
      </c>
      <c r="Q425" s="16"/>
      <c r="R425" s="16"/>
      <c r="S425" s="16"/>
      <c r="T425" s="9"/>
      <c r="U425" s="1" t="s">
        <v>315</v>
      </c>
      <c r="V425" s="11"/>
      <c r="W425" s="232"/>
      <c r="X425" s="304"/>
    </row>
    <row r="426" spans="1:24" ht="15.75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205" t="s">
        <v>315</v>
      </c>
      <c r="L426" s="1" t="s">
        <v>315</v>
      </c>
      <c r="M426" s="9"/>
      <c r="N426" s="14">
        <f>Tabela1316171819[[#This Row],[Valor_recibo]]</f>
        <v>0</v>
      </c>
      <c r="O426" s="16"/>
      <c r="P426" s="1" t="e">
        <f>VLOOKUP(Tabela1316171819[[#This Row],[DT]],Aprovados!A:A,1,0)</f>
        <v>#N/A</v>
      </c>
      <c r="Q426" s="16"/>
      <c r="R426" s="16"/>
      <c r="S426" s="16"/>
      <c r="T426" s="9"/>
      <c r="U426" s="1" t="s">
        <v>315</v>
      </c>
      <c r="V426" s="11"/>
      <c r="W426" s="232"/>
      <c r="X426" s="304"/>
    </row>
    <row r="427" spans="1:24" ht="15.75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205" t="s">
        <v>315</v>
      </c>
      <c r="L427" s="1" t="s">
        <v>315</v>
      </c>
      <c r="M427" s="9"/>
      <c r="N427" s="14">
        <f>Tabela1316171819[[#This Row],[Valor_recibo]]</f>
        <v>0</v>
      </c>
      <c r="O427" s="16"/>
      <c r="P427" s="1" t="e">
        <f>VLOOKUP(Tabela1316171819[[#This Row],[DT]],Aprovados!A:A,1,0)</f>
        <v>#N/A</v>
      </c>
      <c r="Q427" s="16"/>
      <c r="R427" s="16"/>
      <c r="S427" s="16"/>
      <c r="T427" s="9"/>
      <c r="U427" s="1" t="s">
        <v>315</v>
      </c>
      <c r="V427" s="11"/>
      <c r="W427" s="232"/>
      <c r="X427" s="304"/>
    </row>
    <row r="428" spans="1:24" ht="15.75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205" t="s">
        <v>315</v>
      </c>
      <c r="L428" s="1" t="s">
        <v>315</v>
      </c>
      <c r="M428" s="9"/>
      <c r="N428" s="14">
        <f>Tabela1316171819[[#This Row],[Valor_recibo]]</f>
        <v>0</v>
      </c>
      <c r="O428" s="16"/>
      <c r="P428" s="1" t="e">
        <f>VLOOKUP(Tabela1316171819[[#This Row],[DT]],Aprovados!A:A,1,0)</f>
        <v>#N/A</v>
      </c>
      <c r="Q428" s="16"/>
      <c r="R428" s="16"/>
      <c r="S428" s="16"/>
      <c r="T428" s="9"/>
      <c r="U428" s="1" t="s">
        <v>315</v>
      </c>
      <c r="V428" s="11"/>
      <c r="W428" s="232"/>
      <c r="X428" s="304"/>
    </row>
    <row r="429" spans="1:24" ht="15.75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205" t="s">
        <v>315</v>
      </c>
      <c r="L429" s="1" t="s">
        <v>315</v>
      </c>
      <c r="M429" s="9"/>
      <c r="N429" s="14">
        <f>Tabela1316171819[[#This Row],[Valor_recibo]]</f>
        <v>0</v>
      </c>
      <c r="O429" s="16"/>
      <c r="P429" s="1" t="e">
        <f>VLOOKUP(Tabela1316171819[[#This Row],[DT]],Aprovados!A:A,1,0)</f>
        <v>#N/A</v>
      </c>
      <c r="Q429" s="16"/>
      <c r="R429" s="16"/>
      <c r="S429" s="16"/>
      <c r="T429" s="9"/>
      <c r="U429" s="1" t="s">
        <v>315</v>
      </c>
      <c r="V429" s="11"/>
      <c r="W429" s="232"/>
      <c r="X429" s="304"/>
    </row>
    <row r="430" spans="1:24" ht="15.75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205" t="s">
        <v>315</v>
      </c>
      <c r="L430" s="1" t="s">
        <v>315</v>
      </c>
      <c r="M430" s="9"/>
      <c r="N430" s="14">
        <f>Tabela1316171819[[#This Row],[Valor_recibo]]</f>
        <v>0</v>
      </c>
      <c r="O430" s="16"/>
      <c r="P430" s="1" t="e">
        <f>VLOOKUP(Tabela1316171819[[#This Row],[DT]],Aprovados!A:A,1,0)</f>
        <v>#N/A</v>
      </c>
      <c r="Q430" s="16"/>
      <c r="R430" s="16"/>
      <c r="S430" s="16"/>
      <c r="T430" s="9"/>
      <c r="U430" s="1" t="s">
        <v>315</v>
      </c>
      <c r="V430" s="11"/>
      <c r="W430" s="232"/>
      <c r="X430" s="304"/>
    </row>
    <row r="431" spans="1:24" ht="15.75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205" t="s">
        <v>315</v>
      </c>
      <c r="L431" s="1" t="s">
        <v>315</v>
      </c>
      <c r="M431" s="9"/>
      <c r="N431" s="14">
        <f>Tabela1316171819[[#This Row],[Valor_recibo]]</f>
        <v>0</v>
      </c>
      <c r="O431" s="16"/>
      <c r="P431" s="1" t="e">
        <f>VLOOKUP(Tabela1316171819[[#This Row],[DT]],Aprovados!A:A,1,0)</f>
        <v>#N/A</v>
      </c>
      <c r="Q431" s="16"/>
      <c r="R431" s="16"/>
      <c r="S431" s="16"/>
      <c r="T431" s="9"/>
      <c r="U431" s="1" t="s">
        <v>315</v>
      </c>
      <c r="V431" s="11"/>
      <c r="W431" s="232"/>
      <c r="X431" s="304"/>
    </row>
    <row r="432" spans="1:24" ht="15.75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205" t="s">
        <v>315</v>
      </c>
      <c r="L432" s="1" t="s">
        <v>315</v>
      </c>
      <c r="M432" s="9"/>
      <c r="N432" s="14">
        <f>Tabela1316171819[[#This Row],[Valor_recibo]]</f>
        <v>0</v>
      </c>
      <c r="O432" s="16"/>
      <c r="P432" s="1" t="e">
        <f>VLOOKUP(Tabela1316171819[[#This Row],[DT]],Aprovados!A:A,1,0)</f>
        <v>#N/A</v>
      </c>
      <c r="Q432" s="16"/>
      <c r="R432" s="16"/>
      <c r="S432" s="16"/>
      <c r="T432" s="9"/>
      <c r="U432" s="1" t="s">
        <v>315</v>
      </c>
      <c r="V432" s="11"/>
      <c r="W432" s="232"/>
      <c r="X432" s="304"/>
    </row>
    <row r="433" spans="1:24" ht="15.75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205" t="s">
        <v>315</v>
      </c>
      <c r="L433" s="1" t="s">
        <v>315</v>
      </c>
      <c r="M433" s="9"/>
      <c r="N433" s="14">
        <f>Tabela1316171819[[#This Row],[Valor_recibo]]</f>
        <v>0</v>
      </c>
      <c r="O433" s="16"/>
      <c r="P433" s="1" t="e">
        <f>VLOOKUP(Tabela1316171819[[#This Row],[DT]],Aprovados!A:A,1,0)</f>
        <v>#N/A</v>
      </c>
      <c r="Q433" s="16"/>
      <c r="R433" s="16"/>
      <c r="S433" s="16"/>
      <c r="T433" s="9"/>
      <c r="U433" s="1" t="s">
        <v>315</v>
      </c>
      <c r="V433" s="11"/>
      <c r="W433" s="232"/>
      <c r="X433" s="304"/>
    </row>
    <row r="434" spans="1:24" ht="15.75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205" t="s">
        <v>315</v>
      </c>
      <c r="L434" s="1" t="s">
        <v>315</v>
      </c>
      <c r="M434" s="9"/>
      <c r="N434" s="14">
        <f>Tabela1316171819[[#This Row],[Valor_recibo]]</f>
        <v>0</v>
      </c>
      <c r="O434" s="16"/>
      <c r="P434" s="1" t="e">
        <f>VLOOKUP(Tabela1316171819[[#This Row],[DT]],Aprovados!A:A,1,0)</f>
        <v>#N/A</v>
      </c>
      <c r="Q434" s="16"/>
      <c r="R434" s="16"/>
      <c r="S434" s="16"/>
      <c r="T434" s="9"/>
      <c r="U434" s="1" t="s">
        <v>315</v>
      </c>
      <c r="V434" s="11"/>
      <c r="W434" s="232"/>
      <c r="X434" s="304"/>
    </row>
    <row r="435" spans="1:24" ht="15.75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205" t="s">
        <v>315</v>
      </c>
      <c r="L435" s="1" t="s">
        <v>315</v>
      </c>
      <c r="M435" s="9"/>
      <c r="N435" s="14">
        <f>Tabela1316171819[[#This Row],[Valor_recibo]]</f>
        <v>0</v>
      </c>
      <c r="O435" s="16"/>
      <c r="P435" s="1" t="e">
        <f>VLOOKUP(Tabela1316171819[[#This Row],[DT]],Aprovados!A:A,1,0)</f>
        <v>#N/A</v>
      </c>
      <c r="Q435" s="16"/>
      <c r="R435" s="16"/>
      <c r="S435" s="16"/>
      <c r="T435" s="9"/>
      <c r="U435" s="1" t="s">
        <v>315</v>
      </c>
      <c r="V435" s="11"/>
      <c r="W435" s="232"/>
      <c r="X435" s="304"/>
    </row>
    <row r="436" spans="1:24" ht="15.75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205" t="s">
        <v>315</v>
      </c>
      <c r="L436" s="1" t="s">
        <v>315</v>
      </c>
      <c r="M436" s="9"/>
      <c r="N436" s="14">
        <f>Tabela1316171819[[#This Row],[Valor_recibo]]</f>
        <v>0</v>
      </c>
      <c r="O436" s="16"/>
      <c r="P436" s="1" t="e">
        <f>VLOOKUP(Tabela1316171819[[#This Row],[DT]],Aprovados!A:A,1,0)</f>
        <v>#N/A</v>
      </c>
      <c r="Q436" s="16"/>
      <c r="R436" s="16"/>
      <c r="S436" s="16"/>
      <c r="T436" s="9"/>
      <c r="U436" s="1" t="s">
        <v>315</v>
      </c>
      <c r="V436" s="11"/>
      <c r="W436" s="232"/>
      <c r="X436" s="304"/>
    </row>
    <row r="437" spans="1:24" ht="15.75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205" t="s">
        <v>315</v>
      </c>
      <c r="L437" s="1" t="s">
        <v>315</v>
      </c>
      <c r="M437" s="9"/>
      <c r="N437" s="14">
        <f>Tabela1316171819[[#This Row],[Valor_recibo]]</f>
        <v>0</v>
      </c>
      <c r="O437" s="16"/>
      <c r="P437" s="1" t="e">
        <f>VLOOKUP(Tabela1316171819[[#This Row],[DT]],Aprovados!A:A,1,0)</f>
        <v>#N/A</v>
      </c>
      <c r="Q437" s="16"/>
      <c r="R437" s="16"/>
      <c r="S437" s="16"/>
      <c r="T437" s="9"/>
      <c r="U437" s="1" t="s">
        <v>315</v>
      </c>
      <c r="V437" s="11"/>
      <c r="W437" s="232"/>
      <c r="X437" s="304"/>
    </row>
    <row r="438" spans="1:24" ht="15.75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205" t="s">
        <v>315</v>
      </c>
      <c r="L438" s="1" t="s">
        <v>315</v>
      </c>
      <c r="M438" s="9"/>
      <c r="N438" s="14">
        <f>Tabela1316171819[[#This Row],[Valor_recibo]]</f>
        <v>0</v>
      </c>
      <c r="O438" s="16"/>
      <c r="P438" s="1" t="e">
        <f>VLOOKUP(Tabela1316171819[[#This Row],[DT]],Aprovados!A:A,1,0)</f>
        <v>#N/A</v>
      </c>
      <c r="Q438" s="16"/>
      <c r="R438" s="16"/>
      <c r="S438" s="16"/>
      <c r="T438" s="9"/>
      <c r="U438" s="1" t="s">
        <v>315</v>
      </c>
      <c r="V438" s="11"/>
      <c r="W438" s="232"/>
      <c r="X438" s="304"/>
    </row>
    <row r="439" spans="1:24" ht="15.75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205" t="s">
        <v>315</v>
      </c>
      <c r="L439" s="1" t="s">
        <v>315</v>
      </c>
      <c r="M439" s="9"/>
      <c r="N439" s="14">
        <f>Tabela1316171819[[#This Row],[Valor_recibo]]</f>
        <v>0</v>
      </c>
      <c r="O439" s="16"/>
      <c r="P439" s="1" t="e">
        <f>VLOOKUP(Tabela1316171819[[#This Row],[DT]],Aprovados!A:A,1,0)</f>
        <v>#N/A</v>
      </c>
      <c r="Q439" s="16"/>
      <c r="R439" s="16"/>
      <c r="S439" s="16"/>
      <c r="T439" s="9"/>
      <c r="U439" s="1" t="s">
        <v>315</v>
      </c>
      <c r="V439" s="11"/>
      <c r="W439" s="232"/>
      <c r="X439" s="304"/>
    </row>
    <row r="440" spans="1:24" ht="15.75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205" t="s">
        <v>315</v>
      </c>
      <c r="L440" s="1" t="s">
        <v>315</v>
      </c>
      <c r="M440" s="9"/>
      <c r="N440" s="14">
        <f>Tabela1316171819[[#This Row],[Valor_recibo]]</f>
        <v>0</v>
      </c>
      <c r="O440" s="16"/>
      <c r="P440" s="1" t="e">
        <f>VLOOKUP(Tabela1316171819[[#This Row],[DT]],Aprovados!A:A,1,0)</f>
        <v>#N/A</v>
      </c>
      <c r="Q440" s="16"/>
      <c r="R440" s="16"/>
      <c r="S440" s="16"/>
      <c r="T440" s="9"/>
      <c r="U440" s="1" t="s">
        <v>315</v>
      </c>
      <c r="V440" s="11"/>
      <c r="W440" s="232"/>
      <c r="X440" s="304"/>
    </row>
    <row r="441" spans="1:24" ht="15.75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205" t="s">
        <v>315</v>
      </c>
      <c r="L441" s="1" t="s">
        <v>315</v>
      </c>
      <c r="M441" s="9"/>
      <c r="N441" s="14">
        <f>Tabela1316171819[[#This Row],[Valor_recibo]]</f>
        <v>0</v>
      </c>
      <c r="O441" s="16"/>
      <c r="P441" s="1" t="e">
        <f>VLOOKUP(Tabela1316171819[[#This Row],[DT]],Aprovados!A:A,1,0)</f>
        <v>#N/A</v>
      </c>
      <c r="Q441" s="16"/>
      <c r="R441" s="16"/>
      <c r="S441" s="16"/>
      <c r="T441" s="9"/>
      <c r="U441" s="1" t="s">
        <v>315</v>
      </c>
      <c r="V441" s="11"/>
      <c r="W441" s="232"/>
      <c r="X441" s="304"/>
    </row>
    <row r="442" spans="1:24" ht="15.75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205" t="s">
        <v>315</v>
      </c>
      <c r="L442" s="1" t="s">
        <v>315</v>
      </c>
      <c r="M442" s="9"/>
      <c r="N442" s="14">
        <f>Tabela1316171819[[#This Row],[Valor_recibo]]</f>
        <v>0</v>
      </c>
      <c r="O442" s="16"/>
      <c r="P442" s="1" t="e">
        <f>VLOOKUP(Tabela1316171819[[#This Row],[DT]],Aprovados!A:A,1,0)</f>
        <v>#N/A</v>
      </c>
      <c r="Q442" s="16"/>
      <c r="R442" s="16"/>
      <c r="S442" s="16"/>
      <c r="T442" s="9"/>
      <c r="U442" s="1" t="s">
        <v>315</v>
      </c>
      <c r="V442" s="11"/>
      <c r="W442" s="232"/>
      <c r="X442" s="304"/>
    </row>
    <row r="443" spans="1:24" ht="15.75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205" t="s">
        <v>315</v>
      </c>
      <c r="L443" s="1" t="s">
        <v>315</v>
      </c>
      <c r="M443" s="9"/>
      <c r="N443" s="14">
        <f>Tabela1316171819[[#This Row],[Valor_recibo]]</f>
        <v>0</v>
      </c>
      <c r="O443" s="16"/>
      <c r="P443" s="1" t="e">
        <f>VLOOKUP(Tabela1316171819[[#This Row],[DT]],Aprovados!A:A,1,0)</f>
        <v>#N/A</v>
      </c>
      <c r="Q443" s="16"/>
      <c r="R443" s="16"/>
      <c r="S443" s="16"/>
      <c r="T443" s="9"/>
      <c r="U443" s="1" t="s">
        <v>315</v>
      </c>
      <c r="V443" s="11"/>
      <c r="W443" s="232"/>
      <c r="X443" s="304"/>
    </row>
    <row r="444" spans="1:24" ht="15.75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205" t="s">
        <v>315</v>
      </c>
      <c r="L444" s="1" t="s">
        <v>315</v>
      </c>
      <c r="M444" s="9"/>
      <c r="N444" s="14">
        <f>Tabela1316171819[[#This Row],[Valor_recibo]]</f>
        <v>0</v>
      </c>
      <c r="O444" s="16"/>
      <c r="P444" s="1" t="e">
        <f>VLOOKUP(Tabela1316171819[[#This Row],[DT]],Aprovados!A:A,1,0)</f>
        <v>#N/A</v>
      </c>
      <c r="Q444" s="16"/>
      <c r="R444" s="16"/>
      <c r="S444" s="16"/>
      <c r="T444" s="9"/>
      <c r="U444" s="1" t="s">
        <v>315</v>
      </c>
      <c r="V444" s="11"/>
      <c r="W444" s="232"/>
      <c r="X444" s="304"/>
    </row>
    <row r="445" spans="1:24" ht="15.75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205" t="s">
        <v>315</v>
      </c>
      <c r="L445" s="1" t="s">
        <v>315</v>
      </c>
      <c r="M445" s="9"/>
      <c r="N445" s="14">
        <f>Tabela1316171819[[#This Row],[Valor_recibo]]</f>
        <v>0</v>
      </c>
      <c r="O445" s="16"/>
      <c r="P445" s="1" t="e">
        <f>VLOOKUP(Tabela1316171819[[#This Row],[DT]],Aprovados!A:A,1,0)</f>
        <v>#N/A</v>
      </c>
      <c r="Q445" s="16"/>
      <c r="R445" s="16"/>
      <c r="S445" s="16"/>
      <c r="T445" s="9"/>
      <c r="U445" s="1" t="s">
        <v>315</v>
      </c>
      <c r="V445" s="11"/>
      <c r="W445" s="232"/>
      <c r="X445" s="304"/>
    </row>
    <row r="446" spans="1:24" ht="15.75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205" t="s">
        <v>315</v>
      </c>
      <c r="L446" s="1" t="s">
        <v>315</v>
      </c>
      <c r="M446" s="9"/>
      <c r="N446" s="14">
        <f>Tabela1316171819[[#This Row],[Valor_recibo]]</f>
        <v>0</v>
      </c>
      <c r="O446" s="16"/>
      <c r="P446" s="1" t="e">
        <f>VLOOKUP(Tabela1316171819[[#This Row],[DT]],Aprovados!A:A,1,0)</f>
        <v>#N/A</v>
      </c>
      <c r="Q446" s="16"/>
      <c r="R446" s="16"/>
      <c r="S446" s="16"/>
      <c r="T446" s="9"/>
      <c r="U446" s="1" t="s">
        <v>315</v>
      </c>
      <c r="V446" s="11"/>
      <c r="W446" s="232"/>
      <c r="X446" s="304"/>
    </row>
    <row r="447" spans="1:24" ht="15.75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205" t="s">
        <v>315</v>
      </c>
      <c r="L447" s="1" t="s">
        <v>315</v>
      </c>
      <c r="M447" s="9"/>
      <c r="N447" s="14">
        <f>Tabela1316171819[[#This Row],[Valor_recibo]]</f>
        <v>0</v>
      </c>
      <c r="O447" s="16"/>
      <c r="P447" s="1" t="e">
        <f>VLOOKUP(Tabela1316171819[[#This Row],[DT]],Aprovados!A:A,1,0)</f>
        <v>#N/A</v>
      </c>
      <c r="Q447" s="16"/>
      <c r="R447" s="16"/>
      <c r="S447" s="16"/>
      <c r="T447" s="9"/>
      <c r="U447" s="1" t="s">
        <v>315</v>
      </c>
      <c r="V447" s="11"/>
      <c r="W447" s="232"/>
      <c r="X447" s="304"/>
    </row>
    <row r="448" spans="1:24" ht="15.75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205" t="s">
        <v>315</v>
      </c>
      <c r="L448" s="1" t="s">
        <v>315</v>
      </c>
      <c r="M448" s="9"/>
      <c r="N448" s="14">
        <f>Tabela1316171819[[#This Row],[Valor_recibo]]</f>
        <v>0</v>
      </c>
      <c r="O448" s="16"/>
      <c r="P448" s="1" t="e">
        <f>VLOOKUP(Tabela1316171819[[#This Row],[DT]],Aprovados!A:A,1,0)</f>
        <v>#N/A</v>
      </c>
      <c r="Q448" s="16"/>
      <c r="R448" s="16"/>
      <c r="S448" s="16"/>
      <c r="T448" s="9"/>
      <c r="U448" s="1" t="s">
        <v>315</v>
      </c>
      <c r="V448" s="11"/>
      <c r="W448" s="232"/>
      <c r="X448" s="304"/>
    </row>
    <row r="449" spans="1:24" ht="15.75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205" t="s">
        <v>315</v>
      </c>
      <c r="L449" s="1" t="s">
        <v>315</v>
      </c>
      <c r="M449" s="9"/>
      <c r="N449" s="14">
        <f>Tabela1316171819[[#This Row],[Valor_recibo]]</f>
        <v>0</v>
      </c>
      <c r="O449" s="16"/>
      <c r="P449" s="1" t="e">
        <f>VLOOKUP(Tabela1316171819[[#This Row],[DT]],Aprovados!A:A,1,0)</f>
        <v>#N/A</v>
      </c>
      <c r="Q449" s="16"/>
      <c r="R449" s="16"/>
      <c r="S449" s="16"/>
      <c r="T449" s="9"/>
      <c r="U449" s="1" t="s">
        <v>315</v>
      </c>
      <c r="V449" s="11"/>
      <c r="W449" s="232"/>
      <c r="X449" s="304"/>
    </row>
    <row r="450" spans="1:24" ht="15.75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205" t="s">
        <v>315</v>
      </c>
      <c r="L450" s="1" t="s">
        <v>315</v>
      </c>
      <c r="M450" s="9"/>
      <c r="N450" s="14">
        <f>Tabela1316171819[[#This Row],[Valor_recibo]]</f>
        <v>0</v>
      </c>
      <c r="O450" s="16"/>
      <c r="P450" s="1" t="e">
        <f>VLOOKUP(Tabela1316171819[[#This Row],[DT]],Aprovados!A:A,1,0)</f>
        <v>#N/A</v>
      </c>
      <c r="Q450" s="16"/>
      <c r="R450" s="16"/>
      <c r="S450" s="16"/>
      <c r="T450" s="9"/>
      <c r="U450" s="1" t="s">
        <v>315</v>
      </c>
      <c r="V450" s="11"/>
      <c r="W450" s="232"/>
      <c r="X450" s="304"/>
    </row>
    <row r="451" spans="1:24" ht="15.75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205" t="s">
        <v>315</v>
      </c>
      <c r="L451" s="1" t="s">
        <v>315</v>
      </c>
      <c r="M451" s="9"/>
      <c r="N451" s="14">
        <f>Tabela1316171819[[#This Row],[Valor_recibo]]</f>
        <v>0</v>
      </c>
      <c r="O451" s="16"/>
      <c r="P451" s="1" t="e">
        <f>VLOOKUP(Tabela1316171819[[#This Row],[DT]],Aprovados!A:A,1,0)</f>
        <v>#N/A</v>
      </c>
      <c r="Q451" s="16"/>
      <c r="R451" s="16"/>
      <c r="S451" s="16"/>
      <c r="T451" s="9"/>
      <c r="U451" s="1" t="s">
        <v>315</v>
      </c>
      <c r="V451" s="11"/>
      <c r="W451" s="232"/>
      <c r="X451" s="304"/>
    </row>
    <row r="452" spans="1:24" ht="15.75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205" t="s">
        <v>315</v>
      </c>
      <c r="L452" s="1" t="s">
        <v>315</v>
      </c>
      <c r="M452" s="9"/>
      <c r="N452" s="14">
        <f>Tabela1316171819[[#This Row],[Valor_recibo]]</f>
        <v>0</v>
      </c>
      <c r="O452" s="16"/>
      <c r="P452" s="1" t="e">
        <f>VLOOKUP(Tabela1316171819[[#This Row],[DT]],Aprovados!A:A,1,0)</f>
        <v>#N/A</v>
      </c>
      <c r="Q452" s="16"/>
      <c r="R452" s="16"/>
      <c r="S452" s="16"/>
      <c r="T452" s="9"/>
      <c r="U452" s="1" t="s">
        <v>315</v>
      </c>
      <c r="V452" s="11"/>
      <c r="W452" s="232"/>
      <c r="X452" s="304"/>
    </row>
    <row r="453" spans="1:24" ht="15.75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205" t="s">
        <v>315</v>
      </c>
      <c r="L453" s="1" t="s">
        <v>315</v>
      </c>
      <c r="M453" s="9"/>
      <c r="N453" s="14">
        <f>Tabela1316171819[[#This Row],[Valor_recibo]]</f>
        <v>0</v>
      </c>
      <c r="O453" s="16"/>
      <c r="P453" s="1" t="e">
        <f>VLOOKUP(Tabela1316171819[[#This Row],[DT]],Aprovados!A:A,1,0)</f>
        <v>#N/A</v>
      </c>
      <c r="Q453" s="16"/>
      <c r="R453" s="16"/>
      <c r="S453" s="16"/>
      <c r="T453" s="9"/>
      <c r="U453" s="1" t="s">
        <v>315</v>
      </c>
      <c r="V453" s="11"/>
      <c r="W453" s="232"/>
      <c r="X453" s="304"/>
    </row>
    <row r="454" spans="1:24" ht="15.75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205" t="s">
        <v>315</v>
      </c>
      <c r="L454" s="1" t="s">
        <v>315</v>
      </c>
      <c r="M454" s="9"/>
      <c r="N454" s="14">
        <f>Tabela1316171819[[#This Row],[Valor_recibo]]</f>
        <v>0</v>
      </c>
      <c r="O454" s="16"/>
      <c r="P454" s="1" t="e">
        <f>VLOOKUP(Tabela1316171819[[#This Row],[DT]],Aprovados!A:A,1,0)</f>
        <v>#N/A</v>
      </c>
      <c r="Q454" s="16"/>
      <c r="R454" s="16"/>
      <c r="S454" s="16"/>
      <c r="T454" s="9"/>
      <c r="U454" s="1" t="s">
        <v>315</v>
      </c>
      <c r="V454" s="11"/>
      <c r="W454" s="232"/>
      <c r="X454" s="304"/>
    </row>
    <row r="455" spans="1:24" ht="15.75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205" t="s">
        <v>315</v>
      </c>
      <c r="L455" s="1" t="s">
        <v>315</v>
      </c>
      <c r="M455" s="9"/>
      <c r="N455" s="14">
        <f>Tabela1316171819[[#This Row],[Valor_recibo]]</f>
        <v>0</v>
      </c>
      <c r="O455" s="16"/>
      <c r="P455" s="1" t="e">
        <f>VLOOKUP(Tabela1316171819[[#This Row],[DT]],Aprovados!A:A,1,0)</f>
        <v>#N/A</v>
      </c>
      <c r="Q455" s="16"/>
      <c r="R455" s="16"/>
      <c r="S455" s="16"/>
      <c r="T455" s="9"/>
      <c r="U455" s="1" t="s">
        <v>315</v>
      </c>
      <c r="V455" s="11"/>
      <c r="W455" s="232"/>
      <c r="X455" s="304"/>
    </row>
    <row r="456" spans="1:24" ht="15.75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205" t="s">
        <v>315</v>
      </c>
      <c r="L456" s="1" t="s">
        <v>315</v>
      </c>
      <c r="M456" s="9"/>
      <c r="N456" s="14">
        <f>Tabela1316171819[[#This Row],[Valor_recibo]]</f>
        <v>0</v>
      </c>
      <c r="O456" s="16"/>
      <c r="P456" s="1" t="e">
        <f>VLOOKUP(Tabela1316171819[[#This Row],[DT]],Aprovados!A:A,1,0)</f>
        <v>#N/A</v>
      </c>
      <c r="Q456" s="16"/>
      <c r="R456" s="16"/>
      <c r="S456" s="16"/>
      <c r="T456" s="9"/>
      <c r="U456" s="1" t="s">
        <v>315</v>
      </c>
      <c r="V456" s="11"/>
      <c r="W456" s="232"/>
      <c r="X456" s="304"/>
    </row>
    <row r="457" spans="1:24" ht="15.75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205" t="s">
        <v>315</v>
      </c>
      <c r="L457" s="1" t="s">
        <v>315</v>
      </c>
      <c r="M457" s="9"/>
      <c r="N457" s="14">
        <f>Tabela1316171819[[#This Row],[Valor_recibo]]</f>
        <v>0</v>
      </c>
      <c r="O457" s="16"/>
      <c r="P457" s="1" t="e">
        <f>VLOOKUP(Tabela1316171819[[#This Row],[DT]],Aprovados!A:A,1,0)</f>
        <v>#N/A</v>
      </c>
      <c r="Q457" s="16"/>
      <c r="R457" s="16"/>
      <c r="S457" s="16"/>
      <c r="T457" s="9"/>
      <c r="U457" s="1" t="s">
        <v>315</v>
      </c>
      <c r="V457" s="11"/>
      <c r="W457" s="232"/>
      <c r="X457" s="304"/>
    </row>
    <row r="458" spans="1:24" ht="15.75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205" t="s">
        <v>315</v>
      </c>
      <c r="L458" s="1" t="s">
        <v>315</v>
      </c>
      <c r="M458" s="9"/>
      <c r="N458" s="14">
        <f>Tabela1316171819[[#This Row],[Valor_recibo]]</f>
        <v>0</v>
      </c>
      <c r="O458" s="16"/>
      <c r="P458" s="1" t="e">
        <f>VLOOKUP(Tabela1316171819[[#This Row],[DT]],Aprovados!A:A,1,0)</f>
        <v>#N/A</v>
      </c>
      <c r="Q458" s="16"/>
      <c r="R458" s="16"/>
      <c r="S458" s="16"/>
      <c r="T458" s="9"/>
      <c r="U458" s="1" t="s">
        <v>315</v>
      </c>
      <c r="V458" s="11"/>
      <c r="W458" s="232"/>
      <c r="X458" s="304"/>
    </row>
    <row r="459" spans="1:24" ht="15.75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205" t="s">
        <v>315</v>
      </c>
      <c r="L459" s="1" t="s">
        <v>315</v>
      </c>
      <c r="M459" s="9"/>
      <c r="N459" s="14">
        <f>Tabela1316171819[[#This Row],[Valor_recibo]]</f>
        <v>0</v>
      </c>
      <c r="O459" s="16"/>
      <c r="P459" s="1" t="e">
        <f>VLOOKUP(Tabela1316171819[[#This Row],[DT]],Aprovados!A:A,1,0)</f>
        <v>#N/A</v>
      </c>
      <c r="Q459" s="16"/>
      <c r="R459" s="16"/>
      <c r="S459" s="16"/>
      <c r="T459" s="9"/>
      <c r="U459" s="1" t="s">
        <v>315</v>
      </c>
      <c r="V459" s="11"/>
      <c r="W459" s="232"/>
      <c r="X459" s="304"/>
    </row>
    <row r="460" spans="1:24" ht="15.75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205" t="s">
        <v>315</v>
      </c>
      <c r="L460" s="1" t="s">
        <v>315</v>
      </c>
      <c r="M460" s="9"/>
      <c r="N460" s="14">
        <f>Tabela1316171819[[#This Row],[Valor_recibo]]</f>
        <v>0</v>
      </c>
      <c r="O460" s="16"/>
      <c r="P460" s="1" t="e">
        <f>VLOOKUP(Tabela1316171819[[#This Row],[DT]],Aprovados!A:A,1,0)</f>
        <v>#N/A</v>
      </c>
      <c r="Q460" s="16"/>
      <c r="R460" s="16"/>
      <c r="S460" s="16"/>
      <c r="T460" s="9"/>
      <c r="U460" s="1" t="s">
        <v>315</v>
      </c>
      <c r="V460" s="11"/>
      <c r="W460" s="232"/>
      <c r="X460" s="304"/>
    </row>
    <row r="461" spans="1:24" ht="15.75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205" t="s">
        <v>315</v>
      </c>
      <c r="L461" s="1" t="s">
        <v>315</v>
      </c>
      <c r="M461" s="9"/>
      <c r="N461" s="14">
        <f>Tabela1316171819[[#This Row],[Valor_recibo]]</f>
        <v>0</v>
      </c>
      <c r="O461" s="16"/>
      <c r="P461" s="1" t="e">
        <f>VLOOKUP(Tabela1316171819[[#This Row],[DT]],Aprovados!A:A,1,0)</f>
        <v>#N/A</v>
      </c>
      <c r="Q461" s="16"/>
      <c r="R461" s="16"/>
      <c r="S461" s="16"/>
      <c r="T461" s="9"/>
      <c r="U461" s="1" t="s">
        <v>315</v>
      </c>
      <c r="V461" s="11"/>
      <c r="W461" s="232"/>
      <c r="X461" s="304"/>
    </row>
    <row r="462" spans="1:24" ht="15.75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205" t="s">
        <v>315</v>
      </c>
      <c r="L462" s="1" t="s">
        <v>315</v>
      </c>
      <c r="M462" s="9"/>
      <c r="N462" s="14">
        <f>Tabela1316171819[[#This Row],[Valor_recibo]]</f>
        <v>0</v>
      </c>
      <c r="O462" s="16"/>
      <c r="P462" s="1" t="e">
        <f>VLOOKUP(Tabela1316171819[[#This Row],[DT]],Aprovados!A:A,1,0)</f>
        <v>#N/A</v>
      </c>
      <c r="Q462" s="16"/>
      <c r="R462" s="16"/>
      <c r="S462" s="16"/>
      <c r="T462" s="9"/>
      <c r="U462" s="1" t="s">
        <v>315</v>
      </c>
      <c r="V462" s="11"/>
      <c r="W462" s="232"/>
      <c r="X462" s="304"/>
    </row>
    <row r="463" spans="1:24" ht="15.75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205" t="s">
        <v>315</v>
      </c>
      <c r="L463" s="1" t="s">
        <v>315</v>
      </c>
      <c r="M463" s="9"/>
      <c r="N463" s="14">
        <f>Tabela1316171819[[#This Row],[Valor_recibo]]</f>
        <v>0</v>
      </c>
      <c r="O463" s="16"/>
      <c r="P463" s="1" t="e">
        <f>VLOOKUP(Tabela1316171819[[#This Row],[DT]],Aprovados!A:A,1,0)</f>
        <v>#N/A</v>
      </c>
      <c r="Q463" s="16"/>
      <c r="R463" s="16"/>
      <c r="S463" s="16"/>
      <c r="T463" s="9"/>
      <c r="U463" s="1" t="s">
        <v>315</v>
      </c>
      <c r="V463" s="11"/>
      <c r="W463" s="232"/>
      <c r="X463" s="304"/>
    </row>
    <row r="464" spans="1:24" ht="15.75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205" t="s">
        <v>315</v>
      </c>
      <c r="L464" s="1" t="s">
        <v>315</v>
      </c>
      <c r="M464" s="9"/>
      <c r="N464" s="14">
        <f>Tabela1316171819[[#This Row],[Valor_recibo]]</f>
        <v>0</v>
      </c>
      <c r="O464" s="16"/>
      <c r="P464" s="1" t="e">
        <f>VLOOKUP(Tabela1316171819[[#This Row],[DT]],Aprovados!A:A,1,0)</f>
        <v>#N/A</v>
      </c>
      <c r="Q464" s="16"/>
      <c r="R464" s="16"/>
      <c r="S464" s="16"/>
      <c r="T464" s="9"/>
      <c r="U464" s="1" t="s">
        <v>315</v>
      </c>
      <c r="V464" s="11"/>
      <c r="W464" s="232"/>
      <c r="X464" s="304"/>
    </row>
    <row r="465" spans="1:24" ht="15.75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205" t="s">
        <v>315</v>
      </c>
      <c r="L465" s="1" t="s">
        <v>315</v>
      </c>
      <c r="M465" s="9"/>
      <c r="N465" s="14">
        <f>Tabela1316171819[[#This Row],[Valor_recibo]]</f>
        <v>0</v>
      </c>
      <c r="O465" s="16"/>
      <c r="P465" s="1" t="e">
        <f>VLOOKUP(Tabela1316171819[[#This Row],[DT]],Aprovados!A:A,1,0)</f>
        <v>#N/A</v>
      </c>
      <c r="Q465" s="16"/>
      <c r="R465" s="16"/>
      <c r="S465" s="16"/>
      <c r="T465" s="9"/>
      <c r="U465" s="1" t="s">
        <v>315</v>
      </c>
      <c r="V465" s="11"/>
      <c r="W465" s="232"/>
      <c r="X465" s="304"/>
    </row>
    <row r="466" spans="1:24" ht="15.75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205" t="s">
        <v>315</v>
      </c>
      <c r="L466" s="1" t="s">
        <v>315</v>
      </c>
      <c r="M466" s="9"/>
      <c r="N466" s="14">
        <f>Tabela1316171819[[#This Row],[Valor_recibo]]</f>
        <v>0</v>
      </c>
      <c r="O466" s="16"/>
      <c r="P466" s="1" t="e">
        <f>VLOOKUP(Tabela1316171819[[#This Row],[DT]],Aprovados!A:A,1,0)</f>
        <v>#N/A</v>
      </c>
      <c r="Q466" s="16"/>
      <c r="R466" s="16"/>
      <c r="S466" s="16"/>
      <c r="T466" s="9"/>
      <c r="U466" s="1"/>
      <c r="V466" s="11"/>
      <c r="W466" s="232"/>
      <c r="X466" s="304"/>
    </row>
    <row r="467" spans="1:24" ht="15.75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205" t="s">
        <v>315</v>
      </c>
      <c r="L467" s="1" t="s">
        <v>315</v>
      </c>
      <c r="M467" s="9"/>
      <c r="N467" s="14">
        <f>Tabela1316171819[[#This Row],[Valor_recibo]]</f>
        <v>0</v>
      </c>
      <c r="O467" s="16"/>
      <c r="P467" s="1" t="e">
        <f>VLOOKUP(Tabela1316171819[[#This Row],[DT]],Aprovados!A:A,1,0)</f>
        <v>#N/A</v>
      </c>
      <c r="Q467" s="16"/>
      <c r="R467" s="16"/>
      <c r="S467" s="16"/>
      <c r="T467" s="9"/>
      <c r="U467" s="1"/>
      <c r="V467" s="11"/>
      <c r="W467" s="232"/>
      <c r="X467" s="304"/>
    </row>
    <row r="468" spans="1:24" ht="15.75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205" t="s">
        <v>315</v>
      </c>
      <c r="L468" s="1" t="s">
        <v>315</v>
      </c>
      <c r="M468" s="9"/>
      <c r="N468" s="14">
        <f>Tabela1316171819[[#This Row],[Valor_recibo]]</f>
        <v>0</v>
      </c>
      <c r="O468" s="16"/>
      <c r="P468" s="1" t="e">
        <f>VLOOKUP(Tabela1316171819[[#This Row],[DT]],Aprovados!A:A,1,0)</f>
        <v>#N/A</v>
      </c>
      <c r="Q468" s="16"/>
      <c r="R468" s="16"/>
      <c r="S468" s="16"/>
      <c r="T468" s="9"/>
      <c r="U468" s="1"/>
      <c r="V468" s="11"/>
      <c r="W468" s="232"/>
      <c r="X468" s="304"/>
    </row>
    <row r="469" spans="1:24" ht="15.75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205" t="s">
        <v>315</v>
      </c>
      <c r="L469" s="1" t="s">
        <v>315</v>
      </c>
      <c r="M469" s="9"/>
      <c r="N469" s="14">
        <f>Tabela1316171819[[#This Row],[Valor_recibo]]</f>
        <v>0</v>
      </c>
      <c r="O469" s="16"/>
      <c r="P469" s="1" t="e">
        <f>VLOOKUP(Tabela1316171819[[#This Row],[DT]],Aprovados!A:A,1,0)</f>
        <v>#N/A</v>
      </c>
      <c r="Q469" s="16"/>
      <c r="R469" s="16"/>
      <c r="S469" s="16"/>
      <c r="T469" s="9"/>
      <c r="U469" s="1"/>
      <c r="V469" s="11"/>
      <c r="W469" s="232"/>
      <c r="X469" s="304"/>
    </row>
    <row r="470" spans="1:24" ht="15.75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205" t="s">
        <v>315</v>
      </c>
      <c r="L470" s="1" t="s">
        <v>315</v>
      </c>
      <c r="M470" s="9"/>
      <c r="N470" s="14">
        <f>Tabela1316171819[[#This Row],[Valor_recibo]]</f>
        <v>0</v>
      </c>
      <c r="O470" s="16"/>
      <c r="P470" s="1" t="e">
        <f>VLOOKUP(Tabela1316171819[[#This Row],[DT]],Aprovados!A:A,1,0)</f>
        <v>#N/A</v>
      </c>
      <c r="Q470" s="16"/>
      <c r="R470" s="16"/>
      <c r="S470" s="16"/>
      <c r="T470" s="9"/>
      <c r="U470" s="1"/>
      <c r="V470" s="11"/>
      <c r="W470" s="232"/>
      <c r="X470" s="304"/>
    </row>
    <row r="471" spans="1:24" ht="15.75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205" t="s">
        <v>315</v>
      </c>
      <c r="L471" s="1" t="s">
        <v>315</v>
      </c>
      <c r="M471" s="9"/>
      <c r="N471" s="14">
        <f>Tabela1316171819[[#This Row],[Valor_recibo]]</f>
        <v>0</v>
      </c>
      <c r="O471" s="16"/>
      <c r="P471" s="1" t="e">
        <f>VLOOKUP(Tabela1316171819[[#This Row],[DT]],Aprovados!A:A,1,0)</f>
        <v>#N/A</v>
      </c>
      <c r="Q471" s="16"/>
      <c r="R471" s="16"/>
      <c r="S471" s="16"/>
      <c r="T471" s="9"/>
      <c r="U471" s="1"/>
      <c r="V471" s="11"/>
      <c r="W471" s="232"/>
      <c r="X471" s="304"/>
    </row>
    <row r="472" spans="1:24" ht="15.75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205" t="s">
        <v>315</v>
      </c>
      <c r="L472" s="1" t="s">
        <v>315</v>
      </c>
      <c r="M472" s="9"/>
      <c r="N472" s="14">
        <f>Tabela1316171819[[#This Row],[Valor_recibo]]</f>
        <v>0</v>
      </c>
      <c r="O472" s="16"/>
      <c r="P472" s="1" t="e">
        <f>VLOOKUP(Tabela1316171819[[#This Row],[DT]],Aprovados!A:A,1,0)</f>
        <v>#N/A</v>
      </c>
      <c r="Q472" s="16"/>
      <c r="R472" s="16"/>
      <c r="S472" s="16"/>
      <c r="T472" s="9"/>
      <c r="U472" s="1"/>
      <c r="V472" s="11"/>
      <c r="W472" s="232"/>
      <c r="X472" s="304"/>
    </row>
    <row r="473" spans="1:24" ht="15.75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205" t="s">
        <v>315</v>
      </c>
      <c r="L473" s="1" t="s">
        <v>315</v>
      </c>
      <c r="M473" s="9"/>
      <c r="N473" s="14">
        <f>Tabela1316171819[[#This Row],[Valor_recibo]]</f>
        <v>0</v>
      </c>
      <c r="O473" s="16"/>
      <c r="P473" s="1" t="e">
        <f>VLOOKUP(Tabela1316171819[[#This Row],[DT]],Aprovados!A:A,1,0)</f>
        <v>#N/A</v>
      </c>
      <c r="Q473" s="16"/>
      <c r="R473" s="16"/>
      <c r="S473" s="16"/>
      <c r="T473" s="9"/>
      <c r="U473" s="1"/>
      <c r="V473" s="11"/>
      <c r="W473" s="232"/>
      <c r="X473" s="304"/>
    </row>
    <row r="474" spans="1:24" ht="15.75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205" t="s">
        <v>315</v>
      </c>
      <c r="L474" s="1" t="s">
        <v>315</v>
      </c>
      <c r="M474" s="9"/>
      <c r="N474" s="14">
        <f>Tabela1316171819[[#This Row],[Valor_recibo]]</f>
        <v>0</v>
      </c>
      <c r="O474" s="16"/>
      <c r="P474" s="1" t="e">
        <f>VLOOKUP(Tabela1316171819[[#This Row],[DT]],Aprovados!A:A,1,0)</f>
        <v>#N/A</v>
      </c>
      <c r="Q474" s="16"/>
      <c r="R474" s="16"/>
      <c r="S474" s="16"/>
      <c r="T474" s="9"/>
      <c r="U474" s="1"/>
      <c r="V474" s="11"/>
      <c r="W474" s="232"/>
      <c r="X474" s="304"/>
    </row>
    <row r="475" spans="1:24" ht="15.75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205" t="s">
        <v>315</v>
      </c>
      <c r="L475" s="1" t="s">
        <v>315</v>
      </c>
      <c r="M475" s="9"/>
      <c r="N475" s="14">
        <f>Tabela1316171819[[#This Row],[Valor_recibo]]</f>
        <v>0</v>
      </c>
      <c r="O475" s="16"/>
      <c r="P475" s="1" t="e">
        <f>VLOOKUP(Tabela1316171819[[#This Row],[DT]],Aprovados!A:A,1,0)</f>
        <v>#N/A</v>
      </c>
      <c r="Q475" s="16"/>
      <c r="R475" s="16"/>
      <c r="S475" s="16"/>
      <c r="T475" s="9"/>
      <c r="U475" s="1"/>
      <c r="V475" s="11"/>
      <c r="W475" s="232"/>
      <c r="X475" s="304"/>
    </row>
    <row r="476" spans="1:24" ht="15.75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205" t="s">
        <v>315</v>
      </c>
      <c r="L476" s="1" t="s">
        <v>315</v>
      </c>
      <c r="M476" s="9"/>
      <c r="N476" s="14">
        <f>Tabela1316171819[[#This Row],[Valor_recibo]]</f>
        <v>0</v>
      </c>
      <c r="O476" s="16"/>
      <c r="P476" s="1" t="e">
        <f>VLOOKUP(Tabela1316171819[[#This Row],[DT]],Aprovados!A:A,1,0)</f>
        <v>#N/A</v>
      </c>
      <c r="Q476" s="16"/>
      <c r="R476" s="16"/>
      <c r="S476" s="16"/>
      <c r="T476" s="9"/>
      <c r="U476" s="1"/>
      <c r="V476" s="11"/>
      <c r="W476" s="232"/>
      <c r="X476" s="304"/>
    </row>
    <row r="477" spans="1:24" ht="15.75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205" t="s">
        <v>315</v>
      </c>
      <c r="L477" s="1" t="s">
        <v>315</v>
      </c>
      <c r="M477" s="9"/>
      <c r="N477" s="14">
        <f>Tabela1316171819[[#This Row],[Valor_recibo]]</f>
        <v>0</v>
      </c>
      <c r="O477" s="16"/>
      <c r="P477" s="1" t="e">
        <f>VLOOKUP(Tabela1316171819[[#This Row],[DT]],Aprovados!A:A,1,0)</f>
        <v>#N/A</v>
      </c>
      <c r="Q477" s="16"/>
      <c r="R477" s="16"/>
      <c r="S477" s="16"/>
      <c r="T477" s="9"/>
      <c r="U477" s="1"/>
      <c r="V477" s="11"/>
      <c r="W477" s="232"/>
      <c r="X477" s="304"/>
    </row>
    <row r="478" spans="1:24" ht="15.75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205" t="s">
        <v>315</v>
      </c>
      <c r="L478" s="1" t="s">
        <v>315</v>
      </c>
      <c r="M478" s="9"/>
      <c r="N478" s="14">
        <f>Tabela1316171819[[#This Row],[Valor_recibo]]</f>
        <v>0</v>
      </c>
      <c r="O478" s="16"/>
      <c r="P478" s="1" t="e">
        <f>VLOOKUP(Tabela1316171819[[#This Row],[DT]],Aprovados!A:A,1,0)</f>
        <v>#N/A</v>
      </c>
      <c r="Q478" s="16"/>
      <c r="R478" s="16"/>
      <c r="S478" s="16"/>
      <c r="T478" s="9"/>
      <c r="U478" s="1"/>
      <c r="V478" s="11"/>
      <c r="W478" s="232"/>
      <c r="X478" s="304"/>
    </row>
    <row r="479" spans="1:24" ht="15.75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205" t="s">
        <v>315</v>
      </c>
      <c r="L479" s="1" t="s">
        <v>315</v>
      </c>
      <c r="M479" s="9"/>
      <c r="N479" s="14">
        <f>Tabela1316171819[[#This Row],[Valor_recibo]]</f>
        <v>0</v>
      </c>
      <c r="O479" s="16"/>
      <c r="P479" s="1" t="e">
        <f>VLOOKUP(Tabela1316171819[[#This Row],[DT]],Aprovados!A:A,1,0)</f>
        <v>#N/A</v>
      </c>
      <c r="Q479" s="16"/>
      <c r="R479" s="16"/>
      <c r="S479" s="16"/>
      <c r="T479" s="9"/>
      <c r="U479" s="1"/>
      <c r="V479" s="11"/>
      <c r="W479" s="232"/>
      <c r="X479" s="304"/>
    </row>
    <row r="480" spans="1:24" ht="15.75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205" t="s">
        <v>315</v>
      </c>
      <c r="L480" s="1" t="s">
        <v>315</v>
      </c>
      <c r="M480" s="9"/>
      <c r="N480" s="14">
        <f>Tabela1316171819[[#This Row],[Valor_recibo]]</f>
        <v>0</v>
      </c>
      <c r="O480" s="16"/>
      <c r="P480" s="1" t="e">
        <f>VLOOKUP(Tabela1316171819[[#This Row],[DT]],Aprovados!A:A,1,0)</f>
        <v>#N/A</v>
      </c>
      <c r="Q480" s="16"/>
      <c r="R480" s="16"/>
      <c r="S480" s="16"/>
      <c r="T480" s="9"/>
      <c r="U480" s="1"/>
      <c r="V480" s="11"/>
      <c r="W480" s="232"/>
      <c r="X480" s="304"/>
    </row>
    <row r="481" spans="1:24" ht="15.75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205" t="s">
        <v>315</v>
      </c>
      <c r="L481" s="1" t="s">
        <v>315</v>
      </c>
      <c r="M481" s="9"/>
      <c r="N481" s="14">
        <f>Tabela1316171819[[#This Row],[Valor_recibo]]</f>
        <v>0</v>
      </c>
      <c r="O481" s="16"/>
      <c r="P481" s="1" t="e">
        <f>VLOOKUP(Tabela1316171819[[#This Row],[DT]],Aprovados!A:A,1,0)</f>
        <v>#N/A</v>
      </c>
      <c r="Q481" s="16"/>
      <c r="R481" s="16"/>
      <c r="S481" s="16"/>
      <c r="T481" s="9"/>
      <c r="U481" s="1"/>
      <c r="V481" s="11"/>
      <c r="W481" s="232"/>
      <c r="X481" s="304"/>
    </row>
    <row r="482" spans="1:24" ht="15.75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205" t="s">
        <v>315</v>
      </c>
      <c r="L482" s="1" t="s">
        <v>315</v>
      </c>
      <c r="M482" s="9"/>
      <c r="N482" s="14">
        <f>Tabela1316171819[[#This Row],[Valor_recibo]]</f>
        <v>0</v>
      </c>
      <c r="O482" s="16"/>
      <c r="P482" s="1" t="e">
        <f>VLOOKUP(Tabela1316171819[[#This Row],[DT]],Aprovados!A:A,1,0)</f>
        <v>#N/A</v>
      </c>
      <c r="Q482" s="16"/>
      <c r="R482" s="16"/>
      <c r="S482" s="16"/>
      <c r="T482" s="9"/>
      <c r="U482" s="1"/>
      <c r="V482" s="11"/>
      <c r="W482" s="232"/>
      <c r="X482" s="304"/>
    </row>
    <row r="483" spans="1:24" ht="15.75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205" t="s">
        <v>315</v>
      </c>
      <c r="L483" s="1" t="s">
        <v>315</v>
      </c>
      <c r="M483" s="9"/>
      <c r="N483" s="14">
        <f>Tabela1316171819[[#This Row],[Valor_recibo]]</f>
        <v>0</v>
      </c>
      <c r="O483" s="16"/>
      <c r="P483" s="1" t="e">
        <f>VLOOKUP(Tabela1316171819[[#This Row],[DT]],Aprovados!A:A,1,0)</f>
        <v>#N/A</v>
      </c>
      <c r="Q483" s="16"/>
      <c r="R483" s="16"/>
      <c r="S483" s="16"/>
      <c r="T483" s="9"/>
      <c r="U483" s="1"/>
      <c r="V483" s="11"/>
      <c r="W483" s="232"/>
      <c r="X483" s="304"/>
    </row>
    <row r="484" spans="1:24" ht="15.75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205" t="s">
        <v>315</v>
      </c>
      <c r="L484" s="1" t="s">
        <v>315</v>
      </c>
      <c r="M484" s="9"/>
      <c r="N484" s="14">
        <f>Tabela1316171819[[#This Row],[Valor_recibo]]</f>
        <v>0</v>
      </c>
      <c r="O484" s="16"/>
      <c r="P484" s="1" t="e">
        <f>VLOOKUP(Tabela1316171819[[#This Row],[DT]],Aprovados!A:A,1,0)</f>
        <v>#N/A</v>
      </c>
      <c r="Q484" s="16"/>
      <c r="R484" s="16"/>
      <c r="S484" s="16"/>
      <c r="T484" s="9"/>
      <c r="U484" s="1"/>
      <c r="V484" s="11"/>
      <c r="W484" s="232"/>
      <c r="X484" s="304"/>
    </row>
    <row r="485" spans="1:24" ht="15.75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205" t="s">
        <v>315</v>
      </c>
      <c r="L485" s="1" t="s">
        <v>315</v>
      </c>
      <c r="M485" s="9"/>
      <c r="N485" s="14">
        <f>Tabela1316171819[[#This Row],[Valor_recibo]]</f>
        <v>0</v>
      </c>
      <c r="O485" s="16"/>
      <c r="P485" s="1" t="e">
        <f>VLOOKUP(Tabela1316171819[[#This Row],[DT]],Aprovados!A:A,1,0)</f>
        <v>#N/A</v>
      </c>
      <c r="Q485" s="16"/>
      <c r="R485" s="16"/>
      <c r="S485" s="16"/>
      <c r="T485" s="9"/>
      <c r="U485" s="1"/>
      <c r="V485" s="11"/>
      <c r="W485" s="232"/>
      <c r="X485" s="304"/>
    </row>
    <row r="486" spans="1:24" ht="15.75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205" t="s">
        <v>315</v>
      </c>
      <c r="L486" s="1" t="s">
        <v>315</v>
      </c>
      <c r="M486" s="9"/>
      <c r="N486" s="14">
        <f>Tabela1316171819[[#This Row],[Valor_recibo]]</f>
        <v>0</v>
      </c>
      <c r="O486" s="16"/>
      <c r="P486" s="1" t="e">
        <f>VLOOKUP(Tabela1316171819[[#This Row],[DT]],Aprovados!A:A,1,0)</f>
        <v>#N/A</v>
      </c>
      <c r="Q486" s="16"/>
      <c r="R486" s="16"/>
      <c r="S486" s="16"/>
      <c r="T486" s="9"/>
      <c r="U486" s="1"/>
      <c r="V486" s="11"/>
      <c r="W486" s="232"/>
      <c r="X486" s="304"/>
    </row>
    <row r="487" spans="1:24" ht="15.75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205" t="s">
        <v>315</v>
      </c>
      <c r="L487" s="1" t="s">
        <v>315</v>
      </c>
      <c r="M487" s="9"/>
      <c r="N487" s="14">
        <f>Tabela1316171819[[#This Row],[Valor_recibo]]</f>
        <v>0</v>
      </c>
      <c r="O487" s="16"/>
      <c r="P487" s="1" t="e">
        <f>VLOOKUP(Tabela1316171819[[#This Row],[DT]],Aprovados!A:A,1,0)</f>
        <v>#N/A</v>
      </c>
      <c r="Q487" s="16"/>
      <c r="R487" s="16"/>
      <c r="S487" s="16"/>
      <c r="T487" s="9"/>
      <c r="U487" s="1"/>
      <c r="V487" s="11"/>
      <c r="W487" s="232"/>
      <c r="X487" s="304"/>
    </row>
    <row r="488" spans="1:24" ht="15.75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205" t="s">
        <v>315</v>
      </c>
      <c r="L488" s="1" t="s">
        <v>315</v>
      </c>
      <c r="M488" s="9"/>
      <c r="N488" s="14">
        <f>Tabela1316171819[[#This Row],[Valor_recibo]]</f>
        <v>0</v>
      </c>
      <c r="O488" s="16"/>
      <c r="P488" s="1" t="e">
        <f>VLOOKUP(Tabela1316171819[[#This Row],[DT]],Aprovados!A:A,1,0)</f>
        <v>#N/A</v>
      </c>
      <c r="Q488" s="16"/>
      <c r="R488" s="16"/>
      <c r="S488" s="16"/>
      <c r="T488" s="9"/>
      <c r="U488" s="1"/>
      <c r="V488" s="11"/>
      <c r="W488" s="232"/>
      <c r="X488" s="304"/>
    </row>
    <row r="489" spans="1:24" ht="15.75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205" t="s">
        <v>315</v>
      </c>
      <c r="L489" s="1" t="s">
        <v>315</v>
      </c>
      <c r="M489" s="9"/>
      <c r="N489" s="14">
        <f>Tabela1316171819[[#This Row],[Valor_recibo]]</f>
        <v>0</v>
      </c>
      <c r="O489" s="16"/>
      <c r="P489" s="1" t="e">
        <f>VLOOKUP(Tabela1316171819[[#This Row],[DT]],Aprovados!A:A,1,0)</f>
        <v>#N/A</v>
      </c>
      <c r="Q489" s="16"/>
      <c r="R489" s="16"/>
      <c r="S489" s="16"/>
      <c r="T489" s="9"/>
      <c r="U489" s="1"/>
      <c r="V489" s="11"/>
      <c r="W489" s="232"/>
      <c r="X489" s="304"/>
    </row>
    <row r="490" spans="1:24" ht="15.75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205" t="s">
        <v>315</v>
      </c>
      <c r="L490" s="1" t="s">
        <v>315</v>
      </c>
      <c r="M490" s="9"/>
      <c r="N490" s="14">
        <f>Tabela1316171819[[#This Row],[Valor_recibo]]</f>
        <v>0</v>
      </c>
      <c r="O490" s="16"/>
      <c r="P490" s="1" t="e">
        <f>VLOOKUP(Tabela1316171819[[#This Row],[DT]],Aprovados!A:A,1,0)</f>
        <v>#N/A</v>
      </c>
      <c r="Q490" s="16"/>
      <c r="R490" s="16"/>
      <c r="S490" s="16"/>
      <c r="T490" s="9"/>
      <c r="U490" s="1"/>
      <c r="V490" s="11"/>
      <c r="W490" s="232"/>
      <c r="X490" s="304"/>
    </row>
    <row r="491" spans="1:24" ht="15.75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205" t="s">
        <v>315</v>
      </c>
      <c r="L491" s="1" t="s">
        <v>315</v>
      </c>
      <c r="M491" s="9"/>
      <c r="N491" s="14">
        <f>Tabela1316171819[[#This Row],[Valor_recibo]]</f>
        <v>0</v>
      </c>
      <c r="O491" s="16"/>
      <c r="P491" s="1" t="e">
        <f>VLOOKUP(Tabela1316171819[[#This Row],[DT]],Aprovados!A:A,1,0)</f>
        <v>#N/A</v>
      </c>
      <c r="Q491" s="16"/>
      <c r="R491" s="16"/>
      <c r="S491" s="16"/>
      <c r="T491" s="9"/>
      <c r="U491" s="1"/>
      <c r="V491" s="11"/>
      <c r="W491" s="232"/>
      <c r="X491" s="304"/>
    </row>
    <row r="492" spans="1:24" ht="15.75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205" t="s">
        <v>315</v>
      </c>
      <c r="L492" s="1" t="s">
        <v>315</v>
      </c>
      <c r="M492" s="9"/>
      <c r="N492" s="14">
        <f>Tabela1316171819[[#This Row],[Valor_recibo]]</f>
        <v>0</v>
      </c>
      <c r="O492" s="16"/>
      <c r="P492" s="1" t="e">
        <f>VLOOKUP(Tabela1316171819[[#This Row],[DT]],Aprovados!A:A,1,0)</f>
        <v>#N/A</v>
      </c>
      <c r="Q492" s="16"/>
      <c r="R492" s="16"/>
      <c r="S492" s="16"/>
      <c r="T492" s="9"/>
      <c r="U492" s="1"/>
      <c r="V492" s="11"/>
      <c r="W492" s="232"/>
      <c r="X492" s="304"/>
    </row>
    <row r="493" spans="1:24" ht="15.75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205" t="s">
        <v>315</v>
      </c>
      <c r="L493" s="1" t="s">
        <v>315</v>
      </c>
      <c r="M493" s="9"/>
      <c r="N493" s="14">
        <f>Tabela1316171819[[#This Row],[Valor_recibo]]</f>
        <v>0</v>
      </c>
      <c r="O493" s="16"/>
      <c r="P493" s="1" t="e">
        <f>VLOOKUP(Tabela1316171819[[#This Row],[DT]],Aprovados!A:A,1,0)</f>
        <v>#N/A</v>
      </c>
      <c r="Q493" s="16"/>
      <c r="R493" s="16"/>
      <c r="S493" s="16"/>
      <c r="T493" s="9"/>
      <c r="U493" s="1"/>
      <c r="V493" s="11"/>
      <c r="W493" s="232"/>
      <c r="X493" s="304"/>
    </row>
    <row r="494" spans="1:24" ht="15.75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205" t="s">
        <v>315</v>
      </c>
      <c r="L494" s="1" t="s">
        <v>315</v>
      </c>
      <c r="M494" s="9"/>
      <c r="N494" s="14">
        <f>Tabela1316171819[[#This Row],[Valor_recibo]]</f>
        <v>0</v>
      </c>
      <c r="O494" s="16"/>
      <c r="P494" s="1" t="e">
        <f>VLOOKUP(Tabela1316171819[[#This Row],[DT]],Aprovados!A:A,1,0)</f>
        <v>#N/A</v>
      </c>
      <c r="Q494" s="16"/>
      <c r="R494" s="16"/>
      <c r="S494" s="16"/>
      <c r="T494" s="9"/>
      <c r="U494" s="1"/>
      <c r="V494" s="11"/>
      <c r="W494" s="232"/>
      <c r="X494" s="304"/>
    </row>
    <row r="495" spans="1:24" ht="15.75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205" t="s">
        <v>315</v>
      </c>
      <c r="L495" s="1" t="s">
        <v>315</v>
      </c>
      <c r="M495" s="9"/>
      <c r="N495" s="14">
        <f>Tabela1316171819[[#This Row],[Valor_recibo]]</f>
        <v>0</v>
      </c>
      <c r="O495" s="16"/>
      <c r="P495" s="1" t="e">
        <f>VLOOKUP(Tabela1316171819[[#This Row],[DT]],Aprovados!A:A,1,0)</f>
        <v>#N/A</v>
      </c>
      <c r="Q495" s="16"/>
      <c r="R495" s="16"/>
      <c r="S495" s="16"/>
      <c r="T495" s="9"/>
      <c r="U495" s="1"/>
      <c r="V495" s="11"/>
      <c r="W495" s="232"/>
      <c r="X495" s="304"/>
    </row>
    <row r="496" spans="1:24" ht="15.75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205" t="s">
        <v>315</v>
      </c>
      <c r="L496" s="1" t="s">
        <v>315</v>
      </c>
      <c r="M496" s="9"/>
      <c r="N496" s="14">
        <f>Tabela1316171819[[#This Row],[Valor_recibo]]</f>
        <v>0</v>
      </c>
      <c r="O496" s="16"/>
      <c r="P496" s="1" t="e">
        <f>VLOOKUP(Tabela1316171819[[#This Row],[DT]],Aprovados!A:A,1,0)</f>
        <v>#N/A</v>
      </c>
      <c r="Q496" s="16"/>
      <c r="R496" s="16"/>
      <c r="S496" s="16"/>
      <c r="T496" s="9"/>
      <c r="U496" s="1"/>
      <c r="V496" s="11"/>
      <c r="W496" s="232"/>
      <c r="X496" s="304"/>
    </row>
    <row r="497" spans="1:24" ht="15.75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205" t="s">
        <v>315</v>
      </c>
      <c r="L497" s="1" t="s">
        <v>315</v>
      </c>
      <c r="M497" s="9"/>
      <c r="N497" s="14">
        <f>Tabela1316171819[[#This Row],[Valor_recibo]]</f>
        <v>0</v>
      </c>
      <c r="O497" s="16"/>
      <c r="P497" s="1" t="e">
        <f>VLOOKUP(Tabela1316171819[[#This Row],[DT]],Aprovados!A:A,1,0)</f>
        <v>#N/A</v>
      </c>
      <c r="Q497" s="16"/>
      <c r="R497" s="16"/>
      <c r="S497" s="16"/>
      <c r="T497" s="9"/>
      <c r="U497" s="1"/>
      <c r="V497" s="11"/>
      <c r="W497" s="232"/>
      <c r="X497" s="304"/>
    </row>
    <row r="498" spans="1:24" ht="15.75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205" t="s">
        <v>315</v>
      </c>
      <c r="L498" s="1" t="s">
        <v>315</v>
      </c>
      <c r="M498" s="9"/>
      <c r="N498" s="14">
        <f>Tabela1316171819[[#This Row],[Valor_recibo]]</f>
        <v>0</v>
      </c>
      <c r="O498" s="16"/>
      <c r="P498" s="1" t="e">
        <f>VLOOKUP(Tabela1316171819[[#This Row],[DT]],Aprovados!A:A,1,0)</f>
        <v>#N/A</v>
      </c>
      <c r="Q498" s="16"/>
      <c r="R498" s="16"/>
      <c r="S498" s="16"/>
      <c r="T498" s="9"/>
      <c r="U498" s="1"/>
      <c r="V498" s="11"/>
      <c r="W498" s="232"/>
      <c r="X498" s="304"/>
    </row>
    <row r="499" spans="1:24" ht="15.75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205" t="s">
        <v>315</v>
      </c>
      <c r="L499" s="1" t="s">
        <v>315</v>
      </c>
      <c r="M499" s="9"/>
      <c r="N499" s="14">
        <f>Tabela1316171819[[#This Row],[Valor_recibo]]</f>
        <v>0</v>
      </c>
      <c r="O499" s="16"/>
      <c r="P499" s="1" t="e">
        <f>VLOOKUP(Tabela1316171819[[#This Row],[DT]],Aprovados!A:A,1,0)</f>
        <v>#N/A</v>
      </c>
      <c r="Q499" s="16"/>
      <c r="R499" s="16"/>
      <c r="S499" s="16"/>
      <c r="T499" s="9"/>
      <c r="U499" s="1"/>
      <c r="V499" s="11"/>
      <c r="W499" s="232"/>
      <c r="X499" s="304"/>
    </row>
    <row r="500" spans="1:24" ht="15.75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205" t="s">
        <v>315</v>
      </c>
      <c r="L500" s="1" t="s">
        <v>315</v>
      </c>
      <c r="M500" s="9"/>
      <c r="N500" s="14">
        <f>Tabela1316171819[[#This Row],[Valor_recibo]]</f>
        <v>0</v>
      </c>
      <c r="O500" s="16"/>
      <c r="P500" s="1" t="e">
        <f>VLOOKUP(Tabela1316171819[[#This Row],[DT]],Aprovados!A:A,1,0)</f>
        <v>#N/A</v>
      </c>
      <c r="Q500" s="16"/>
      <c r="R500" s="16"/>
      <c r="S500" s="16"/>
      <c r="T500" s="9"/>
      <c r="U500" s="1"/>
      <c r="V500" s="11"/>
      <c r="W500" s="232"/>
      <c r="X500" s="304"/>
    </row>
    <row r="501" spans="1:24" ht="15.75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205" t="s">
        <v>315</v>
      </c>
      <c r="L501" s="1" t="s">
        <v>315</v>
      </c>
      <c r="M501" s="9"/>
      <c r="N501" s="14">
        <f>Tabela1316171819[[#This Row],[Valor_recibo]]</f>
        <v>0</v>
      </c>
      <c r="O501" s="16"/>
      <c r="P501" s="1" t="e">
        <f>VLOOKUP(Tabela1316171819[[#This Row],[DT]],Aprovados!A:A,1,0)</f>
        <v>#N/A</v>
      </c>
      <c r="Q501" s="16"/>
      <c r="R501" s="16"/>
      <c r="S501" s="16"/>
      <c r="T501" s="9"/>
      <c r="U501" s="1"/>
      <c r="V501" s="11"/>
      <c r="W501" s="232"/>
      <c r="X501" s="304"/>
    </row>
    <row r="502" spans="1:24" ht="15.75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205" t="s">
        <v>315</v>
      </c>
      <c r="L502" s="1" t="s">
        <v>315</v>
      </c>
      <c r="M502" s="9"/>
      <c r="N502" s="14">
        <f>Tabela1316171819[[#This Row],[Valor_recibo]]</f>
        <v>0</v>
      </c>
      <c r="O502" s="16"/>
      <c r="P502" s="1" t="e">
        <f>VLOOKUP(Tabela1316171819[[#This Row],[DT]],Aprovados!A:A,1,0)</f>
        <v>#N/A</v>
      </c>
      <c r="Q502" s="16"/>
      <c r="R502" s="16"/>
      <c r="S502" s="16"/>
      <c r="T502" s="9"/>
      <c r="U502" s="1"/>
      <c r="V502" s="11"/>
      <c r="W502" s="232"/>
      <c r="X502" s="304"/>
    </row>
    <row r="503" spans="1:24" ht="15.75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205" t="s">
        <v>315</v>
      </c>
      <c r="L503" s="1" t="s">
        <v>315</v>
      </c>
      <c r="M503" s="9"/>
      <c r="N503" s="14">
        <f>Tabela1316171819[[#This Row],[Valor_recibo]]</f>
        <v>0</v>
      </c>
      <c r="O503" s="16"/>
      <c r="P503" s="1" t="e">
        <f>VLOOKUP(Tabela1316171819[[#This Row],[DT]],Aprovados!A:A,1,0)</f>
        <v>#N/A</v>
      </c>
      <c r="Q503" s="16"/>
      <c r="R503" s="16"/>
      <c r="S503" s="16"/>
      <c r="T503" s="9"/>
      <c r="U503" s="1"/>
      <c r="V503" s="11"/>
      <c r="W503" s="232"/>
      <c r="X503" s="304"/>
    </row>
    <row r="504" spans="1:24" ht="15.75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205" t="s">
        <v>315</v>
      </c>
      <c r="L504" s="1" t="s">
        <v>315</v>
      </c>
      <c r="M504" s="9"/>
      <c r="N504" s="14">
        <f>Tabela1316171819[[#This Row],[Valor_recibo]]</f>
        <v>0</v>
      </c>
      <c r="O504" s="16"/>
      <c r="P504" s="1" t="e">
        <f>VLOOKUP(Tabela1316171819[[#This Row],[DT]],Aprovados!A:A,1,0)</f>
        <v>#N/A</v>
      </c>
      <c r="Q504" s="16"/>
      <c r="R504" s="16"/>
      <c r="S504" s="16"/>
      <c r="T504" s="9"/>
      <c r="U504" s="1"/>
      <c r="V504" s="11"/>
      <c r="W504" s="232"/>
      <c r="X504" s="304"/>
    </row>
    <row r="505" spans="1:24" ht="15.75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205" t="s">
        <v>315</v>
      </c>
      <c r="L505" s="1" t="s">
        <v>315</v>
      </c>
      <c r="M505" s="9"/>
      <c r="N505" s="14">
        <f>Tabela1316171819[[#This Row],[Valor_recibo]]</f>
        <v>0</v>
      </c>
      <c r="O505" s="16"/>
      <c r="P505" s="1" t="e">
        <f>VLOOKUP(Tabela1316171819[[#This Row],[DT]],Aprovados!A:A,1,0)</f>
        <v>#N/A</v>
      </c>
      <c r="Q505" s="16"/>
      <c r="R505" s="16"/>
      <c r="S505" s="16"/>
      <c r="T505" s="9"/>
      <c r="U505" s="1"/>
      <c r="V505" s="11"/>
      <c r="W505" s="232"/>
      <c r="X505" s="304"/>
    </row>
    <row r="506" spans="1:24" ht="15.75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205" t="s">
        <v>315</v>
      </c>
      <c r="L506" s="1" t="s">
        <v>315</v>
      </c>
      <c r="M506" s="9"/>
      <c r="N506" s="14">
        <f>Tabela1316171819[[#This Row],[Valor_recibo]]</f>
        <v>0</v>
      </c>
      <c r="O506" s="16"/>
      <c r="P506" s="1" t="e">
        <f>VLOOKUP(Tabela1316171819[[#This Row],[DT]],Aprovados!A:A,1,0)</f>
        <v>#N/A</v>
      </c>
      <c r="Q506" s="16"/>
      <c r="R506" s="16"/>
      <c r="S506" s="16"/>
      <c r="T506" s="9"/>
      <c r="U506" s="1"/>
      <c r="V506" s="11"/>
      <c r="W506" s="232"/>
      <c r="X506" s="304"/>
    </row>
    <row r="507" spans="1:24" ht="15.75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205" t="s">
        <v>315</v>
      </c>
      <c r="L507" s="1" t="s">
        <v>315</v>
      </c>
      <c r="M507" s="9"/>
      <c r="N507" s="14">
        <f>Tabela1316171819[[#This Row],[Valor_recibo]]</f>
        <v>0</v>
      </c>
      <c r="O507" s="16"/>
      <c r="P507" s="1" t="e">
        <f>VLOOKUP(Tabela1316171819[[#This Row],[DT]],Aprovados!A:A,1,0)</f>
        <v>#N/A</v>
      </c>
      <c r="Q507" s="16"/>
      <c r="R507" s="16"/>
      <c r="S507" s="16"/>
      <c r="T507" s="9"/>
      <c r="U507" s="1"/>
      <c r="V507" s="11"/>
      <c r="W507" s="232"/>
      <c r="X507" s="304"/>
    </row>
    <row r="508" spans="1:24" ht="15.75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205" t="s">
        <v>315</v>
      </c>
      <c r="L508" s="1" t="s">
        <v>315</v>
      </c>
      <c r="M508" s="9"/>
      <c r="N508" s="14">
        <f>Tabela1316171819[[#This Row],[Valor_recibo]]</f>
        <v>0</v>
      </c>
      <c r="O508" s="16"/>
      <c r="P508" s="1" t="e">
        <f>VLOOKUP(Tabela1316171819[[#This Row],[DT]],Aprovados!A:A,1,0)</f>
        <v>#N/A</v>
      </c>
      <c r="Q508" s="16"/>
      <c r="R508" s="16"/>
      <c r="S508" s="16"/>
      <c r="T508" s="9"/>
      <c r="U508" s="1"/>
      <c r="V508" s="11"/>
      <c r="W508" s="232"/>
      <c r="X508" s="304"/>
    </row>
    <row r="509" spans="1:24" ht="15.75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205" t="s">
        <v>315</v>
      </c>
      <c r="L509" s="1" t="s">
        <v>315</v>
      </c>
      <c r="M509" s="9"/>
      <c r="N509" s="14">
        <f>Tabela1316171819[[#This Row],[Valor_recibo]]</f>
        <v>0</v>
      </c>
      <c r="O509" s="16"/>
      <c r="P509" s="1" t="e">
        <f>VLOOKUP(Tabela1316171819[[#This Row],[DT]],Aprovados!A:A,1,0)</f>
        <v>#N/A</v>
      </c>
      <c r="Q509" s="16"/>
      <c r="R509" s="16"/>
      <c r="S509" s="16"/>
      <c r="T509" s="9"/>
      <c r="U509" s="1"/>
      <c r="V509" s="11"/>
      <c r="W509" s="232"/>
      <c r="X509" s="304"/>
    </row>
    <row r="510" spans="1:24" ht="15.75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205" t="s">
        <v>315</v>
      </c>
      <c r="L510" s="1" t="s">
        <v>315</v>
      </c>
      <c r="M510" s="9"/>
      <c r="N510" s="14">
        <f>Tabela1316171819[[#This Row],[Valor_recibo]]</f>
        <v>0</v>
      </c>
      <c r="O510" s="16"/>
      <c r="P510" s="1" t="e">
        <f>VLOOKUP(Tabela1316171819[[#This Row],[DT]],Aprovados!A:A,1,0)</f>
        <v>#N/A</v>
      </c>
      <c r="Q510" s="16"/>
      <c r="R510" s="16"/>
      <c r="S510" s="16"/>
      <c r="T510" s="9"/>
      <c r="U510" s="1"/>
      <c r="V510" s="11"/>
      <c r="W510" s="232"/>
      <c r="X510" s="304"/>
    </row>
    <row r="511" spans="1:24" ht="15.75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205" t="s">
        <v>315</v>
      </c>
      <c r="L511" s="1" t="s">
        <v>315</v>
      </c>
      <c r="M511" s="9"/>
      <c r="N511" s="14">
        <f>Tabela1316171819[[#This Row],[Valor_recibo]]</f>
        <v>0</v>
      </c>
      <c r="O511" s="16"/>
      <c r="P511" s="1" t="e">
        <f>VLOOKUP(Tabela1316171819[[#This Row],[DT]],Aprovados!A:A,1,0)</f>
        <v>#N/A</v>
      </c>
      <c r="Q511" s="16"/>
      <c r="R511" s="16"/>
      <c r="S511" s="16"/>
      <c r="T511" s="9"/>
      <c r="U511" s="1"/>
      <c r="V511" s="11"/>
      <c r="W511" s="232"/>
      <c r="X511" s="304"/>
    </row>
    <row r="512" spans="1:24" ht="15.75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205" t="s">
        <v>315</v>
      </c>
      <c r="L512" s="1" t="s">
        <v>315</v>
      </c>
      <c r="M512" s="9"/>
      <c r="N512" s="14">
        <f>Tabela1316171819[[#This Row],[Valor_recibo]]</f>
        <v>0</v>
      </c>
      <c r="O512" s="16"/>
      <c r="P512" s="1" t="e">
        <f>VLOOKUP(Tabela1316171819[[#This Row],[DT]],Aprovados!A:A,1,0)</f>
        <v>#N/A</v>
      </c>
      <c r="Q512" s="16"/>
      <c r="R512" s="16"/>
      <c r="S512" s="16"/>
      <c r="T512" s="9"/>
      <c r="U512" s="1"/>
      <c r="V512" s="11"/>
      <c r="W512" s="232"/>
      <c r="X512" s="304"/>
    </row>
    <row r="513" spans="1:24" ht="15.75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205" t="s">
        <v>315</v>
      </c>
      <c r="L513" s="1" t="s">
        <v>315</v>
      </c>
      <c r="M513" s="9"/>
      <c r="N513" s="14">
        <f>Tabela1316171819[[#This Row],[Valor_recibo]]</f>
        <v>0</v>
      </c>
      <c r="O513" s="16"/>
      <c r="P513" s="1" t="e">
        <f>VLOOKUP(Tabela1316171819[[#This Row],[DT]],Aprovados!A:A,1,0)</f>
        <v>#N/A</v>
      </c>
      <c r="Q513" s="16"/>
      <c r="R513" s="16"/>
      <c r="S513" s="16"/>
      <c r="T513" s="9"/>
      <c r="U513" s="1"/>
      <c r="V513" s="11"/>
      <c r="W513" s="232"/>
      <c r="X513" s="304"/>
    </row>
    <row r="514" spans="1:24" ht="15.75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205" t="s">
        <v>315</v>
      </c>
      <c r="L514" s="1" t="s">
        <v>315</v>
      </c>
      <c r="M514" s="9"/>
      <c r="N514" s="14">
        <f>Tabela1316171819[[#This Row],[Valor_recibo]]</f>
        <v>0</v>
      </c>
      <c r="O514" s="16"/>
      <c r="P514" s="1" t="e">
        <f>VLOOKUP(Tabela1316171819[[#This Row],[DT]],Aprovados!A:A,1,0)</f>
        <v>#N/A</v>
      </c>
      <c r="Q514" s="16"/>
      <c r="R514" s="16"/>
      <c r="S514" s="16"/>
      <c r="T514" s="9"/>
      <c r="U514" s="1"/>
      <c r="V514" s="11"/>
      <c r="W514" s="232"/>
      <c r="X514" s="304"/>
    </row>
    <row r="515" spans="1:24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1"/>
      <c r="L515" s="1"/>
      <c r="M515" s="9"/>
      <c r="N515" s="14">
        <f>Tabela1316171819[[#This Row],[Valor_recibo]]</f>
        <v>0</v>
      </c>
      <c r="O515" s="16"/>
      <c r="P515" s="1" t="e">
        <f>VLOOKUP(Tabela1316171819[[#This Row],[DT]],Aprovados!A:A,1,0)</f>
        <v>#N/A</v>
      </c>
      <c r="Q515" s="16"/>
      <c r="R515" s="16"/>
      <c r="S515" s="16"/>
      <c r="T515" s="9"/>
      <c r="U515" s="1"/>
      <c r="V515" s="11"/>
      <c r="W515" s="232"/>
      <c r="X515" s="304"/>
    </row>
    <row r="516" spans="1:24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1"/>
      <c r="L516" s="1"/>
      <c r="M516" s="9"/>
      <c r="N516" s="14">
        <f>Tabela1316171819[[#This Row],[Valor_recibo]]</f>
        <v>0</v>
      </c>
      <c r="O516" s="16"/>
      <c r="P516" s="1" t="e">
        <f>VLOOKUP(Tabela1316171819[[#This Row],[DT]],Aprovados!A:A,1,0)</f>
        <v>#N/A</v>
      </c>
      <c r="Q516" s="16"/>
      <c r="R516" s="16"/>
      <c r="S516" s="16"/>
      <c r="T516" s="9"/>
      <c r="U516" s="1"/>
      <c r="V516" s="11"/>
      <c r="W516" s="232"/>
      <c r="X516" s="304"/>
    </row>
    <row r="517" spans="1:24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1"/>
      <c r="L517" s="1"/>
      <c r="M517" s="9"/>
      <c r="N517" s="14">
        <f>Tabela1316171819[[#This Row],[Valor_recibo]]</f>
        <v>0</v>
      </c>
      <c r="O517" s="16"/>
      <c r="P517" s="1" t="e">
        <f>VLOOKUP(Tabela1316171819[[#This Row],[DT]],Aprovados!A:A,1,0)</f>
        <v>#N/A</v>
      </c>
      <c r="Q517" s="16"/>
      <c r="R517" s="16"/>
      <c r="S517" s="16"/>
      <c r="T517" s="9"/>
      <c r="U517" s="1"/>
      <c r="V517" s="11"/>
      <c r="W517" s="232"/>
      <c r="X517" s="304"/>
    </row>
    <row r="518" spans="1:24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1"/>
      <c r="L518" s="1"/>
      <c r="M518" s="9"/>
      <c r="N518" s="14">
        <f>Tabela1316171819[[#This Row],[Valor_recibo]]</f>
        <v>0</v>
      </c>
      <c r="O518" s="16"/>
      <c r="P518" s="1" t="e">
        <f>VLOOKUP(Tabela1316171819[[#This Row],[DT]],Aprovados!A:A,1,0)</f>
        <v>#N/A</v>
      </c>
      <c r="Q518" s="16"/>
      <c r="R518" s="16"/>
      <c r="S518" s="16"/>
      <c r="T518" s="9"/>
      <c r="U518" s="1"/>
      <c r="V518" s="11"/>
      <c r="W518" s="232"/>
      <c r="X518" s="304"/>
    </row>
    <row r="519" spans="1:24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1"/>
      <c r="L519" s="1"/>
      <c r="M519" s="9"/>
      <c r="N519" s="14">
        <f>Tabela1316171819[[#This Row],[Valor_recibo]]</f>
        <v>0</v>
      </c>
      <c r="O519" s="16"/>
      <c r="P519" s="1" t="e">
        <f>VLOOKUP(Tabela1316171819[[#This Row],[DT]],Aprovados!A:A,1,0)</f>
        <v>#N/A</v>
      </c>
      <c r="Q519" s="16"/>
      <c r="R519" s="16"/>
      <c r="S519" s="16"/>
      <c r="T519" s="9"/>
      <c r="U519" s="1"/>
      <c r="V519" s="11"/>
      <c r="W519" s="232"/>
      <c r="X519" s="304"/>
    </row>
    <row r="520" spans="1:24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1"/>
      <c r="L520" s="1"/>
      <c r="M520" s="9"/>
      <c r="N520" s="14">
        <f>Tabela1316171819[[#This Row],[Valor_recibo]]</f>
        <v>0</v>
      </c>
      <c r="O520" s="16"/>
      <c r="P520" s="1" t="e">
        <f>VLOOKUP(Tabela1316171819[[#This Row],[DT]],Aprovados!A:A,1,0)</f>
        <v>#N/A</v>
      </c>
      <c r="Q520" s="16"/>
      <c r="R520" s="16"/>
      <c r="S520" s="16"/>
      <c r="T520" s="9"/>
      <c r="U520" s="1"/>
      <c r="V520" s="11"/>
      <c r="W520" s="232"/>
      <c r="X520" s="304"/>
    </row>
    <row r="521" spans="1:24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1"/>
      <c r="L521" s="1"/>
      <c r="M521" s="9"/>
      <c r="N521" s="14">
        <f>Tabela1316171819[[#This Row],[Valor_recibo]]</f>
        <v>0</v>
      </c>
      <c r="O521" s="16"/>
      <c r="P521" s="1" t="e">
        <f>VLOOKUP(Tabela1316171819[[#This Row],[DT]],Aprovados!A:A,1,0)</f>
        <v>#N/A</v>
      </c>
      <c r="Q521" s="16"/>
      <c r="R521" s="16"/>
      <c r="S521" s="16"/>
      <c r="T521" s="9"/>
      <c r="U521" s="1"/>
      <c r="V521" s="11"/>
      <c r="W521" s="232"/>
      <c r="X521" s="304"/>
    </row>
    <row r="522" spans="1:24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1"/>
      <c r="L522" s="1"/>
      <c r="M522" s="9"/>
      <c r="N522" s="14">
        <f>Tabela1316171819[[#This Row],[Valor_recibo]]</f>
        <v>0</v>
      </c>
      <c r="O522" s="16"/>
      <c r="P522" s="1" t="e">
        <f>VLOOKUP(Tabela1316171819[[#This Row],[DT]],Aprovados!A:A,1,0)</f>
        <v>#N/A</v>
      </c>
      <c r="Q522" s="16"/>
      <c r="R522" s="16"/>
      <c r="S522" s="16"/>
      <c r="T522" s="9"/>
      <c r="U522" s="1"/>
      <c r="V522" s="11"/>
      <c r="W522" s="232"/>
      <c r="X522" s="304"/>
    </row>
    <row r="523" spans="1:24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1"/>
      <c r="L523" s="1"/>
      <c r="M523" s="9"/>
      <c r="N523" s="14">
        <f>Tabela1316171819[[#This Row],[Valor_recibo]]</f>
        <v>0</v>
      </c>
      <c r="O523" s="16"/>
      <c r="P523" s="1" t="e">
        <f>VLOOKUP(Tabela1316171819[[#This Row],[DT]],Aprovados!A:A,1,0)</f>
        <v>#N/A</v>
      </c>
      <c r="Q523" s="16"/>
      <c r="R523" s="16"/>
      <c r="S523" s="16"/>
      <c r="T523" s="9"/>
      <c r="U523" s="1"/>
      <c r="V523" s="11"/>
      <c r="W523" s="232"/>
      <c r="X523" s="304"/>
    </row>
    <row r="524" spans="1:24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1"/>
      <c r="L524" s="1"/>
      <c r="M524" s="9"/>
      <c r="N524" s="14">
        <f>Tabela1316171819[[#This Row],[Valor_recibo]]</f>
        <v>0</v>
      </c>
      <c r="O524" s="16"/>
      <c r="P524" s="1" t="e">
        <f>VLOOKUP(Tabela1316171819[[#This Row],[DT]],Aprovados!A:A,1,0)</f>
        <v>#N/A</v>
      </c>
      <c r="Q524" s="16"/>
      <c r="R524" s="16"/>
      <c r="S524" s="16"/>
      <c r="T524" s="9"/>
      <c r="U524" s="1"/>
      <c r="V524" s="11"/>
      <c r="W524" s="232"/>
      <c r="X524" s="304"/>
    </row>
    <row r="525" spans="1:24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1"/>
      <c r="L525" s="1"/>
      <c r="M525" s="9"/>
      <c r="N525" s="14">
        <f>Tabela1316171819[[#This Row],[Valor_recibo]]</f>
        <v>0</v>
      </c>
      <c r="O525" s="16"/>
      <c r="P525" s="1" t="e">
        <f>VLOOKUP(Tabela1316171819[[#This Row],[DT]],Aprovados!A:A,1,0)</f>
        <v>#N/A</v>
      </c>
      <c r="Q525" s="16"/>
      <c r="R525" s="16"/>
      <c r="S525" s="16"/>
      <c r="T525" s="9"/>
      <c r="U525" s="1"/>
      <c r="V525" s="11"/>
      <c r="W525" s="232"/>
      <c r="X525" s="304"/>
    </row>
    <row r="526" spans="1:24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1"/>
      <c r="L526" s="1"/>
      <c r="M526" s="9"/>
      <c r="N526" s="14">
        <f>Tabela1316171819[[#This Row],[Valor_recibo]]</f>
        <v>0</v>
      </c>
      <c r="O526" s="16"/>
      <c r="P526" s="1" t="e">
        <f>VLOOKUP(Tabela1316171819[[#This Row],[DT]],Aprovados!A:A,1,0)</f>
        <v>#N/A</v>
      </c>
      <c r="Q526" s="16"/>
      <c r="R526" s="16"/>
      <c r="S526" s="16"/>
      <c r="T526" s="9"/>
      <c r="U526" s="1"/>
      <c r="V526" s="11"/>
      <c r="W526" s="232"/>
      <c r="X526" s="304"/>
    </row>
    <row r="527" spans="1:24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1"/>
      <c r="L527" s="1"/>
      <c r="M527" s="9"/>
      <c r="N527" s="14">
        <f>Tabela1316171819[[#This Row],[Valor_recibo]]</f>
        <v>0</v>
      </c>
      <c r="O527" s="16"/>
      <c r="P527" s="1" t="e">
        <f>VLOOKUP(Tabela1316171819[[#This Row],[DT]],Aprovados!A:A,1,0)</f>
        <v>#N/A</v>
      </c>
      <c r="Q527" s="16"/>
      <c r="R527" s="16"/>
      <c r="S527" s="16"/>
      <c r="T527" s="9"/>
      <c r="U527" s="1"/>
      <c r="V527" s="11"/>
      <c r="W527" s="232"/>
      <c r="X527" s="304"/>
    </row>
    <row r="528" spans="1:24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1"/>
      <c r="L528" s="1"/>
      <c r="M528" s="9"/>
      <c r="N528" s="14">
        <f>Tabela1316171819[[#This Row],[Valor_recibo]]</f>
        <v>0</v>
      </c>
      <c r="O528" s="16"/>
      <c r="P528" s="1" t="e">
        <f>VLOOKUP(Tabela1316171819[[#This Row],[DT]],Aprovados!A:A,1,0)</f>
        <v>#N/A</v>
      </c>
      <c r="Q528" s="16"/>
      <c r="R528" s="16"/>
      <c r="S528" s="16"/>
      <c r="T528" s="9"/>
      <c r="U528" s="1"/>
      <c r="V528" s="11"/>
      <c r="W528" s="232"/>
      <c r="X528" s="304"/>
    </row>
    <row r="529" spans="1:24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1"/>
      <c r="L529" s="1"/>
      <c r="M529" s="9"/>
      <c r="N529" s="14">
        <f>Tabela1316171819[[#This Row],[Valor_recibo]]</f>
        <v>0</v>
      </c>
      <c r="O529" s="16"/>
      <c r="P529" s="1" t="e">
        <f>VLOOKUP(Tabela1316171819[[#This Row],[DT]],Aprovados!A:A,1,0)</f>
        <v>#N/A</v>
      </c>
      <c r="Q529" s="16"/>
      <c r="R529" s="16"/>
      <c r="S529" s="16"/>
      <c r="T529" s="9"/>
      <c r="U529" s="1"/>
      <c r="V529" s="11"/>
      <c r="W529" s="232"/>
      <c r="X529" s="304"/>
    </row>
    <row r="530" spans="1:24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1"/>
      <c r="L530" s="1"/>
      <c r="M530" s="9"/>
      <c r="N530" s="14">
        <f>Tabela1316171819[[#This Row],[Valor_recibo]]</f>
        <v>0</v>
      </c>
      <c r="O530" s="16"/>
      <c r="P530" s="1" t="e">
        <f>VLOOKUP(Tabela1316171819[[#This Row],[DT]],Aprovados!A:A,1,0)</f>
        <v>#N/A</v>
      </c>
      <c r="Q530" s="16"/>
      <c r="R530" s="16"/>
      <c r="S530" s="16"/>
      <c r="T530" s="9"/>
      <c r="U530" s="1"/>
      <c r="V530" s="11"/>
      <c r="W530" s="232"/>
      <c r="X530" s="304"/>
    </row>
    <row r="531" spans="1:24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1"/>
      <c r="L531" s="1"/>
      <c r="M531" s="9"/>
      <c r="N531" s="14">
        <f>Tabela1316171819[[#This Row],[Valor_recibo]]</f>
        <v>0</v>
      </c>
      <c r="O531" s="16"/>
      <c r="P531" s="1" t="e">
        <f>VLOOKUP(Tabela1316171819[[#This Row],[DT]],Aprovados!A:A,1,0)</f>
        <v>#N/A</v>
      </c>
      <c r="Q531" s="16"/>
      <c r="R531" s="16"/>
      <c r="S531" s="16"/>
      <c r="T531" s="9"/>
      <c r="U531" s="1"/>
      <c r="V531" s="11"/>
      <c r="W531" s="232"/>
      <c r="X531" s="304"/>
    </row>
    <row r="532" spans="1:24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1"/>
      <c r="L532" s="1"/>
      <c r="M532" s="9"/>
      <c r="N532" s="14">
        <f>Tabela1316171819[[#This Row],[Valor_recibo]]</f>
        <v>0</v>
      </c>
      <c r="O532" s="16"/>
      <c r="P532" s="1" t="e">
        <f>VLOOKUP(Tabela1316171819[[#This Row],[DT]],Aprovados!A:A,1,0)</f>
        <v>#N/A</v>
      </c>
      <c r="Q532" s="16"/>
      <c r="R532" s="16"/>
      <c r="S532" s="16"/>
      <c r="T532" s="9"/>
      <c r="U532" s="1"/>
      <c r="V532" s="11"/>
      <c r="W532" s="232"/>
      <c r="X532" s="304"/>
    </row>
    <row r="533" spans="1:24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1"/>
      <c r="L533" s="1"/>
      <c r="M533" s="9"/>
      <c r="N533" s="14">
        <f>Tabela1316171819[[#This Row],[Valor_recibo]]</f>
        <v>0</v>
      </c>
      <c r="O533" s="16"/>
      <c r="P533" s="1" t="e">
        <f>VLOOKUP(Tabela1316171819[[#This Row],[DT]],Aprovados!A:A,1,0)</f>
        <v>#N/A</v>
      </c>
      <c r="Q533" s="16"/>
      <c r="R533" s="16"/>
      <c r="S533" s="16"/>
      <c r="T533" s="9"/>
      <c r="U533" s="1"/>
      <c r="V533" s="11"/>
      <c r="W533" s="232"/>
      <c r="X533" s="304"/>
    </row>
    <row r="534" spans="1:24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1"/>
      <c r="L534" s="1"/>
      <c r="M534" s="9"/>
      <c r="N534" s="14">
        <f>Tabela1316171819[[#This Row],[Valor_recibo]]</f>
        <v>0</v>
      </c>
      <c r="O534" s="16"/>
      <c r="P534" s="1" t="e">
        <f>VLOOKUP(Tabela1316171819[[#This Row],[DT]],Aprovados!A:A,1,0)</f>
        <v>#N/A</v>
      </c>
      <c r="Q534" s="16"/>
      <c r="R534" s="16"/>
      <c r="S534" s="16"/>
      <c r="T534" s="9"/>
      <c r="U534" s="1"/>
      <c r="V534" s="11"/>
      <c r="W534" s="232"/>
      <c r="X534" s="304"/>
    </row>
    <row r="535" spans="1:24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1"/>
      <c r="L535" s="1"/>
      <c r="M535" s="9"/>
      <c r="N535" s="14">
        <f>Tabela1316171819[[#This Row],[Valor_recibo]]</f>
        <v>0</v>
      </c>
      <c r="O535" s="16"/>
      <c r="P535" s="1" t="e">
        <f>VLOOKUP(Tabela1316171819[[#This Row],[DT]],Aprovados!A:A,1,0)</f>
        <v>#N/A</v>
      </c>
      <c r="Q535" s="16"/>
      <c r="R535" s="16"/>
      <c r="S535" s="16"/>
      <c r="T535" s="9"/>
      <c r="U535" s="1"/>
      <c r="V535" s="11"/>
      <c r="W535" s="232"/>
      <c r="X535" s="304"/>
    </row>
    <row r="536" spans="1:24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1"/>
      <c r="L536" s="1"/>
      <c r="M536" s="9"/>
      <c r="N536" s="14">
        <f>Tabela1316171819[[#This Row],[Valor_recibo]]</f>
        <v>0</v>
      </c>
      <c r="O536" s="16"/>
      <c r="P536" s="1" t="e">
        <f>VLOOKUP(Tabela1316171819[[#This Row],[DT]],Aprovados!A:A,1,0)</f>
        <v>#N/A</v>
      </c>
      <c r="Q536" s="16"/>
      <c r="R536" s="16"/>
      <c r="S536" s="16"/>
      <c r="T536" s="9"/>
      <c r="U536" s="1"/>
      <c r="V536" s="11"/>
      <c r="W536" s="232"/>
      <c r="X536" s="304"/>
    </row>
    <row r="537" spans="1:24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1"/>
      <c r="L537" s="1"/>
      <c r="M537" s="9"/>
      <c r="N537" s="14">
        <f>Tabela1316171819[[#This Row],[Valor_recibo]]</f>
        <v>0</v>
      </c>
      <c r="O537" s="16"/>
      <c r="P537" s="1" t="e">
        <f>VLOOKUP(Tabela1316171819[[#This Row],[DT]],Aprovados!A:A,1,0)</f>
        <v>#N/A</v>
      </c>
      <c r="Q537" s="16"/>
      <c r="R537" s="16"/>
      <c r="S537" s="16"/>
      <c r="T537" s="9"/>
      <c r="U537" s="1"/>
      <c r="V537" s="11"/>
      <c r="W537" s="232"/>
      <c r="X537" s="304"/>
    </row>
    <row r="538" spans="1:24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1"/>
      <c r="L538" s="1"/>
      <c r="M538" s="9"/>
      <c r="N538" s="14">
        <f>Tabela1316171819[[#This Row],[Valor_recibo]]</f>
        <v>0</v>
      </c>
      <c r="O538" s="16"/>
      <c r="P538" s="1" t="e">
        <f>VLOOKUP(Tabela1316171819[[#This Row],[DT]],Aprovados!A:A,1,0)</f>
        <v>#N/A</v>
      </c>
      <c r="Q538" s="16"/>
      <c r="R538" s="16"/>
      <c r="S538" s="16"/>
      <c r="T538" s="9"/>
      <c r="U538" s="1"/>
      <c r="V538" s="11"/>
      <c r="W538" s="232"/>
      <c r="X538" s="304"/>
    </row>
    <row r="539" spans="1:24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1"/>
      <c r="L539" s="1"/>
      <c r="M539" s="9"/>
      <c r="N539" s="14">
        <f>Tabela1316171819[[#This Row],[Valor_recibo]]</f>
        <v>0</v>
      </c>
      <c r="O539" s="16"/>
      <c r="P539" s="1" t="e">
        <f>VLOOKUP(Tabela1316171819[[#This Row],[DT]],Aprovados!A:A,1,0)</f>
        <v>#N/A</v>
      </c>
      <c r="Q539" s="16"/>
      <c r="R539" s="16"/>
      <c r="S539" s="16"/>
      <c r="T539" s="9"/>
      <c r="U539" s="1"/>
      <c r="V539" s="11"/>
      <c r="W539" s="232"/>
      <c r="X539" s="304"/>
    </row>
    <row r="540" spans="1:24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1"/>
      <c r="L540" s="1"/>
      <c r="M540" s="9"/>
      <c r="N540" s="14">
        <f>Tabela1316171819[[#This Row],[Valor_recibo]]</f>
        <v>0</v>
      </c>
      <c r="O540" s="16"/>
      <c r="P540" s="1" t="e">
        <f>VLOOKUP(Tabela1316171819[[#This Row],[DT]],Aprovados!A:A,1,0)</f>
        <v>#N/A</v>
      </c>
      <c r="Q540" s="16"/>
      <c r="R540" s="16"/>
      <c r="S540" s="16"/>
      <c r="T540" s="9"/>
      <c r="U540" s="1"/>
      <c r="V540" s="11"/>
      <c r="W540" s="232"/>
      <c r="X540" s="304"/>
    </row>
    <row r="541" spans="1:24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1"/>
      <c r="L541" s="1"/>
      <c r="M541" s="9"/>
      <c r="N541" s="14">
        <f>Tabela1316171819[[#This Row],[Valor_recibo]]</f>
        <v>0</v>
      </c>
      <c r="O541" s="16"/>
      <c r="P541" s="1" t="e">
        <f>VLOOKUP(Tabela1316171819[[#This Row],[DT]],Aprovados!A:A,1,0)</f>
        <v>#N/A</v>
      </c>
      <c r="Q541" s="16"/>
      <c r="R541" s="16"/>
      <c r="S541" s="16"/>
      <c r="T541" s="9"/>
      <c r="U541" s="1"/>
      <c r="V541" s="11"/>
      <c r="W541" s="232"/>
      <c r="X541" s="304"/>
    </row>
    <row r="542" spans="1:24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1"/>
      <c r="L542" s="1"/>
      <c r="M542" s="9"/>
      <c r="N542" s="14">
        <f>Tabela1316171819[[#This Row],[Valor_recibo]]</f>
        <v>0</v>
      </c>
      <c r="O542" s="16"/>
      <c r="P542" s="1" t="e">
        <f>VLOOKUP(Tabela1316171819[[#This Row],[DT]],Aprovados!A:A,1,0)</f>
        <v>#N/A</v>
      </c>
      <c r="Q542" s="16"/>
      <c r="R542" s="16"/>
      <c r="S542" s="16"/>
      <c r="T542" s="9"/>
      <c r="U542" s="1"/>
      <c r="V542" s="11"/>
      <c r="W542" s="232"/>
      <c r="X542" s="304"/>
    </row>
    <row r="543" spans="1:24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1"/>
      <c r="L543" s="1"/>
      <c r="M543" s="9"/>
      <c r="N543" s="14">
        <f>Tabela1316171819[[#This Row],[Valor_recibo]]</f>
        <v>0</v>
      </c>
      <c r="O543" s="16"/>
      <c r="P543" s="1" t="e">
        <f>VLOOKUP(Tabela1316171819[[#This Row],[DT]],Aprovados!A:A,1,0)</f>
        <v>#N/A</v>
      </c>
      <c r="Q543" s="16"/>
      <c r="R543" s="16"/>
      <c r="S543" s="16"/>
      <c r="T543" s="9"/>
      <c r="U543" s="1"/>
      <c r="V543" s="11"/>
      <c r="W543" s="232"/>
      <c r="X543" s="304"/>
    </row>
    <row r="544" spans="1:24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1"/>
      <c r="L544" s="1"/>
      <c r="M544" s="9"/>
      <c r="N544" s="14">
        <f>Tabela1316171819[[#This Row],[Valor_recibo]]</f>
        <v>0</v>
      </c>
      <c r="O544" s="16"/>
      <c r="P544" s="1" t="e">
        <f>VLOOKUP(Tabela1316171819[[#This Row],[DT]],Aprovados!A:A,1,0)</f>
        <v>#N/A</v>
      </c>
      <c r="Q544" s="16"/>
      <c r="R544" s="16"/>
      <c r="S544" s="16"/>
      <c r="T544" s="9"/>
      <c r="U544" s="1"/>
      <c r="V544" s="11"/>
      <c r="W544" s="232"/>
      <c r="X544" s="304"/>
    </row>
    <row r="545" spans="1:24">
      <c r="A545" s="1"/>
      <c r="B545" s="7"/>
      <c r="C545" s="6"/>
      <c r="D545" s="6"/>
      <c r="E545" s="6"/>
      <c r="F545" s="1"/>
      <c r="G545" s="9"/>
      <c r="H545" s="9"/>
      <c r="I545" s="11"/>
      <c r="J545" s="1"/>
      <c r="K545" s="1"/>
      <c r="L545" s="1"/>
      <c r="M545" s="9"/>
      <c r="N545" s="14">
        <f>Tabela1316171819[[#This Row],[Valor_recibo]]</f>
        <v>0</v>
      </c>
      <c r="O545" s="16"/>
      <c r="P545" s="1" t="e">
        <f>VLOOKUP(Tabela1316171819[[#This Row],[DT]],Aprovados!A:A,1,0)</f>
        <v>#N/A</v>
      </c>
      <c r="Q545" s="16"/>
      <c r="R545" s="16"/>
      <c r="S545" s="16"/>
      <c r="T545" s="9"/>
      <c r="U545" s="1"/>
      <c r="V545" s="11"/>
      <c r="W545" s="232"/>
      <c r="X545" s="304"/>
    </row>
    <row r="546" spans="1:24">
      <c r="A546" s="1"/>
      <c r="B546" s="7"/>
      <c r="C546" s="6"/>
      <c r="D546" s="59"/>
      <c r="E546" s="6"/>
      <c r="F546" s="1"/>
      <c r="G546" s="9"/>
      <c r="H546" s="9"/>
      <c r="I546" s="11"/>
      <c r="J546" s="1"/>
      <c r="K546" s="1"/>
      <c r="L546" s="1"/>
      <c r="M546" s="9"/>
      <c r="N546" s="14">
        <f>Tabela1316171819[[#This Row],[Valor_recibo]]</f>
        <v>0</v>
      </c>
      <c r="O546" s="16"/>
      <c r="P546" s="1" t="e">
        <f>VLOOKUP(Tabela1316171819[[#This Row],[DT]],Aprovados!A:A,1,0)</f>
        <v>#N/A</v>
      </c>
      <c r="Q546" s="16"/>
      <c r="R546" s="16"/>
      <c r="S546" s="16"/>
      <c r="T546" s="9"/>
      <c r="U546" s="1"/>
      <c r="V546" s="11"/>
      <c r="W546" s="232"/>
      <c r="X546" s="304"/>
    </row>
    <row r="547" spans="1:24">
      <c r="A547" s="1"/>
      <c r="B547" s="7"/>
      <c r="C547" s="6"/>
      <c r="D547" s="59"/>
      <c r="E547" s="6"/>
      <c r="F547" s="1"/>
      <c r="G547" s="9"/>
      <c r="H547" s="9"/>
      <c r="I547" s="11"/>
      <c r="J547" s="1"/>
      <c r="K547" s="1"/>
      <c r="L547" s="1"/>
      <c r="M547" s="9"/>
      <c r="N547" s="14">
        <f>Tabela1316171819[[#This Row],[Valor_recibo]]</f>
        <v>0</v>
      </c>
      <c r="O547" s="16"/>
      <c r="P547" s="1" t="e">
        <f>VLOOKUP(Tabela1316171819[[#This Row],[DT]],Aprovados!A:A,1,0)</f>
        <v>#N/A</v>
      </c>
      <c r="Q547" s="16"/>
      <c r="R547" s="16"/>
      <c r="S547" s="16"/>
      <c r="T547" s="9"/>
      <c r="U547" s="1"/>
      <c r="V547" s="11"/>
      <c r="W547" s="232"/>
      <c r="X547" s="304"/>
    </row>
    <row r="548" spans="1:24">
      <c r="A548" s="1"/>
      <c r="B548" s="7"/>
      <c r="C548" s="6"/>
      <c r="D548" s="59"/>
      <c r="E548" s="62"/>
      <c r="F548" s="1"/>
      <c r="G548" s="9"/>
      <c r="H548" s="9"/>
      <c r="I548" s="11"/>
      <c r="J548" s="1"/>
      <c r="K548" s="1"/>
      <c r="L548" s="1"/>
      <c r="M548" s="9"/>
      <c r="N548" s="14">
        <f>Tabela1316171819[[#This Row],[Valor_recibo]]</f>
        <v>0</v>
      </c>
      <c r="O548" s="16"/>
      <c r="P548" s="1" t="e">
        <f>VLOOKUP(Tabela1316171819[[#This Row],[DT]],Aprovados!A:A,1,0)</f>
        <v>#N/A</v>
      </c>
      <c r="Q548" s="16"/>
      <c r="R548" s="16"/>
      <c r="S548" s="16"/>
      <c r="T548" s="9"/>
      <c r="U548" s="1"/>
      <c r="V548" s="11"/>
      <c r="W548" s="232"/>
      <c r="X548" s="304"/>
    </row>
    <row r="549" spans="1:24">
      <c r="A549" s="1"/>
      <c r="B549" s="7"/>
      <c r="C549" s="6"/>
      <c r="D549" s="59"/>
      <c r="E549" s="6"/>
      <c r="F549" s="1"/>
      <c r="G549" s="9"/>
      <c r="H549" s="9"/>
      <c r="I549" s="11"/>
      <c r="J549" s="1"/>
      <c r="K549" s="1"/>
      <c r="L549" s="1"/>
      <c r="M549" s="9"/>
      <c r="N549" s="14">
        <f>Tabela1316171819[[#This Row],[Valor_recibo]]</f>
        <v>0</v>
      </c>
      <c r="O549" s="16"/>
      <c r="P549" s="1" t="e">
        <f>VLOOKUP(Tabela1316171819[[#This Row],[DT]],Aprovados!A:A,1,0)</f>
        <v>#N/A</v>
      </c>
      <c r="Q549" s="16"/>
      <c r="R549" s="16"/>
      <c r="S549" s="16"/>
      <c r="T549" s="9"/>
      <c r="U549" s="1"/>
      <c r="V549" s="11"/>
      <c r="W549" s="232"/>
      <c r="X549" s="304"/>
    </row>
    <row r="550" spans="1:24">
      <c r="A550" s="1"/>
      <c r="B550" s="7"/>
      <c r="C550" s="6"/>
      <c r="D550" s="59"/>
      <c r="E550" s="6"/>
      <c r="F550" s="1"/>
      <c r="G550" s="9"/>
      <c r="H550" s="9"/>
      <c r="I550" s="11"/>
      <c r="J550" s="1"/>
      <c r="K550" s="1"/>
      <c r="L550" s="1"/>
      <c r="M550" s="9"/>
      <c r="N550" s="14">
        <f>Tabela1316171819[[#This Row],[Valor_recibo]]</f>
        <v>0</v>
      </c>
      <c r="O550" s="16"/>
      <c r="P550" s="1" t="e">
        <f>VLOOKUP(Tabela1316171819[[#This Row],[DT]],Aprovados!A:A,1,0)</f>
        <v>#N/A</v>
      </c>
      <c r="Q550" s="16"/>
      <c r="R550" s="16"/>
      <c r="S550" s="16"/>
      <c r="T550" s="9"/>
      <c r="U550" s="1"/>
      <c r="V550" s="11"/>
      <c r="W550" s="232"/>
      <c r="X550" s="304"/>
    </row>
    <row r="551" spans="1:24">
      <c r="A551" s="1"/>
      <c r="B551" s="7"/>
      <c r="C551" s="6"/>
      <c r="D551" s="59"/>
      <c r="E551" s="6"/>
      <c r="F551" s="1"/>
      <c r="G551" s="9"/>
      <c r="H551" s="9"/>
      <c r="I551" s="11"/>
      <c r="J551" s="1"/>
      <c r="K551" s="1"/>
      <c r="L551" s="1"/>
      <c r="M551" s="9"/>
      <c r="N551" s="14">
        <f>Tabela1316171819[[#This Row],[Valor_recibo]]</f>
        <v>0</v>
      </c>
      <c r="O551" s="16"/>
      <c r="P551" s="1" t="e">
        <f>VLOOKUP(Tabela1316171819[[#This Row],[DT]],Aprovados!A:A,1,0)</f>
        <v>#N/A</v>
      </c>
      <c r="Q551" s="16"/>
      <c r="R551" s="16"/>
      <c r="S551" s="16"/>
      <c r="T551" s="9"/>
      <c r="U551" s="1"/>
      <c r="V551" s="11"/>
      <c r="W551" s="232"/>
      <c r="X551" s="304"/>
    </row>
    <row r="552" spans="1:24">
      <c r="A552" s="1"/>
      <c r="B552" s="7"/>
      <c r="C552" s="6"/>
      <c r="D552" s="59"/>
      <c r="E552" s="6"/>
      <c r="F552" s="1"/>
      <c r="G552" s="9"/>
      <c r="H552" s="9"/>
      <c r="I552" s="11"/>
      <c r="J552" s="1"/>
      <c r="K552" s="1"/>
      <c r="L552" s="1"/>
      <c r="M552" s="9"/>
      <c r="N552" s="14">
        <f>Tabela1316171819[[#This Row],[Valor_recibo]]</f>
        <v>0</v>
      </c>
      <c r="O552" s="16"/>
      <c r="P552" s="1" t="e">
        <f>VLOOKUP(Tabela1316171819[[#This Row],[DT]],Aprovados!A:A,1,0)</f>
        <v>#N/A</v>
      </c>
      <c r="Q552" s="16"/>
      <c r="R552" s="16"/>
      <c r="S552" s="16"/>
      <c r="T552" s="9"/>
      <c r="U552" s="1"/>
      <c r="V552" s="11"/>
      <c r="W552" s="232"/>
      <c r="X552" s="304"/>
    </row>
    <row r="553" spans="1:24">
      <c r="A553" s="63"/>
      <c r="B553" s="9"/>
      <c r="C553" s="1"/>
      <c r="F553" s="1"/>
      <c r="G553" s="9"/>
      <c r="H553" s="9"/>
      <c r="I553" s="11"/>
      <c r="J553" s="1"/>
      <c r="K553" s="1"/>
      <c r="L553" s="1"/>
      <c r="M553" s="9"/>
      <c r="N553" s="14">
        <f>Tabela1316171819[[#This Row],[Valor_recibo]]</f>
        <v>0</v>
      </c>
      <c r="O553" s="16"/>
      <c r="P553" s="1" t="e">
        <f>VLOOKUP(Tabela1316171819[[#This Row],[DT]],Aprovados!A:A,1,0)</f>
        <v>#N/A</v>
      </c>
      <c r="Q553" s="16"/>
      <c r="R553" s="16"/>
      <c r="S553" s="16"/>
      <c r="T553" s="9"/>
      <c r="U553" s="1"/>
      <c r="V553" s="11"/>
      <c r="W553" s="232"/>
      <c r="X553" s="304"/>
    </row>
    <row r="554" spans="1:24">
      <c r="A554" s="1"/>
      <c r="B554" s="7"/>
      <c r="C554" s="6"/>
      <c r="D554" s="59"/>
      <c r="E554" s="64"/>
      <c r="F554" s="1"/>
      <c r="G554" s="9"/>
      <c r="H554" s="9"/>
      <c r="I554" s="11"/>
      <c r="J554" s="1"/>
      <c r="K554" s="1"/>
      <c r="L554" s="1"/>
      <c r="M554" s="9"/>
      <c r="N554" s="14">
        <f>Tabela1316171819[[#This Row],[Valor_recibo]]</f>
        <v>0</v>
      </c>
      <c r="O554" s="16"/>
      <c r="P554" s="1" t="e">
        <f>VLOOKUP(Tabela1316171819[[#This Row],[DT]],Aprovados!A:A,1,0)</f>
        <v>#N/A</v>
      </c>
      <c r="Q554" s="16"/>
      <c r="R554" s="16"/>
      <c r="S554" s="16"/>
      <c r="T554" s="9"/>
      <c r="U554" s="1"/>
      <c r="V554" s="11"/>
      <c r="W554" s="232"/>
      <c r="X554" s="304"/>
    </row>
    <row r="555" spans="1:24">
      <c r="A555" s="1"/>
      <c r="B555" s="7"/>
      <c r="C555" s="6"/>
      <c r="D555" s="59"/>
      <c r="E555" s="6"/>
      <c r="F555" s="1"/>
      <c r="G555" s="9"/>
      <c r="H555" s="9"/>
      <c r="I555" s="11"/>
      <c r="J555" s="1"/>
      <c r="K555" s="1"/>
      <c r="L555" s="1"/>
      <c r="M555" s="9"/>
      <c r="N555" s="14">
        <f>Tabela1316171819[[#This Row],[Valor_recibo]]</f>
        <v>0</v>
      </c>
      <c r="O555" s="16"/>
      <c r="P555" s="1" t="e">
        <f>VLOOKUP(Tabela1316171819[[#This Row],[DT]],Aprovados!A:A,1,0)</f>
        <v>#N/A</v>
      </c>
      <c r="Q555" s="16"/>
      <c r="R555" s="16"/>
      <c r="S555" s="16"/>
      <c r="T555" s="9"/>
      <c r="U555" s="1"/>
      <c r="V555" s="11"/>
      <c r="W555" s="232"/>
      <c r="X555" s="304"/>
    </row>
    <row r="556" spans="1:24">
      <c r="A556" s="65"/>
      <c r="B556" s="9"/>
      <c r="C556" s="1"/>
      <c r="F556" s="1"/>
      <c r="G556" s="9"/>
      <c r="H556" s="9"/>
      <c r="I556" s="11"/>
      <c r="J556" s="1"/>
      <c r="K556" s="1"/>
      <c r="L556" s="1"/>
      <c r="M556" s="9"/>
      <c r="N556" s="14">
        <f>Tabela1316171819[[#This Row],[Valor_recibo]]</f>
        <v>0</v>
      </c>
      <c r="O556" s="16"/>
      <c r="P556" s="1" t="e">
        <f>VLOOKUP(Tabela1316171819[[#This Row],[DT]],Aprovados!A:A,1,0)</f>
        <v>#N/A</v>
      </c>
      <c r="Q556" s="16"/>
      <c r="R556" s="16"/>
      <c r="S556" s="16"/>
      <c r="T556" s="9"/>
      <c r="U556" s="1"/>
      <c r="V556" s="11"/>
      <c r="W556" s="232"/>
      <c r="X556" s="304"/>
    </row>
    <row r="557" spans="1:24">
      <c r="A557" s="1"/>
      <c r="B557" s="7"/>
      <c r="C557" s="6"/>
      <c r="D557" s="59"/>
      <c r="E557" s="6"/>
      <c r="F557" s="1"/>
      <c r="G557" s="9"/>
      <c r="H557" s="9"/>
      <c r="I557" s="11"/>
      <c r="J557" s="1"/>
      <c r="K557" s="1"/>
      <c r="L557" s="1"/>
      <c r="M557" s="9"/>
      <c r="N557" s="14">
        <f>Tabela1316171819[[#This Row],[Valor_recibo]]</f>
        <v>0</v>
      </c>
      <c r="O557" s="16"/>
      <c r="P557" s="1" t="e">
        <f>VLOOKUP(Tabela1316171819[[#This Row],[DT]],Aprovados!A:A,1,0)</f>
        <v>#N/A</v>
      </c>
      <c r="Q557" s="16"/>
      <c r="R557" s="16"/>
      <c r="S557" s="16"/>
      <c r="T557" s="9"/>
      <c r="U557" s="1"/>
      <c r="V557" s="11"/>
      <c r="W557" s="232"/>
      <c r="X557" s="304"/>
    </row>
    <row r="558" spans="1:24">
      <c r="A558" s="1"/>
      <c r="B558" s="7"/>
      <c r="C558" s="59"/>
      <c r="D558" s="59"/>
      <c r="E558" s="6"/>
      <c r="F558" s="1"/>
      <c r="G558" s="9"/>
      <c r="H558" s="9"/>
      <c r="I558" s="11"/>
      <c r="J558" s="1"/>
      <c r="K558" s="1"/>
      <c r="L558" s="1"/>
      <c r="M558" s="9"/>
      <c r="N558" s="14">
        <f>Tabela1316171819[[#This Row],[Valor_recibo]]</f>
        <v>0</v>
      </c>
      <c r="O558" s="16"/>
      <c r="P558" s="1" t="e">
        <f>VLOOKUP(Tabela1316171819[[#This Row],[DT]],Aprovados!A:A,1,0)</f>
        <v>#N/A</v>
      </c>
      <c r="Q558" s="16"/>
      <c r="R558" s="16"/>
      <c r="S558" s="16"/>
      <c r="T558" s="9"/>
      <c r="U558" s="1"/>
      <c r="V558" s="11"/>
      <c r="W558" s="232"/>
      <c r="X558" s="304"/>
    </row>
    <row r="559" spans="1:24">
      <c r="A559" s="1"/>
      <c r="B559" s="7"/>
      <c r="C559" s="6"/>
      <c r="D559" s="59"/>
      <c r="E559" s="6"/>
      <c r="F559" s="1"/>
      <c r="G559" s="9"/>
      <c r="H559" s="9"/>
      <c r="I559" s="11"/>
      <c r="J559" s="1"/>
      <c r="K559" s="1"/>
      <c r="L559" s="1"/>
      <c r="M559" s="9"/>
      <c r="N559" s="14">
        <f>Tabela1316171819[[#This Row],[Valor_recibo]]</f>
        <v>0</v>
      </c>
      <c r="O559" s="16"/>
      <c r="P559" s="1" t="e">
        <f>VLOOKUP(Tabela1316171819[[#This Row],[DT]],Aprovados!A:A,1,0)</f>
        <v>#N/A</v>
      </c>
      <c r="Q559" s="16"/>
      <c r="R559" s="16"/>
      <c r="S559" s="16"/>
      <c r="T559" s="9"/>
      <c r="U559" s="1"/>
      <c r="V559" s="11"/>
      <c r="W559" s="232"/>
      <c r="X559" s="304"/>
    </row>
    <row r="560" spans="1:24">
      <c r="A560" s="1"/>
      <c r="B560" s="7"/>
      <c r="C560" s="6"/>
      <c r="D560" s="59"/>
      <c r="E560" s="6"/>
      <c r="F560" s="1"/>
      <c r="G560" s="9"/>
      <c r="H560" s="9"/>
      <c r="I560" s="11"/>
      <c r="J560" s="1"/>
      <c r="K560" s="1"/>
      <c r="L560" s="1"/>
      <c r="M560" s="9"/>
      <c r="N560" s="14">
        <f>Tabela1316171819[[#This Row],[Valor_recibo]]</f>
        <v>0</v>
      </c>
      <c r="O560" s="16"/>
      <c r="P560" s="1" t="e">
        <f>VLOOKUP(Tabela1316171819[[#This Row],[DT]],Aprovados!A:A,1,0)</f>
        <v>#N/A</v>
      </c>
      <c r="Q560" s="16"/>
      <c r="R560" s="16"/>
      <c r="S560" s="16"/>
      <c r="T560" s="9"/>
      <c r="U560" s="1"/>
      <c r="V560" s="11"/>
      <c r="W560" s="232"/>
      <c r="X560" s="304"/>
    </row>
    <row r="561" spans="1:24">
      <c r="A561" s="1"/>
      <c r="B561" s="7"/>
      <c r="C561" s="59"/>
      <c r="D561" s="59"/>
      <c r="E561" s="59"/>
      <c r="F561" s="1"/>
      <c r="G561" s="9"/>
      <c r="H561" s="9"/>
      <c r="I561" s="11"/>
      <c r="J561" s="1"/>
      <c r="K561" s="1"/>
      <c r="L561" s="1"/>
      <c r="M561" s="9"/>
      <c r="N561" s="14">
        <f>Tabela1316171819[[#This Row],[Valor_recibo]]</f>
        <v>0</v>
      </c>
      <c r="O561" s="16"/>
      <c r="P561" s="1" t="e">
        <f>VLOOKUP(Tabela1316171819[[#This Row],[DT]],Aprovados!A:A,1,0)</f>
        <v>#N/A</v>
      </c>
      <c r="Q561" s="16"/>
      <c r="R561" s="16"/>
      <c r="S561" s="16"/>
      <c r="T561" s="9"/>
      <c r="U561" s="1"/>
      <c r="V561" s="11"/>
      <c r="W561" s="232"/>
      <c r="X561" s="304"/>
    </row>
    <row r="562" spans="1:24">
      <c r="A562" s="1"/>
      <c r="B562" s="7"/>
      <c r="C562" s="6"/>
      <c r="D562" s="59"/>
      <c r="E562" s="6"/>
      <c r="F562" s="1"/>
      <c r="G562" s="9"/>
      <c r="H562" s="9"/>
      <c r="I562" s="11"/>
      <c r="J562" s="1"/>
      <c r="K562" s="1"/>
      <c r="L562" s="1"/>
      <c r="M562" s="9"/>
      <c r="N562" s="14">
        <f>Tabela1316171819[[#This Row],[Valor_recibo]]</f>
        <v>0</v>
      </c>
      <c r="O562" s="16"/>
      <c r="P562" s="1" t="e">
        <f>VLOOKUP(Tabela1316171819[[#This Row],[DT]],Aprovados!A:A,1,0)</f>
        <v>#N/A</v>
      </c>
      <c r="Q562" s="16"/>
      <c r="R562" s="16"/>
      <c r="S562" s="16"/>
      <c r="T562" s="9"/>
      <c r="U562" s="1"/>
      <c r="V562" s="11"/>
      <c r="W562" s="232"/>
      <c r="X562" s="304"/>
    </row>
    <row r="563" spans="1:24">
      <c r="A563" s="1"/>
      <c r="B563" s="7"/>
      <c r="C563" s="6"/>
      <c r="D563" s="59"/>
      <c r="E563" s="6"/>
      <c r="F563" s="1"/>
      <c r="G563" s="9"/>
      <c r="H563" s="9"/>
      <c r="I563" s="11"/>
      <c r="J563" s="1"/>
      <c r="K563" s="1"/>
      <c r="L563" s="1"/>
      <c r="M563" s="9"/>
      <c r="N563" s="14">
        <f>Tabela1316171819[[#This Row],[Valor_recibo]]</f>
        <v>0</v>
      </c>
      <c r="O563" s="16"/>
      <c r="P563" s="1" t="e">
        <f>VLOOKUP(Tabela1316171819[[#This Row],[DT]],Aprovados!A:A,1,0)</f>
        <v>#N/A</v>
      </c>
      <c r="Q563" s="16"/>
      <c r="R563" s="16"/>
      <c r="S563" s="16"/>
      <c r="T563" s="9"/>
      <c r="U563" s="1"/>
      <c r="V563" s="11"/>
      <c r="W563" s="232"/>
      <c r="X563" s="304"/>
    </row>
    <row r="564" spans="1:24">
      <c r="A564" s="1"/>
      <c r="B564" s="7"/>
      <c r="C564" s="59"/>
      <c r="D564" s="59"/>
      <c r="E564" s="6"/>
      <c r="F564" s="1"/>
      <c r="G564" s="9"/>
      <c r="H564" s="9"/>
      <c r="I564" s="11"/>
      <c r="J564" s="1"/>
      <c r="K564" s="1"/>
      <c r="L564" s="1"/>
      <c r="M564" s="9"/>
      <c r="N564" s="14">
        <f>Tabela1316171819[[#This Row],[Valor_recibo]]</f>
        <v>0</v>
      </c>
      <c r="O564" s="16"/>
      <c r="P564" s="1" t="e">
        <f>VLOOKUP(Tabela1316171819[[#This Row],[DT]],Aprovados!A:A,1,0)</f>
        <v>#N/A</v>
      </c>
      <c r="Q564" s="16"/>
      <c r="R564" s="16"/>
      <c r="S564" s="16"/>
      <c r="T564" s="9"/>
      <c r="U564" s="1"/>
      <c r="V564" s="11"/>
      <c r="W564" s="232"/>
      <c r="X564" s="304"/>
    </row>
    <row r="565" spans="1:24">
      <c r="A565" s="1"/>
      <c r="B565" s="7"/>
      <c r="C565" s="6"/>
      <c r="D565" s="59"/>
      <c r="E565" s="6"/>
      <c r="F565" s="1"/>
      <c r="G565" s="9"/>
      <c r="H565" s="9"/>
      <c r="I565" s="11"/>
      <c r="J565" s="1"/>
      <c r="K565" s="1"/>
      <c r="L565" s="1"/>
      <c r="M565" s="9"/>
      <c r="N565" s="14">
        <f>Tabela1316171819[[#This Row],[Valor_recibo]]</f>
        <v>0</v>
      </c>
      <c r="O565" s="16"/>
      <c r="P565" s="1" t="e">
        <f>VLOOKUP(Tabela1316171819[[#This Row],[DT]],Aprovados!A:A,1,0)</f>
        <v>#N/A</v>
      </c>
      <c r="Q565" s="16"/>
      <c r="R565" s="16"/>
      <c r="S565" s="16"/>
      <c r="T565" s="9"/>
      <c r="U565" s="1"/>
      <c r="V565" s="11"/>
      <c r="W565" s="232"/>
      <c r="X565" s="304"/>
    </row>
    <row r="566" spans="1:24">
      <c r="A566" s="1"/>
      <c r="B566" s="7"/>
      <c r="C566" s="59"/>
      <c r="D566" s="59"/>
      <c r="E566" s="59"/>
      <c r="F566" s="1"/>
      <c r="G566" s="9"/>
      <c r="H566" s="9"/>
      <c r="I566" s="11"/>
      <c r="J566" s="1"/>
      <c r="K566" s="1"/>
      <c r="L566" s="1"/>
      <c r="M566" s="9"/>
      <c r="N566" s="14">
        <f>Tabela1316171819[[#This Row],[Valor_recibo]]</f>
        <v>0</v>
      </c>
      <c r="O566" s="16"/>
      <c r="P566" s="1" t="e">
        <f>VLOOKUP(Tabela1316171819[[#This Row],[DT]],Aprovados!A:A,1,0)</f>
        <v>#N/A</v>
      </c>
      <c r="Q566" s="16"/>
      <c r="R566" s="16"/>
      <c r="S566" s="16"/>
      <c r="T566" s="9"/>
      <c r="U566" s="1"/>
      <c r="V566" s="11"/>
      <c r="W566" s="232"/>
      <c r="X566" s="304"/>
    </row>
    <row r="567" spans="1:24">
      <c r="A567" s="1"/>
      <c r="B567" s="7"/>
      <c r="C567" s="6"/>
      <c r="D567" s="139"/>
      <c r="E567" s="59"/>
      <c r="F567" s="1"/>
      <c r="G567" s="9"/>
      <c r="H567" s="9"/>
      <c r="I567" s="11"/>
      <c r="J567" s="1"/>
      <c r="K567" s="1"/>
      <c r="L567" s="1"/>
      <c r="M567" s="9"/>
      <c r="N567" s="14">
        <f>Tabela1316171819[[#This Row],[Valor_recibo]]</f>
        <v>0</v>
      </c>
      <c r="O567" s="16"/>
      <c r="P567" s="1" t="e">
        <f>VLOOKUP(Tabela1316171819[[#This Row],[DT]],Aprovados!A:A,1,0)</f>
        <v>#N/A</v>
      </c>
      <c r="Q567" s="16"/>
      <c r="R567" s="16"/>
      <c r="S567" s="16"/>
      <c r="T567" s="9"/>
      <c r="U567" s="1"/>
      <c r="V567" s="11"/>
      <c r="W567" s="232"/>
      <c r="X567" s="304"/>
    </row>
    <row r="568" spans="1:24">
      <c r="A568" s="1"/>
      <c r="B568" s="7"/>
      <c r="C568" s="59"/>
      <c r="D568" s="59"/>
      <c r="E568" s="59"/>
      <c r="F568" s="1"/>
      <c r="G568" s="9"/>
      <c r="H568" s="9"/>
      <c r="I568" s="11"/>
      <c r="J568" s="1"/>
      <c r="K568" s="1"/>
      <c r="L568" s="1"/>
      <c r="M568" s="9"/>
      <c r="N568" s="14">
        <f>Tabela1316171819[[#This Row],[Valor_recibo]]</f>
        <v>0</v>
      </c>
      <c r="O568" s="16"/>
      <c r="P568" s="1" t="e">
        <f>VLOOKUP(Tabela1316171819[[#This Row],[DT]],Aprovados!A:A,1,0)</f>
        <v>#N/A</v>
      </c>
      <c r="Q568" s="16"/>
      <c r="R568" s="16"/>
      <c r="S568" s="16"/>
      <c r="T568" s="9"/>
      <c r="U568" s="1"/>
      <c r="V568" s="11"/>
      <c r="W568" s="232"/>
      <c r="X568" s="304"/>
    </row>
    <row r="569" spans="1:24">
      <c r="A569" s="1"/>
      <c r="B569" s="7"/>
      <c r="C569" s="59"/>
      <c r="D569" s="59"/>
      <c r="E569" s="59"/>
      <c r="F569" s="1"/>
      <c r="G569" s="9"/>
      <c r="H569" s="9"/>
      <c r="I569" s="11"/>
      <c r="J569" s="1"/>
      <c r="K569" s="1"/>
      <c r="L569" s="1"/>
      <c r="M569" s="9"/>
      <c r="N569" s="14">
        <f>Tabela1316171819[[#This Row],[Valor_recibo]]</f>
        <v>0</v>
      </c>
      <c r="O569" s="16"/>
      <c r="P569" s="1" t="e">
        <f>VLOOKUP(Tabela1316171819[[#This Row],[DT]],Aprovados!A:A,1,0)</f>
        <v>#N/A</v>
      </c>
      <c r="Q569" s="16"/>
      <c r="R569" s="16"/>
      <c r="S569" s="16"/>
      <c r="T569" s="9"/>
      <c r="U569" s="1"/>
      <c r="V569" s="11"/>
      <c r="W569" s="232"/>
      <c r="X569" s="304"/>
    </row>
    <row r="570" spans="1:24">
      <c r="A570" s="1"/>
      <c r="B570" s="7"/>
      <c r="C570" s="59"/>
      <c r="D570" s="59"/>
      <c r="E570" s="59"/>
      <c r="F570" s="1"/>
      <c r="G570" s="9"/>
      <c r="H570" s="9"/>
      <c r="I570" s="11"/>
      <c r="J570" s="1"/>
      <c r="K570" s="1"/>
      <c r="L570" s="1"/>
      <c r="M570" s="9"/>
      <c r="N570" s="14">
        <f>Tabela1316171819[[#This Row],[Valor_recibo]]</f>
        <v>0</v>
      </c>
      <c r="O570" s="16"/>
      <c r="P570" s="1" t="e">
        <f>VLOOKUP(Tabela1316171819[[#This Row],[DT]],Aprovados!A:A,1,0)</f>
        <v>#N/A</v>
      </c>
      <c r="Q570" s="16"/>
      <c r="R570" s="16"/>
      <c r="S570" s="16"/>
      <c r="T570" s="9"/>
      <c r="U570" s="1"/>
      <c r="V570" s="11"/>
      <c r="W570" s="232"/>
      <c r="X570" s="304"/>
    </row>
    <row r="571" spans="1:24">
      <c r="W571" s="230"/>
      <c r="X571" s="304"/>
    </row>
    <row r="572" spans="1:24" ht="15" customHeight="1">
      <c r="B572" s="262"/>
      <c r="W572" s="230"/>
      <c r="X572" s="304"/>
    </row>
    <row r="573" spans="1:24" ht="15" customHeight="1">
      <c r="W573" s="230"/>
      <c r="X573" s="304"/>
    </row>
    <row r="574" spans="1:24" ht="15" customHeight="1">
      <c r="B574" s="262"/>
      <c r="W574" s="230"/>
      <c r="X574" s="304"/>
    </row>
    <row r="575" spans="1:24" ht="15" customHeight="1">
      <c r="W575" s="230"/>
      <c r="X575" s="304"/>
    </row>
    <row r="576" spans="1:24" ht="15" customHeight="1">
      <c r="J576" t="s">
        <v>527</v>
      </c>
      <c r="W576" s="230"/>
      <c r="X576" s="304"/>
    </row>
    <row r="577" spans="23:64" ht="15" customHeight="1">
      <c r="W577" s="230"/>
      <c r="X577" s="304"/>
      <c r="BL577" t="s">
        <v>528</v>
      </c>
    </row>
    <row r="578" spans="23:64" ht="15" customHeight="1">
      <c r="X578" s="304"/>
    </row>
    <row r="579" spans="23:64" ht="15" customHeight="1">
      <c r="X579" s="304"/>
    </row>
    <row r="580" spans="23:64" ht="15" customHeight="1">
      <c r="X580" s="304"/>
    </row>
    <row r="581" spans="23:64" ht="15" customHeight="1">
      <c r="X581" s="304"/>
    </row>
    <row r="582" spans="23:64" ht="15" customHeight="1">
      <c r="X582" s="304"/>
    </row>
    <row r="583" spans="23:64" ht="15" customHeight="1">
      <c r="X583" s="304"/>
    </row>
    <row r="584" spans="23:64" ht="15" customHeight="1">
      <c r="X584" s="304"/>
    </row>
    <row r="585" spans="23:64" ht="15" customHeight="1">
      <c r="X585" s="304"/>
    </row>
    <row r="586" spans="23:64" ht="15" customHeight="1">
      <c r="X586" s="304"/>
    </row>
    <row r="587" spans="23:64" ht="15" customHeight="1">
      <c r="X587" s="304"/>
    </row>
    <row r="588" spans="23:64" ht="15" customHeight="1">
      <c r="X588" s="304"/>
    </row>
    <row r="589" spans="23:64" ht="15" customHeight="1">
      <c r="X589" s="304"/>
    </row>
    <row r="590" spans="23:64" ht="15" customHeight="1">
      <c r="X590" s="304"/>
    </row>
    <row r="591" spans="23:64" ht="15" customHeight="1">
      <c r="X591" s="304"/>
    </row>
    <row r="592" spans="23:64" ht="15" customHeight="1">
      <c r="X592" s="304"/>
    </row>
    <row r="593" spans="24:24" ht="15" customHeight="1">
      <c r="X593" s="304"/>
    </row>
    <row r="594" spans="24:24" ht="15" customHeight="1">
      <c r="X594" s="304"/>
    </row>
    <row r="595" spans="24:24" ht="15" customHeight="1">
      <c r="X595" s="304"/>
    </row>
    <row r="596" spans="24:24" ht="15" customHeight="1">
      <c r="X596" s="304"/>
    </row>
  </sheetData>
  <protectedRanges>
    <protectedRange sqref="E129:E145" name="Range3"/>
  </protectedRanges>
  <autoFilter ref="W2:W226" xr:uid="{5608C59C-1D94-4074-A792-35B31458FFA3}"/>
  <conditionalFormatting sqref="A15">
    <cfRule type="duplicateValues" dxfId="177" priority="126"/>
  </conditionalFormatting>
  <conditionalFormatting sqref="A17">
    <cfRule type="duplicateValues" dxfId="176" priority="86"/>
  </conditionalFormatting>
  <conditionalFormatting sqref="A18">
    <cfRule type="duplicateValues" dxfId="175" priority="82"/>
  </conditionalFormatting>
  <conditionalFormatting sqref="A19">
    <cfRule type="duplicateValues" dxfId="174" priority="78"/>
  </conditionalFormatting>
  <conditionalFormatting sqref="A20">
    <cfRule type="duplicateValues" dxfId="173" priority="74"/>
  </conditionalFormatting>
  <conditionalFormatting sqref="A21">
    <cfRule type="duplicateValues" dxfId="172" priority="70"/>
  </conditionalFormatting>
  <conditionalFormatting sqref="A22">
    <cfRule type="duplicateValues" dxfId="171" priority="66"/>
  </conditionalFormatting>
  <conditionalFormatting sqref="A23">
    <cfRule type="duplicateValues" dxfId="170" priority="62"/>
  </conditionalFormatting>
  <conditionalFormatting sqref="A24">
    <cfRule type="duplicateValues" dxfId="169" priority="58"/>
  </conditionalFormatting>
  <conditionalFormatting sqref="A26">
    <cfRule type="duplicateValues" dxfId="168" priority="125"/>
  </conditionalFormatting>
  <conditionalFormatting sqref="A27">
    <cfRule type="duplicateValues" dxfId="167" priority="122"/>
  </conditionalFormatting>
  <conditionalFormatting sqref="A28">
    <cfRule type="duplicateValues" dxfId="166" priority="119"/>
  </conditionalFormatting>
  <conditionalFormatting sqref="A57">
    <cfRule type="duplicateValues" dxfId="165" priority="116"/>
  </conditionalFormatting>
  <conditionalFormatting sqref="A58">
    <cfRule type="duplicateValues" dxfId="164" priority="113"/>
  </conditionalFormatting>
  <conditionalFormatting sqref="A59">
    <cfRule type="duplicateValues" dxfId="163" priority="52"/>
  </conditionalFormatting>
  <conditionalFormatting sqref="A64">
    <cfRule type="duplicateValues" dxfId="162" priority="48"/>
  </conditionalFormatting>
  <conditionalFormatting sqref="A65">
    <cfRule type="duplicateValues" dxfId="161" priority="44"/>
  </conditionalFormatting>
  <conditionalFormatting sqref="A66">
    <cfRule type="duplicateValues" dxfId="160" priority="40"/>
  </conditionalFormatting>
  <conditionalFormatting sqref="A67">
    <cfRule type="duplicateValues" dxfId="159" priority="36"/>
  </conditionalFormatting>
  <conditionalFormatting sqref="A68">
    <cfRule type="duplicateValues" dxfId="158" priority="32"/>
  </conditionalFormatting>
  <conditionalFormatting sqref="A69">
    <cfRule type="duplicateValues" dxfId="157" priority="107"/>
  </conditionalFormatting>
  <conditionalFormatting sqref="A83">
    <cfRule type="duplicateValues" dxfId="156" priority="104"/>
  </conditionalFormatting>
  <conditionalFormatting sqref="A84">
    <cfRule type="duplicateValues" dxfId="155" priority="101"/>
  </conditionalFormatting>
  <conditionalFormatting sqref="A85">
    <cfRule type="duplicateValues" dxfId="154" priority="98"/>
  </conditionalFormatting>
  <conditionalFormatting sqref="A105">
    <cfRule type="duplicateValues" dxfId="153" priority="95"/>
  </conditionalFormatting>
  <conditionalFormatting sqref="A122">
    <cfRule type="duplicateValues" dxfId="152" priority="92"/>
  </conditionalFormatting>
  <conditionalFormatting sqref="A227:A1048576 A129:A181 A123:A127 A106:A121 A1:A14 A16 A29:A56 A60:A63 A70:A82 A86:A104 A25 A192:A225">
    <cfRule type="duplicateValues" dxfId="151" priority="150"/>
  </conditionalFormatting>
  <conditionalFormatting sqref="A553">
    <cfRule type="duplicateValues" dxfId="150" priority="153"/>
  </conditionalFormatting>
  <conditionalFormatting sqref="A556">
    <cfRule type="duplicateValues" dxfId="149" priority="152"/>
  </conditionalFormatting>
  <conditionalFormatting sqref="D129:D145">
    <cfRule type="expression" dxfId="148" priority="31">
      <formula>B129="NOK"</formula>
    </cfRule>
  </conditionalFormatting>
  <conditionalFormatting sqref="D567:E567">
    <cfRule type="cellIs" dxfId="147" priority="151" operator="equal">
      <formula>"CANCELADO"</formula>
    </cfRule>
  </conditionalFormatting>
  <conditionalFormatting sqref="E129:E145">
    <cfRule type="expression" dxfId="146" priority="976">
      <formula>A129="NOK"</formula>
    </cfRule>
  </conditionalFormatting>
  <conditionalFormatting sqref="F61">
    <cfRule type="duplicateValues" dxfId="145" priority="141"/>
  </conditionalFormatting>
  <conditionalFormatting sqref="K3:K5 K7:K11 K13:K18 K20:K28 K64:K71">
    <cfRule type="cellIs" dxfId="144" priority="24" operator="equal">
      <formula>"LANÇADO"</formula>
    </cfRule>
  </conditionalFormatting>
  <conditionalFormatting sqref="K3:K514">
    <cfRule type="cellIs" dxfId="143" priority="4" operator="equal">
      <formula>"LANÇADO"</formula>
    </cfRule>
    <cfRule type="cellIs" dxfId="142" priority="5" operator="equal">
      <formula>"PENDENTE"</formula>
    </cfRule>
    <cfRule type="containsText" dxfId="141" priority="8" operator="containsText" text="APROVADO;PENDENTE">
      <formula>NOT(ISERROR(SEARCH("APROVADO;PENDENTE",K3)))</formula>
    </cfRule>
    <cfRule type="cellIs" dxfId="140" priority="9" operator="equal">
      <formula>"LANÇADO"</formula>
    </cfRule>
  </conditionalFormatting>
  <conditionalFormatting sqref="K17:K18 K28 K30:K31 K37 K39 K47 K115 K122">
    <cfRule type="containsText" dxfId="139" priority="28" operator="containsText" text="APROVADO;PENDENTE">
      <formula>NOT(ISERROR(SEARCH("APROVADO;PENDENTE",K17)))</formula>
    </cfRule>
    <cfRule type="cellIs" dxfId="138" priority="29" operator="equal">
      <formula>"LANÇADO"</formula>
    </cfRule>
  </conditionalFormatting>
  <conditionalFormatting sqref="K19 K29 K32:K36 K38 K40:K46 K48:K62 K73:K74 K77:K78 K81:K90 K92:K105 K112:K114 K116:K121 K123:K128 K130">
    <cfRule type="containsText" dxfId="137" priority="13" operator="containsText" text="APROVADO;PENDENTE">
      <formula>NOT(ISERROR(SEARCH("APROVADO;PENDENTE",K19)))</formula>
    </cfRule>
  </conditionalFormatting>
  <conditionalFormatting sqref="K19:K27 K29:K62 K73:K74 K77:K78 K81:K90 K92:K105 K112:K128 K130">
    <cfRule type="cellIs" dxfId="136" priority="14" operator="equal">
      <formula>"LANÇADO"</formula>
    </cfRule>
  </conditionalFormatting>
  <conditionalFormatting sqref="K20:K27 K3:K5 K7:K11 K13:K16 K64:K71">
    <cfRule type="containsText" dxfId="135" priority="23" operator="containsText" text="APROVADO;PENDENTE">
      <formula>NOT(ISERROR(SEARCH("APROVADO;PENDENTE",K3)))</formula>
    </cfRule>
  </conditionalFormatting>
  <conditionalFormatting sqref="K63 K72 K75:K76 K79:K80 K91 K106:K111 K129 K131">
    <cfRule type="cellIs" dxfId="134" priority="1" operator="equal">
      <formula>"LANÇADO"</formula>
    </cfRule>
    <cfRule type="containsText" dxfId="133" priority="3" operator="containsText" text="APROVADO;PENDENTE">
      <formula>NOT(ISERROR(SEARCH("APROVADO;PENDENTE",K63)))</formula>
    </cfRule>
  </conditionalFormatting>
  <conditionalFormatting sqref="L3:M3 L4:L514">
    <cfRule type="cellIs" dxfId="132" priority="87" operator="equal">
      <formula>"LANÇADO"</formula>
    </cfRule>
    <cfRule type="cellIs" dxfId="131" priority="88" operator="equal">
      <formula>"PENDENTE"</formula>
    </cfRule>
  </conditionalFormatting>
  <conditionalFormatting sqref="O3:T16 O25:T48 O1:P1 O2 V29:V30 V32:V56 O49:R58 T49:T58 O60:R60 T60:T63 O61:P61 R61 O62:R63 V86:V104 V106:V121 V123:V179 V181:V225 V227:V569 O227:T1048576">
    <cfRule type="cellIs" dxfId="130" priority="156" operator="lessThan">
      <formula>0</formula>
    </cfRule>
  </conditionalFormatting>
  <conditionalFormatting sqref="O59:T59">
    <cfRule type="cellIs" dxfId="129" priority="55" operator="lessThan">
      <formula>0</formula>
    </cfRule>
  </conditionalFormatting>
  <conditionalFormatting sqref="S3:S16 S25:S48">
    <cfRule type="containsText" dxfId="128" priority="144" operator="containsText" text="RECEBIDO">
      <formula>NOT(ISERROR(SEARCH("RECEBIDO",S3)))</formula>
    </cfRule>
    <cfRule type="containsText" dxfId="127" priority="145" operator="containsText" text="PENDENTE">
      <formula>NOT(ISERROR(SEARCH("PENDENTE",S3)))</formula>
    </cfRule>
  </conditionalFormatting>
  <conditionalFormatting sqref="S50:S58">
    <cfRule type="cellIs" dxfId="126" priority="142" operator="equal">
      <formula>"LANÇADO"</formula>
    </cfRule>
    <cfRule type="cellIs" dxfId="125" priority="143" operator="equal">
      <formula>"PENDENTE"</formula>
    </cfRule>
  </conditionalFormatting>
  <conditionalFormatting sqref="S60 M89:M225 M227:M514 W227:W570 L515:M570">
    <cfRule type="cellIs" dxfId="124" priority="154" operator="equal">
      <formula>"LANÇADO"</formula>
    </cfRule>
    <cfRule type="cellIs" dxfId="123" priority="155" operator="equal">
      <formula>"PENDENTE"</formula>
    </cfRule>
  </conditionalFormatting>
  <conditionalFormatting sqref="S62:S63">
    <cfRule type="cellIs" dxfId="122" priority="129" operator="equal">
      <formula>"LANÇADO"</formula>
    </cfRule>
    <cfRule type="cellIs" dxfId="121" priority="130" operator="equal">
      <formula>"PENDENTE"</formula>
    </cfRule>
  </conditionalFormatting>
  <conditionalFormatting sqref="S49:T49">
    <cfRule type="cellIs" dxfId="120" priority="146" operator="equal">
      <formula>"LANÇADO"</formula>
    </cfRule>
    <cfRule type="cellIs" dxfId="119" priority="147" operator="equal">
      <formula>"PENDENTE"</formula>
    </cfRule>
  </conditionalFormatting>
  <conditionalFormatting sqref="S61:T61">
    <cfRule type="cellIs" dxfId="118" priority="148" operator="equal">
      <formula>"LANÇADO"</formula>
    </cfRule>
    <cfRule type="cellIs" dxfId="117" priority="149" operator="equal">
      <formula>"PENDENTE"</formula>
    </cfRule>
  </conditionalFormatting>
  <conditionalFormatting sqref="T57">
    <cfRule type="cellIs" dxfId="116" priority="139" operator="equal">
      <formula>"LANÇADO"</formula>
    </cfRule>
    <cfRule type="cellIs" dxfId="115" priority="140" operator="equal">
      <formula>"PENDENTE"</formula>
    </cfRule>
  </conditionalFormatting>
  <conditionalFormatting sqref="U3:U569 M4:M87 W59:W225">
    <cfRule type="cellIs" dxfId="114" priority="33" operator="equal">
      <formula>"LANÇADO"</formula>
    </cfRule>
    <cfRule type="cellIs" dxfId="113" priority="34" operator="equal">
      <formula>"PENDENTE"</formula>
    </cfRule>
  </conditionalFormatting>
  <conditionalFormatting sqref="U570:V570">
    <cfRule type="cellIs" dxfId="112" priority="137" operator="equal">
      <formula>"LANÇADO"</formula>
    </cfRule>
    <cfRule type="cellIs" dxfId="111" priority="138" operator="equal">
      <formula>"PENDENTE"</formula>
    </cfRule>
  </conditionalFormatting>
  <conditionalFormatting sqref="V3:V25 O17:T24">
    <cfRule type="cellIs" dxfId="110" priority="61" operator="lessThan">
      <formula>0</formula>
    </cfRule>
  </conditionalFormatting>
  <conditionalFormatting sqref="V26:V28">
    <cfRule type="cellIs" dxfId="109" priority="117" operator="equal">
      <formula>"LANÇADO"</formula>
    </cfRule>
    <cfRule type="cellIs" dxfId="108" priority="118" operator="equal">
      <formula>"PENDENTE"</formula>
    </cfRule>
  </conditionalFormatting>
  <conditionalFormatting sqref="V31">
    <cfRule type="cellIs" dxfId="107" priority="56" operator="equal">
      <formula>"LANÇADO"</formula>
    </cfRule>
    <cfRule type="cellIs" dxfId="106" priority="57" operator="equal">
      <formula>"PENDENTE"</formula>
    </cfRule>
  </conditionalFormatting>
  <conditionalFormatting sqref="V57:V58">
    <cfRule type="cellIs" dxfId="105" priority="111" operator="equal">
      <formula>"LANÇADO"</formula>
    </cfRule>
    <cfRule type="cellIs" dxfId="104" priority="112" operator="equal">
      <formula>"PENDENTE"</formula>
    </cfRule>
  </conditionalFormatting>
  <conditionalFormatting sqref="V59:V82 O64:T225">
    <cfRule type="cellIs" dxfId="103" priority="35" operator="lessThan">
      <formula>0</formula>
    </cfRule>
  </conditionalFormatting>
  <conditionalFormatting sqref="V83:V85">
    <cfRule type="cellIs" dxfId="102" priority="96" operator="equal">
      <formula>"LANÇADO"</formula>
    </cfRule>
    <cfRule type="cellIs" dxfId="101" priority="97" operator="equal">
      <formula>"PENDENTE"</formula>
    </cfRule>
  </conditionalFormatting>
  <conditionalFormatting sqref="V105">
    <cfRule type="cellIs" dxfId="100" priority="93" operator="equal">
      <formula>"LANÇADO"</formula>
    </cfRule>
    <cfRule type="cellIs" dxfId="99" priority="94" operator="equal">
      <formula>"PENDENTE"</formula>
    </cfRule>
  </conditionalFormatting>
  <conditionalFormatting sqref="V122">
    <cfRule type="cellIs" dxfId="98" priority="90" operator="equal">
      <formula>"LANÇADO"</formula>
    </cfRule>
    <cfRule type="cellIs" dxfId="97" priority="91" operator="equal">
      <formula>"PENDENTE"</formula>
    </cfRule>
  </conditionalFormatting>
  <conditionalFormatting sqref="W3:W16 W25:W58">
    <cfRule type="cellIs" dxfId="96" priority="128" operator="lessThan">
      <formula>0</formula>
    </cfRule>
  </conditionalFormatting>
  <conditionalFormatting sqref="W17:W24">
    <cfRule type="cellIs" dxfId="95" priority="59" operator="equal">
      <formula>"LANÇADO"</formula>
    </cfRule>
    <cfRule type="cellIs" dxfId="94" priority="60" operator="equal">
      <formula>"PENDENTE"</formula>
    </cfRule>
  </conditionalFormatting>
  <dataValidations count="5">
    <dataValidation type="list" allowBlank="1" showInputMessage="1" showErrorMessage="1" sqref="V570 S49:S58 S60:S63 L3:L570 U3:U570" xr:uid="{B8689B49-41E4-4312-948F-8091AD397369}">
      <formula1>"LANÇADO,PENDENTE"</formula1>
    </dataValidation>
    <dataValidation allowBlank="1" showInputMessage="1" showErrorMessage="1" sqref="W17:W24 W1:W2 V26:V28 V83:V85 V105:W105 V122:W122 V57:V58 W106:W121 D223:E223 D175:E191 D247:E247 D148:E149 D128:E145 D123:E123 D86:E86 W227:W577 M227:M1048576 M89:M225 W123:W225 W59:W104 M1:M87" xr:uid="{6700D163-289D-4CA6-88C4-17439E36D279}"/>
    <dataValidation type="list" allowBlank="1" showInputMessage="1" showErrorMessage="1" sqref="S3:S16 S25:S48" xr:uid="{A79C1AB8-5820-438F-8892-1CECB36AEBBB}">
      <formula1>"PENDENTE,RECEBIDO"</formula1>
    </dataValidation>
    <dataValidation type="list" allowBlank="1" showInputMessage="1" showErrorMessage="1" sqref="J227:J407 J3:J225" xr:uid="{DC0622A3-76F4-459B-8E62-833B31C9B215}">
      <formula1>"PENDENTE,OK"</formula1>
    </dataValidation>
    <dataValidation type="list" allowBlank="1" showInputMessage="1" showErrorMessage="1" sqref="K3:K514" xr:uid="{0E3C65A6-C844-413C-AF72-AFBEF1E79730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75B4-556A-4505-87DD-DD52DFF52DE6}">
  <dimension ref="A1:A6552"/>
  <sheetViews>
    <sheetView workbookViewId="0">
      <selection activeCell="I4" sqref="I4"/>
    </sheetView>
  </sheetViews>
  <sheetFormatPr defaultRowHeight="15"/>
  <cols>
    <col min="1" max="1" width="19.140625" bestFit="1" customWidth="1"/>
  </cols>
  <sheetData>
    <row r="1" spans="1:1">
      <c r="A1" s="263" t="s">
        <v>533</v>
      </c>
    </row>
    <row r="2" spans="1:1">
      <c r="A2" s="129"/>
    </row>
    <row r="3" spans="1:1">
      <c r="A3" s="129"/>
    </row>
    <row r="4" spans="1:1">
      <c r="A4" s="129"/>
    </row>
    <row r="5" spans="1:1">
      <c r="A5" s="129"/>
    </row>
    <row r="6" spans="1:1">
      <c r="A6" s="129"/>
    </row>
    <row r="7" spans="1:1">
      <c r="A7" s="129"/>
    </row>
    <row r="8" spans="1:1">
      <c r="A8" s="129"/>
    </row>
    <row r="9" spans="1:1">
      <c r="A9" s="129"/>
    </row>
    <row r="10" spans="1:1">
      <c r="A10" s="129"/>
    </row>
    <row r="11" spans="1:1">
      <c r="A11" s="129"/>
    </row>
    <row r="12" spans="1:1">
      <c r="A12" s="129"/>
    </row>
    <row r="13" spans="1:1">
      <c r="A13" s="129"/>
    </row>
    <row r="14" spans="1:1">
      <c r="A14" s="129"/>
    </row>
    <row r="15" spans="1:1">
      <c r="A15" s="129"/>
    </row>
    <row r="16" spans="1:1">
      <c r="A16" s="129"/>
    </row>
    <row r="17" spans="1:1">
      <c r="A17" s="129"/>
    </row>
    <row r="18" spans="1:1">
      <c r="A18" s="129"/>
    </row>
    <row r="19" spans="1:1">
      <c r="A19" s="129"/>
    </row>
    <row r="20" spans="1:1">
      <c r="A20" s="129"/>
    </row>
    <row r="21" spans="1:1">
      <c r="A21" s="129"/>
    </row>
    <row r="22" spans="1:1">
      <c r="A22" s="129"/>
    </row>
    <row r="23" spans="1:1">
      <c r="A23" s="129"/>
    </row>
    <row r="24" spans="1:1">
      <c r="A24" s="129"/>
    </row>
    <row r="25" spans="1:1">
      <c r="A25" s="129"/>
    </row>
    <row r="26" spans="1:1">
      <c r="A26" s="129"/>
    </row>
    <row r="27" spans="1:1">
      <c r="A27" s="129"/>
    </row>
    <row r="28" spans="1:1">
      <c r="A28" s="129"/>
    </row>
    <row r="29" spans="1:1">
      <c r="A29" s="129"/>
    </row>
    <row r="30" spans="1:1">
      <c r="A30" s="129"/>
    </row>
    <row r="31" spans="1:1">
      <c r="A31" s="129"/>
    </row>
    <row r="32" spans="1:1">
      <c r="A32" s="129"/>
    </row>
    <row r="33" spans="1:1">
      <c r="A33" s="129"/>
    </row>
    <row r="34" spans="1:1">
      <c r="A34" s="129"/>
    </row>
    <row r="35" spans="1:1">
      <c r="A35" s="129"/>
    </row>
    <row r="36" spans="1:1">
      <c r="A36" s="129"/>
    </row>
    <row r="37" spans="1:1">
      <c r="A37" s="129"/>
    </row>
    <row r="38" spans="1:1">
      <c r="A38" s="129"/>
    </row>
    <row r="39" spans="1:1">
      <c r="A39" s="129"/>
    </row>
    <row r="40" spans="1:1">
      <c r="A40" s="129"/>
    </row>
    <row r="41" spans="1:1">
      <c r="A41" s="129"/>
    </row>
    <row r="42" spans="1:1">
      <c r="A42" s="129"/>
    </row>
    <row r="43" spans="1:1">
      <c r="A43" s="129"/>
    </row>
    <row r="44" spans="1:1">
      <c r="A44" s="129"/>
    </row>
    <row r="45" spans="1:1">
      <c r="A45" s="129"/>
    </row>
    <row r="46" spans="1:1">
      <c r="A46" s="129"/>
    </row>
    <row r="47" spans="1:1">
      <c r="A47" s="129"/>
    </row>
    <row r="48" spans="1:1">
      <c r="A48" s="129"/>
    </row>
    <row r="49" spans="1:1">
      <c r="A49" s="129"/>
    </row>
    <row r="50" spans="1:1">
      <c r="A50" s="129"/>
    </row>
    <row r="51" spans="1:1">
      <c r="A51" s="129"/>
    </row>
    <row r="52" spans="1:1">
      <c r="A52" s="129"/>
    </row>
    <row r="53" spans="1:1">
      <c r="A53" s="129"/>
    </row>
    <row r="54" spans="1:1">
      <c r="A54" s="129"/>
    </row>
    <row r="55" spans="1:1">
      <c r="A55" s="129"/>
    </row>
    <row r="56" spans="1:1">
      <c r="A56" s="129"/>
    </row>
    <row r="57" spans="1:1">
      <c r="A57" s="129"/>
    </row>
    <row r="58" spans="1:1">
      <c r="A58" s="129"/>
    </row>
    <row r="59" spans="1:1">
      <c r="A59" s="129"/>
    </row>
    <row r="60" spans="1:1">
      <c r="A60" s="129"/>
    </row>
    <row r="61" spans="1:1">
      <c r="A61" s="129"/>
    </row>
    <row r="62" spans="1:1">
      <c r="A62" s="129"/>
    </row>
    <row r="63" spans="1:1">
      <c r="A63" s="129"/>
    </row>
    <row r="64" spans="1:1">
      <c r="A64" s="129"/>
    </row>
    <row r="65" spans="1:1">
      <c r="A65" s="129"/>
    </row>
    <row r="66" spans="1:1">
      <c r="A66" s="129"/>
    </row>
    <row r="67" spans="1:1">
      <c r="A67" s="129"/>
    </row>
    <row r="68" spans="1:1">
      <c r="A68" s="129"/>
    </row>
    <row r="69" spans="1:1">
      <c r="A69" s="129"/>
    </row>
    <row r="70" spans="1:1">
      <c r="A70" s="129"/>
    </row>
    <row r="71" spans="1:1">
      <c r="A71" s="129"/>
    </row>
    <row r="72" spans="1:1">
      <c r="A72" s="129"/>
    </row>
    <row r="73" spans="1:1">
      <c r="A73" s="129"/>
    </row>
    <row r="74" spans="1:1">
      <c r="A74" s="129"/>
    </row>
    <row r="75" spans="1:1">
      <c r="A75" s="129"/>
    </row>
    <row r="76" spans="1:1">
      <c r="A76" s="129"/>
    </row>
    <row r="77" spans="1:1">
      <c r="A77" s="129"/>
    </row>
    <row r="78" spans="1:1">
      <c r="A78" s="129"/>
    </row>
    <row r="79" spans="1:1">
      <c r="A79" s="129"/>
    </row>
    <row r="80" spans="1:1">
      <c r="A80" s="129"/>
    </row>
    <row r="81" spans="1:1">
      <c r="A81" s="129"/>
    </row>
    <row r="82" spans="1:1">
      <c r="A82" s="129"/>
    </row>
    <row r="83" spans="1:1">
      <c r="A83" s="129"/>
    </row>
    <row r="84" spans="1:1">
      <c r="A84" s="129"/>
    </row>
    <row r="85" spans="1:1">
      <c r="A85" s="129"/>
    </row>
    <row r="86" spans="1:1">
      <c r="A86" s="129"/>
    </row>
    <row r="87" spans="1:1">
      <c r="A87" s="129"/>
    </row>
    <row r="88" spans="1:1">
      <c r="A88" s="129"/>
    </row>
    <row r="89" spans="1:1">
      <c r="A89" s="129"/>
    </row>
    <row r="90" spans="1:1">
      <c r="A90" s="129"/>
    </row>
    <row r="91" spans="1:1">
      <c r="A91" s="129"/>
    </row>
    <row r="92" spans="1:1">
      <c r="A92" s="129"/>
    </row>
    <row r="93" spans="1:1">
      <c r="A93" s="129"/>
    </row>
    <row r="94" spans="1:1">
      <c r="A94" s="129"/>
    </row>
    <row r="95" spans="1:1">
      <c r="A95" s="129"/>
    </row>
    <row r="96" spans="1:1">
      <c r="A96" s="129"/>
    </row>
    <row r="97" spans="1:1">
      <c r="A97" s="129"/>
    </row>
    <row r="98" spans="1:1">
      <c r="A98" s="129"/>
    </row>
    <row r="99" spans="1:1">
      <c r="A99" s="129"/>
    </row>
    <row r="100" spans="1:1">
      <c r="A100" s="129"/>
    </row>
    <row r="101" spans="1:1">
      <c r="A101" s="129"/>
    </row>
    <row r="102" spans="1:1">
      <c r="A102" s="129"/>
    </row>
    <row r="103" spans="1:1">
      <c r="A103" s="129"/>
    </row>
    <row r="104" spans="1:1">
      <c r="A104" s="129"/>
    </row>
    <row r="105" spans="1:1">
      <c r="A105" s="129"/>
    </row>
    <row r="106" spans="1:1">
      <c r="A106" s="129"/>
    </row>
    <row r="107" spans="1:1">
      <c r="A107" s="129"/>
    </row>
    <row r="108" spans="1:1">
      <c r="A108" s="129"/>
    </row>
    <row r="109" spans="1:1">
      <c r="A109" s="129"/>
    </row>
    <row r="110" spans="1:1">
      <c r="A110" s="129"/>
    </row>
    <row r="111" spans="1:1">
      <c r="A111" s="129"/>
    </row>
    <row r="112" spans="1:1">
      <c r="A112" s="129"/>
    </row>
    <row r="113" spans="1:1">
      <c r="A113" s="129"/>
    </row>
    <row r="114" spans="1:1">
      <c r="A114" s="129"/>
    </row>
    <row r="115" spans="1:1">
      <c r="A115" s="129"/>
    </row>
    <row r="116" spans="1:1">
      <c r="A116" s="129"/>
    </row>
    <row r="117" spans="1:1">
      <c r="A117" s="129"/>
    </row>
    <row r="118" spans="1:1">
      <c r="A118" s="129"/>
    </row>
    <row r="119" spans="1:1">
      <c r="A119" s="129"/>
    </row>
    <row r="120" spans="1:1">
      <c r="A120" s="129"/>
    </row>
    <row r="121" spans="1:1">
      <c r="A121" s="129"/>
    </row>
    <row r="122" spans="1:1">
      <c r="A122" s="129"/>
    </row>
    <row r="123" spans="1:1">
      <c r="A123" s="129"/>
    </row>
    <row r="124" spans="1:1">
      <c r="A124" s="129"/>
    </row>
    <row r="125" spans="1:1">
      <c r="A125" s="129"/>
    </row>
    <row r="126" spans="1:1">
      <c r="A126" s="129"/>
    </row>
    <row r="127" spans="1:1">
      <c r="A127" s="129"/>
    </row>
    <row r="128" spans="1:1">
      <c r="A128" s="129"/>
    </row>
    <row r="129" spans="1:1">
      <c r="A129" s="129"/>
    </row>
    <row r="130" spans="1:1">
      <c r="A130" s="129"/>
    </row>
    <row r="131" spans="1:1">
      <c r="A131" s="129"/>
    </row>
    <row r="132" spans="1:1">
      <c r="A132" s="129"/>
    </row>
    <row r="133" spans="1:1">
      <c r="A133" s="129"/>
    </row>
    <row r="134" spans="1:1">
      <c r="A134" s="129"/>
    </row>
    <row r="135" spans="1:1">
      <c r="A135" s="129"/>
    </row>
    <row r="136" spans="1:1">
      <c r="A136" s="129"/>
    </row>
    <row r="137" spans="1:1">
      <c r="A137" s="129"/>
    </row>
    <row r="138" spans="1:1">
      <c r="A138" s="129"/>
    </row>
    <row r="139" spans="1:1">
      <c r="A139" s="129"/>
    </row>
    <row r="140" spans="1:1">
      <c r="A140" s="129"/>
    </row>
    <row r="141" spans="1:1">
      <c r="A141" s="129"/>
    </row>
    <row r="142" spans="1:1">
      <c r="A142" s="129"/>
    </row>
    <row r="143" spans="1:1">
      <c r="A143" s="129"/>
    </row>
    <row r="144" spans="1:1">
      <c r="A144" s="129"/>
    </row>
    <row r="145" spans="1:1">
      <c r="A145" s="129"/>
    </row>
    <row r="146" spans="1:1">
      <c r="A146" s="129"/>
    </row>
    <row r="147" spans="1:1">
      <c r="A147" s="129"/>
    </row>
    <row r="148" spans="1:1">
      <c r="A148" s="129"/>
    </row>
    <row r="149" spans="1:1">
      <c r="A149" s="129"/>
    </row>
    <row r="150" spans="1:1">
      <c r="A150" s="129"/>
    </row>
    <row r="151" spans="1:1">
      <c r="A151" s="129"/>
    </row>
    <row r="152" spans="1:1">
      <c r="A152" s="129"/>
    </row>
    <row r="153" spans="1:1">
      <c r="A153" s="129"/>
    </row>
    <row r="154" spans="1:1">
      <c r="A154" s="129"/>
    </row>
    <row r="155" spans="1:1">
      <c r="A155" s="129"/>
    </row>
    <row r="156" spans="1:1">
      <c r="A156" s="129"/>
    </row>
    <row r="157" spans="1:1">
      <c r="A157" s="129"/>
    </row>
    <row r="158" spans="1:1">
      <c r="A158" s="129"/>
    </row>
    <row r="159" spans="1:1">
      <c r="A159" s="129"/>
    </row>
    <row r="160" spans="1:1">
      <c r="A160" s="129"/>
    </row>
    <row r="161" spans="1:1">
      <c r="A161" s="129"/>
    </row>
    <row r="162" spans="1:1">
      <c r="A162" s="129"/>
    </row>
    <row r="163" spans="1:1">
      <c r="A163" s="129"/>
    </row>
    <row r="164" spans="1:1">
      <c r="A164" s="129"/>
    </row>
    <row r="165" spans="1:1">
      <c r="A165" s="129"/>
    </row>
    <row r="166" spans="1:1">
      <c r="A166" s="129"/>
    </row>
    <row r="167" spans="1:1">
      <c r="A167" s="129"/>
    </row>
    <row r="168" spans="1:1">
      <c r="A168" s="129"/>
    </row>
    <row r="169" spans="1:1">
      <c r="A169" s="129"/>
    </row>
    <row r="170" spans="1:1">
      <c r="A170" s="129"/>
    </row>
    <row r="171" spans="1:1">
      <c r="A171" s="129"/>
    </row>
    <row r="172" spans="1:1">
      <c r="A172" s="129"/>
    </row>
    <row r="173" spans="1:1">
      <c r="A173" s="129"/>
    </row>
    <row r="174" spans="1:1">
      <c r="A174" s="129"/>
    </row>
    <row r="175" spans="1:1">
      <c r="A175" s="129"/>
    </row>
    <row r="176" spans="1:1">
      <c r="A176" s="129"/>
    </row>
    <row r="177" spans="1:1">
      <c r="A177" s="129"/>
    </row>
    <row r="178" spans="1:1">
      <c r="A178" s="129"/>
    </row>
    <row r="179" spans="1:1">
      <c r="A179" s="129"/>
    </row>
    <row r="180" spans="1:1">
      <c r="A180" s="129"/>
    </row>
    <row r="181" spans="1:1">
      <c r="A181" s="129"/>
    </row>
    <row r="182" spans="1:1">
      <c r="A182" s="129"/>
    </row>
    <row r="183" spans="1:1">
      <c r="A183" s="129"/>
    </row>
    <row r="184" spans="1:1">
      <c r="A184" s="129"/>
    </row>
    <row r="185" spans="1:1">
      <c r="A185" s="129"/>
    </row>
    <row r="186" spans="1:1">
      <c r="A186" s="129"/>
    </row>
    <row r="187" spans="1:1">
      <c r="A187" s="129"/>
    </row>
    <row r="188" spans="1:1">
      <c r="A188" s="129"/>
    </row>
    <row r="189" spans="1:1">
      <c r="A189" s="129"/>
    </row>
    <row r="190" spans="1:1">
      <c r="A190" s="129"/>
    </row>
    <row r="191" spans="1:1">
      <c r="A191" s="129"/>
    </row>
    <row r="192" spans="1:1">
      <c r="A192" s="129"/>
    </row>
    <row r="193" spans="1:1">
      <c r="A193" s="129"/>
    </row>
    <row r="194" spans="1:1">
      <c r="A194" s="129"/>
    </row>
    <row r="195" spans="1:1">
      <c r="A195" s="129"/>
    </row>
    <row r="196" spans="1:1">
      <c r="A196" s="129"/>
    </row>
    <row r="197" spans="1:1">
      <c r="A197" s="129"/>
    </row>
    <row r="198" spans="1:1">
      <c r="A198" s="129"/>
    </row>
    <row r="199" spans="1:1">
      <c r="A199" s="129"/>
    </row>
    <row r="200" spans="1:1">
      <c r="A200" s="129"/>
    </row>
    <row r="201" spans="1:1">
      <c r="A201" s="129"/>
    </row>
    <row r="202" spans="1:1">
      <c r="A202" s="129"/>
    </row>
    <row r="203" spans="1:1">
      <c r="A203" s="129"/>
    </row>
    <row r="204" spans="1:1">
      <c r="A204" s="129"/>
    </row>
    <row r="205" spans="1:1">
      <c r="A205" s="129"/>
    </row>
    <row r="206" spans="1:1">
      <c r="A206" s="129"/>
    </row>
    <row r="207" spans="1:1">
      <c r="A207" s="129"/>
    </row>
    <row r="208" spans="1:1">
      <c r="A208" s="129"/>
    </row>
    <row r="209" spans="1:1">
      <c r="A209" s="129"/>
    </row>
    <row r="210" spans="1:1">
      <c r="A210" s="129"/>
    </row>
    <row r="211" spans="1:1">
      <c r="A211" s="129"/>
    </row>
    <row r="212" spans="1:1">
      <c r="A212" s="129"/>
    </row>
    <row r="213" spans="1:1">
      <c r="A213" s="129"/>
    </row>
    <row r="214" spans="1:1">
      <c r="A214" s="129"/>
    </row>
    <row r="215" spans="1:1">
      <c r="A215" s="129"/>
    </row>
    <row r="216" spans="1:1">
      <c r="A216" s="129"/>
    </row>
    <row r="217" spans="1:1">
      <c r="A217" s="129"/>
    </row>
    <row r="218" spans="1:1">
      <c r="A218" s="129"/>
    </row>
    <row r="219" spans="1:1">
      <c r="A219" s="129"/>
    </row>
    <row r="220" spans="1:1">
      <c r="A220" s="129"/>
    </row>
    <row r="221" spans="1:1">
      <c r="A221" s="129"/>
    </row>
    <row r="222" spans="1:1">
      <c r="A222" s="129"/>
    </row>
    <row r="223" spans="1:1">
      <c r="A223" s="129"/>
    </row>
    <row r="224" spans="1:1">
      <c r="A224" s="129"/>
    </row>
    <row r="225" spans="1:1">
      <c r="A225" s="129"/>
    </row>
    <row r="226" spans="1:1">
      <c r="A226" s="129"/>
    </row>
    <row r="227" spans="1:1">
      <c r="A227" s="129"/>
    </row>
    <row r="228" spans="1:1">
      <c r="A228" s="129"/>
    </row>
    <row r="229" spans="1:1">
      <c r="A229" s="129"/>
    </row>
    <row r="230" spans="1:1">
      <c r="A230" s="129"/>
    </row>
    <row r="231" spans="1:1">
      <c r="A231" s="129"/>
    </row>
    <row r="232" spans="1:1">
      <c r="A232" s="129"/>
    </row>
    <row r="233" spans="1:1">
      <c r="A233" s="129"/>
    </row>
    <row r="234" spans="1:1">
      <c r="A234" s="129"/>
    </row>
    <row r="235" spans="1:1">
      <c r="A235" s="129"/>
    </row>
    <row r="236" spans="1:1">
      <c r="A236" s="129"/>
    </row>
    <row r="237" spans="1:1">
      <c r="A237" s="129"/>
    </row>
    <row r="238" spans="1:1">
      <c r="A238" s="129"/>
    </row>
    <row r="239" spans="1:1">
      <c r="A239" s="129"/>
    </row>
    <row r="240" spans="1:1">
      <c r="A240" s="129"/>
    </row>
    <row r="241" spans="1:1">
      <c r="A241" s="129"/>
    </row>
    <row r="242" spans="1:1">
      <c r="A242" s="129"/>
    </row>
    <row r="243" spans="1:1">
      <c r="A243" s="129"/>
    </row>
    <row r="244" spans="1:1">
      <c r="A244" s="129"/>
    </row>
    <row r="245" spans="1:1">
      <c r="A245" s="129"/>
    </row>
    <row r="246" spans="1:1">
      <c r="A246" s="129"/>
    </row>
    <row r="247" spans="1:1">
      <c r="A247" s="129"/>
    </row>
    <row r="248" spans="1:1">
      <c r="A248" s="129"/>
    </row>
    <row r="249" spans="1:1">
      <c r="A249" s="129"/>
    </row>
    <row r="250" spans="1:1">
      <c r="A250" s="129"/>
    </row>
    <row r="251" spans="1:1">
      <c r="A251" s="129"/>
    </row>
    <row r="252" spans="1:1">
      <c r="A252" s="129"/>
    </row>
    <row r="253" spans="1:1">
      <c r="A253" s="129"/>
    </row>
    <row r="254" spans="1:1">
      <c r="A254" s="129"/>
    </row>
    <row r="255" spans="1:1">
      <c r="A255" s="129"/>
    </row>
    <row r="256" spans="1:1">
      <c r="A256" s="129"/>
    </row>
    <row r="257" spans="1:1">
      <c r="A257" s="129"/>
    </row>
    <row r="258" spans="1:1">
      <c r="A258" s="129"/>
    </row>
    <row r="259" spans="1:1">
      <c r="A259" s="129"/>
    </row>
    <row r="260" spans="1:1">
      <c r="A260" s="129"/>
    </row>
    <row r="261" spans="1:1">
      <c r="A261" s="129"/>
    </row>
    <row r="262" spans="1:1">
      <c r="A262" s="129"/>
    </row>
    <row r="263" spans="1:1">
      <c r="A263" s="129"/>
    </row>
    <row r="264" spans="1:1">
      <c r="A264" s="129"/>
    </row>
    <row r="265" spans="1:1">
      <c r="A265" s="129"/>
    </row>
    <row r="266" spans="1:1">
      <c r="A266" s="129"/>
    </row>
    <row r="267" spans="1:1">
      <c r="A267" s="129"/>
    </row>
    <row r="268" spans="1:1">
      <c r="A268" s="129"/>
    </row>
    <row r="269" spans="1:1">
      <c r="A269" s="129"/>
    </row>
    <row r="270" spans="1:1">
      <c r="A270" s="129"/>
    </row>
    <row r="271" spans="1:1">
      <c r="A271" s="129"/>
    </row>
    <row r="272" spans="1:1">
      <c r="A272" s="129"/>
    </row>
    <row r="273" spans="1:1">
      <c r="A273" s="129"/>
    </row>
    <row r="274" spans="1:1">
      <c r="A274" s="129"/>
    </row>
    <row r="275" spans="1:1">
      <c r="A275" s="129"/>
    </row>
    <row r="276" spans="1:1">
      <c r="A276" s="129"/>
    </row>
    <row r="277" spans="1:1">
      <c r="A277" s="129"/>
    </row>
    <row r="278" spans="1:1">
      <c r="A278" s="129"/>
    </row>
    <row r="279" spans="1:1">
      <c r="A279" s="129"/>
    </row>
    <row r="280" spans="1:1">
      <c r="A280" s="129"/>
    </row>
    <row r="281" spans="1:1">
      <c r="A281" s="129"/>
    </row>
    <row r="282" spans="1:1">
      <c r="A282" s="129"/>
    </row>
    <row r="283" spans="1:1">
      <c r="A283" s="129"/>
    </row>
    <row r="284" spans="1:1">
      <c r="A284" s="129"/>
    </row>
    <row r="285" spans="1:1">
      <c r="A285" s="129"/>
    </row>
    <row r="286" spans="1:1">
      <c r="A286" s="129"/>
    </row>
    <row r="287" spans="1:1">
      <c r="A287" s="129"/>
    </row>
    <row r="288" spans="1:1">
      <c r="A288" s="129"/>
    </row>
    <row r="289" spans="1:1">
      <c r="A289" s="129"/>
    </row>
    <row r="290" spans="1:1">
      <c r="A290" s="129"/>
    </row>
    <row r="291" spans="1:1">
      <c r="A291" s="129"/>
    </row>
    <row r="292" spans="1:1">
      <c r="A292" s="129"/>
    </row>
    <row r="293" spans="1:1">
      <c r="A293" s="129"/>
    </row>
    <row r="294" spans="1:1">
      <c r="A294" s="129"/>
    </row>
    <row r="295" spans="1:1">
      <c r="A295" s="129"/>
    </row>
    <row r="296" spans="1:1">
      <c r="A296" s="129"/>
    </row>
    <row r="297" spans="1:1">
      <c r="A297" s="129"/>
    </row>
    <row r="298" spans="1:1">
      <c r="A298" s="129"/>
    </row>
    <row r="299" spans="1:1">
      <c r="A299" s="129"/>
    </row>
    <row r="300" spans="1:1">
      <c r="A300" s="129"/>
    </row>
    <row r="301" spans="1:1">
      <c r="A301" s="129"/>
    </row>
    <row r="302" spans="1:1">
      <c r="A302" s="129"/>
    </row>
    <row r="303" spans="1:1">
      <c r="A303" s="129"/>
    </row>
    <row r="304" spans="1:1">
      <c r="A304" s="129"/>
    </row>
    <row r="305" spans="1:1">
      <c r="A305" s="129"/>
    </row>
    <row r="306" spans="1:1">
      <c r="A306" s="129"/>
    </row>
    <row r="307" spans="1:1">
      <c r="A307" s="129"/>
    </row>
    <row r="308" spans="1:1">
      <c r="A308" s="129"/>
    </row>
    <row r="309" spans="1:1">
      <c r="A309" s="129"/>
    </row>
    <row r="310" spans="1:1">
      <c r="A310" s="129"/>
    </row>
    <row r="311" spans="1:1">
      <c r="A311" s="129"/>
    </row>
    <row r="312" spans="1:1">
      <c r="A312" s="129"/>
    </row>
    <row r="313" spans="1:1">
      <c r="A313" s="129"/>
    </row>
    <row r="314" spans="1:1">
      <c r="A314" s="129"/>
    </row>
    <row r="315" spans="1:1">
      <c r="A315" s="129"/>
    </row>
    <row r="316" spans="1:1">
      <c r="A316" s="129"/>
    </row>
    <row r="317" spans="1:1">
      <c r="A317" s="129"/>
    </row>
    <row r="318" spans="1:1">
      <c r="A318" s="129"/>
    </row>
    <row r="319" spans="1:1">
      <c r="A319" s="129"/>
    </row>
    <row r="320" spans="1:1">
      <c r="A320" s="129"/>
    </row>
    <row r="321" spans="1:1">
      <c r="A321" s="129"/>
    </row>
    <row r="322" spans="1:1">
      <c r="A322" s="129"/>
    </row>
    <row r="323" spans="1:1">
      <c r="A323" s="129"/>
    </row>
    <row r="324" spans="1:1">
      <c r="A324" s="129"/>
    </row>
    <row r="325" spans="1:1">
      <c r="A325" s="129"/>
    </row>
    <row r="326" spans="1:1">
      <c r="A326" s="129"/>
    </row>
    <row r="327" spans="1:1">
      <c r="A327" s="129"/>
    </row>
    <row r="328" spans="1:1">
      <c r="A328" s="129"/>
    </row>
    <row r="329" spans="1:1">
      <c r="A329" s="129"/>
    </row>
    <row r="330" spans="1:1">
      <c r="A330" s="129"/>
    </row>
    <row r="331" spans="1:1">
      <c r="A331" s="129"/>
    </row>
    <row r="332" spans="1:1">
      <c r="A332" s="129"/>
    </row>
    <row r="333" spans="1:1">
      <c r="A333" s="129"/>
    </row>
    <row r="334" spans="1:1">
      <c r="A334" s="129"/>
    </row>
    <row r="335" spans="1:1">
      <c r="A335" s="129"/>
    </row>
    <row r="336" spans="1:1">
      <c r="A336" s="129"/>
    </row>
    <row r="337" spans="1:1">
      <c r="A337" s="129"/>
    </row>
    <row r="338" spans="1:1">
      <c r="A338" s="129"/>
    </row>
    <row r="339" spans="1:1">
      <c r="A339" s="129"/>
    </row>
    <row r="340" spans="1:1">
      <c r="A340" s="129"/>
    </row>
    <row r="341" spans="1:1">
      <c r="A341" s="129"/>
    </row>
    <row r="342" spans="1:1">
      <c r="A342" s="129"/>
    </row>
    <row r="343" spans="1:1">
      <c r="A343" s="129"/>
    </row>
    <row r="344" spans="1:1">
      <c r="A344" s="129"/>
    </row>
    <row r="345" spans="1:1">
      <c r="A345" s="129"/>
    </row>
    <row r="346" spans="1:1">
      <c r="A346" s="129"/>
    </row>
    <row r="347" spans="1:1">
      <c r="A347" s="129"/>
    </row>
    <row r="348" spans="1:1">
      <c r="A348" s="129"/>
    </row>
    <row r="349" spans="1:1">
      <c r="A349" s="129"/>
    </row>
    <row r="350" spans="1:1">
      <c r="A350" s="129"/>
    </row>
    <row r="351" spans="1:1">
      <c r="A351" s="129"/>
    </row>
    <row r="352" spans="1:1">
      <c r="A352" s="129"/>
    </row>
    <row r="353" spans="1:1">
      <c r="A353" s="129"/>
    </row>
    <row r="354" spans="1:1">
      <c r="A354" s="129"/>
    </row>
    <row r="355" spans="1:1">
      <c r="A355" s="129"/>
    </row>
    <row r="356" spans="1:1">
      <c r="A356" s="129"/>
    </row>
    <row r="357" spans="1:1">
      <c r="A357" s="129"/>
    </row>
    <row r="358" spans="1:1">
      <c r="A358" s="129"/>
    </row>
    <row r="359" spans="1:1">
      <c r="A359" s="129"/>
    </row>
    <row r="360" spans="1:1">
      <c r="A360" s="129"/>
    </row>
    <row r="361" spans="1:1">
      <c r="A361" s="129"/>
    </row>
    <row r="362" spans="1:1">
      <c r="A362" s="129"/>
    </row>
    <row r="363" spans="1:1">
      <c r="A363" s="129"/>
    </row>
    <row r="364" spans="1:1">
      <c r="A364" s="129"/>
    </row>
    <row r="365" spans="1:1">
      <c r="A365" s="129"/>
    </row>
    <row r="366" spans="1:1">
      <c r="A366" s="129"/>
    </row>
    <row r="367" spans="1:1">
      <c r="A367" s="129"/>
    </row>
    <row r="368" spans="1:1">
      <c r="A368" s="129"/>
    </row>
    <row r="369" spans="1:1">
      <c r="A369" s="129"/>
    </row>
    <row r="370" spans="1:1">
      <c r="A370" s="129"/>
    </row>
    <row r="371" spans="1:1">
      <c r="A371" s="129"/>
    </row>
    <row r="372" spans="1:1">
      <c r="A372" s="129"/>
    </row>
    <row r="373" spans="1:1">
      <c r="A373" s="129"/>
    </row>
    <row r="374" spans="1:1">
      <c r="A374" s="129"/>
    </row>
    <row r="375" spans="1:1">
      <c r="A375" s="129"/>
    </row>
    <row r="376" spans="1:1">
      <c r="A376" s="129"/>
    </row>
    <row r="377" spans="1:1">
      <c r="A377" s="129"/>
    </row>
    <row r="378" spans="1:1">
      <c r="A378" s="129"/>
    </row>
    <row r="379" spans="1:1">
      <c r="A379" s="129"/>
    </row>
    <row r="380" spans="1:1">
      <c r="A380" s="129"/>
    </row>
    <row r="381" spans="1:1">
      <c r="A381" s="129"/>
    </row>
    <row r="382" spans="1:1">
      <c r="A382" s="129"/>
    </row>
    <row r="383" spans="1:1">
      <c r="A383" s="129"/>
    </row>
    <row r="384" spans="1:1">
      <c r="A384" s="129"/>
    </row>
    <row r="385" spans="1:1">
      <c r="A385" s="129"/>
    </row>
    <row r="386" spans="1:1">
      <c r="A386" s="129"/>
    </row>
    <row r="387" spans="1:1">
      <c r="A387" s="129"/>
    </row>
    <row r="388" spans="1:1">
      <c r="A388" s="129"/>
    </row>
    <row r="389" spans="1:1">
      <c r="A389" s="129"/>
    </row>
    <row r="390" spans="1:1">
      <c r="A390" s="129"/>
    </row>
    <row r="391" spans="1:1">
      <c r="A391" s="129"/>
    </row>
    <row r="392" spans="1:1">
      <c r="A392" s="129"/>
    </row>
    <row r="393" spans="1:1">
      <c r="A393" s="129"/>
    </row>
    <row r="394" spans="1:1">
      <c r="A394" s="129"/>
    </row>
    <row r="395" spans="1:1">
      <c r="A395" s="129"/>
    </row>
    <row r="396" spans="1:1">
      <c r="A396" s="129"/>
    </row>
    <row r="397" spans="1:1">
      <c r="A397" s="129"/>
    </row>
    <row r="398" spans="1:1">
      <c r="A398" s="129"/>
    </row>
    <row r="399" spans="1:1">
      <c r="A399" s="129"/>
    </row>
    <row r="400" spans="1:1">
      <c r="A400" s="129"/>
    </row>
    <row r="401" spans="1:1">
      <c r="A401" s="129"/>
    </row>
    <row r="402" spans="1:1">
      <c r="A402" s="129"/>
    </row>
    <row r="403" spans="1:1">
      <c r="A403" s="129"/>
    </row>
    <row r="404" spans="1:1">
      <c r="A404" s="129"/>
    </row>
    <row r="405" spans="1:1">
      <c r="A405" s="129"/>
    </row>
    <row r="406" spans="1:1">
      <c r="A406" s="129"/>
    </row>
    <row r="407" spans="1:1">
      <c r="A407" s="129"/>
    </row>
    <row r="408" spans="1:1">
      <c r="A408" s="129"/>
    </row>
    <row r="409" spans="1:1">
      <c r="A409" s="129"/>
    </row>
    <row r="410" spans="1:1">
      <c r="A410" s="129"/>
    </row>
    <row r="411" spans="1:1">
      <c r="A411" s="129"/>
    </row>
    <row r="412" spans="1:1">
      <c r="A412" s="129"/>
    </row>
    <row r="413" spans="1:1">
      <c r="A413" s="129"/>
    </row>
    <row r="414" spans="1:1">
      <c r="A414" s="129"/>
    </row>
    <row r="415" spans="1:1">
      <c r="A415" s="129"/>
    </row>
    <row r="416" spans="1:1">
      <c r="A416" s="129"/>
    </row>
    <row r="417" spans="1:1">
      <c r="A417" s="129"/>
    </row>
    <row r="418" spans="1:1">
      <c r="A418" s="129"/>
    </row>
    <row r="419" spans="1:1">
      <c r="A419" s="129"/>
    </row>
    <row r="420" spans="1:1">
      <c r="A420" s="129"/>
    </row>
    <row r="421" spans="1:1">
      <c r="A421" s="129"/>
    </row>
    <row r="422" spans="1:1">
      <c r="A422" s="129"/>
    </row>
    <row r="423" spans="1:1">
      <c r="A423" s="129"/>
    </row>
    <row r="424" spans="1:1">
      <c r="A424" s="129"/>
    </row>
    <row r="425" spans="1:1">
      <c r="A425" s="129"/>
    </row>
    <row r="426" spans="1:1">
      <c r="A426" s="129"/>
    </row>
    <row r="427" spans="1:1">
      <c r="A427" s="129"/>
    </row>
    <row r="428" spans="1:1">
      <c r="A428" s="129"/>
    </row>
    <row r="429" spans="1:1">
      <c r="A429" s="129"/>
    </row>
    <row r="430" spans="1:1">
      <c r="A430" s="129"/>
    </row>
    <row r="431" spans="1:1">
      <c r="A431" s="129"/>
    </row>
    <row r="432" spans="1:1">
      <c r="A432" s="129"/>
    </row>
    <row r="433" spans="1:1">
      <c r="A433" s="129"/>
    </row>
    <row r="434" spans="1:1">
      <c r="A434" s="129"/>
    </row>
    <row r="435" spans="1:1">
      <c r="A435" s="129"/>
    </row>
    <row r="436" spans="1:1">
      <c r="A436" s="129"/>
    </row>
    <row r="437" spans="1:1">
      <c r="A437" s="129"/>
    </row>
    <row r="438" spans="1:1">
      <c r="A438" s="129"/>
    </row>
    <row r="439" spans="1:1">
      <c r="A439" s="129"/>
    </row>
    <row r="440" spans="1:1">
      <c r="A440" s="129"/>
    </row>
    <row r="441" spans="1:1">
      <c r="A441" s="129"/>
    </row>
    <row r="442" spans="1:1">
      <c r="A442" s="129"/>
    </row>
    <row r="443" spans="1:1">
      <c r="A443" s="129"/>
    </row>
    <row r="444" spans="1:1">
      <c r="A444" s="129"/>
    </row>
    <row r="445" spans="1:1">
      <c r="A445" s="129"/>
    </row>
    <row r="446" spans="1:1">
      <c r="A446" s="129"/>
    </row>
    <row r="447" spans="1:1">
      <c r="A447" s="129"/>
    </row>
    <row r="448" spans="1:1">
      <c r="A448" s="129"/>
    </row>
    <row r="449" spans="1:1">
      <c r="A449" s="129"/>
    </row>
    <row r="450" spans="1:1">
      <c r="A450" s="129"/>
    </row>
    <row r="451" spans="1:1">
      <c r="A451" s="129"/>
    </row>
    <row r="452" spans="1:1">
      <c r="A452" s="129"/>
    </row>
    <row r="453" spans="1:1">
      <c r="A453" s="129"/>
    </row>
    <row r="454" spans="1:1">
      <c r="A454" s="129"/>
    </row>
    <row r="455" spans="1:1">
      <c r="A455" s="129"/>
    </row>
    <row r="456" spans="1:1">
      <c r="A456" s="129"/>
    </row>
    <row r="457" spans="1:1">
      <c r="A457" s="129"/>
    </row>
    <row r="458" spans="1:1">
      <c r="A458" s="129"/>
    </row>
    <row r="459" spans="1:1">
      <c r="A459" s="129"/>
    </row>
    <row r="460" spans="1:1">
      <c r="A460" s="129"/>
    </row>
    <row r="461" spans="1:1">
      <c r="A461" s="129"/>
    </row>
    <row r="462" spans="1:1">
      <c r="A462" s="129"/>
    </row>
    <row r="463" spans="1:1">
      <c r="A463" s="129"/>
    </row>
    <row r="464" spans="1:1">
      <c r="A464" s="129"/>
    </row>
    <row r="465" spans="1:1">
      <c r="A465" s="129"/>
    </row>
    <row r="466" spans="1:1">
      <c r="A466" s="129"/>
    </row>
    <row r="467" spans="1:1">
      <c r="A467" s="129"/>
    </row>
    <row r="468" spans="1:1">
      <c r="A468" s="129"/>
    </row>
    <row r="469" spans="1:1">
      <c r="A469" s="129"/>
    </row>
    <row r="470" spans="1:1">
      <c r="A470" s="129"/>
    </row>
    <row r="471" spans="1:1">
      <c r="A471" s="129"/>
    </row>
    <row r="472" spans="1:1">
      <c r="A472" s="129"/>
    </row>
    <row r="473" spans="1:1">
      <c r="A473" s="129"/>
    </row>
    <row r="474" spans="1:1">
      <c r="A474" s="129"/>
    </row>
    <row r="475" spans="1:1">
      <c r="A475" s="129"/>
    </row>
    <row r="476" spans="1:1">
      <c r="A476" s="129"/>
    </row>
    <row r="477" spans="1:1">
      <c r="A477" s="129"/>
    </row>
    <row r="478" spans="1:1">
      <c r="A478" s="129"/>
    </row>
    <row r="479" spans="1:1">
      <c r="A479" s="129"/>
    </row>
    <row r="480" spans="1:1">
      <c r="A480" s="129"/>
    </row>
    <row r="481" spans="1:1">
      <c r="A481" s="129"/>
    </row>
    <row r="482" spans="1:1">
      <c r="A482" s="129"/>
    </row>
    <row r="483" spans="1:1">
      <c r="A483" s="129"/>
    </row>
    <row r="484" spans="1:1">
      <c r="A484" s="129"/>
    </row>
    <row r="485" spans="1:1">
      <c r="A485" s="129"/>
    </row>
    <row r="486" spans="1:1">
      <c r="A486" s="129"/>
    </row>
    <row r="487" spans="1:1">
      <c r="A487" s="129"/>
    </row>
    <row r="488" spans="1:1">
      <c r="A488" s="129"/>
    </row>
    <row r="489" spans="1:1">
      <c r="A489" s="129"/>
    </row>
    <row r="490" spans="1:1">
      <c r="A490" s="129"/>
    </row>
    <row r="491" spans="1:1">
      <c r="A491" s="129"/>
    </row>
    <row r="492" spans="1:1">
      <c r="A492" s="129"/>
    </row>
    <row r="493" spans="1:1">
      <c r="A493" s="129"/>
    </row>
    <row r="494" spans="1:1">
      <c r="A494" s="129"/>
    </row>
    <row r="495" spans="1:1">
      <c r="A495" s="129"/>
    </row>
    <row r="496" spans="1:1">
      <c r="A496" s="129"/>
    </row>
    <row r="497" spans="1:1">
      <c r="A497" s="129"/>
    </row>
    <row r="498" spans="1:1">
      <c r="A498" s="129"/>
    </row>
    <row r="499" spans="1:1">
      <c r="A499" s="129"/>
    </row>
    <row r="500" spans="1:1">
      <c r="A500" s="129"/>
    </row>
    <row r="501" spans="1:1">
      <c r="A501" s="129"/>
    </row>
    <row r="502" spans="1:1">
      <c r="A502" s="129"/>
    </row>
    <row r="503" spans="1:1">
      <c r="A503" s="129"/>
    </row>
    <row r="504" spans="1:1">
      <c r="A504" s="129"/>
    </row>
    <row r="505" spans="1:1">
      <c r="A505" s="129"/>
    </row>
    <row r="506" spans="1:1">
      <c r="A506" s="129"/>
    </row>
    <row r="507" spans="1:1">
      <c r="A507" s="129"/>
    </row>
    <row r="508" spans="1:1">
      <c r="A508" s="129"/>
    </row>
    <row r="509" spans="1:1">
      <c r="A509" s="129"/>
    </row>
    <row r="510" spans="1:1">
      <c r="A510" s="129"/>
    </row>
    <row r="511" spans="1:1">
      <c r="A511" s="129"/>
    </row>
    <row r="512" spans="1:1">
      <c r="A512" s="129"/>
    </row>
    <row r="513" spans="1:1">
      <c r="A513" s="129"/>
    </row>
    <row r="514" spans="1:1">
      <c r="A514" s="129"/>
    </row>
    <row r="515" spans="1:1">
      <c r="A515" s="129"/>
    </row>
    <row r="516" spans="1:1">
      <c r="A516" s="129"/>
    </row>
    <row r="517" spans="1:1">
      <c r="A517" s="129"/>
    </row>
    <row r="518" spans="1:1">
      <c r="A518" s="129"/>
    </row>
    <row r="519" spans="1:1">
      <c r="A519" s="129"/>
    </row>
    <row r="520" spans="1:1">
      <c r="A520" s="129"/>
    </row>
    <row r="521" spans="1:1">
      <c r="A521" s="129"/>
    </row>
    <row r="522" spans="1:1">
      <c r="A522" s="129"/>
    </row>
    <row r="523" spans="1:1">
      <c r="A523" s="129"/>
    </row>
    <row r="524" spans="1:1">
      <c r="A524" s="129"/>
    </row>
    <row r="525" spans="1:1">
      <c r="A525" s="129"/>
    </row>
    <row r="526" spans="1:1">
      <c r="A526" s="129"/>
    </row>
    <row r="527" spans="1:1">
      <c r="A527" s="129"/>
    </row>
    <row r="528" spans="1:1">
      <c r="A528" s="129"/>
    </row>
    <row r="529" spans="1:1">
      <c r="A529" s="129"/>
    </row>
    <row r="530" spans="1:1">
      <c r="A530" s="129"/>
    </row>
    <row r="531" spans="1:1">
      <c r="A531" s="129"/>
    </row>
    <row r="532" spans="1:1">
      <c r="A532" s="129"/>
    </row>
    <row r="533" spans="1:1">
      <c r="A533" s="129"/>
    </row>
    <row r="534" spans="1:1">
      <c r="A534" s="129"/>
    </row>
    <row r="535" spans="1:1">
      <c r="A535" s="129"/>
    </row>
    <row r="536" spans="1:1">
      <c r="A536" s="129"/>
    </row>
    <row r="537" spans="1:1">
      <c r="A537" s="129"/>
    </row>
    <row r="538" spans="1:1">
      <c r="A538" s="129"/>
    </row>
    <row r="539" spans="1:1">
      <c r="A539" s="129"/>
    </row>
    <row r="540" spans="1:1">
      <c r="A540" s="129"/>
    </row>
    <row r="541" spans="1:1">
      <c r="A541" s="129"/>
    </row>
    <row r="542" spans="1:1">
      <c r="A542" s="129"/>
    </row>
    <row r="543" spans="1:1">
      <c r="A543" s="129"/>
    </row>
    <row r="544" spans="1:1">
      <c r="A544" s="129"/>
    </row>
    <row r="545" spans="1:1">
      <c r="A545" s="129"/>
    </row>
    <row r="546" spans="1:1">
      <c r="A546" s="129"/>
    </row>
    <row r="547" spans="1:1">
      <c r="A547" s="129"/>
    </row>
    <row r="548" spans="1:1">
      <c r="A548" s="129"/>
    </row>
    <row r="549" spans="1:1">
      <c r="A549" s="129"/>
    </row>
    <row r="550" spans="1:1">
      <c r="A550" s="129"/>
    </row>
    <row r="551" spans="1:1">
      <c r="A551" s="129"/>
    </row>
    <row r="552" spans="1:1">
      <c r="A552" s="129"/>
    </row>
    <row r="553" spans="1:1">
      <c r="A553" s="129"/>
    </row>
    <row r="554" spans="1:1">
      <c r="A554" s="129"/>
    </row>
    <row r="555" spans="1:1">
      <c r="A555" s="129"/>
    </row>
    <row r="556" spans="1:1">
      <c r="A556" s="129"/>
    </row>
    <row r="557" spans="1:1">
      <c r="A557" s="129"/>
    </row>
    <row r="558" spans="1:1">
      <c r="A558" s="129"/>
    </row>
    <row r="559" spans="1:1">
      <c r="A559" s="129"/>
    </row>
    <row r="560" spans="1:1">
      <c r="A560" s="129"/>
    </row>
    <row r="561" spans="1:1">
      <c r="A561" s="129"/>
    </row>
    <row r="562" spans="1:1">
      <c r="A562" s="129"/>
    </row>
    <row r="563" spans="1:1">
      <c r="A563" s="129"/>
    </row>
    <row r="564" spans="1:1">
      <c r="A564" s="129"/>
    </row>
    <row r="565" spans="1:1">
      <c r="A565" s="129"/>
    </row>
    <row r="566" spans="1:1">
      <c r="A566" s="129"/>
    </row>
    <row r="567" spans="1:1">
      <c r="A567" s="129"/>
    </row>
    <row r="568" spans="1:1">
      <c r="A568" s="264"/>
    </row>
    <row r="569" spans="1:1">
      <c r="A569" s="265"/>
    </row>
    <row r="570" spans="1:1">
      <c r="A570" s="266"/>
    </row>
    <row r="571" spans="1:1">
      <c r="A571" s="265"/>
    </row>
    <row r="572" spans="1:1">
      <c r="A572" s="266"/>
    </row>
    <row r="573" spans="1:1">
      <c r="A573" s="265"/>
    </row>
    <row r="574" spans="1:1">
      <c r="A574" s="266"/>
    </row>
    <row r="575" spans="1:1">
      <c r="A575" s="265"/>
    </row>
    <row r="576" spans="1:1">
      <c r="A576" s="266"/>
    </row>
    <row r="577" spans="1:1">
      <c r="A577" s="265"/>
    </row>
    <row r="578" spans="1:1">
      <c r="A578" s="267"/>
    </row>
    <row r="579" spans="1:1">
      <c r="A579" s="265"/>
    </row>
    <row r="580" spans="1:1">
      <c r="A580" s="266"/>
    </row>
    <row r="581" spans="1:1">
      <c r="A581" s="267"/>
    </row>
    <row r="582" spans="1:1">
      <c r="A582" s="267"/>
    </row>
    <row r="583" spans="1:1">
      <c r="A583" s="267"/>
    </row>
    <row r="584" spans="1:1">
      <c r="A584" s="267"/>
    </row>
    <row r="585" spans="1:1">
      <c r="A585" s="267"/>
    </row>
    <row r="586" spans="1:1">
      <c r="A586" s="266"/>
    </row>
    <row r="587" spans="1:1">
      <c r="A587" s="267"/>
    </row>
    <row r="588" spans="1:1">
      <c r="A588" s="267"/>
    </row>
    <row r="589" spans="1:1">
      <c r="A589" s="267"/>
    </row>
    <row r="590" spans="1:1">
      <c r="A590" s="266"/>
    </row>
    <row r="591" spans="1:1">
      <c r="A591" s="265"/>
    </row>
    <row r="592" spans="1:1">
      <c r="A592" s="267"/>
    </row>
    <row r="593" spans="1:1">
      <c r="A593" s="265"/>
    </row>
    <row r="594" spans="1:1">
      <c r="A594" s="266"/>
    </row>
    <row r="595" spans="1:1">
      <c r="A595" s="267"/>
    </row>
    <row r="596" spans="1:1">
      <c r="A596" s="267"/>
    </row>
    <row r="597" spans="1:1">
      <c r="A597" s="267"/>
    </row>
    <row r="598" spans="1:1">
      <c r="A598" s="267"/>
    </row>
    <row r="599" spans="1:1">
      <c r="A599" s="265"/>
    </row>
    <row r="600" spans="1:1">
      <c r="A600" s="267"/>
    </row>
    <row r="601" spans="1:1">
      <c r="A601" s="265"/>
    </row>
    <row r="602" spans="1:1">
      <c r="A602" s="266"/>
    </row>
    <row r="603" spans="1:1">
      <c r="A603" s="267"/>
    </row>
    <row r="604" spans="1:1">
      <c r="A604" s="267"/>
    </row>
    <row r="605" spans="1:1">
      <c r="A605" s="265"/>
    </row>
    <row r="606" spans="1:1">
      <c r="A606" s="267"/>
    </row>
    <row r="607" spans="1:1">
      <c r="A607" s="265"/>
    </row>
    <row r="608" spans="1:1">
      <c r="A608" s="267"/>
    </row>
    <row r="609" spans="1:1">
      <c r="A609" s="265"/>
    </row>
    <row r="610" spans="1:1">
      <c r="A610" s="266"/>
    </row>
    <row r="611" spans="1:1">
      <c r="A611" s="265"/>
    </row>
    <row r="612" spans="1:1">
      <c r="A612" s="266"/>
    </row>
    <row r="613" spans="1:1">
      <c r="A613" s="265"/>
    </row>
    <row r="614" spans="1:1">
      <c r="A614" s="267"/>
    </row>
    <row r="615" spans="1:1">
      <c r="A615" s="267"/>
    </row>
    <row r="616" spans="1:1">
      <c r="A616" s="266"/>
    </row>
    <row r="617" spans="1:1">
      <c r="A617" s="265"/>
    </row>
    <row r="618" spans="1:1">
      <c r="A618" s="266"/>
    </row>
    <row r="619" spans="1:1">
      <c r="A619" s="265"/>
    </row>
    <row r="620" spans="1:1">
      <c r="A620" s="266"/>
    </row>
    <row r="621" spans="1:1">
      <c r="A621" s="267"/>
    </row>
    <row r="622" spans="1:1">
      <c r="A622" s="267"/>
    </row>
    <row r="623" spans="1:1">
      <c r="A623" s="265"/>
    </row>
    <row r="624" spans="1:1">
      <c r="A624" s="266"/>
    </row>
    <row r="625" spans="1:1">
      <c r="A625" s="265"/>
    </row>
    <row r="626" spans="1:1">
      <c r="A626" s="267"/>
    </row>
    <row r="627" spans="1:1">
      <c r="A627" s="267"/>
    </row>
    <row r="628" spans="1:1">
      <c r="A628" s="267"/>
    </row>
    <row r="629" spans="1:1">
      <c r="A629" s="265"/>
    </row>
    <row r="630" spans="1:1">
      <c r="A630" s="266"/>
    </row>
    <row r="631" spans="1:1">
      <c r="A631" s="265"/>
    </row>
    <row r="632" spans="1:1">
      <c r="A632" s="266"/>
    </row>
    <row r="633" spans="1:1">
      <c r="A633" s="265"/>
    </row>
    <row r="634" spans="1:1">
      <c r="A634" s="267"/>
    </row>
    <row r="635" spans="1:1">
      <c r="A635" s="265"/>
    </row>
    <row r="636" spans="1:1">
      <c r="A636" s="266"/>
    </row>
    <row r="637" spans="1:1">
      <c r="A637" s="265"/>
    </row>
    <row r="638" spans="1:1">
      <c r="A638" s="267"/>
    </row>
    <row r="639" spans="1:1">
      <c r="A639" s="267"/>
    </row>
    <row r="640" spans="1:1">
      <c r="A640" s="267"/>
    </row>
    <row r="641" spans="1:1">
      <c r="A641" s="267"/>
    </row>
    <row r="642" spans="1:1">
      <c r="A642" s="266"/>
    </row>
    <row r="643" spans="1:1">
      <c r="A643" s="265"/>
    </row>
    <row r="644" spans="1:1">
      <c r="A644" s="266"/>
    </row>
    <row r="645" spans="1:1">
      <c r="A645" s="267"/>
    </row>
    <row r="646" spans="1:1">
      <c r="A646" s="267"/>
    </row>
    <row r="647" spans="1:1">
      <c r="A647" s="265"/>
    </row>
    <row r="648" spans="1:1">
      <c r="A648" s="266"/>
    </row>
    <row r="649" spans="1:1">
      <c r="A649" s="267"/>
    </row>
    <row r="650" spans="1:1">
      <c r="A650" s="267"/>
    </row>
    <row r="651" spans="1:1">
      <c r="A651" s="267"/>
    </row>
    <row r="652" spans="1:1">
      <c r="A652" s="267"/>
    </row>
    <row r="653" spans="1:1">
      <c r="A653" s="267"/>
    </row>
    <row r="654" spans="1:1">
      <c r="A654" s="267"/>
    </row>
    <row r="655" spans="1:1">
      <c r="A655" s="267"/>
    </row>
    <row r="656" spans="1:1">
      <c r="A656" s="267"/>
    </row>
    <row r="657" spans="1:1">
      <c r="A657" s="265"/>
    </row>
    <row r="658" spans="1:1">
      <c r="A658" s="266"/>
    </row>
    <row r="659" spans="1:1">
      <c r="A659" s="265"/>
    </row>
    <row r="660" spans="1:1">
      <c r="A660" s="266"/>
    </row>
    <row r="661" spans="1:1">
      <c r="A661" s="265"/>
    </row>
    <row r="662" spans="1:1">
      <c r="A662" s="266"/>
    </row>
    <row r="663" spans="1:1">
      <c r="A663" s="265"/>
    </row>
    <row r="664" spans="1:1">
      <c r="A664" s="266"/>
    </row>
    <row r="665" spans="1:1">
      <c r="A665" s="265"/>
    </row>
    <row r="666" spans="1:1">
      <c r="A666" s="266"/>
    </row>
    <row r="667" spans="1:1">
      <c r="A667" s="265"/>
    </row>
    <row r="668" spans="1:1">
      <c r="A668" s="267"/>
    </row>
    <row r="669" spans="1:1">
      <c r="A669" s="267"/>
    </row>
    <row r="670" spans="1:1">
      <c r="A670" s="266"/>
    </row>
    <row r="671" spans="1:1">
      <c r="A671" s="265"/>
    </row>
    <row r="672" spans="1:1">
      <c r="A672" s="266"/>
    </row>
    <row r="673" spans="1:1">
      <c r="A673" s="265"/>
    </row>
    <row r="674" spans="1:1">
      <c r="A674" s="266"/>
    </row>
    <row r="675" spans="1:1">
      <c r="A675" s="265"/>
    </row>
    <row r="676" spans="1:1">
      <c r="A676" s="266"/>
    </row>
    <row r="677" spans="1:1">
      <c r="A677" s="265"/>
    </row>
    <row r="678" spans="1:1">
      <c r="A678" s="266"/>
    </row>
    <row r="679" spans="1:1">
      <c r="A679" s="265"/>
    </row>
    <row r="680" spans="1:1">
      <c r="A680" s="266"/>
    </row>
    <row r="681" spans="1:1">
      <c r="A681" s="265"/>
    </row>
    <row r="682" spans="1:1">
      <c r="A682" s="266"/>
    </row>
    <row r="683" spans="1:1">
      <c r="A683" s="265"/>
    </row>
    <row r="684" spans="1:1">
      <c r="A684" s="267"/>
    </row>
    <row r="685" spans="1:1">
      <c r="A685" s="267"/>
    </row>
    <row r="686" spans="1:1">
      <c r="A686" s="267"/>
    </row>
    <row r="687" spans="1:1">
      <c r="A687" s="267"/>
    </row>
    <row r="688" spans="1:1">
      <c r="A688" s="266"/>
    </row>
    <row r="689" spans="1:1">
      <c r="A689" s="265"/>
    </row>
    <row r="690" spans="1:1">
      <c r="A690" s="266"/>
    </row>
    <row r="691" spans="1:1">
      <c r="A691" s="265"/>
    </row>
    <row r="692" spans="1:1">
      <c r="A692" s="266"/>
    </row>
    <row r="693" spans="1:1">
      <c r="A693" s="265"/>
    </row>
    <row r="694" spans="1:1">
      <c r="A694" s="266"/>
    </row>
    <row r="695" spans="1:1">
      <c r="A695" s="265"/>
    </row>
    <row r="696" spans="1:1">
      <c r="A696" s="266"/>
    </row>
    <row r="697" spans="1:1">
      <c r="A697" s="267"/>
    </row>
    <row r="698" spans="1:1">
      <c r="A698" s="267"/>
    </row>
    <row r="699" spans="1:1">
      <c r="A699" s="267"/>
    </row>
    <row r="700" spans="1:1">
      <c r="A700" s="267"/>
    </row>
    <row r="701" spans="1:1">
      <c r="A701" s="267"/>
    </row>
    <row r="702" spans="1:1">
      <c r="A702" s="267"/>
    </row>
    <row r="703" spans="1:1">
      <c r="A703" s="265"/>
    </row>
    <row r="704" spans="1:1">
      <c r="A704" s="266"/>
    </row>
    <row r="705" spans="1:1">
      <c r="A705" s="267"/>
    </row>
    <row r="706" spans="1:1">
      <c r="A706" s="267"/>
    </row>
    <row r="707" spans="1:1">
      <c r="A707" s="267"/>
    </row>
    <row r="708" spans="1:1">
      <c r="A708" s="267"/>
    </row>
    <row r="709" spans="1:1">
      <c r="A709" s="265"/>
    </row>
    <row r="710" spans="1:1">
      <c r="A710" s="267"/>
    </row>
    <row r="711" spans="1:1">
      <c r="A711" s="267"/>
    </row>
    <row r="712" spans="1:1">
      <c r="A712" s="267"/>
    </row>
    <row r="713" spans="1:1">
      <c r="A713" s="267"/>
    </row>
    <row r="714" spans="1:1">
      <c r="A714" s="267"/>
    </row>
    <row r="715" spans="1:1">
      <c r="A715" s="265"/>
    </row>
    <row r="716" spans="1:1">
      <c r="A716" s="267"/>
    </row>
    <row r="717" spans="1:1">
      <c r="A717" s="265"/>
    </row>
    <row r="718" spans="1:1">
      <c r="A718" s="266"/>
    </row>
    <row r="719" spans="1:1">
      <c r="A719" s="265"/>
    </row>
    <row r="720" spans="1:1">
      <c r="A720" s="267"/>
    </row>
    <row r="721" spans="1:1">
      <c r="A721" s="265"/>
    </row>
    <row r="722" spans="1:1">
      <c r="A722" s="267"/>
    </row>
    <row r="723" spans="1:1">
      <c r="A723" s="267"/>
    </row>
    <row r="724" spans="1:1">
      <c r="A724" s="267"/>
    </row>
    <row r="725" spans="1:1">
      <c r="A725" s="265"/>
    </row>
    <row r="726" spans="1:1">
      <c r="A726" s="266"/>
    </row>
    <row r="727" spans="1:1">
      <c r="A727" s="267"/>
    </row>
    <row r="728" spans="1:1">
      <c r="A728" s="266"/>
    </row>
    <row r="729" spans="1:1">
      <c r="A729" s="265"/>
    </row>
    <row r="730" spans="1:1">
      <c r="A730" s="266"/>
    </row>
    <row r="731" spans="1:1">
      <c r="A731" s="265"/>
    </row>
    <row r="732" spans="1:1">
      <c r="A732" s="266"/>
    </row>
    <row r="733" spans="1:1">
      <c r="A733" s="265"/>
    </row>
    <row r="734" spans="1:1">
      <c r="A734" s="266"/>
    </row>
    <row r="735" spans="1:1">
      <c r="A735" s="265"/>
    </row>
    <row r="736" spans="1:1">
      <c r="A736" s="267"/>
    </row>
    <row r="737" spans="1:1">
      <c r="A737" s="267"/>
    </row>
    <row r="738" spans="1:1">
      <c r="A738" s="267"/>
    </row>
    <row r="739" spans="1:1">
      <c r="A739" s="267"/>
    </row>
    <row r="740" spans="1:1">
      <c r="A740" s="268"/>
    </row>
    <row r="741" spans="1:1">
      <c r="A741" s="269"/>
    </row>
    <row r="742" spans="1:1">
      <c r="A742" s="270"/>
    </row>
    <row r="743" spans="1:1">
      <c r="A743" s="271"/>
    </row>
    <row r="744" spans="1:1">
      <c r="A744" s="269"/>
    </row>
    <row r="745" spans="1:1">
      <c r="A745" s="269"/>
    </row>
    <row r="746" spans="1:1">
      <c r="A746" s="269"/>
    </row>
    <row r="747" spans="1:1">
      <c r="A747" s="271"/>
    </row>
    <row r="748" spans="1:1">
      <c r="A748" s="270"/>
    </row>
    <row r="749" spans="1:1">
      <c r="A749" s="271"/>
    </row>
    <row r="750" spans="1:1">
      <c r="A750" s="270"/>
    </row>
    <row r="751" spans="1:1">
      <c r="A751" s="269"/>
    </row>
    <row r="752" spans="1:1">
      <c r="A752" s="270"/>
    </row>
    <row r="753" spans="1:1">
      <c r="A753" s="271"/>
    </row>
    <row r="754" spans="1:1">
      <c r="A754" s="270"/>
    </row>
    <row r="755" spans="1:1">
      <c r="A755" s="269"/>
    </row>
    <row r="756" spans="1:1">
      <c r="A756" s="269"/>
    </row>
    <row r="757" spans="1:1">
      <c r="A757" s="269"/>
    </row>
    <row r="758" spans="1:1">
      <c r="A758" s="269"/>
    </row>
    <row r="759" spans="1:1">
      <c r="A759" s="271"/>
    </row>
    <row r="760" spans="1:1">
      <c r="A760" s="269"/>
    </row>
    <row r="761" spans="1:1">
      <c r="A761" s="269"/>
    </row>
    <row r="762" spans="1:1">
      <c r="A762" s="269"/>
    </row>
    <row r="763" spans="1:1">
      <c r="A763" s="271"/>
    </row>
    <row r="764" spans="1:1">
      <c r="A764" s="269"/>
    </row>
    <row r="765" spans="1:1">
      <c r="A765" s="269"/>
    </row>
    <row r="766" spans="1:1">
      <c r="A766" s="269"/>
    </row>
    <row r="767" spans="1:1">
      <c r="A767" s="269"/>
    </row>
    <row r="768" spans="1:1">
      <c r="A768" s="269"/>
    </row>
    <row r="769" spans="1:1">
      <c r="A769" s="271"/>
    </row>
    <row r="770" spans="1:1">
      <c r="A770" s="270"/>
    </row>
    <row r="771" spans="1:1">
      <c r="A771" s="271"/>
    </row>
    <row r="772" spans="1:1">
      <c r="A772" s="269"/>
    </row>
    <row r="773" spans="1:1">
      <c r="A773" s="271"/>
    </row>
    <row r="774" spans="1:1">
      <c r="A774" s="270"/>
    </row>
    <row r="775" spans="1:1">
      <c r="A775" s="271"/>
    </row>
    <row r="776" spans="1:1">
      <c r="A776" s="270"/>
    </row>
    <row r="777" spans="1:1">
      <c r="A777" s="271"/>
    </row>
    <row r="778" spans="1:1">
      <c r="A778" s="270"/>
    </row>
    <row r="779" spans="1:1">
      <c r="A779" s="271"/>
    </row>
    <row r="780" spans="1:1">
      <c r="A780" s="270"/>
    </row>
    <row r="781" spans="1:1">
      <c r="A781" s="269"/>
    </row>
    <row r="782" spans="1:1">
      <c r="A782" s="269"/>
    </row>
    <row r="783" spans="1:1">
      <c r="A783" s="271"/>
    </row>
    <row r="784" spans="1:1">
      <c r="A784" s="270"/>
    </row>
    <row r="785" spans="1:1">
      <c r="A785" s="271"/>
    </row>
    <row r="786" spans="1:1">
      <c r="A786" s="270"/>
    </row>
    <row r="787" spans="1:1">
      <c r="A787" s="271"/>
    </row>
    <row r="788" spans="1:1">
      <c r="A788" s="269"/>
    </row>
    <row r="789" spans="1:1">
      <c r="A789" s="269"/>
    </row>
    <row r="790" spans="1:1">
      <c r="A790" s="269"/>
    </row>
    <row r="791" spans="1:1">
      <c r="A791" s="271"/>
    </row>
    <row r="792" spans="1:1">
      <c r="A792" s="270"/>
    </row>
    <row r="793" spans="1:1">
      <c r="A793" s="271"/>
    </row>
    <row r="794" spans="1:1">
      <c r="A794" s="270"/>
    </row>
    <row r="795" spans="1:1">
      <c r="A795" s="271"/>
    </row>
    <row r="796" spans="1:1">
      <c r="A796" s="270"/>
    </row>
    <row r="797" spans="1:1">
      <c r="A797" s="271"/>
    </row>
    <row r="798" spans="1:1">
      <c r="A798" s="270"/>
    </row>
    <row r="799" spans="1:1">
      <c r="A799" s="271"/>
    </row>
    <row r="800" spans="1:1">
      <c r="A800" s="269"/>
    </row>
    <row r="801" spans="1:1">
      <c r="A801" s="269"/>
    </row>
    <row r="802" spans="1:1">
      <c r="A802" s="269"/>
    </row>
    <row r="803" spans="1:1">
      <c r="A803" s="269"/>
    </row>
    <row r="804" spans="1:1">
      <c r="A804" s="269"/>
    </row>
    <row r="805" spans="1:1">
      <c r="A805" s="271"/>
    </row>
    <row r="806" spans="1:1">
      <c r="A806" s="270"/>
    </row>
    <row r="807" spans="1:1">
      <c r="A807" s="271"/>
    </row>
    <row r="808" spans="1:1">
      <c r="A808" s="270"/>
    </row>
    <row r="809" spans="1:1">
      <c r="A809" s="271"/>
    </row>
    <row r="810" spans="1:1">
      <c r="A810" s="270"/>
    </row>
    <row r="811" spans="1:1">
      <c r="A811" s="271"/>
    </row>
    <row r="812" spans="1:1">
      <c r="A812" s="270"/>
    </row>
    <row r="813" spans="1:1">
      <c r="A813" s="271"/>
    </row>
    <row r="814" spans="1:1">
      <c r="A814" s="270"/>
    </row>
    <row r="815" spans="1:1">
      <c r="A815" s="271"/>
    </row>
    <row r="816" spans="1:1">
      <c r="A816" s="270"/>
    </row>
    <row r="817" spans="1:1">
      <c r="A817" s="271"/>
    </row>
    <row r="818" spans="1:1">
      <c r="A818" s="270"/>
    </row>
    <row r="819" spans="1:1">
      <c r="A819" s="271"/>
    </row>
    <row r="820" spans="1:1">
      <c r="A820" s="270"/>
    </row>
    <row r="821" spans="1:1">
      <c r="A821" s="271"/>
    </row>
    <row r="822" spans="1:1">
      <c r="A822" s="270"/>
    </row>
    <row r="823" spans="1:1">
      <c r="A823" s="271"/>
    </row>
    <row r="824" spans="1:1">
      <c r="A824" s="270"/>
    </row>
    <row r="825" spans="1:1">
      <c r="A825" s="271"/>
    </row>
    <row r="826" spans="1:1">
      <c r="A826" s="270"/>
    </row>
    <row r="827" spans="1:1">
      <c r="A827" s="271"/>
    </row>
    <row r="828" spans="1:1">
      <c r="A828" s="270"/>
    </row>
    <row r="829" spans="1:1">
      <c r="A829" s="271"/>
    </row>
    <row r="830" spans="1:1">
      <c r="A830" s="270"/>
    </row>
    <row r="831" spans="1:1">
      <c r="A831" s="271"/>
    </row>
    <row r="832" spans="1:1">
      <c r="A832" s="270"/>
    </row>
    <row r="833" spans="1:1">
      <c r="A833" s="271"/>
    </row>
    <row r="834" spans="1:1">
      <c r="A834" s="270"/>
    </row>
    <row r="835" spans="1:1">
      <c r="A835" s="271"/>
    </row>
    <row r="836" spans="1:1">
      <c r="A836" s="270"/>
    </row>
    <row r="837" spans="1:1">
      <c r="A837" s="271"/>
    </row>
    <row r="838" spans="1:1">
      <c r="A838" s="270"/>
    </row>
    <row r="839" spans="1:1">
      <c r="A839" s="271"/>
    </row>
    <row r="840" spans="1:1">
      <c r="A840" s="270"/>
    </row>
    <row r="841" spans="1:1">
      <c r="A841" s="271"/>
    </row>
    <row r="842" spans="1:1">
      <c r="A842" s="270"/>
    </row>
    <row r="843" spans="1:1">
      <c r="A843" s="271"/>
    </row>
    <row r="844" spans="1:1">
      <c r="A844" s="270"/>
    </row>
    <row r="845" spans="1:1">
      <c r="A845" s="271"/>
    </row>
    <row r="846" spans="1:1">
      <c r="A846" s="270"/>
    </row>
    <row r="847" spans="1:1">
      <c r="A847" s="271"/>
    </row>
    <row r="848" spans="1:1">
      <c r="A848" s="270"/>
    </row>
    <row r="849" spans="1:1">
      <c r="A849" s="271"/>
    </row>
    <row r="850" spans="1:1">
      <c r="A850" s="270"/>
    </row>
    <row r="851" spans="1:1">
      <c r="A851" s="271"/>
    </row>
    <row r="852" spans="1:1">
      <c r="A852" s="270"/>
    </row>
    <row r="853" spans="1:1">
      <c r="A853" s="271"/>
    </row>
    <row r="854" spans="1:1">
      <c r="A854" s="270"/>
    </row>
    <row r="855" spans="1:1">
      <c r="A855" s="271"/>
    </row>
    <row r="856" spans="1:1">
      <c r="A856" s="270"/>
    </row>
    <row r="857" spans="1:1">
      <c r="A857" s="271"/>
    </row>
    <row r="858" spans="1:1">
      <c r="A858" s="270"/>
    </row>
    <row r="859" spans="1:1">
      <c r="A859" s="271"/>
    </row>
    <row r="860" spans="1:1">
      <c r="A860" s="270"/>
    </row>
    <row r="861" spans="1:1">
      <c r="A861" s="271"/>
    </row>
    <row r="862" spans="1:1">
      <c r="A862" s="270"/>
    </row>
    <row r="863" spans="1:1">
      <c r="A863" s="271"/>
    </row>
    <row r="864" spans="1:1">
      <c r="A864" s="270"/>
    </row>
    <row r="865" spans="1:1">
      <c r="A865" s="271"/>
    </row>
    <row r="866" spans="1:1">
      <c r="A866" s="270"/>
    </row>
    <row r="867" spans="1:1">
      <c r="A867" s="271"/>
    </row>
    <row r="868" spans="1:1">
      <c r="A868" s="270"/>
    </row>
    <row r="869" spans="1:1">
      <c r="A869" s="271"/>
    </row>
    <row r="870" spans="1:1">
      <c r="A870" s="270"/>
    </row>
    <row r="871" spans="1:1">
      <c r="A871" s="271"/>
    </row>
    <row r="872" spans="1:1">
      <c r="A872" s="270"/>
    </row>
    <row r="873" spans="1:1">
      <c r="A873" s="271"/>
    </row>
    <row r="874" spans="1:1">
      <c r="A874" s="270"/>
    </row>
    <row r="875" spans="1:1">
      <c r="A875" s="271"/>
    </row>
    <row r="876" spans="1:1">
      <c r="A876" s="270"/>
    </row>
    <row r="877" spans="1:1">
      <c r="A877" s="269"/>
    </row>
    <row r="878" spans="1:1">
      <c r="A878" s="269"/>
    </row>
    <row r="879" spans="1:1">
      <c r="A879" s="269"/>
    </row>
    <row r="880" spans="1:1">
      <c r="A880" s="269"/>
    </row>
    <row r="881" spans="1:1">
      <c r="A881" s="269"/>
    </row>
    <row r="882" spans="1:1">
      <c r="A882" s="269"/>
    </row>
    <row r="883" spans="1:1">
      <c r="A883" s="269"/>
    </row>
    <row r="884" spans="1:1">
      <c r="A884" s="269"/>
    </row>
    <row r="885" spans="1:1">
      <c r="A885" s="269"/>
    </row>
    <row r="886" spans="1:1">
      <c r="A886" s="269"/>
    </row>
    <row r="887" spans="1:1">
      <c r="A887" s="269"/>
    </row>
    <row r="888" spans="1:1">
      <c r="A888" s="269"/>
    </row>
    <row r="889" spans="1:1">
      <c r="A889" s="271"/>
    </row>
    <row r="890" spans="1:1">
      <c r="A890" s="270"/>
    </row>
    <row r="891" spans="1:1">
      <c r="A891" s="271"/>
    </row>
    <row r="892" spans="1:1">
      <c r="A892" s="270"/>
    </row>
    <row r="893" spans="1:1">
      <c r="A893" s="271"/>
    </row>
    <row r="894" spans="1:1">
      <c r="A894" s="270"/>
    </row>
    <row r="895" spans="1:1">
      <c r="A895" s="271"/>
    </row>
    <row r="896" spans="1:1">
      <c r="A896" s="269"/>
    </row>
    <row r="897" spans="1:1">
      <c r="A897" s="269"/>
    </row>
    <row r="898" spans="1:1">
      <c r="A898" s="269"/>
    </row>
    <row r="899" spans="1:1">
      <c r="A899" s="269"/>
    </row>
    <row r="900" spans="1:1">
      <c r="A900" s="269"/>
    </row>
    <row r="901" spans="1:1">
      <c r="A901" s="269"/>
    </row>
    <row r="902" spans="1:1">
      <c r="A902" s="270"/>
    </row>
    <row r="903" spans="1:1">
      <c r="A903" s="271"/>
    </row>
    <row r="904" spans="1:1">
      <c r="A904" s="270"/>
    </row>
    <row r="905" spans="1:1">
      <c r="A905" s="271"/>
    </row>
    <row r="906" spans="1:1">
      <c r="A906" s="269"/>
    </row>
    <row r="907" spans="1:1">
      <c r="A907" s="271"/>
    </row>
    <row r="908" spans="1:1">
      <c r="A908" s="269"/>
    </row>
    <row r="909" spans="1:1">
      <c r="A909" s="269"/>
    </row>
    <row r="910" spans="1:1">
      <c r="A910" s="269"/>
    </row>
    <row r="911" spans="1:1">
      <c r="A911" s="269"/>
    </row>
    <row r="912" spans="1:1">
      <c r="A912" s="269"/>
    </row>
    <row r="913" spans="1:1">
      <c r="A913" s="271"/>
    </row>
    <row r="914" spans="1:1">
      <c r="A914" s="269"/>
    </row>
    <row r="915" spans="1:1">
      <c r="A915" s="271"/>
    </row>
    <row r="916" spans="1:1">
      <c r="A916" s="269"/>
    </row>
    <row r="917" spans="1:1">
      <c r="A917" s="269"/>
    </row>
    <row r="918" spans="1:1">
      <c r="A918" s="270"/>
    </row>
    <row r="919" spans="1:1">
      <c r="A919" s="269"/>
    </row>
    <row r="920" spans="1:1">
      <c r="A920" s="270"/>
    </row>
    <row r="921" spans="1:1">
      <c r="A921" s="271"/>
    </row>
    <row r="922" spans="1:1">
      <c r="A922" s="270"/>
    </row>
    <row r="923" spans="1:1">
      <c r="A923" s="271"/>
    </row>
    <row r="924" spans="1:1">
      <c r="A924" s="270"/>
    </row>
    <row r="925" spans="1:1">
      <c r="A925" s="271"/>
    </row>
    <row r="926" spans="1:1">
      <c r="A926" s="270"/>
    </row>
    <row r="927" spans="1:1">
      <c r="A927" s="269"/>
    </row>
    <row r="928" spans="1:1">
      <c r="A928" s="270"/>
    </row>
    <row r="929" spans="1:1">
      <c r="A929" s="271"/>
    </row>
    <row r="930" spans="1:1">
      <c r="A930" s="269"/>
    </row>
    <row r="931" spans="1:1">
      <c r="A931" s="271"/>
    </row>
    <row r="932" spans="1:1">
      <c r="A932" s="270"/>
    </row>
    <row r="933" spans="1:1">
      <c r="A933" s="269"/>
    </row>
    <row r="934" spans="1:1">
      <c r="A934" s="270"/>
    </row>
    <row r="935" spans="1:1">
      <c r="A935" s="271"/>
    </row>
    <row r="936" spans="1:1">
      <c r="A936" s="269"/>
    </row>
    <row r="937" spans="1:1">
      <c r="A937" s="271"/>
    </row>
    <row r="938" spans="1:1">
      <c r="A938" s="269"/>
    </row>
    <row r="939" spans="1:1">
      <c r="A939" s="271"/>
    </row>
    <row r="940" spans="1:1">
      <c r="A940" s="270"/>
    </row>
    <row r="941" spans="1:1">
      <c r="A941" s="269"/>
    </row>
    <row r="942" spans="1:1">
      <c r="A942" s="270"/>
    </row>
    <row r="943" spans="1:1">
      <c r="A943" s="271"/>
    </row>
    <row r="944" spans="1:1">
      <c r="A944" s="270"/>
    </row>
    <row r="945" spans="1:1">
      <c r="A945" s="269"/>
    </row>
    <row r="946" spans="1:1">
      <c r="A946" s="269"/>
    </row>
    <row r="947" spans="1:1">
      <c r="A947" s="269"/>
    </row>
    <row r="948" spans="1:1">
      <c r="A948" s="269"/>
    </row>
    <row r="949" spans="1:1">
      <c r="A949" s="269"/>
    </row>
    <row r="950" spans="1:1">
      <c r="A950" s="269"/>
    </row>
    <row r="951" spans="1:1">
      <c r="A951" s="271"/>
    </row>
    <row r="952" spans="1:1">
      <c r="A952" s="270"/>
    </row>
    <row r="953" spans="1:1">
      <c r="A953" s="271"/>
    </row>
    <row r="954" spans="1:1">
      <c r="A954" s="270"/>
    </row>
    <row r="955" spans="1:1">
      <c r="A955" s="271"/>
    </row>
    <row r="956" spans="1:1">
      <c r="A956" s="270"/>
    </row>
    <row r="957" spans="1:1">
      <c r="A957" s="271"/>
    </row>
    <row r="958" spans="1:1">
      <c r="A958" s="269"/>
    </row>
    <row r="959" spans="1:1">
      <c r="A959" s="269"/>
    </row>
    <row r="960" spans="1:1">
      <c r="A960" s="270"/>
    </row>
    <row r="961" spans="1:1">
      <c r="A961" s="269"/>
    </row>
    <row r="962" spans="1:1">
      <c r="A962" s="269"/>
    </row>
    <row r="963" spans="1:1">
      <c r="A963" s="271"/>
    </row>
    <row r="964" spans="1:1">
      <c r="A964" s="270"/>
    </row>
    <row r="965" spans="1:1">
      <c r="A965" s="271"/>
    </row>
    <row r="966" spans="1:1">
      <c r="A966" s="270"/>
    </row>
    <row r="967" spans="1:1">
      <c r="A967" s="271"/>
    </row>
    <row r="968" spans="1:1">
      <c r="A968" s="270"/>
    </row>
    <row r="969" spans="1:1">
      <c r="A969" s="271"/>
    </row>
    <row r="970" spans="1:1">
      <c r="A970" s="270"/>
    </row>
    <row r="971" spans="1:1">
      <c r="A971" s="271"/>
    </row>
    <row r="972" spans="1:1">
      <c r="A972" s="270"/>
    </row>
    <row r="973" spans="1:1">
      <c r="A973" s="271"/>
    </row>
    <row r="974" spans="1:1">
      <c r="A974" s="270"/>
    </row>
    <row r="975" spans="1:1">
      <c r="A975" s="269"/>
    </row>
    <row r="976" spans="1:1">
      <c r="A976" s="269"/>
    </row>
    <row r="977" spans="1:1">
      <c r="A977" s="269"/>
    </row>
    <row r="978" spans="1:1">
      <c r="A978" s="269"/>
    </row>
    <row r="979" spans="1:1">
      <c r="A979" s="269"/>
    </row>
    <row r="980" spans="1:1">
      <c r="A980" s="269"/>
    </row>
    <row r="981" spans="1:1">
      <c r="A981" s="271"/>
    </row>
    <row r="982" spans="1:1">
      <c r="A982" s="270"/>
    </row>
    <row r="983" spans="1:1">
      <c r="A983" s="271"/>
    </row>
    <row r="984" spans="1:1">
      <c r="A984" s="269"/>
    </row>
    <row r="985" spans="1:1">
      <c r="A985" s="269"/>
    </row>
    <row r="986" spans="1:1">
      <c r="A986" s="269"/>
    </row>
    <row r="987" spans="1:1">
      <c r="A987" s="269"/>
    </row>
    <row r="988" spans="1:1">
      <c r="A988" s="269"/>
    </row>
    <row r="989" spans="1:1">
      <c r="A989" s="269"/>
    </row>
    <row r="990" spans="1:1">
      <c r="A990" s="269"/>
    </row>
    <row r="991" spans="1:1">
      <c r="A991" s="269"/>
    </row>
    <row r="992" spans="1:1">
      <c r="A992" s="270"/>
    </row>
    <row r="993" spans="1:1">
      <c r="A993" s="269"/>
    </row>
    <row r="994" spans="1:1">
      <c r="A994" s="270"/>
    </row>
    <row r="995" spans="1:1">
      <c r="A995" s="271"/>
    </row>
    <row r="996" spans="1:1">
      <c r="A996" s="270"/>
    </row>
    <row r="997" spans="1:1">
      <c r="A997" s="271"/>
    </row>
    <row r="998" spans="1:1">
      <c r="A998" s="270"/>
    </row>
    <row r="999" spans="1:1">
      <c r="A999" s="271"/>
    </row>
    <row r="1000" spans="1:1">
      <c r="A1000" s="270"/>
    </row>
    <row r="1001" spans="1:1">
      <c r="A1001" s="271"/>
    </row>
    <row r="1002" spans="1:1">
      <c r="A1002" s="270"/>
    </row>
    <row r="1003" spans="1:1">
      <c r="A1003" s="269"/>
    </row>
    <row r="1004" spans="1:1">
      <c r="A1004" s="269"/>
    </row>
    <row r="1005" spans="1:1">
      <c r="A1005" s="269"/>
    </row>
    <row r="1006" spans="1:1">
      <c r="A1006" s="269"/>
    </row>
    <row r="1007" spans="1:1">
      <c r="A1007" s="271"/>
    </row>
    <row r="1008" spans="1:1">
      <c r="A1008" s="270"/>
    </row>
    <row r="1009" spans="1:1">
      <c r="A1009" s="271"/>
    </row>
    <row r="1010" spans="1:1">
      <c r="A1010" s="270"/>
    </row>
    <row r="1011" spans="1:1">
      <c r="A1011" s="271"/>
    </row>
    <row r="1012" spans="1:1">
      <c r="A1012" s="270"/>
    </row>
    <row r="1013" spans="1:1">
      <c r="A1013" s="271"/>
    </row>
    <row r="1014" spans="1:1">
      <c r="A1014" s="269"/>
    </row>
    <row r="1015" spans="1:1">
      <c r="A1015" s="271"/>
    </row>
    <row r="1016" spans="1:1">
      <c r="A1016" s="269"/>
    </row>
    <row r="1017" spans="1:1">
      <c r="A1017" s="271"/>
    </row>
    <row r="1018" spans="1:1">
      <c r="A1018" s="269"/>
    </row>
    <row r="1019" spans="1:1">
      <c r="A1019" s="271"/>
    </row>
    <row r="1020" spans="1:1">
      <c r="A1020" s="269"/>
    </row>
    <row r="1021" spans="1:1">
      <c r="A1021" s="271"/>
    </row>
    <row r="1022" spans="1:1">
      <c r="A1022" s="269"/>
    </row>
    <row r="1023" spans="1:1">
      <c r="A1023" s="271"/>
    </row>
    <row r="1024" spans="1:1">
      <c r="A1024" s="269"/>
    </row>
    <row r="1025" spans="1:1">
      <c r="A1025" s="271"/>
    </row>
    <row r="1026" spans="1:1">
      <c r="A1026" s="270"/>
    </row>
    <row r="1027" spans="1:1">
      <c r="A1027" s="271"/>
    </row>
    <row r="1028" spans="1:1">
      <c r="A1028" s="270"/>
    </row>
    <row r="1029" spans="1:1">
      <c r="A1029" s="271"/>
    </row>
    <row r="1030" spans="1:1">
      <c r="A1030" s="270"/>
    </row>
    <row r="1031" spans="1:1">
      <c r="A1031" s="269"/>
    </row>
    <row r="1032" spans="1:1">
      <c r="A1032" s="269"/>
    </row>
    <row r="1033" spans="1:1">
      <c r="A1033" s="269"/>
    </row>
    <row r="1034" spans="1:1">
      <c r="A1034" s="270"/>
    </row>
    <row r="1035" spans="1:1">
      <c r="A1035" s="271"/>
    </row>
    <row r="1036" spans="1:1">
      <c r="A1036" s="270"/>
    </row>
    <row r="1037" spans="1:1">
      <c r="A1037" s="269"/>
    </row>
    <row r="1038" spans="1:1">
      <c r="A1038" s="269"/>
    </row>
    <row r="1039" spans="1:1">
      <c r="A1039" s="269"/>
    </row>
    <row r="1040" spans="1:1">
      <c r="A1040" s="270"/>
    </row>
    <row r="1041" spans="1:1">
      <c r="A1041" s="269"/>
    </row>
    <row r="1042" spans="1:1">
      <c r="A1042" s="270"/>
    </row>
    <row r="1043" spans="1:1">
      <c r="A1043" s="269"/>
    </row>
    <row r="1044" spans="1:1">
      <c r="A1044" s="270"/>
    </row>
    <row r="1045" spans="1:1">
      <c r="A1045" s="269"/>
    </row>
    <row r="1046" spans="1:1">
      <c r="A1046" s="270"/>
    </row>
    <row r="1047" spans="1:1">
      <c r="A1047" s="271"/>
    </row>
    <row r="1048" spans="1:1">
      <c r="A1048" s="270"/>
    </row>
    <row r="1049" spans="1:1">
      <c r="A1049" s="271"/>
    </row>
    <row r="1050" spans="1:1">
      <c r="A1050" s="269"/>
    </row>
    <row r="1051" spans="1:1">
      <c r="A1051" s="269"/>
    </row>
    <row r="1052" spans="1:1">
      <c r="A1052" s="269"/>
    </row>
    <row r="1053" spans="1:1">
      <c r="A1053" s="271"/>
    </row>
    <row r="1054" spans="1:1">
      <c r="A1054" s="270"/>
    </row>
    <row r="1055" spans="1:1">
      <c r="A1055" s="269"/>
    </row>
    <row r="1056" spans="1:1">
      <c r="A1056" s="269"/>
    </row>
    <row r="1057" spans="1:1">
      <c r="A1057" s="269"/>
    </row>
    <row r="1058" spans="1:1">
      <c r="A1058" s="270"/>
    </row>
    <row r="1059" spans="1:1">
      <c r="A1059" s="271"/>
    </row>
    <row r="1060" spans="1:1">
      <c r="A1060" s="269"/>
    </row>
    <row r="1061" spans="1:1">
      <c r="A1061" s="271"/>
    </row>
    <row r="1062" spans="1:1">
      <c r="A1062" s="269"/>
    </row>
    <row r="1063" spans="1:1">
      <c r="A1063" s="271"/>
    </row>
    <row r="1064" spans="1:1">
      <c r="A1064" s="269"/>
    </row>
    <row r="1065" spans="1:1">
      <c r="A1065" s="271"/>
    </row>
    <row r="1066" spans="1:1">
      <c r="A1066" s="270"/>
    </row>
    <row r="1067" spans="1:1">
      <c r="A1067" s="271"/>
    </row>
    <row r="1068" spans="1:1">
      <c r="A1068" s="270"/>
    </row>
    <row r="1069" spans="1:1">
      <c r="A1069" s="271"/>
    </row>
    <row r="1070" spans="1:1">
      <c r="A1070" s="270"/>
    </row>
    <row r="1071" spans="1:1">
      <c r="A1071" s="269"/>
    </row>
    <row r="1072" spans="1:1">
      <c r="A1072" s="269"/>
    </row>
    <row r="1073" spans="1:1">
      <c r="A1073" s="269"/>
    </row>
    <row r="1074" spans="1:1">
      <c r="A1074" s="269"/>
    </row>
    <row r="1075" spans="1:1">
      <c r="A1075" s="269"/>
    </row>
    <row r="1076" spans="1:1">
      <c r="A1076" s="270"/>
    </row>
    <row r="1077" spans="1:1">
      <c r="A1077" s="271"/>
    </row>
    <row r="1078" spans="1:1">
      <c r="A1078" s="269"/>
    </row>
    <row r="1079" spans="1:1">
      <c r="A1079" s="269"/>
    </row>
    <row r="1080" spans="1:1">
      <c r="A1080" s="269"/>
    </row>
    <row r="1081" spans="1:1">
      <c r="A1081" s="271"/>
    </row>
    <row r="1082" spans="1:1">
      <c r="A1082" s="270"/>
    </row>
    <row r="1083" spans="1:1">
      <c r="A1083" s="271"/>
    </row>
    <row r="1084" spans="1:1">
      <c r="A1084" s="269"/>
    </row>
    <row r="1085" spans="1:1">
      <c r="A1085" s="269"/>
    </row>
    <row r="1086" spans="1:1">
      <c r="A1086" s="270"/>
    </row>
    <row r="1087" spans="1:1">
      <c r="A1087" s="269"/>
    </row>
    <row r="1088" spans="1:1">
      <c r="A1088" s="270"/>
    </row>
    <row r="1089" spans="1:1">
      <c r="A1089" s="269"/>
    </row>
    <row r="1090" spans="1:1">
      <c r="A1090" s="270"/>
    </row>
    <row r="1091" spans="1:1">
      <c r="A1091" s="269"/>
    </row>
    <row r="1092" spans="1:1">
      <c r="A1092" s="270"/>
    </row>
    <row r="1093" spans="1:1">
      <c r="A1093" s="269"/>
    </row>
    <row r="1094" spans="1:1">
      <c r="A1094" s="270"/>
    </row>
    <row r="1095" spans="1:1">
      <c r="A1095" s="271"/>
    </row>
    <row r="1096" spans="1:1">
      <c r="A1096" s="270"/>
    </row>
    <row r="1097" spans="1:1">
      <c r="A1097" s="271"/>
    </row>
    <row r="1098" spans="1:1">
      <c r="A1098" s="269"/>
    </row>
    <row r="1099" spans="1:1">
      <c r="A1099" s="271"/>
    </row>
    <row r="1100" spans="1:1">
      <c r="A1100" s="269"/>
    </row>
    <row r="1101" spans="1:1">
      <c r="A1101" s="271"/>
    </row>
    <row r="1102" spans="1:1">
      <c r="A1102" s="269"/>
    </row>
    <row r="1103" spans="1:1">
      <c r="A1103" s="269"/>
    </row>
    <row r="1104" spans="1:1">
      <c r="A1104" s="269"/>
    </row>
    <row r="1105" spans="1:1">
      <c r="A1105" s="269"/>
    </row>
    <row r="1106" spans="1:1">
      <c r="A1106" s="269"/>
    </row>
    <row r="1107" spans="1:1">
      <c r="A1107" s="271"/>
    </row>
    <row r="1108" spans="1:1">
      <c r="A1108" s="269"/>
    </row>
    <row r="1109" spans="1:1">
      <c r="A1109" s="271"/>
    </row>
    <row r="1110" spans="1:1">
      <c r="A1110" s="269"/>
    </row>
    <row r="1111" spans="1:1">
      <c r="A1111" s="271"/>
    </row>
    <row r="1112" spans="1:1">
      <c r="A1112" s="269"/>
    </row>
    <row r="1113" spans="1:1">
      <c r="A1113" s="269"/>
    </row>
    <row r="1114" spans="1:1">
      <c r="A1114" s="269"/>
    </row>
    <row r="1115" spans="1:1">
      <c r="A1115" s="271"/>
    </row>
    <row r="1116" spans="1:1">
      <c r="A1116" s="270"/>
    </row>
    <row r="1117" spans="1:1">
      <c r="A1117" s="271"/>
    </row>
    <row r="1118" spans="1:1">
      <c r="A1118" s="270"/>
    </row>
    <row r="1119" spans="1:1">
      <c r="A1119" s="271"/>
    </row>
    <row r="1120" spans="1:1">
      <c r="A1120" s="270"/>
    </row>
    <row r="1121" spans="1:1">
      <c r="A1121" s="271"/>
    </row>
    <row r="1122" spans="1:1">
      <c r="A1122" s="270"/>
    </row>
    <row r="1123" spans="1:1">
      <c r="A1123" s="271"/>
    </row>
    <row r="1124" spans="1:1">
      <c r="A1124" s="269"/>
    </row>
    <row r="1125" spans="1:1">
      <c r="A1125" s="269"/>
    </row>
    <row r="1126" spans="1:1">
      <c r="A1126" s="270"/>
    </row>
    <row r="1127" spans="1:1">
      <c r="A1127" s="269"/>
    </row>
    <row r="1128" spans="1:1">
      <c r="A1128" s="270"/>
    </row>
    <row r="1129" spans="1:1">
      <c r="A1129" s="271"/>
    </row>
    <row r="1130" spans="1:1">
      <c r="A1130" s="270"/>
    </row>
    <row r="1131" spans="1:1">
      <c r="A1131" s="269"/>
    </row>
    <row r="1132" spans="1:1">
      <c r="A1132" s="270"/>
    </row>
    <row r="1133" spans="1:1">
      <c r="A1133" s="269"/>
    </row>
    <row r="1134" spans="1:1">
      <c r="A1134" s="269"/>
    </row>
    <row r="1135" spans="1:1">
      <c r="A1135" s="269"/>
    </row>
    <row r="1136" spans="1:1">
      <c r="A1136" s="269"/>
    </row>
    <row r="1137" spans="1:1">
      <c r="A1137" s="269"/>
    </row>
    <row r="1138" spans="1:1">
      <c r="A1138" s="270"/>
    </row>
    <row r="1139" spans="1:1">
      <c r="A1139" s="271"/>
    </row>
    <row r="1140" spans="1:1">
      <c r="A1140" s="270"/>
    </row>
    <row r="1141" spans="1:1">
      <c r="A1141" s="271"/>
    </row>
    <row r="1142" spans="1:1">
      <c r="A1142" s="270"/>
    </row>
    <row r="1143" spans="1:1">
      <c r="A1143" s="271"/>
    </row>
    <row r="1144" spans="1:1">
      <c r="A1144" s="270"/>
    </row>
    <row r="1145" spans="1:1">
      <c r="A1145" s="271"/>
    </row>
    <row r="1146" spans="1:1">
      <c r="A1146" s="269"/>
    </row>
    <row r="1147" spans="1:1">
      <c r="A1147" s="269"/>
    </row>
    <row r="1148" spans="1:1">
      <c r="A1148" s="270"/>
    </row>
    <row r="1149" spans="1:1">
      <c r="A1149" s="271"/>
    </row>
    <row r="1150" spans="1:1">
      <c r="A1150" s="270"/>
    </row>
    <row r="1151" spans="1:1">
      <c r="A1151" s="269"/>
    </row>
    <row r="1152" spans="1:1">
      <c r="A1152" s="269"/>
    </row>
    <row r="1153" spans="1:1">
      <c r="A1153" s="269"/>
    </row>
    <row r="1154" spans="1:1">
      <c r="A1154" s="270"/>
    </row>
    <row r="1155" spans="1:1">
      <c r="A1155" s="271"/>
    </row>
    <row r="1156" spans="1:1">
      <c r="A1156" s="270"/>
    </row>
    <row r="1157" spans="1:1">
      <c r="A1157" s="271"/>
    </row>
    <row r="1158" spans="1:1">
      <c r="A1158" s="270"/>
    </row>
    <row r="1159" spans="1:1">
      <c r="A1159" s="271"/>
    </row>
    <row r="1160" spans="1:1">
      <c r="A1160" s="270"/>
    </row>
    <row r="1161" spans="1:1">
      <c r="A1161" s="271"/>
    </row>
    <row r="1162" spans="1:1">
      <c r="A1162" s="270"/>
    </row>
    <row r="1163" spans="1:1">
      <c r="A1163" s="271"/>
    </row>
    <row r="1164" spans="1:1">
      <c r="A1164" s="270"/>
    </row>
    <row r="1165" spans="1:1">
      <c r="A1165" s="271"/>
    </row>
    <row r="1166" spans="1:1">
      <c r="A1166" s="269"/>
    </row>
    <row r="1167" spans="1:1">
      <c r="A1167" s="269"/>
    </row>
    <row r="1168" spans="1:1">
      <c r="A1168" s="270"/>
    </row>
    <row r="1169" spans="1:1">
      <c r="A1169" s="271"/>
    </row>
    <row r="1170" spans="1:1">
      <c r="A1170" s="270"/>
    </row>
    <row r="1171" spans="1:1">
      <c r="A1171" s="271"/>
    </row>
    <row r="1172" spans="1:1">
      <c r="A1172" s="269"/>
    </row>
    <row r="1173" spans="1:1">
      <c r="A1173" s="271"/>
    </row>
    <row r="1174" spans="1:1">
      <c r="A1174" s="269"/>
    </row>
    <row r="1175" spans="1:1">
      <c r="A1175" s="269"/>
    </row>
    <row r="1176" spans="1:1">
      <c r="A1176" s="269"/>
    </row>
    <row r="1177" spans="1:1">
      <c r="A1177" s="269"/>
    </row>
    <row r="1178" spans="1:1">
      <c r="A1178" s="270"/>
    </row>
    <row r="1179" spans="1:1">
      <c r="A1179" s="271"/>
    </row>
    <row r="1180" spans="1:1">
      <c r="A1180" s="270"/>
    </row>
    <row r="1181" spans="1:1">
      <c r="A1181" s="271"/>
    </row>
    <row r="1182" spans="1:1">
      <c r="A1182" s="270"/>
    </row>
    <row r="1183" spans="1:1">
      <c r="A1183" s="269"/>
    </row>
    <row r="1184" spans="1:1">
      <c r="A1184" s="269"/>
    </row>
    <row r="1185" spans="1:1">
      <c r="A1185" s="269"/>
    </row>
    <row r="1186" spans="1:1">
      <c r="A1186" s="269"/>
    </row>
    <row r="1187" spans="1:1">
      <c r="A1187" s="271"/>
    </row>
    <row r="1188" spans="1:1">
      <c r="A1188" s="270"/>
    </row>
    <row r="1189" spans="1:1">
      <c r="A1189" s="271"/>
    </row>
    <row r="1190" spans="1:1">
      <c r="A1190" s="269"/>
    </row>
    <row r="1191" spans="1:1">
      <c r="A1191" s="269"/>
    </row>
    <row r="1192" spans="1:1">
      <c r="A1192" s="269"/>
    </row>
    <row r="1193" spans="1:1">
      <c r="A1193" s="269"/>
    </row>
    <row r="1194" spans="1:1">
      <c r="A1194" s="270"/>
    </row>
    <row r="1195" spans="1:1">
      <c r="A1195" s="271"/>
    </row>
    <row r="1196" spans="1:1">
      <c r="A1196" s="270"/>
    </row>
    <row r="1197" spans="1:1">
      <c r="A1197" s="269"/>
    </row>
    <row r="1198" spans="1:1">
      <c r="A1198" s="269"/>
    </row>
    <row r="1199" spans="1:1">
      <c r="A1199" s="269"/>
    </row>
    <row r="1200" spans="1:1">
      <c r="A1200" s="269"/>
    </row>
    <row r="1201" spans="1:1">
      <c r="A1201" s="271"/>
    </row>
    <row r="1202" spans="1:1">
      <c r="A1202" s="270"/>
    </row>
    <row r="1203" spans="1:1">
      <c r="A1203" s="271"/>
    </row>
    <row r="1204" spans="1:1">
      <c r="A1204" s="269"/>
    </row>
    <row r="1205" spans="1:1">
      <c r="A1205" s="269"/>
    </row>
    <row r="1206" spans="1:1">
      <c r="A1206" s="270"/>
    </row>
    <row r="1207" spans="1:1">
      <c r="A1207" s="271"/>
    </row>
    <row r="1208" spans="1:1">
      <c r="A1208" s="270"/>
    </row>
    <row r="1209" spans="1:1">
      <c r="A1209" s="271"/>
    </row>
    <row r="1210" spans="1:1">
      <c r="A1210" s="270"/>
    </row>
    <row r="1211" spans="1:1">
      <c r="A1211" s="271"/>
    </row>
    <row r="1212" spans="1:1">
      <c r="A1212" s="270"/>
    </row>
    <row r="1213" spans="1:1">
      <c r="A1213" s="271"/>
    </row>
    <row r="1214" spans="1:1">
      <c r="A1214" s="270"/>
    </row>
    <row r="1215" spans="1:1">
      <c r="A1215" s="269"/>
    </row>
    <row r="1216" spans="1:1">
      <c r="A1216" s="269"/>
    </row>
    <row r="1217" spans="1:1">
      <c r="A1217" s="269"/>
    </row>
    <row r="1218" spans="1:1">
      <c r="A1218" s="269"/>
    </row>
    <row r="1219" spans="1:1">
      <c r="A1219" s="271"/>
    </row>
    <row r="1220" spans="1:1">
      <c r="A1220" s="270"/>
    </row>
    <row r="1221" spans="1:1">
      <c r="A1221" s="271"/>
    </row>
    <row r="1222" spans="1:1">
      <c r="A1222" s="270"/>
    </row>
    <row r="1223" spans="1:1">
      <c r="A1223" s="271"/>
    </row>
    <row r="1224" spans="1:1">
      <c r="A1224" s="270"/>
    </row>
    <row r="1225" spans="1:1">
      <c r="A1225" s="271"/>
    </row>
    <row r="1226" spans="1:1">
      <c r="A1226" s="270"/>
    </row>
    <row r="1227" spans="1:1">
      <c r="A1227" s="271"/>
    </row>
    <row r="1228" spans="1:1">
      <c r="A1228" s="270"/>
    </row>
    <row r="1229" spans="1:1">
      <c r="A1229" s="271"/>
    </row>
    <row r="1230" spans="1:1">
      <c r="A1230" s="270"/>
    </row>
    <row r="1231" spans="1:1">
      <c r="A1231" s="271"/>
    </row>
    <row r="1232" spans="1:1">
      <c r="A1232" s="270"/>
    </row>
    <row r="1233" spans="1:1">
      <c r="A1233" s="269"/>
    </row>
    <row r="1234" spans="1:1">
      <c r="A1234" s="269"/>
    </row>
    <row r="1235" spans="1:1">
      <c r="A1235" s="269"/>
    </row>
    <row r="1236" spans="1:1">
      <c r="A1236" s="269"/>
    </row>
    <row r="1237" spans="1:1">
      <c r="A1237" s="269"/>
    </row>
    <row r="1238" spans="1:1">
      <c r="A1238" s="269"/>
    </row>
    <row r="1239" spans="1:1">
      <c r="A1239" s="269"/>
    </row>
    <row r="1240" spans="1:1">
      <c r="A1240" s="269"/>
    </row>
    <row r="1241" spans="1:1">
      <c r="A1241" s="269"/>
    </row>
    <row r="1242" spans="1:1">
      <c r="A1242" s="270"/>
    </row>
    <row r="1243" spans="1:1">
      <c r="A1243" s="271"/>
    </row>
    <row r="1244" spans="1:1">
      <c r="A1244" s="270"/>
    </row>
    <row r="1245" spans="1:1">
      <c r="A1245" s="271"/>
    </row>
    <row r="1246" spans="1:1">
      <c r="A1246" s="269"/>
    </row>
    <row r="1247" spans="1:1">
      <c r="A1247" s="269"/>
    </row>
    <row r="1248" spans="1:1">
      <c r="A1248" s="269"/>
    </row>
    <row r="1249" spans="1:1">
      <c r="A1249" s="269"/>
    </row>
    <row r="1250" spans="1:1">
      <c r="A1250" s="269"/>
    </row>
    <row r="1251" spans="1:1">
      <c r="A1251" s="271"/>
    </row>
    <row r="1252" spans="1:1">
      <c r="A1252" s="270"/>
    </row>
    <row r="1253" spans="1:1">
      <c r="A1253" s="271"/>
    </row>
    <row r="1254" spans="1:1">
      <c r="A1254" s="270"/>
    </row>
    <row r="1255" spans="1:1">
      <c r="A1255" s="269"/>
    </row>
    <row r="1256" spans="1:1">
      <c r="A1256" s="270"/>
    </row>
    <row r="1257" spans="1:1">
      <c r="A1257" s="271"/>
    </row>
    <row r="1258" spans="1:1">
      <c r="A1258" s="269"/>
    </row>
    <row r="1259" spans="1:1">
      <c r="A1259" s="271"/>
    </row>
    <row r="1260" spans="1:1">
      <c r="A1260" s="270"/>
    </row>
    <row r="1261" spans="1:1">
      <c r="A1261" s="271"/>
    </row>
    <row r="1262" spans="1:1">
      <c r="A1262" s="270"/>
    </row>
    <row r="1263" spans="1:1">
      <c r="A1263" s="271"/>
    </row>
    <row r="1264" spans="1:1">
      <c r="A1264" s="270"/>
    </row>
    <row r="1265" spans="1:1">
      <c r="A1265" s="271"/>
    </row>
    <row r="1266" spans="1:1">
      <c r="A1266" s="270"/>
    </row>
    <row r="1267" spans="1:1">
      <c r="A1267" s="271"/>
    </row>
    <row r="1268" spans="1:1">
      <c r="A1268" s="270"/>
    </row>
    <row r="1269" spans="1:1">
      <c r="A1269" s="271"/>
    </row>
    <row r="1270" spans="1:1">
      <c r="A1270" s="270"/>
    </row>
    <row r="1271" spans="1:1">
      <c r="A1271" s="271"/>
    </row>
    <row r="1272" spans="1:1">
      <c r="A1272" s="270"/>
    </row>
    <row r="1273" spans="1:1">
      <c r="A1273" s="271"/>
    </row>
    <row r="1274" spans="1:1">
      <c r="A1274" s="270"/>
    </row>
    <row r="1275" spans="1:1">
      <c r="A1275" s="271"/>
    </row>
    <row r="1276" spans="1:1">
      <c r="A1276" s="270"/>
    </row>
    <row r="1277" spans="1:1">
      <c r="A1277" s="271"/>
    </row>
    <row r="1278" spans="1:1">
      <c r="A1278" s="270"/>
    </row>
    <row r="1279" spans="1:1">
      <c r="A1279" s="271"/>
    </row>
    <row r="1280" spans="1:1">
      <c r="A1280" s="270"/>
    </row>
    <row r="1281" spans="1:1">
      <c r="A1281" s="271"/>
    </row>
    <row r="1282" spans="1:1">
      <c r="A1282" s="270"/>
    </row>
    <row r="1283" spans="1:1">
      <c r="A1283" s="269"/>
    </row>
    <row r="1284" spans="1:1">
      <c r="A1284" s="269"/>
    </row>
    <row r="1285" spans="1:1">
      <c r="A1285" s="271"/>
    </row>
    <row r="1286" spans="1:1">
      <c r="A1286" s="270"/>
    </row>
    <row r="1287" spans="1:1">
      <c r="A1287" s="269"/>
    </row>
    <row r="1288" spans="1:1">
      <c r="A1288" s="269"/>
    </row>
    <row r="1289" spans="1:1">
      <c r="A1289" s="269"/>
    </row>
    <row r="1290" spans="1:1">
      <c r="A1290" s="270"/>
    </row>
    <row r="1291" spans="1:1">
      <c r="A1291" s="271"/>
    </row>
    <row r="1292" spans="1:1">
      <c r="A1292" s="270"/>
    </row>
    <row r="1293" spans="1:1">
      <c r="A1293" s="271"/>
    </row>
    <row r="1294" spans="1:1">
      <c r="A1294" s="270"/>
    </row>
    <row r="1295" spans="1:1">
      <c r="A1295" s="271"/>
    </row>
    <row r="1296" spans="1:1">
      <c r="A1296" s="269"/>
    </row>
    <row r="1297" spans="1:1">
      <c r="A1297" s="269"/>
    </row>
    <row r="1298" spans="1:1">
      <c r="A1298" s="269"/>
    </row>
    <row r="1299" spans="1:1">
      <c r="A1299" s="269"/>
    </row>
    <row r="1300" spans="1:1">
      <c r="A1300" s="269"/>
    </row>
    <row r="1301" spans="1:1">
      <c r="A1301" s="269"/>
    </row>
    <row r="1302" spans="1:1">
      <c r="A1302" s="269"/>
    </row>
    <row r="1303" spans="1:1">
      <c r="A1303" s="271"/>
    </row>
    <row r="1304" spans="1:1">
      <c r="A1304" s="269"/>
    </row>
    <row r="1305" spans="1:1">
      <c r="A1305" s="269"/>
    </row>
    <row r="1306" spans="1:1">
      <c r="A1306" s="269"/>
    </row>
    <row r="1307" spans="1:1">
      <c r="A1307" s="269"/>
    </row>
    <row r="1308" spans="1:1">
      <c r="A1308" s="269"/>
    </row>
    <row r="1309" spans="1:1">
      <c r="A1309" s="269"/>
    </row>
    <row r="1310" spans="1:1">
      <c r="A1310" s="269"/>
    </row>
    <row r="1311" spans="1:1">
      <c r="A1311" s="269"/>
    </row>
    <row r="1312" spans="1:1">
      <c r="A1312" s="270"/>
    </row>
    <row r="1313" spans="1:1">
      <c r="A1313" s="271"/>
    </row>
    <row r="1314" spans="1:1">
      <c r="A1314" s="270"/>
    </row>
    <row r="1315" spans="1:1">
      <c r="A1315" s="271"/>
    </row>
    <row r="1316" spans="1:1">
      <c r="A1316" s="270"/>
    </row>
    <row r="1317" spans="1:1">
      <c r="A1317" s="271"/>
    </row>
    <row r="1318" spans="1:1">
      <c r="A1318" s="269"/>
    </row>
    <row r="1319" spans="1:1">
      <c r="A1319" s="269"/>
    </row>
    <row r="1320" spans="1:1">
      <c r="A1320" s="269"/>
    </row>
    <row r="1321" spans="1:1">
      <c r="A1321" s="269"/>
    </row>
    <row r="1322" spans="1:1">
      <c r="A1322" s="270"/>
    </row>
    <row r="1323" spans="1:1">
      <c r="A1323" s="271"/>
    </row>
    <row r="1324" spans="1:1">
      <c r="A1324" s="270"/>
    </row>
    <row r="1325" spans="1:1">
      <c r="A1325" s="271"/>
    </row>
    <row r="1326" spans="1:1">
      <c r="A1326" s="270"/>
    </row>
    <row r="1327" spans="1:1">
      <c r="A1327" s="271"/>
    </row>
    <row r="1328" spans="1:1">
      <c r="A1328" s="269"/>
    </row>
    <row r="1329" spans="1:1">
      <c r="A1329" s="271"/>
    </row>
    <row r="1330" spans="1:1">
      <c r="A1330" s="270"/>
    </row>
    <row r="1331" spans="1:1">
      <c r="A1331" s="271"/>
    </row>
    <row r="1332" spans="1:1">
      <c r="A1332" s="270"/>
    </row>
    <row r="1333" spans="1:1">
      <c r="A1333" s="271"/>
    </row>
    <row r="1334" spans="1:1">
      <c r="A1334" s="270"/>
    </row>
    <row r="1335" spans="1:1">
      <c r="A1335" s="271"/>
    </row>
    <row r="1336" spans="1:1">
      <c r="A1336" s="270"/>
    </row>
    <row r="1337" spans="1:1">
      <c r="A1337" s="271"/>
    </row>
    <row r="1338" spans="1:1">
      <c r="A1338" s="270"/>
    </row>
    <row r="1339" spans="1:1">
      <c r="A1339" s="271"/>
    </row>
    <row r="1340" spans="1:1">
      <c r="A1340" s="270"/>
    </row>
    <row r="1341" spans="1:1">
      <c r="A1341" s="271"/>
    </row>
    <row r="1342" spans="1:1">
      <c r="A1342" s="270"/>
    </row>
    <row r="1343" spans="1:1">
      <c r="A1343" s="271"/>
    </row>
    <row r="1344" spans="1:1">
      <c r="A1344" s="270"/>
    </row>
    <row r="1345" spans="1:1">
      <c r="A1345" s="271"/>
    </row>
    <row r="1346" spans="1:1">
      <c r="A1346" s="270"/>
    </row>
    <row r="1347" spans="1:1">
      <c r="A1347" s="271"/>
    </row>
    <row r="1348" spans="1:1">
      <c r="A1348" s="270"/>
    </row>
    <row r="1349" spans="1:1">
      <c r="A1349" s="271"/>
    </row>
    <row r="1350" spans="1:1">
      <c r="A1350" s="270"/>
    </row>
    <row r="1351" spans="1:1">
      <c r="A1351" s="271"/>
    </row>
    <row r="1352" spans="1:1">
      <c r="A1352" s="269"/>
    </row>
    <row r="1353" spans="1:1">
      <c r="A1353" s="271"/>
    </row>
    <row r="1354" spans="1:1">
      <c r="A1354" s="269"/>
    </row>
    <row r="1355" spans="1:1">
      <c r="A1355" s="271"/>
    </row>
    <row r="1356" spans="1:1">
      <c r="A1356" s="270"/>
    </row>
    <row r="1357" spans="1:1">
      <c r="A1357" s="271"/>
    </row>
    <row r="1358" spans="1:1">
      <c r="A1358" s="269"/>
    </row>
    <row r="1359" spans="1:1">
      <c r="A1359" s="269"/>
    </row>
    <row r="1360" spans="1:1">
      <c r="A1360" s="269"/>
    </row>
    <row r="1361" spans="1:1">
      <c r="A1361" s="269"/>
    </row>
    <row r="1362" spans="1:1">
      <c r="A1362" s="269"/>
    </row>
    <row r="1363" spans="1:1">
      <c r="A1363" s="269"/>
    </row>
    <row r="1364" spans="1:1">
      <c r="A1364" s="269"/>
    </row>
    <row r="1365" spans="1:1">
      <c r="A1365" s="269"/>
    </row>
    <row r="1366" spans="1:1">
      <c r="A1366" s="270"/>
    </row>
    <row r="1367" spans="1:1">
      <c r="A1367" s="271"/>
    </row>
    <row r="1368" spans="1:1">
      <c r="A1368" s="270"/>
    </row>
    <row r="1369" spans="1:1">
      <c r="A1369" s="271"/>
    </row>
    <row r="1370" spans="1:1">
      <c r="A1370" s="270"/>
    </row>
    <row r="1371" spans="1:1">
      <c r="A1371" s="271"/>
    </row>
    <row r="1372" spans="1:1">
      <c r="A1372" s="270"/>
    </row>
    <row r="1373" spans="1:1">
      <c r="A1373" s="271"/>
    </row>
    <row r="1374" spans="1:1">
      <c r="A1374" s="269"/>
    </row>
    <row r="1375" spans="1:1">
      <c r="A1375" s="269"/>
    </row>
    <row r="1376" spans="1:1">
      <c r="A1376" s="270"/>
    </row>
    <row r="1377" spans="1:1">
      <c r="A1377" s="271"/>
    </row>
    <row r="1378" spans="1:1">
      <c r="A1378" s="270"/>
    </row>
    <row r="1379" spans="1:1">
      <c r="A1379" s="269"/>
    </row>
    <row r="1380" spans="1:1">
      <c r="A1380" s="270"/>
    </row>
    <row r="1381" spans="1:1">
      <c r="A1381" s="269"/>
    </row>
    <row r="1382" spans="1:1">
      <c r="A1382" s="269"/>
    </row>
    <row r="1383" spans="1:1">
      <c r="A1383" s="269"/>
    </row>
    <row r="1384" spans="1:1">
      <c r="A1384" s="269"/>
    </row>
    <row r="1385" spans="1:1">
      <c r="A1385" s="269"/>
    </row>
    <row r="1386" spans="1:1">
      <c r="A1386" s="270"/>
    </row>
    <row r="1387" spans="1:1">
      <c r="A1387" s="271"/>
    </row>
    <row r="1388" spans="1:1">
      <c r="A1388" s="270"/>
    </row>
    <row r="1389" spans="1:1">
      <c r="A1389" s="271"/>
    </row>
    <row r="1390" spans="1:1">
      <c r="A1390" s="270"/>
    </row>
    <row r="1391" spans="1:1">
      <c r="A1391" s="271"/>
    </row>
    <row r="1392" spans="1:1">
      <c r="A1392" s="269"/>
    </row>
    <row r="1393" spans="1:1">
      <c r="A1393" s="269"/>
    </row>
    <row r="1394" spans="1:1">
      <c r="A1394" s="269"/>
    </row>
    <row r="1395" spans="1:1">
      <c r="A1395" s="269"/>
    </row>
    <row r="1396" spans="1:1">
      <c r="A1396" s="270"/>
    </row>
    <row r="1397" spans="1:1">
      <c r="A1397" s="271"/>
    </row>
    <row r="1398" spans="1:1">
      <c r="A1398" s="270"/>
    </row>
    <row r="1399" spans="1:1">
      <c r="A1399" s="271"/>
    </row>
    <row r="1400" spans="1:1">
      <c r="A1400" s="270"/>
    </row>
    <row r="1401" spans="1:1">
      <c r="A1401" s="269"/>
    </row>
    <row r="1402" spans="1:1">
      <c r="A1402" s="270"/>
    </row>
    <row r="1403" spans="1:1">
      <c r="A1403" s="271"/>
    </row>
    <row r="1404" spans="1:1">
      <c r="A1404" s="270"/>
    </row>
    <row r="1405" spans="1:1">
      <c r="A1405" s="271"/>
    </row>
    <row r="1406" spans="1:1">
      <c r="A1406" s="269"/>
    </row>
    <row r="1407" spans="1:1">
      <c r="A1407" s="271"/>
    </row>
    <row r="1408" spans="1:1">
      <c r="A1408" s="270"/>
    </row>
    <row r="1409" spans="1:1">
      <c r="A1409" s="269"/>
    </row>
    <row r="1410" spans="1:1">
      <c r="A1410" s="269"/>
    </row>
    <row r="1411" spans="1:1">
      <c r="A1411" s="269"/>
    </row>
    <row r="1412" spans="1:1">
      <c r="A1412" s="270"/>
    </row>
    <row r="1413" spans="1:1">
      <c r="A1413" s="271"/>
    </row>
    <row r="1414" spans="1:1">
      <c r="A1414" s="270"/>
    </row>
    <row r="1415" spans="1:1">
      <c r="A1415" s="271"/>
    </row>
    <row r="1416" spans="1:1">
      <c r="A1416" s="270"/>
    </row>
    <row r="1417" spans="1:1">
      <c r="A1417" s="271"/>
    </row>
    <row r="1418" spans="1:1">
      <c r="A1418" s="270"/>
    </row>
    <row r="1419" spans="1:1">
      <c r="A1419" s="271"/>
    </row>
    <row r="1420" spans="1:1">
      <c r="A1420" s="270"/>
    </row>
    <row r="1421" spans="1:1">
      <c r="A1421" s="271"/>
    </row>
    <row r="1422" spans="1:1">
      <c r="A1422" s="270"/>
    </row>
    <row r="1423" spans="1:1">
      <c r="A1423" s="271"/>
    </row>
    <row r="1424" spans="1:1">
      <c r="A1424" s="270"/>
    </row>
    <row r="1425" spans="1:1">
      <c r="A1425" s="271"/>
    </row>
    <row r="1426" spans="1:1">
      <c r="A1426" s="270"/>
    </row>
    <row r="1427" spans="1:1">
      <c r="A1427" s="271"/>
    </row>
    <row r="1428" spans="1:1">
      <c r="A1428" s="270"/>
    </row>
    <row r="1429" spans="1:1">
      <c r="A1429" s="271"/>
    </row>
    <row r="1430" spans="1:1">
      <c r="A1430" s="270"/>
    </row>
    <row r="1431" spans="1:1">
      <c r="A1431" s="271"/>
    </row>
    <row r="1432" spans="1:1">
      <c r="A1432" s="270"/>
    </row>
    <row r="1433" spans="1:1">
      <c r="A1433" s="269"/>
    </row>
    <row r="1434" spans="1:1">
      <c r="A1434" s="270"/>
    </row>
    <row r="1435" spans="1:1">
      <c r="A1435" s="269"/>
    </row>
    <row r="1436" spans="1:1">
      <c r="A1436" s="270"/>
    </row>
    <row r="1437" spans="1:1">
      <c r="A1437" s="269"/>
    </row>
    <row r="1438" spans="1:1">
      <c r="A1438" s="269"/>
    </row>
    <row r="1439" spans="1:1">
      <c r="A1439" s="271"/>
    </row>
    <row r="1440" spans="1:1">
      <c r="A1440" s="270"/>
    </row>
    <row r="1441" spans="1:1">
      <c r="A1441" s="271"/>
    </row>
    <row r="1442" spans="1:1">
      <c r="A1442" s="270"/>
    </row>
    <row r="1443" spans="1:1">
      <c r="A1443" s="269"/>
    </row>
    <row r="1444" spans="1:1">
      <c r="A1444" s="270"/>
    </row>
    <row r="1445" spans="1:1">
      <c r="A1445" s="271"/>
    </row>
    <row r="1446" spans="1:1">
      <c r="A1446" s="270"/>
    </row>
    <row r="1447" spans="1:1">
      <c r="A1447" s="269"/>
    </row>
    <row r="1448" spans="1:1">
      <c r="A1448" s="270"/>
    </row>
    <row r="1449" spans="1:1">
      <c r="A1449" s="269"/>
    </row>
    <row r="1450" spans="1:1">
      <c r="A1450" s="270"/>
    </row>
    <row r="1451" spans="1:1">
      <c r="A1451" s="269"/>
    </row>
    <row r="1452" spans="1:1">
      <c r="A1452" s="269"/>
    </row>
    <row r="1453" spans="1:1">
      <c r="A1453" s="269"/>
    </row>
    <row r="1454" spans="1:1">
      <c r="A1454" s="269"/>
    </row>
    <row r="1455" spans="1:1">
      <c r="A1455" s="269"/>
    </row>
    <row r="1456" spans="1:1">
      <c r="A1456" s="269"/>
    </row>
    <row r="1457" spans="1:1">
      <c r="A1457" s="271"/>
    </row>
    <row r="1458" spans="1:1">
      <c r="A1458" s="269"/>
    </row>
    <row r="1459" spans="1:1">
      <c r="A1459" s="269"/>
    </row>
    <row r="1460" spans="1:1">
      <c r="A1460" s="269"/>
    </row>
    <row r="1461" spans="1:1">
      <c r="A1461" s="269"/>
    </row>
    <row r="1462" spans="1:1">
      <c r="A1462" s="269"/>
    </row>
    <row r="1463" spans="1:1">
      <c r="A1463" s="269"/>
    </row>
    <row r="1464" spans="1:1">
      <c r="A1464" s="269"/>
    </row>
    <row r="1465" spans="1:1">
      <c r="A1465" s="269"/>
    </row>
    <row r="1466" spans="1:1">
      <c r="A1466" s="269"/>
    </row>
    <row r="1467" spans="1:1">
      <c r="A1467" s="269"/>
    </row>
    <row r="1468" spans="1:1">
      <c r="A1468" s="269"/>
    </row>
    <row r="1469" spans="1:1">
      <c r="A1469" s="269"/>
    </row>
    <row r="1470" spans="1:1">
      <c r="A1470" s="269"/>
    </row>
    <row r="1471" spans="1:1">
      <c r="A1471" s="269"/>
    </row>
    <row r="1472" spans="1:1">
      <c r="A1472" s="270"/>
    </row>
    <row r="1473" spans="1:1">
      <c r="A1473" s="271"/>
    </row>
    <row r="1474" spans="1:1">
      <c r="A1474" s="269"/>
    </row>
    <row r="1475" spans="1:1">
      <c r="A1475" s="269"/>
    </row>
    <row r="1476" spans="1:1">
      <c r="A1476" s="269"/>
    </row>
    <row r="1477" spans="1:1">
      <c r="A1477" s="269"/>
    </row>
    <row r="1478" spans="1:1">
      <c r="A1478" s="269"/>
    </row>
    <row r="1479" spans="1:1">
      <c r="A1479" s="271"/>
    </row>
    <row r="1480" spans="1:1">
      <c r="A1480" s="270"/>
    </row>
    <row r="1481" spans="1:1">
      <c r="A1481" s="271"/>
    </row>
    <row r="1482" spans="1:1">
      <c r="A1482" s="270"/>
    </row>
    <row r="1483" spans="1:1">
      <c r="A1483" s="271"/>
    </row>
    <row r="1484" spans="1:1">
      <c r="A1484" s="269"/>
    </row>
    <row r="1485" spans="1:1">
      <c r="A1485" s="269"/>
    </row>
    <row r="1486" spans="1:1">
      <c r="A1486" s="270"/>
    </row>
    <row r="1487" spans="1:1">
      <c r="A1487" s="271"/>
    </row>
    <row r="1488" spans="1:1">
      <c r="A1488" s="270"/>
    </row>
    <row r="1489" spans="1:1">
      <c r="A1489" s="271"/>
    </row>
    <row r="1490" spans="1:1">
      <c r="A1490" s="269"/>
    </row>
    <row r="1491" spans="1:1">
      <c r="A1491" s="269"/>
    </row>
    <row r="1492" spans="1:1">
      <c r="A1492" s="269"/>
    </row>
    <row r="1493" spans="1:1">
      <c r="A1493" s="269"/>
    </row>
    <row r="1494" spans="1:1">
      <c r="A1494" s="270"/>
    </row>
    <row r="1495" spans="1:1">
      <c r="A1495" s="271"/>
    </row>
    <row r="1496" spans="1:1">
      <c r="A1496" s="270"/>
    </row>
    <row r="1497" spans="1:1">
      <c r="A1497" s="271"/>
    </row>
    <row r="1498" spans="1:1">
      <c r="A1498" s="270"/>
    </row>
    <row r="1499" spans="1:1">
      <c r="A1499" s="265"/>
    </row>
    <row r="1500" spans="1:1">
      <c r="A1500" s="272"/>
    </row>
    <row r="1501" spans="1:1">
      <c r="A1501" s="273"/>
    </row>
    <row r="1502" spans="1:1">
      <c r="A1502" s="272"/>
    </row>
    <row r="1503" spans="1:1">
      <c r="A1503" s="273"/>
    </row>
    <row r="1504" spans="1:1">
      <c r="A1504" s="272"/>
    </row>
    <row r="1505" spans="1:1">
      <c r="A1505" s="273"/>
    </row>
    <row r="1506" spans="1:1">
      <c r="A1506" s="272"/>
    </row>
    <row r="1507" spans="1:1">
      <c r="A1507" s="273"/>
    </row>
    <row r="1508" spans="1:1">
      <c r="A1508" s="272"/>
    </row>
    <row r="1509" spans="1:1">
      <c r="A1509" s="273"/>
    </row>
    <row r="1510" spans="1:1">
      <c r="A1510" s="272"/>
    </row>
    <row r="1511" spans="1:1">
      <c r="A1511" s="273"/>
    </row>
    <row r="1512" spans="1:1">
      <c r="A1512" s="272"/>
    </row>
    <row r="1513" spans="1:1">
      <c r="A1513" s="273"/>
    </row>
    <row r="1514" spans="1:1">
      <c r="A1514" s="272"/>
    </row>
    <row r="1515" spans="1:1">
      <c r="A1515" s="273"/>
    </row>
    <row r="1516" spans="1:1">
      <c r="A1516" s="272"/>
    </row>
    <row r="1517" spans="1:1">
      <c r="A1517" s="273"/>
    </row>
    <row r="1518" spans="1:1">
      <c r="A1518" s="272"/>
    </row>
    <row r="1519" spans="1:1">
      <c r="A1519" s="273"/>
    </row>
    <row r="1520" spans="1:1">
      <c r="A1520" s="272"/>
    </row>
    <row r="1521" spans="1:1">
      <c r="A1521" s="273"/>
    </row>
    <row r="1522" spans="1:1">
      <c r="A1522" s="272"/>
    </row>
    <row r="1523" spans="1:1">
      <c r="A1523" s="273"/>
    </row>
    <row r="1524" spans="1:1">
      <c r="A1524" s="272"/>
    </row>
    <row r="1525" spans="1:1">
      <c r="A1525" s="273"/>
    </row>
    <row r="1526" spans="1:1">
      <c r="A1526" s="272"/>
    </row>
    <row r="1527" spans="1:1">
      <c r="A1527" s="273"/>
    </row>
    <row r="1528" spans="1:1">
      <c r="A1528" s="272"/>
    </row>
    <row r="1529" spans="1:1">
      <c r="A1529" s="273"/>
    </row>
    <row r="1530" spans="1:1">
      <c r="A1530" s="272"/>
    </row>
    <row r="1531" spans="1:1">
      <c r="A1531" s="273"/>
    </row>
    <row r="1532" spans="1:1">
      <c r="A1532" s="272"/>
    </row>
    <row r="1533" spans="1:1">
      <c r="A1533" s="273"/>
    </row>
    <row r="1534" spans="1:1">
      <c r="A1534" s="272"/>
    </row>
    <row r="1535" spans="1:1">
      <c r="A1535" s="273"/>
    </row>
    <row r="1536" spans="1:1">
      <c r="A1536" s="272"/>
    </row>
    <row r="1537" spans="1:1">
      <c r="A1537" s="273"/>
    </row>
    <row r="1538" spans="1:1">
      <c r="A1538" s="272"/>
    </row>
    <row r="1539" spans="1:1">
      <c r="A1539" s="273"/>
    </row>
    <row r="1540" spans="1:1">
      <c r="A1540" s="272"/>
    </row>
    <row r="1541" spans="1:1">
      <c r="A1541" s="273"/>
    </row>
    <row r="1542" spans="1:1">
      <c r="A1542" s="272"/>
    </row>
    <row r="1543" spans="1:1">
      <c r="A1543" s="273"/>
    </row>
    <row r="1544" spans="1:1">
      <c r="A1544" s="272"/>
    </row>
    <row r="1545" spans="1:1">
      <c r="A1545" s="273"/>
    </row>
    <row r="1546" spans="1:1">
      <c r="A1546" s="272"/>
    </row>
    <row r="1547" spans="1:1">
      <c r="A1547" s="272"/>
    </row>
    <row r="1548" spans="1:1">
      <c r="A1548" s="273"/>
    </row>
    <row r="1549" spans="1:1">
      <c r="A1549" s="272"/>
    </row>
    <row r="1550" spans="1:1">
      <c r="A1550" s="273"/>
    </row>
    <row r="1551" spans="1:1">
      <c r="A1551" s="272"/>
    </row>
    <row r="1552" spans="1:1">
      <c r="A1552" s="273"/>
    </row>
    <row r="1553" spans="1:1">
      <c r="A1553" s="272"/>
    </row>
    <row r="1554" spans="1:1">
      <c r="A1554" s="273"/>
    </row>
    <row r="1555" spans="1:1">
      <c r="A1555" s="272"/>
    </row>
    <row r="1556" spans="1:1">
      <c r="A1556" s="273"/>
    </row>
    <row r="1557" spans="1:1">
      <c r="A1557" s="272"/>
    </row>
    <row r="1558" spans="1:1">
      <c r="A1558" s="273"/>
    </row>
    <row r="1559" spans="1:1">
      <c r="A1559" s="272"/>
    </row>
    <row r="1560" spans="1:1">
      <c r="A1560" s="273"/>
    </row>
    <row r="1561" spans="1:1">
      <c r="A1561" s="272"/>
    </row>
    <row r="1562" spans="1:1">
      <c r="A1562" s="273"/>
    </row>
    <row r="1563" spans="1:1">
      <c r="A1563" s="272"/>
    </row>
    <row r="1564" spans="1:1">
      <c r="A1564" s="273"/>
    </row>
    <row r="1565" spans="1:1">
      <c r="A1565" s="272"/>
    </row>
    <row r="1566" spans="1:1">
      <c r="A1566" s="273"/>
    </row>
    <row r="1567" spans="1:1">
      <c r="A1567" s="272"/>
    </row>
    <row r="1568" spans="1:1">
      <c r="A1568" s="273"/>
    </row>
    <row r="1569" spans="1:1">
      <c r="A1569" s="272"/>
    </row>
    <row r="1570" spans="1:1">
      <c r="A1570" s="273"/>
    </row>
    <row r="1571" spans="1:1">
      <c r="A1571" s="272"/>
    </row>
    <row r="1572" spans="1:1">
      <c r="A1572" s="273"/>
    </row>
    <row r="1573" spans="1:1">
      <c r="A1573" s="272"/>
    </row>
    <row r="1574" spans="1:1">
      <c r="A1574" s="273"/>
    </row>
    <row r="1575" spans="1:1">
      <c r="A1575" s="272"/>
    </row>
    <row r="1576" spans="1:1">
      <c r="A1576" s="273"/>
    </row>
    <row r="1577" spans="1:1">
      <c r="A1577" s="272"/>
    </row>
    <row r="1578" spans="1:1">
      <c r="A1578" s="273"/>
    </row>
    <row r="1579" spans="1:1">
      <c r="A1579" s="272"/>
    </row>
    <row r="1580" spans="1:1">
      <c r="A1580" s="273"/>
    </row>
    <row r="1581" spans="1:1">
      <c r="A1581" s="272"/>
    </row>
    <row r="1582" spans="1:1">
      <c r="A1582" s="273"/>
    </row>
    <row r="1583" spans="1:1">
      <c r="A1583" s="272"/>
    </row>
    <row r="1584" spans="1:1">
      <c r="A1584" s="273"/>
    </row>
    <row r="1585" spans="1:1">
      <c r="A1585" s="272"/>
    </row>
    <row r="1586" spans="1:1">
      <c r="A1586" s="273"/>
    </row>
    <row r="1587" spans="1:1">
      <c r="A1587" s="272"/>
    </row>
    <row r="1588" spans="1:1">
      <c r="A1588" s="273"/>
    </row>
    <row r="1589" spans="1:1">
      <c r="A1589" s="272"/>
    </row>
    <row r="1590" spans="1:1">
      <c r="A1590" s="273"/>
    </row>
    <row r="1591" spans="1:1">
      <c r="A1591" s="272"/>
    </row>
    <row r="1592" spans="1:1">
      <c r="A1592" s="273"/>
    </row>
    <row r="1593" spans="1:1">
      <c r="A1593" s="272"/>
    </row>
    <row r="1594" spans="1:1">
      <c r="A1594" s="273"/>
    </row>
    <row r="1595" spans="1:1">
      <c r="A1595" s="272"/>
    </row>
    <row r="1596" spans="1:1">
      <c r="A1596" s="273"/>
    </row>
    <row r="1597" spans="1:1">
      <c r="A1597" s="272"/>
    </row>
    <row r="1598" spans="1:1">
      <c r="A1598" s="273"/>
    </row>
    <row r="1599" spans="1:1">
      <c r="A1599" s="272"/>
    </row>
    <row r="1600" spans="1:1">
      <c r="A1600" s="273"/>
    </row>
    <row r="1601" spans="1:1">
      <c r="A1601" s="272"/>
    </row>
    <row r="1602" spans="1:1">
      <c r="A1602" s="273"/>
    </row>
    <row r="1603" spans="1:1">
      <c r="A1603" s="272"/>
    </row>
    <row r="1604" spans="1:1">
      <c r="A1604" s="273"/>
    </row>
    <row r="1605" spans="1:1">
      <c r="A1605" s="272"/>
    </row>
    <row r="1606" spans="1:1">
      <c r="A1606" s="273"/>
    </row>
    <row r="1607" spans="1:1">
      <c r="A1607" s="272"/>
    </row>
    <row r="1608" spans="1:1">
      <c r="A1608" s="273"/>
    </row>
    <row r="1609" spans="1:1">
      <c r="A1609" s="272"/>
    </row>
    <row r="1610" spans="1:1">
      <c r="A1610" s="273"/>
    </row>
    <row r="1611" spans="1:1">
      <c r="A1611" s="272"/>
    </row>
    <row r="1612" spans="1:1">
      <c r="A1612" s="273"/>
    </row>
    <row r="1613" spans="1:1">
      <c r="A1613" s="272"/>
    </row>
    <row r="1614" spans="1:1">
      <c r="A1614" s="273"/>
    </row>
    <row r="1615" spans="1:1">
      <c r="A1615" s="272"/>
    </row>
    <row r="1616" spans="1:1">
      <c r="A1616" s="273"/>
    </row>
    <row r="1617" spans="1:1">
      <c r="A1617" s="272"/>
    </row>
    <row r="1618" spans="1:1">
      <c r="A1618" s="273"/>
    </row>
    <row r="1619" spans="1:1">
      <c r="A1619" s="272"/>
    </row>
    <row r="1620" spans="1:1">
      <c r="A1620" s="273"/>
    </row>
    <row r="1621" spans="1:1">
      <c r="A1621" s="272"/>
    </row>
    <row r="1622" spans="1:1">
      <c r="A1622" s="273"/>
    </row>
    <row r="1623" spans="1:1">
      <c r="A1623" s="272"/>
    </row>
    <row r="1624" spans="1:1">
      <c r="A1624" s="273"/>
    </row>
    <row r="1625" spans="1:1">
      <c r="A1625" s="272"/>
    </row>
    <row r="1626" spans="1:1">
      <c r="A1626" s="273"/>
    </row>
    <row r="1627" spans="1:1">
      <c r="A1627" s="272"/>
    </row>
    <row r="1628" spans="1:1">
      <c r="A1628" s="273"/>
    </row>
    <row r="1629" spans="1:1">
      <c r="A1629" s="272"/>
    </row>
    <row r="1630" spans="1:1">
      <c r="A1630" s="273"/>
    </row>
    <row r="1631" spans="1:1">
      <c r="A1631" s="272"/>
    </row>
    <row r="1632" spans="1:1">
      <c r="A1632" s="273"/>
    </row>
    <row r="1633" spans="1:1">
      <c r="A1633" s="272"/>
    </row>
    <row r="1634" spans="1:1">
      <c r="A1634" s="273"/>
    </row>
    <row r="1635" spans="1:1">
      <c r="A1635" s="272"/>
    </row>
    <row r="1636" spans="1:1">
      <c r="A1636" s="273"/>
    </row>
    <row r="1637" spans="1:1">
      <c r="A1637" s="272"/>
    </row>
    <row r="1638" spans="1:1">
      <c r="A1638" s="273"/>
    </row>
    <row r="1639" spans="1:1">
      <c r="A1639" s="272"/>
    </row>
    <row r="1640" spans="1:1">
      <c r="A1640" s="273"/>
    </row>
    <row r="1641" spans="1:1">
      <c r="A1641" s="272"/>
    </row>
    <row r="1642" spans="1:1">
      <c r="A1642" s="273"/>
    </row>
    <row r="1643" spans="1:1">
      <c r="A1643" s="272"/>
    </row>
    <row r="1644" spans="1:1">
      <c r="A1644" s="273"/>
    </row>
    <row r="1645" spans="1:1">
      <c r="A1645" s="272"/>
    </row>
    <row r="1646" spans="1:1">
      <c r="A1646" s="273"/>
    </row>
    <row r="1647" spans="1:1">
      <c r="A1647" s="272"/>
    </row>
    <row r="1648" spans="1:1">
      <c r="A1648" s="273"/>
    </row>
    <row r="1649" spans="1:1">
      <c r="A1649" s="272"/>
    </row>
    <row r="1650" spans="1:1">
      <c r="A1650" s="273"/>
    </row>
    <row r="1651" spans="1:1">
      <c r="A1651" s="272"/>
    </row>
    <row r="1652" spans="1:1">
      <c r="A1652" s="273"/>
    </row>
    <row r="1653" spans="1:1">
      <c r="A1653" s="272"/>
    </row>
    <row r="1654" spans="1:1">
      <c r="A1654" s="273"/>
    </row>
    <row r="1655" spans="1:1">
      <c r="A1655" s="272"/>
    </row>
    <row r="1656" spans="1:1">
      <c r="A1656" s="273"/>
    </row>
    <row r="1657" spans="1:1">
      <c r="A1657" s="272"/>
    </row>
    <row r="1658" spans="1:1">
      <c r="A1658" s="273"/>
    </row>
    <row r="1659" spans="1:1">
      <c r="A1659" s="272"/>
    </row>
    <row r="1660" spans="1:1">
      <c r="A1660" s="273"/>
    </row>
    <row r="1661" spans="1:1">
      <c r="A1661" s="272"/>
    </row>
    <row r="1662" spans="1:1">
      <c r="A1662" s="273"/>
    </row>
    <row r="1663" spans="1:1">
      <c r="A1663" s="272"/>
    </row>
    <row r="1664" spans="1:1">
      <c r="A1664" s="273"/>
    </row>
    <row r="1665" spans="1:1">
      <c r="A1665" s="272"/>
    </row>
    <row r="1666" spans="1:1">
      <c r="A1666" s="273"/>
    </row>
    <row r="1667" spans="1:1">
      <c r="A1667" s="272"/>
    </row>
    <row r="1668" spans="1:1">
      <c r="A1668" s="273"/>
    </row>
    <row r="1669" spans="1:1">
      <c r="A1669" s="272"/>
    </row>
    <row r="1670" spans="1:1">
      <c r="A1670" s="273"/>
    </row>
    <row r="1671" spans="1:1">
      <c r="A1671" s="272"/>
    </row>
    <row r="1672" spans="1:1">
      <c r="A1672" s="273"/>
    </row>
    <row r="1673" spans="1:1">
      <c r="A1673" s="272"/>
    </row>
    <row r="1674" spans="1:1">
      <c r="A1674" s="273"/>
    </row>
    <row r="1675" spans="1:1">
      <c r="A1675" s="272"/>
    </row>
    <row r="1676" spans="1:1">
      <c r="A1676" s="273"/>
    </row>
    <row r="1677" spans="1:1">
      <c r="A1677" s="272"/>
    </row>
    <row r="1678" spans="1:1">
      <c r="A1678" s="273"/>
    </row>
    <row r="1679" spans="1:1">
      <c r="A1679" s="272"/>
    </row>
    <row r="1680" spans="1:1">
      <c r="A1680" s="273"/>
    </row>
    <row r="1681" spans="1:1">
      <c r="A1681" s="272"/>
    </row>
    <row r="1682" spans="1:1">
      <c r="A1682" s="273"/>
    </row>
    <row r="1683" spans="1:1">
      <c r="A1683" s="272"/>
    </row>
    <row r="1684" spans="1:1">
      <c r="A1684" s="273"/>
    </row>
    <row r="1685" spans="1:1">
      <c r="A1685" s="272"/>
    </row>
    <row r="1686" spans="1:1">
      <c r="A1686" s="273"/>
    </row>
    <row r="1687" spans="1:1">
      <c r="A1687" s="272"/>
    </row>
    <row r="1688" spans="1:1">
      <c r="A1688" s="273"/>
    </row>
    <row r="1689" spans="1:1">
      <c r="A1689" s="272"/>
    </row>
    <row r="1690" spans="1:1">
      <c r="A1690" s="273"/>
    </row>
    <row r="1691" spans="1:1">
      <c r="A1691" s="272"/>
    </row>
    <row r="1692" spans="1:1">
      <c r="A1692" s="273"/>
    </row>
    <row r="1693" spans="1:1">
      <c r="A1693" s="272"/>
    </row>
    <row r="1694" spans="1:1">
      <c r="A1694" s="273"/>
    </row>
    <row r="1695" spans="1:1">
      <c r="A1695" s="272"/>
    </row>
    <row r="1696" spans="1:1">
      <c r="A1696" s="273"/>
    </row>
    <row r="1697" spans="1:1">
      <c r="A1697" s="272"/>
    </row>
    <row r="1698" spans="1:1">
      <c r="A1698" s="273"/>
    </row>
    <row r="1699" spans="1:1">
      <c r="A1699" s="272"/>
    </row>
    <row r="1700" spans="1:1">
      <c r="A1700" s="273"/>
    </row>
    <row r="1701" spans="1:1">
      <c r="A1701" s="272"/>
    </row>
    <row r="1702" spans="1:1">
      <c r="A1702" s="273"/>
    </row>
    <row r="1703" spans="1:1">
      <c r="A1703" s="272"/>
    </row>
    <row r="1704" spans="1:1">
      <c r="A1704" s="273"/>
    </row>
    <row r="1705" spans="1:1">
      <c r="A1705" s="272"/>
    </row>
    <row r="1706" spans="1:1">
      <c r="A1706" s="273"/>
    </row>
    <row r="1707" spans="1:1">
      <c r="A1707" s="272"/>
    </row>
    <row r="1708" spans="1:1">
      <c r="A1708" s="273"/>
    </row>
    <row r="1709" spans="1:1">
      <c r="A1709" s="272"/>
    </row>
    <row r="1710" spans="1:1">
      <c r="A1710" s="273"/>
    </row>
    <row r="1711" spans="1:1">
      <c r="A1711" s="272"/>
    </row>
    <row r="1712" spans="1:1">
      <c r="A1712" s="273"/>
    </row>
    <row r="1713" spans="1:1">
      <c r="A1713" s="272"/>
    </row>
    <row r="1714" spans="1:1">
      <c r="A1714" s="273"/>
    </row>
    <row r="1715" spans="1:1">
      <c r="A1715" s="272"/>
    </row>
    <row r="1716" spans="1:1">
      <c r="A1716" s="273"/>
    </row>
    <row r="1717" spans="1:1">
      <c r="A1717" s="272"/>
    </row>
    <row r="1718" spans="1:1">
      <c r="A1718" s="273"/>
    </row>
    <row r="1719" spans="1:1">
      <c r="A1719" s="272"/>
    </row>
    <row r="1720" spans="1:1">
      <c r="A1720" s="273"/>
    </row>
    <row r="1721" spans="1:1">
      <c r="A1721" s="272"/>
    </row>
    <row r="1722" spans="1:1">
      <c r="A1722" s="273"/>
    </row>
    <row r="1723" spans="1:1">
      <c r="A1723" s="272"/>
    </row>
    <row r="1724" spans="1:1">
      <c r="A1724" s="273"/>
    </row>
    <row r="1725" spans="1:1">
      <c r="A1725" s="272"/>
    </row>
    <row r="1726" spans="1:1">
      <c r="A1726" s="273"/>
    </row>
    <row r="1727" spans="1:1">
      <c r="A1727" s="272"/>
    </row>
    <row r="1728" spans="1:1">
      <c r="A1728" s="273"/>
    </row>
    <row r="1729" spans="1:1">
      <c r="A1729" s="272"/>
    </row>
    <row r="1730" spans="1:1">
      <c r="A1730" s="273"/>
    </row>
    <row r="1731" spans="1:1">
      <c r="A1731" s="272"/>
    </row>
    <row r="1732" spans="1:1">
      <c r="A1732" s="273"/>
    </row>
    <row r="1733" spans="1:1">
      <c r="A1733" s="272"/>
    </row>
    <row r="1734" spans="1:1">
      <c r="A1734" s="273"/>
    </row>
    <row r="1735" spans="1:1">
      <c r="A1735" s="272"/>
    </row>
    <row r="1736" spans="1:1">
      <c r="A1736" s="273"/>
    </row>
    <row r="1737" spans="1:1">
      <c r="A1737" s="272"/>
    </row>
    <row r="1738" spans="1:1">
      <c r="A1738" s="273"/>
    </row>
    <row r="1739" spans="1:1">
      <c r="A1739" s="272"/>
    </row>
    <row r="1740" spans="1:1">
      <c r="A1740" s="273"/>
    </row>
    <row r="1741" spans="1:1">
      <c r="A1741" s="272"/>
    </row>
    <row r="1742" spans="1:1">
      <c r="A1742" s="273"/>
    </row>
    <row r="1743" spans="1:1">
      <c r="A1743" s="272"/>
    </row>
    <row r="1744" spans="1:1">
      <c r="A1744" s="273"/>
    </row>
    <row r="1745" spans="1:1">
      <c r="A1745" s="272"/>
    </row>
    <row r="1746" spans="1:1">
      <c r="A1746" s="273"/>
    </row>
    <row r="1747" spans="1:1">
      <c r="A1747" s="272"/>
    </row>
    <row r="1748" spans="1:1">
      <c r="A1748" s="273"/>
    </row>
    <row r="1749" spans="1:1">
      <c r="A1749" s="272"/>
    </row>
    <row r="1750" spans="1:1">
      <c r="A1750" s="273"/>
    </row>
    <row r="1751" spans="1:1">
      <c r="A1751" s="272"/>
    </row>
    <row r="1752" spans="1:1">
      <c r="A1752" s="273"/>
    </row>
    <row r="1753" spans="1:1">
      <c r="A1753" s="272"/>
    </row>
    <row r="1754" spans="1:1">
      <c r="A1754" s="273"/>
    </row>
    <row r="1755" spans="1:1">
      <c r="A1755" s="272"/>
    </row>
    <row r="1756" spans="1:1">
      <c r="A1756" s="273"/>
    </row>
    <row r="1757" spans="1:1">
      <c r="A1757" s="272"/>
    </row>
    <row r="1758" spans="1:1">
      <c r="A1758" s="273"/>
    </row>
    <row r="1759" spans="1:1">
      <c r="A1759" s="272"/>
    </row>
    <row r="1760" spans="1:1">
      <c r="A1760" s="273"/>
    </row>
    <row r="1761" spans="1:1">
      <c r="A1761" s="272"/>
    </row>
    <row r="1762" spans="1:1">
      <c r="A1762" s="273"/>
    </row>
    <row r="1763" spans="1:1">
      <c r="A1763" s="272"/>
    </row>
    <row r="1764" spans="1:1">
      <c r="A1764" s="273"/>
    </row>
    <row r="1765" spans="1:1">
      <c r="A1765" s="272"/>
    </row>
    <row r="1766" spans="1:1">
      <c r="A1766" s="273"/>
    </row>
    <row r="1767" spans="1:1">
      <c r="A1767" s="272"/>
    </row>
    <row r="1768" spans="1:1">
      <c r="A1768" s="273"/>
    </row>
    <row r="1769" spans="1:1">
      <c r="A1769" s="272"/>
    </row>
    <row r="1770" spans="1:1">
      <c r="A1770" s="273"/>
    </row>
    <row r="1771" spans="1:1">
      <c r="A1771" s="272"/>
    </row>
    <row r="1772" spans="1:1">
      <c r="A1772" s="273"/>
    </row>
    <row r="1773" spans="1:1">
      <c r="A1773" s="272"/>
    </row>
    <row r="1774" spans="1:1">
      <c r="A1774" s="273"/>
    </row>
    <row r="1775" spans="1:1">
      <c r="A1775" s="272"/>
    </row>
    <row r="1776" spans="1:1">
      <c r="A1776" s="273"/>
    </row>
    <row r="1777" spans="1:1">
      <c r="A1777" s="272"/>
    </row>
    <row r="1778" spans="1:1">
      <c r="A1778" s="273"/>
    </row>
    <row r="1779" spans="1:1">
      <c r="A1779" s="272"/>
    </row>
    <row r="1780" spans="1:1">
      <c r="A1780" s="273"/>
    </row>
    <row r="1781" spans="1:1">
      <c r="A1781" s="272"/>
    </row>
    <row r="1782" spans="1:1">
      <c r="A1782" s="273"/>
    </row>
    <row r="1783" spans="1:1">
      <c r="A1783" s="272"/>
    </row>
    <row r="1784" spans="1:1">
      <c r="A1784" s="273"/>
    </row>
    <row r="1785" spans="1:1">
      <c r="A1785" s="272"/>
    </row>
    <row r="1786" spans="1:1">
      <c r="A1786" s="273"/>
    </row>
    <row r="1787" spans="1:1">
      <c r="A1787" s="272"/>
    </row>
    <row r="1788" spans="1:1">
      <c r="A1788" s="273"/>
    </row>
    <row r="1789" spans="1:1">
      <c r="A1789" s="272"/>
    </row>
    <row r="1790" spans="1:1">
      <c r="A1790" s="273"/>
    </row>
    <row r="1791" spans="1:1">
      <c r="A1791" s="272"/>
    </row>
    <row r="1792" spans="1:1">
      <c r="A1792" s="273"/>
    </row>
    <row r="1793" spans="1:1">
      <c r="A1793" s="272"/>
    </row>
    <row r="1794" spans="1:1">
      <c r="A1794" s="273"/>
    </row>
    <row r="1795" spans="1:1">
      <c r="A1795" s="272"/>
    </row>
    <row r="1796" spans="1:1">
      <c r="A1796" s="273"/>
    </row>
    <row r="1797" spans="1:1">
      <c r="A1797" s="272"/>
    </row>
    <row r="1798" spans="1:1">
      <c r="A1798" s="273"/>
    </row>
    <row r="1799" spans="1:1">
      <c r="A1799" s="272"/>
    </row>
    <row r="1800" spans="1:1">
      <c r="A1800" s="273"/>
    </row>
    <row r="1801" spans="1:1">
      <c r="A1801" s="272"/>
    </row>
    <row r="1802" spans="1:1">
      <c r="A1802" s="273"/>
    </row>
    <row r="1803" spans="1:1">
      <c r="A1803" s="272"/>
    </row>
    <row r="1804" spans="1:1">
      <c r="A1804" s="273"/>
    </row>
    <row r="1805" spans="1:1">
      <c r="A1805" s="272"/>
    </row>
    <row r="1806" spans="1:1">
      <c r="A1806" s="273"/>
    </row>
    <row r="1807" spans="1:1">
      <c r="A1807" s="272"/>
    </row>
    <row r="1808" spans="1:1">
      <c r="A1808" s="273"/>
    </row>
    <row r="1809" spans="1:1">
      <c r="A1809" s="272"/>
    </row>
    <row r="1810" spans="1:1">
      <c r="A1810" s="273"/>
    </row>
    <row r="1811" spans="1:1">
      <c r="A1811" s="272"/>
    </row>
    <row r="1812" spans="1:1">
      <c r="A1812" s="273"/>
    </row>
    <row r="1813" spans="1:1">
      <c r="A1813" s="272"/>
    </row>
    <row r="1814" spans="1:1">
      <c r="A1814" s="273"/>
    </row>
    <row r="1815" spans="1:1">
      <c r="A1815" s="272"/>
    </row>
    <row r="1816" spans="1:1">
      <c r="A1816" s="273"/>
    </row>
    <row r="1817" spans="1:1">
      <c r="A1817" s="272"/>
    </row>
    <row r="1818" spans="1:1">
      <c r="A1818" s="273"/>
    </row>
    <row r="1819" spans="1:1">
      <c r="A1819" s="272"/>
    </row>
    <row r="1820" spans="1:1">
      <c r="A1820" s="273"/>
    </row>
    <row r="1821" spans="1:1">
      <c r="A1821" s="272"/>
    </row>
    <row r="1822" spans="1:1">
      <c r="A1822" s="273"/>
    </row>
    <row r="1823" spans="1:1">
      <c r="A1823" s="272"/>
    </row>
    <row r="1824" spans="1:1">
      <c r="A1824" s="273"/>
    </row>
    <row r="1825" spans="1:1">
      <c r="A1825" s="272"/>
    </row>
    <row r="1826" spans="1:1">
      <c r="A1826" s="273"/>
    </row>
    <row r="1827" spans="1:1">
      <c r="A1827" s="272"/>
    </row>
    <row r="1828" spans="1:1">
      <c r="A1828" s="273"/>
    </row>
    <row r="1829" spans="1:1">
      <c r="A1829" s="272"/>
    </row>
    <row r="1830" spans="1:1">
      <c r="A1830" s="273"/>
    </row>
    <row r="1831" spans="1:1">
      <c r="A1831" s="272"/>
    </row>
    <row r="1832" spans="1:1">
      <c r="A1832" s="273"/>
    </row>
    <row r="1833" spans="1:1">
      <c r="A1833" s="272"/>
    </row>
    <row r="1834" spans="1:1">
      <c r="A1834" s="273"/>
    </row>
    <row r="1835" spans="1:1">
      <c r="A1835" s="272"/>
    </row>
    <row r="1836" spans="1:1">
      <c r="A1836" s="273"/>
    </row>
    <row r="1837" spans="1:1">
      <c r="A1837" s="272"/>
    </row>
    <row r="1838" spans="1:1">
      <c r="A1838" s="273"/>
    </row>
    <row r="1839" spans="1:1">
      <c r="A1839" s="272"/>
    </row>
    <row r="1840" spans="1:1">
      <c r="A1840" s="273"/>
    </row>
    <row r="1841" spans="1:1">
      <c r="A1841" s="272"/>
    </row>
    <row r="1842" spans="1:1">
      <c r="A1842" s="273"/>
    </row>
    <row r="1843" spans="1:1">
      <c r="A1843" s="272"/>
    </row>
    <row r="1844" spans="1:1">
      <c r="A1844" s="273"/>
    </row>
    <row r="1845" spans="1:1">
      <c r="A1845" s="272"/>
    </row>
    <row r="1846" spans="1:1">
      <c r="A1846" s="273"/>
    </row>
    <row r="1847" spans="1:1">
      <c r="A1847" s="272"/>
    </row>
    <row r="1848" spans="1:1">
      <c r="A1848" s="273"/>
    </row>
    <row r="1849" spans="1:1">
      <c r="A1849" s="272"/>
    </row>
    <row r="1850" spans="1:1">
      <c r="A1850" s="273"/>
    </row>
    <row r="1851" spans="1:1">
      <c r="A1851" s="272"/>
    </row>
    <row r="1852" spans="1:1">
      <c r="A1852" s="273"/>
    </row>
    <row r="1853" spans="1:1">
      <c r="A1853" s="272"/>
    </row>
    <row r="1854" spans="1:1">
      <c r="A1854" s="273"/>
    </row>
    <row r="1855" spans="1:1">
      <c r="A1855" s="272"/>
    </row>
    <row r="1856" spans="1:1">
      <c r="A1856" s="273"/>
    </row>
    <row r="1857" spans="1:1">
      <c r="A1857" s="272"/>
    </row>
    <row r="1858" spans="1:1">
      <c r="A1858" s="273"/>
    </row>
    <row r="1859" spans="1:1">
      <c r="A1859" s="272"/>
    </row>
    <row r="1860" spans="1:1">
      <c r="A1860" s="273"/>
    </row>
    <row r="1861" spans="1:1">
      <c r="A1861" s="272"/>
    </row>
    <row r="1862" spans="1:1">
      <c r="A1862" s="273"/>
    </row>
    <row r="1863" spans="1:1">
      <c r="A1863" s="272"/>
    </row>
    <row r="1864" spans="1:1">
      <c r="A1864" s="273"/>
    </row>
    <row r="1865" spans="1:1">
      <c r="A1865" s="272"/>
    </row>
    <row r="1866" spans="1:1">
      <c r="A1866" s="273"/>
    </row>
    <row r="1867" spans="1:1">
      <c r="A1867" s="272"/>
    </row>
    <row r="1868" spans="1:1">
      <c r="A1868" s="273"/>
    </row>
    <row r="1869" spans="1:1">
      <c r="A1869" s="272"/>
    </row>
    <row r="1870" spans="1:1">
      <c r="A1870" s="273"/>
    </row>
    <row r="1871" spans="1:1">
      <c r="A1871" s="272"/>
    </row>
    <row r="1872" spans="1:1">
      <c r="A1872" s="273"/>
    </row>
    <row r="1873" spans="1:1">
      <c r="A1873" s="272"/>
    </row>
    <row r="1874" spans="1:1">
      <c r="A1874" s="273"/>
    </row>
    <row r="1875" spans="1:1">
      <c r="A1875" s="272"/>
    </row>
    <row r="1876" spans="1:1">
      <c r="A1876" s="273"/>
    </row>
    <row r="1877" spans="1:1">
      <c r="A1877" s="272"/>
    </row>
    <row r="1878" spans="1:1">
      <c r="A1878" s="273"/>
    </row>
    <row r="1879" spans="1:1">
      <c r="A1879" s="272"/>
    </row>
    <row r="1880" spans="1:1">
      <c r="A1880" s="273"/>
    </row>
    <row r="1881" spans="1:1">
      <c r="A1881" s="272"/>
    </row>
    <row r="1882" spans="1:1">
      <c r="A1882" s="273"/>
    </row>
    <row r="1883" spans="1:1">
      <c r="A1883" s="272"/>
    </row>
    <row r="1884" spans="1:1">
      <c r="A1884" s="273"/>
    </row>
    <row r="1885" spans="1:1">
      <c r="A1885" s="272"/>
    </row>
    <row r="1886" spans="1:1">
      <c r="A1886" s="273"/>
    </row>
    <row r="1887" spans="1:1">
      <c r="A1887" s="272"/>
    </row>
    <row r="1888" spans="1:1">
      <c r="A1888" s="273"/>
    </row>
    <row r="1889" spans="1:1">
      <c r="A1889" s="272"/>
    </row>
    <row r="1890" spans="1:1">
      <c r="A1890" s="273"/>
    </row>
    <row r="1891" spans="1:1">
      <c r="A1891" s="272"/>
    </row>
    <row r="1892" spans="1:1">
      <c r="A1892" s="273"/>
    </row>
    <row r="1893" spans="1:1">
      <c r="A1893" s="272"/>
    </row>
    <row r="1894" spans="1:1">
      <c r="A1894" s="273"/>
    </row>
    <row r="1895" spans="1:1">
      <c r="A1895" s="272"/>
    </row>
    <row r="1896" spans="1:1">
      <c r="A1896" s="273"/>
    </row>
    <row r="1897" spans="1:1">
      <c r="A1897" s="272"/>
    </row>
    <row r="1898" spans="1:1">
      <c r="A1898" s="273"/>
    </row>
    <row r="1899" spans="1:1">
      <c r="A1899" s="272"/>
    </row>
    <row r="1900" spans="1:1">
      <c r="A1900" s="273"/>
    </row>
    <row r="1901" spans="1:1">
      <c r="A1901" s="272"/>
    </row>
    <row r="1902" spans="1:1">
      <c r="A1902" s="273"/>
    </row>
    <row r="1903" spans="1:1">
      <c r="A1903" s="272"/>
    </row>
    <row r="1904" spans="1:1">
      <c r="A1904" s="273"/>
    </row>
    <row r="1905" spans="1:1">
      <c r="A1905" s="272"/>
    </row>
    <row r="1906" spans="1:1">
      <c r="A1906" s="273"/>
    </row>
    <row r="1907" spans="1:1">
      <c r="A1907" s="272"/>
    </row>
    <row r="1908" spans="1:1">
      <c r="A1908" s="273"/>
    </row>
    <row r="1909" spans="1:1">
      <c r="A1909" s="272"/>
    </row>
    <row r="1910" spans="1:1">
      <c r="A1910" s="273"/>
    </row>
    <row r="1911" spans="1:1">
      <c r="A1911" s="272"/>
    </row>
    <row r="1912" spans="1:1">
      <c r="A1912" s="273"/>
    </row>
    <row r="1913" spans="1:1">
      <c r="A1913" s="272"/>
    </row>
    <row r="1914" spans="1:1">
      <c r="A1914" s="273"/>
    </row>
    <row r="1915" spans="1:1">
      <c r="A1915" s="272"/>
    </row>
    <row r="1916" spans="1:1">
      <c r="A1916" s="273"/>
    </row>
    <row r="1917" spans="1:1">
      <c r="A1917" s="272"/>
    </row>
    <row r="1918" spans="1:1">
      <c r="A1918" s="273"/>
    </row>
    <row r="1919" spans="1:1">
      <c r="A1919" s="272"/>
    </row>
    <row r="1920" spans="1:1">
      <c r="A1920" s="273"/>
    </row>
    <row r="1921" spans="1:1">
      <c r="A1921" s="272"/>
    </row>
    <row r="1922" spans="1:1">
      <c r="A1922" s="273"/>
    </row>
    <row r="1923" spans="1:1">
      <c r="A1923" s="272"/>
    </row>
    <row r="1924" spans="1:1">
      <c r="A1924" s="273"/>
    </row>
    <row r="1925" spans="1:1">
      <c r="A1925" s="272"/>
    </row>
    <row r="1926" spans="1:1">
      <c r="A1926" s="273"/>
    </row>
    <row r="1927" spans="1:1">
      <c r="A1927" s="272"/>
    </row>
    <row r="1928" spans="1:1">
      <c r="A1928" s="273"/>
    </row>
    <row r="1929" spans="1:1">
      <c r="A1929" s="272"/>
    </row>
    <row r="1930" spans="1:1">
      <c r="A1930" s="273"/>
    </row>
    <row r="1931" spans="1:1">
      <c r="A1931" s="272"/>
    </row>
    <row r="1932" spans="1:1">
      <c r="A1932" s="273"/>
    </row>
    <row r="1933" spans="1:1">
      <c r="A1933" s="272"/>
    </row>
    <row r="1934" spans="1:1">
      <c r="A1934" s="273"/>
    </row>
    <row r="1935" spans="1:1">
      <c r="A1935" s="272"/>
    </row>
    <row r="1936" spans="1:1">
      <c r="A1936" s="273"/>
    </row>
    <row r="1937" spans="1:1">
      <c r="A1937" s="272"/>
    </row>
    <row r="1938" spans="1:1">
      <c r="A1938" s="273"/>
    </row>
    <row r="1939" spans="1:1">
      <c r="A1939" s="272"/>
    </row>
    <row r="1940" spans="1:1">
      <c r="A1940" s="273"/>
    </row>
    <row r="1941" spans="1:1">
      <c r="A1941" s="272"/>
    </row>
    <row r="1942" spans="1:1">
      <c r="A1942" s="273"/>
    </row>
    <row r="1943" spans="1:1">
      <c r="A1943" s="272"/>
    </row>
    <row r="1944" spans="1:1">
      <c r="A1944" s="273"/>
    </row>
    <row r="1945" spans="1:1">
      <c r="A1945" s="272"/>
    </row>
    <row r="1946" spans="1:1">
      <c r="A1946" s="273"/>
    </row>
    <row r="1947" spans="1:1">
      <c r="A1947" s="272"/>
    </row>
    <row r="1948" spans="1:1">
      <c r="A1948" s="273"/>
    </row>
    <row r="1949" spans="1:1">
      <c r="A1949" s="272"/>
    </row>
    <row r="1950" spans="1:1">
      <c r="A1950" s="273"/>
    </row>
    <row r="1951" spans="1:1">
      <c r="A1951" s="272"/>
    </row>
    <row r="1952" spans="1:1">
      <c r="A1952" s="273"/>
    </row>
    <row r="1953" spans="1:1">
      <c r="A1953" s="272"/>
    </row>
    <row r="1954" spans="1:1">
      <c r="A1954" s="273"/>
    </row>
    <row r="1955" spans="1:1">
      <c r="A1955" s="272"/>
    </row>
    <row r="1956" spans="1:1">
      <c r="A1956" s="273"/>
    </row>
    <row r="1957" spans="1:1">
      <c r="A1957" s="272"/>
    </row>
    <row r="1958" spans="1:1">
      <c r="A1958" s="273"/>
    </row>
    <row r="1959" spans="1:1">
      <c r="A1959" s="272"/>
    </row>
    <row r="1960" spans="1:1">
      <c r="A1960" s="273"/>
    </row>
    <row r="1961" spans="1:1">
      <c r="A1961" s="272"/>
    </row>
    <row r="1962" spans="1:1">
      <c r="A1962" s="273"/>
    </row>
    <row r="1963" spans="1:1">
      <c r="A1963" s="272"/>
    </row>
    <row r="1964" spans="1:1">
      <c r="A1964" s="273"/>
    </row>
    <row r="1965" spans="1:1">
      <c r="A1965" s="272"/>
    </row>
    <row r="1966" spans="1:1">
      <c r="A1966" s="273"/>
    </row>
    <row r="1967" spans="1:1">
      <c r="A1967" s="272"/>
    </row>
    <row r="1968" spans="1:1">
      <c r="A1968" s="273"/>
    </row>
    <row r="1969" spans="1:1">
      <c r="A1969" s="272"/>
    </row>
    <row r="1970" spans="1:1">
      <c r="A1970" s="273"/>
    </row>
    <row r="1971" spans="1:1">
      <c r="A1971" s="272"/>
    </row>
    <row r="1972" spans="1:1">
      <c r="A1972" s="273"/>
    </row>
    <row r="1973" spans="1:1">
      <c r="A1973" s="272"/>
    </row>
    <row r="1974" spans="1:1">
      <c r="A1974" s="273"/>
    </row>
    <row r="1975" spans="1:1">
      <c r="A1975" s="272"/>
    </row>
    <row r="1976" spans="1:1">
      <c r="A1976" s="273"/>
    </row>
    <row r="1977" spans="1:1">
      <c r="A1977" s="272"/>
    </row>
    <row r="1978" spans="1:1">
      <c r="A1978" s="273"/>
    </row>
    <row r="1979" spans="1:1">
      <c r="A1979" s="272"/>
    </row>
    <row r="1980" spans="1:1">
      <c r="A1980" s="273"/>
    </row>
    <row r="1981" spans="1:1">
      <c r="A1981" s="272"/>
    </row>
    <row r="1982" spans="1:1">
      <c r="A1982" s="273"/>
    </row>
    <row r="1983" spans="1:1">
      <c r="A1983" s="272"/>
    </row>
    <row r="1984" spans="1:1">
      <c r="A1984" s="273"/>
    </row>
    <row r="1985" spans="1:1">
      <c r="A1985" s="272"/>
    </row>
    <row r="1986" spans="1:1">
      <c r="A1986" s="273"/>
    </row>
    <row r="1987" spans="1:1">
      <c r="A1987" s="272"/>
    </row>
    <row r="1988" spans="1:1">
      <c r="A1988" s="273"/>
    </row>
    <row r="1989" spans="1:1">
      <c r="A1989" s="272"/>
    </row>
    <row r="1990" spans="1:1">
      <c r="A1990" s="273"/>
    </row>
    <row r="1991" spans="1:1">
      <c r="A1991" s="272"/>
    </row>
    <row r="1992" spans="1:1">
      <c r="A1992" s="273"/>
    </row>
    <row r="1993" spans="1:1">
      <c r="A1993" s="272"/>
    </row>
    <row r="1994" spans="1:1">
      <c r="A1994" s="273"/>
    </row>
    <row r="1995" spans="1:1">
      <c r="A1995" s="272"/>
    </row>
    <row r="1996" spans="1:1">
      <c r="A1996" s="273"/>
    </row>
    <row r="1997" spans="1:1">
      <c r="A1997" s="272"/>
    </row>
    <row r="1998" spans="1:1">
      <c r="A1998" s="273"/>
    </row>
    <row r="1999" spans="1:1">
      <c r="A1999" s="272"/>
    </row>
    <row r="2000" spans="1:1">
      <c r="A2000" s="273"/>
    </row>
    <row r="2001" spans="1:1">
      <c r="A2001" s="272"/>
    </row>
    <row r="2002" spans="1:1">
      <c r="A2002" s="273"/>
    </row>
    <row r="2003" spans="1:1">
      <c r="A2003" s="272"/>
    </row>
    <row r="2004" spans="1:1">
      <c r="A2004" s="273"/>
    </row>
    <row r="2005" spans="1:1">
      <c r="A2005" s="272"/>
    </row>
    <row r="2006" spans="1:1">
      <c r="A2006" s="273"/>
    </row>
    <row r="2007" spans="1:1">
      <c r="A2007" s="272"/>
    </row>
    <row r="2008" spans="1:1">
      <c r="A2008" s="273"/>
    </row>
    <row r="2009" spans="1:1">
      <c r="A2009" s="272"/>
    </row>
    <row r="2010" spans="1:1">
      <c r="A2010" s="273"/>
    </row>
    <row r="2011" spans="1:1">
      <c r="A2011" s="272"/>
    </row>
    <row r="2012" spans="1:1">
      <c r="A2012" s="273"/>
    </row>
    <row r="2013" spans="1:1">
      <c r="A2013" s="272"/>
    </row>
    <row r="2014" spans="1:1">
      <c r="A2014" s="273"/>
    </row>
    <row r="2015" spans="1:1">
      <c r="A2015" s="272"/>
    </row>
    <row r="2016" spans="1:1">
      <c r="A2016" s="273"/>
    </row>
    <row r="2017" spans="1:1">
      <c r="A2017" s="272"/>
    </row>
    <row r="2018" spans="1:1">
      <c r="A2018" s="273"/>
    </row>
    <row r="2019" spans="1:1">
      <c r="A2019" s="272"/>
    </row>
    <row r="2020" spans="1:1">
      <c r="A2020" s="273"/>
    </row>
    <row r="2021" spans="1:1">
      <c r="A2021" s="272"/>
    </row>
    <row r="2022" spans="1:1">
      <c r="A2022" s="273"/>
    </row>
    <row r="2023" spans="1:1">
      <c r="A2023" s="272"/>
    </row>
    <row r="2024" spans="1:1">
      <c r="A2024" s="273"/>
    </row>
    <row r="2025" spans="1:1">
      <c r="A2025" s="272"/>
    </row>
    <row r="2026" spans="1:1">
      <c r="A2026" s="273"/>
    </row>
    <row r="2027" spans="1:1">
      <c r="A2027" s="272"/>
    </row>
    <row r="2028" spans="1:1">
      <c r="A2028" s="273"/>
    </row>
    <row r="2029" spans="1:1">
      <c r="A2029" s="272"/>
    </row>
    <row r="2030" spans="1:1">
      <c r="A2030" s="273"/>
    </row>
    <row r="2031" spans="1:1">
      <c r="A2031" s="272"/>
    </row>
    <row r="2032" spans="1:1">
      <c r="A2032" s="273"/>
    </row>
    <row r="2033" spans="1:1">
      <c r="A2033" s="272"/>
    </row>
    <row r="2034" spans="1:1">
      <c r="A2034" s="273"/>
    </row>
    <row r="2035" spans="1:1">
      <c r="A2035" s="272"/>
    </row>
    <row r="2036" spans="1:1">
      <c r="A2036" s="273"/>
    </row>
    <row r="2037" spans="1:1">
      <c r="A2037" s="272"/>
    </row>
    <row r="2038" spans="1:1">
      <c r="A2038" s="273"/>
    </row>
    <row r="2039" spans="1:1">
      <c r="A2039" s="272"/>
    </row>
    <row r="2040" spans="1:1">
      <c r="A2040" s="273"/>
    </row>
    <row r="2041" spans="1:1">
      <c r="A2041" s="272"/>
    </row>
    <row r="2042" spans="1:1">
      <c r="A2042" s="273"/>
    </row>
    <row r="2043" spans="1:1">
      <c r="A2043" s="272"/>
    </row>
    <row r="2044" spans="1:1">
      <c r="A2044" s="273"/>
    </row>
    <row r="2045" spans="1:1">
      <c r="A2045" s="272"/>
    </row>
    <row r="2046" spans="1:1">
      <c r="A2046" s="273"/>
    </row>
    <row r="2047" spans="1:1">
      <c r="A2047" s="272"/>
    </row>
    <row r="2048" spans="1:1">
      <c r="A2048" s="273"/>
    </row>
    <row r="2049" spans="1:1">
      <c r="A2049" s="272"/>
    </row>
    <row r="2050" spans="1:1">
      <c r="A2050" s="273"/>
    </row>
    <row r="2051" spans="1:1">
      <c r="A2051" s="272"/>
    </row>
    <row r="2052" spans="1:1">
      <c r="A2052" s="273"/>
    </row>
    <row r="2053" spans="1:1">
      <c r="A2053" s="272"/>
    </row>
    <row r="2054" spans="1:1">
      <c r="A2054" s="273"/>
    </row>
    <row r="2055" spans="1:1">
      <c r="A2055" s="272"/>
    </row>
    <row r="2056" spans="1:1">
      <c r="A2056" s="273"/>
    </row>
    <row r="2057" spans="1:1">
      <c r="A2057" s="272"/>
    </row>
    <row r="2058" spans="1:1">
      <c r="A2058" s="273"/>
    </row>
    <row r="2059" spans="1:1">
      <c r="A2059" s="272"/>
    </row>
    <row r="2060" spans="1:1">
      <c r="A2060" s="273"/>
    </row>
    <row r="2061" spans="1:1">
      <c r="A2061" s="272"/>
    </row>
    <row r="2062" spans="1:1">
      <c r="A2062" s="273"/>
    </row>
    <row r="2063" spans="1:1">
      <c r="A2063" s="272"/>
    </row>
    <row r="2064" spans="1:1">
      <c r="A2064" s="273"/>
    </row>
    <row r="2065" spans="1:1">
      <c r="A2065" s="272"/>
    </row>
    <row r="2066" spans="1:1">
      <c r="A2066" s="273"/>
    </row>
    <row r="2067" spans="1:1">
      <c r="A2067" s="272"/>
    </row>
    <row r="2068" spans="1:1">
      <c r="A2068" s="273"/>
    </row>
    <row r="2069" spans="1:1">
      <c r="A2069" s="272"/>
    </row>
    <row r="2070" spans="1:1">
      <c r="A2070" s="273"/>
    </row>
    <row r="2071" spans="1:1">
      <c r="A2071" s="272"/>
    </row>
    <row r="2072" spans="1:1">
      <c r="A2072" s="273"/>
    </row>
    <row r="2073" spans="1:1">
      <c r="A2073" s="272"/>
    </row>
    <row r="2074" spans="1:1">
      <c r="A2074" s="273"/>
    </row>
    <row r="2075" spans="1:1">
      <c r="A2075" s="272"/>
    </row>
    <row r="2076" spans="1:1">
      <c r="A2076" s="273"/>
    </row>
    <row r="2077" spans="1:1">
      <c r="A2077" s="272"/>
    </row>
    <row r="2078" spans="1:1">
      <c r="A2078" s="273"/>
    </row>
    <row r="2079" spans="1:1">
      <c r="A2079" s="272"/>
    </row>
    <row r="2080" spans="1:1">
      <c r="A2080" s="273"/>
    </row>
    <row r="2081" spans="1:1">
      <c r="A2081" s="272"/>
    </row>
    <row r="2082" spans="1:1">
      <c r="A2082" s="273"/>
    </row>
    <row r="2083" spans="1:1">
      <c r="A2083" s="272"/>
    </row>
    <row r="2084" spans="1:1">
      <c r="A2084" s="273"/>
    </row>
    <row r="2085" spans="1:1">
      <c r="A2085" s="272"/>
    </row>
    <row r="2086" spans="1:1">
      <c r="A2086" s="273"/>
    </row>
    <row r="2087" spans="1:1">
      <c r="A2087" s="272"/>
    </row>
    <row r="2088" spans="1:1">
      <c r="A2088" s="273"/>
    </row>
    <row r="2089" spans="1:1">
      <c r="A2089" s="272"/>
    </row>
    <row r="2090" spans="1:1">
      <c r="A2090" s="273"/>
    </row>
    <row r="2091" spans="1:1">
      <c r="A2091" s="272"/>
    </row>
    <row r="2092" spans="1:1">
      <c r="A2092" s="273"/>
    </row>
    <row r="2093" spans="1:1">
      <c r="A2093" s="272"/>
    </row>
    <row r="2094" spans="1:1">
      <c r="A2094" s="273"/>
    </row>
    <row r="2095" spans="1:1">
      <c r="A2095" s="272"/>
    </row>
    <row r="2096" spans="1:1">
      <c r="A2096" s="273"/>
    </row>
    <row r="2097" spans="1:1">
      <c r="A2097" s="272"/>
    </row>
    <row r="2098" spans="1:1">
      <c r="A2098" s="273"/>
    </row>
    <row r="2099" spans="1:1">
      <c r="A2099" s="272"/>
    </row>
    <row r="2100" spans="1:1">
      <c r="A2100" s="273"/>
    </row>
    <row r="2101" spans="1:1">
      <c r="A2101" s="272"/>
    </row>
    <row r="2102" spans="1:1">
      <c r="A2102" s="273"/>
    </row>
    <row r="2103" spans="1:1">
      <c r="A2103" s="272"/>
    </row>
    <row r="2104" spans="1:1">
      <c r="A2104" s="273"/>
    </row>
    <row r="2105" spans="1:1">
      <c r="A2105" s="272"/>
    </row>
    <row r="2106" spans="1:1">
      <c r="A2106" s="273"/>
    </row>
    <row r="2107" spans="1:1">
      <c r="A2107" s="272"/>
    </row>
    <row r="2108" spans="1:1">
      <c r="A2108" s="273"/>
    </row>
    <row r="2109" spans="1:1">
      <c r="A2109" s="272"/>
    </row>
    <row r="2110" spans="1:1">
      <c r="A2110" s="273"/>
    </row>
    <row r="2111" spans="1:1">
      <c r="A2111" s="272"/>
    </row>
    <row r="2112" spans="1:1">
      <c r="A2112" s="273"/>
    </row>
    <row r="2113" spans="1:1">
      <c r="A2113" s="272"/>
    </row>
    <row r="2114" spans="1:1">
      <c r="A2114" s="273"/>
    </row>
    <row r="2115" spans="1:1">
      <c r="A2115" s="272"/>
    </row>
    <row r="2116" spans="1:1">
      <c r="A2116" s="273"/>
    </row>
    <row r="2117" spans="1:1">
      <c r="A2117" s="272"/>
    </row>
    <row r="2118" spans="1:1">
      <c r="A2118" s="273"/>
    </row>
    <row r="2119" spans="1:1">
      <c r="A2119" s="272"/>
    </row>
    <row r="2120" spans="1:1">
      <c r="A2120" s="273"/>
    </row>
    <row r="2121" spans="1:1">
      <c r="A2121" s="272"/>
    </row>
    <row r="2122" spans="1:1">
      <c r="A2122" s="273"/>
    </row>
    <row r="2123" spans="1:1">
      <c r="A2123" s="272"/>
    </row>
    <row r="2124" spans="1:1">
      <c r="A2124" s="273"/>
    </row>
    <row r="2125" spans="1:1">
      <c r="A2125" s="272"/>
    </row>
    <row r="2126" spans="1:1">
      <c r="A2126" s="273"/>
    </row>
    <row r="2127" spans="1:1">
      <c r="A2127" s="272"/>
    </row>
    <row r="2128" spans="1:1">
      <c r="A2128" s="273"/>
    </row>
    <row r="2129" spans="1:1">
      <c r="A2129" s="272"/>
    </row>
    <row r="2130" spans="1:1">
      <c r="A2130" s="273"/>
    </row>
    <row r="2131" spans="1:1">
      <c r="A2131" s="272"/>
    </row>
    <row r="2132" spans="1:1">
      <c r="A2132" s="273"/>
    </row>
    <row r="2133" spans="1:1">
      <c r="A2133" s="272"/>
    </row>
    <row r="2134" spans="1:1">
      <c r="A2134" s="273"/>
    </row>
    <row r="2135" spans="1:1">
      <c r="A2135" s="272"/>
    </row>
    <row r="2136" spans="1:1">
      <c r="A2136" s="273"/>
    </row>
    <row r="2137" spans="1:1">
      <c r="A2137" s="272"/>
    </row>
    <row r="2138" spans="1:1">
      <c r="A2138" s="273"/>
    </row>
    <row r="2139" spans="1:1">
      <c r="A2139" s="272"/>
    </row>
    <row r="2140" spans="1:1">
      <c r="A2140" s="273"/>
    </row>
    <row r="2141" spans="1:1">
      <c r="A2141" s="272"/>
    </row>
    <row r="2142" spans="1:1">
      <c r="A2142" s="273"/>
    </row>
    <row r="2143" spans="1:1">
      <c r="A2143" s="272"/>
    </row>
    <row r="2144" spans="1:1">
      <c r="A2144" s="273"/>
    </row>
    <row r="2145" spans="1:1">
      <c r="A2145" s="272"/>
    </row>
    <row r="2146" spans="1:1">
      <c r="A2146" s="273"/>
    </row>
    <row r="2147" spans="1:1">
      <c r="A2147" s="272"/>
    </row>
    <row r="2148" spans="1:1">
      <c r="A2148" s="273"/>
    </row>
    <row r="2149" spans="1:1">
      <c r="A2149" s="272"/>
    </row>
    <row r="2150" spans="1:1">
      <c r="A2150" s="273"/>
    </row>
    <row r="2151" spans="1:1">
      <c r="A2151" s="272"/>
    </row>
    <row r="2152" spans="1:1">
      <c r="A2152" s="273"/>
    </row>
    <row r="2153" spans="1:1">
      <c r="A2153" s="272"/>
    </row>
    <row r="2154" spans="1:1">
      <c r="A2154" s="273"/>
    </row>
    <row r="2155" spans="1:1">
      <c r="A2155" s="272"/>
    </row>
    <row r="2156" spans="1:1">
      <c r="A2156" s="273"/>
    </row>
    <row r="2157" spans="1:1">
      <c r="A2157" s="272"/>
    </row>
    <row r="2158" spans="1:1">
      <c r="A2158" s="273"/>
    </row>
    <row r="2159" spans="1:1">
      <c r="A2159" s="272"/>
    </row>
    <row r="2160" spans="1:1">
      <c r="A2160" s="273"/>
    </row>
    <row r="2161" spans="1:1">
      <c r="A2161" s="272"/>
    </row>
    <row r="2162" spans="1:1">
      <c r="A2162" s="273"/>
    </row>
    <row r="2163" spans="1:1">
      <c r="A2163" s="272"/>
    </row>
    <row r="2164" spans="1:1">
      <c r="A2164" s="273"/>
    </row>
    <row r="2165" spans="1:1">
      <c r="A2165" s="272"/>
    </row>
    <row r="2166" spans="1:1">
      <c r="A2166" s="273"/>
    </row>
    <row r="2167" spans="1:1">
      <c r="A2167" s="272"/>
    </row>
    <row r="2168" spans="1:1">
      <c r="A2168" s="273"/>
    </row>
    <row r="2169" spans="1:1">
      <c r="A2169" s="272"/>
    </row>
    <row r="2170" spans="1:1">
      <c r="A2170" s="273"/>
    </row>
    <row r="2171" spans="1:1">
      <c r="A2171" s="272"/>
    </row>
    <row r="2172" spans="1:1">
      <c r="A2172" s="273"/>
    </row>
    <row r="2173" spans="1:1">
      <c r="A2173" s="272"/>
    </row>
    <row r="2174" spans="1:1">
      <c r="A2174" s="273"/>
    </row>
    <row r="2175" spans="1:1">
      <c r="A2175" s="272"/>
    </row>
    <row r="2176" spans="1:1">
      <c r="A2176" s="273"/>
    </row>
    <row r="2177" spans="1:1">
      <c r="A2177" s="272"/>
    </row>
    <row r="2178" spans="1:1">
      <c r="A2178" s="273"/>
    </row>
    <row r="2179" spans="1:1">
      <c r="A2179" s="272"/>
    </row>
    <row r="2180" spans="1:1">
      <c r="A2180" s="273"/>
    </row>
    <row r="2181" spans="1:1">
      <c r="A2181" s="272"/>
    </row>
    <row r="2182" spans="1:1">
      <c r="A2182" s="273"/>
    </row>
    <row r="2183" spans="1:1">
      <c r="A2183" s="272"/>
    </row>
    <row r="2184" spans="1:1">
      <c r="A2184" s="273"/>
    </row>
    <row r="2185" spans="1:1">
      <c r="A2185" s="272"/>
    </row>
    <row r="2186" spans="1:1">
      <c r="A2186" s="273"/>
    </row>
    <row r="2187" spans="1:1">
      <c r="A2187" s="272"/>
    </row>
    <row r="2188" spans="1:1">
      <c r="A2188" s="273"/>
    </row>
    <row r="2189" spans="1:1">
      <c r="A2189" s="272"/>
    </row>
    <row r="2190" spans="1:1">
      <c r="A2190" s="273"/>
    </row>
    <row r="2191" spans="1:1">
      <c r="A2191" s="272"/>
    </row>
    <row r="2192" spans="1:1">
      <c r="A2192" s="273"/>
    </row>
    <row r="2193" spans="1:1">
      <c r="A2193" s="272"/>
    </row>
    <row r="2194" spans="1:1">
      <c r="A2194" s="273"/>
    </row>
    <row r="2195" spans="1:1">
      <c r="A2195" s="272"/>
    </row>
    <row r="2196" spans="1:1">
      <c r="A2196" s="273"/>
    </row>
    <row r="2197" spans="1:1">
      <c r="A2197" s="272"/>
    </row>
    <row r="2198" spans="1:1">
      <c r="A2198" s="273"/>
    </row>
    <row r="2199" spans="1:1">
      <c r="A2199" s="272"/>
    </row>
    <row r="2200" spans="1:1">
      <c r="A2200" s="273"/>
    </row>
    <row r="2201" spans="1:1">
      <c r="A2201" s="272"/>
    </row>
    <row r="2202" spans="1:1">
      <c r="A2202" s="273"/>
    </row>
    <row r="2203" spans="1:1">
      <c r="A2203" s="272"/>
    </row>
    <row r="2204" spans="1:1">
      <c r="A2204" s="273"/>
    </row>
    <row r="2205" spans="1:1">
      <c r="A2205" s="272"/>
    </row>
    <row r="2206" spans="1:1">
      <c r="A2206" s="273"/>
    </row>
    <row r="2207" spans="1:1">
      <c r="A2207" s="272"/>
    </row>
    <row r="2208" spans="1:1">
      <c r="A2208" s="273"/>
    </row>
    <row r="2209" spans="1:1">
      <c r="A2209" s="272"/>
    </row>
    <row r="2210" spans="1:1">
      <c r="A2210" s="273"/>
    </row>
    <row r="2211" spans="1:1">
      <c r="A2211" s="272"/>
    </row>
    <row r="2212" spans="1:1">
      <c r="A2212" s="273"/>
    </row>
    <row r="2213" spans="1:1">
      <c r="A2213" s="272"/>
    </row>
    <row r="2214" spans="1:1">
      <c r="A2214" s="273"/>
    </row>
    <row r="2215" spans="1:1">
      <c r="A2215" s="272"/>
    </row>
    <row r="2216" spans="1:1">
      <c r="A2216" s="273"/>
    </row>
    <row r="2217" spans="1:1">
      <c r="A2217" s="272"/>
    </row>
    <row r="2218" spans="1:1">
      <c r="A2218" s="273"/>
    </row>
    <row r="2219" spans="1:1">
      <c r="A2219" s="272"/>
    </row>
    <row r="2220" spans="1:1">
      <c r="A2220" s="273"/>
    </row>
    <row r="2221" spans="1:1">
      <c r="A2221" s="272"/>
    </row>
    <row r="2222" spans="1:1">
      <c r="A2222" s="273"/>
    </row>
    <row r="2223" spans="1:1">
      <c r="A2223" s="272"/>
    </row>
    <row r="2224" spans="1:1">
      <c r="A2224" s="273"/>
    </row>
    <row r="2225" spans="1:1">
      <c r="A2225" s="272"/>
    </row>
    <row r="2226" spans="1:1">
      <c r="A2226" s="273"/>
    </row>
    <row r="2227" spans="1:1">
      <c r="A2227" s="272"/>
    </row>
    <row r="2228" spans="1:1">
      <c r="A2228" s="273"/>
    </row>
    <row r="2229" spans="1:1">
      <c r="A2229" s="272"/>
    </row>
    <row r="2230" spans="1:1">
      <c r="A2230" s="273"/>
    </row>
    <row r="2231" spans="1:1">
      <c r="A2231" s="272"/>
    </row>
    <row r="2232" spans="1:1">
      <c r="A2232" s="273"/>
    </row>
    <row r="2233" spans="1:1">
      <c r="A2233" s="272"/>
    </row>
    <row r="2234" spans="1:1">
      <c r="A2234" s="273"/>
    </row>
    <row r="2235" spans="1:1">
      <c r="A2235" s="272"/>
    </row>
    <row r="2236" spans="1:1">
      <c r="A2236" s="273"/>
    </row>
    <row r="2237" spans="1:1">
      <c r="A2237" s="272"/>
    </row>
    <row r="2238" spans="1:1">
      <c r="A2238" s="273"/>
    </row>
    <row r="2239" spans="1:1">
      <c r="A2239" s="272"/>
    </row>
    <row r="2240" spans="1:1">
      <c r="A2240" s="273"/>
    </row>
    <row r="2241" spans="1:1">
      <c r="A2241" s="272"/>
    </row>
    <row r="2242" spans="1:1">
      <c r="A2242" s="273"/>
    </row>
    <row r="2243" spans="1:1">
      <c r="A2243" s="272"/>
    </row>
    <row r="2244" spans="1:1">
      <c r="A2244" s="273"/>
    </row>
    <row r="2245" spans="1:1">
      <c r="A2245" s="272"/>
    </row>
    <row r="2246" spans="1:1">
      <c r="A2246" s="273"/>
    </row>
    <row r="2247" spans="1:1">
      <c r="A2247" s="272"/>
    </row>
    <row r="2248" spans="1:1">
      <c r="A2248" s="273"/>
    </row>
    <row r="2249" spans="1:1">
      <c r="A2249" s="272"/>
    </row>
    <row r="2250" spans="1:1">
      <c r="A2250" s="273"/>
    </row>
    <row r="2251" spans="1:1">
      <c r="A2251" s="272"/>
    </row>
    <row r="2252" spans="1:1">
      <c r="A2252" s="273"/>
    </row>
    <row r="2253" spans="1:1">
      <c r="A2253" s="272"/>
    </row>
    <row r="2254" spans="1:1">
      <c r="A2254" s="273"/>
    </row>
    <row r="2255" spans="1:1">
      <c r="A2255" s="272"/>
    </row>
    <row r="2256" spans="1:1">
      <c r="A2256" s="273"/>
    </row>
    <row r="2257" spans="1:1">
      <c r="A2257" s="272"/>
    </row>
    <row r="2258" spans="1:1">
      <c r="A2258" s="273"/>
    </row>
    <row r="2259" spans="1:1">
      <c r="A2259" s="272"/>
    </row>
    <row r="2260" spans="1:1">
      <c r="A2260" s="273"/>
    </row>
    <row r="2261" spans="1:1">
      <c r="A2261" s="272"/>
    </row>
    <row r="2262" spans="1:1">
      <c r="A2262" s="273"/>
    </row>
    <row r="2263" spans="1:1">
      <c r="A2263" s="272"/>
    </row>
    <row r="2264" spans="1:1">
      <c r="A2264" s="273"/>
    </row>
    <row r="2265" spans="1:1">
      <c r="A2265" s="272"/>
    </row>
    <row r="2266" spans="1:1">
      <c r="A2266" s="273"/>
    </row>
    <row r="2267" spans="1:1">
      <c r="A2267" s="272"/>
    </row>
    <row r="2268" spans="1:1">
      <c r="A2268" s="273"/>
    </row>
    <row r="2269" spans="1:1">
      <c r="A2269" s="272"/>
    </row>
    <row r="2270" spans="1:1">
      <c r="A2270" s="273"/>
    </row>
    <row r="2271" spans="1:1">
      <c r="A2271" s="272"/>
    </row>
    <row r="2272" spans="1:1">
      <c r="A2272" s="273"/>
    </row>
    <row r="2273" spans="1:1">
      <c r="A2273" s="272"/>
    </row>
    <row r="2274" spans="1:1">
      <c r="A2274" s="273"/>
    </row>
    <row r="2275" spans="1:1">
      <c r="A2275" s="272"/>
    </row>
    <row r="2276" spans="1:1">
      <c r="A2276" s="273"/>
    </row>
    <row r="2277" spans="1:1">
      <c r="A2277" s="272"/>
    </row>
    <row r="2278" spans="1:1">
      <c r="A2278" s="273"/>
    </row>
    <row r="2279" spans="1:1">
      <c r="A2279" s="272"/>
    </row>
    <row r="2280" spans="1:1">
      <c r="A2280" s="273"/>
    </row>
    <row r="2281" spans="1:1">
      <c r="A2281" s="272"/>
    </row>
    <row r="2282" spans="1:1">
      <c r="A2282" s="273"/>
    </row>
    <row r="2283" spans="1:1">
      <c r="A2283" s="272"/>
    </row>
    <row r="2284" spans="1:1">
      <c r="A2284" s="273"/>
    </row>
    <row r="2285" spans="1:1">
      <c r="A2285" s="272"/>
    </row>
    <row r="2286" spans="1:1">
      <c r="A2286" s="273"/>
    </row>
    <row r="2287" spans="1:1">
      <c r="A2287" s="272"/>
    </row>
    <row r="2288" spans="1:1">
      <c r="A2288" s="273"/>
    </row>
    <row r="2289" spans="1:1">
      <c r="A2289" s="272"/>
    </row>
    <row r="2290" spans="1:1">
      <c r="A2290" s="273"/>
    </row>
    <row r="2291" spans="1:1">
      <c r="A2291" s="272"/>
    </row>
    <row r="2292" spans="1:1">
      <c r="A2292" s="273"/>
    </row>
    <row r="2293" spans="1:1">
      <c r="A2293" s="272"/>
    </row>
    <row r="2294" spans="1:1">
      <c r="A2294" s="273"/>
    </row>
    <row r="2295" spans="1:1">
      <c r="A2295" s="272"/>
    </row>
    <row r="2296" spans="1:1">
      <c r="A2296" s="273"/>
    </row>
    <row r="2297" spans="1:1">
      <c r="A2297" s="272"/>
    </row>
    <row r="2298" spans="1:1">
      <c r="A2298" s="273"/>
    </row>
    <row r="2299" spans="1:1">
      <c r="A2299" s="272"/>
    </row>
    <row r="2300" spans="1:1">
      <c r="A2300" s="273"/>
    </row>
    <row r="2301" spans="1:1">
      <c r="A2301" s="272"/>
    </row>
    <row r="2302" spans="1:1">
      <c r="A2302" s="273"/>
    </row>
    <row r="2303" spans="1:1">
      <c r="A2303" s="272"/>
    </row>
    <row r="2304" spans="1:1">
      <c r="A2304" s="273"/>
    </row>
    <row r="2305" spans="1:1">
      <c r="A2305" s="272"/>
    </row>
    <row r="2306" spans="1:1">
      <c r="A2306" s="273"/>
    </row>
    <row r="2307" spans="1:1">
      <c r="A2307" s="272"/>
    </row>
    <row r="2308" spans="1:1">
      <c r="A2308" s="273"/>
    </row>
    <row r="2309" spans="1:1">
      <c r="A2309" s="272"/>
    </row>
    <row r="2310" spans="1:1">
      <c r="A2310" s="273"/>
    </row>
    <row r="2311" spans="1:1">
      <c r="A2311" s="272"/>
    </row>
    <row r="2312" spans="1:1">
      <c r="A2312" s="273"/>
    </row>
    <row r="2313" spans="1:1">
      <c r="A2313" s="272"/>
    </row>
    <row r="2314" spans="1:1">
      <c r="A2314" s="273"/>
    </row>
    <row r="2315" spans="1:1">
      <c r="A2315" s="272"/>
    </row>
    <row r="2316" spans="1:1">
      <c r="A2316" s="273"/>
    </row>
    <row r="2317" spans="1:1">
      <c r="A2317" s="272"/>
    </row>
    <row r="2318" spans="1:1">
      <c r="A2318" s="273"/>
    </row>
    <row r="2319" spans="1:1">
      <c r="A2319" s="272"/>
    </row>
    <row r="2320" spans="1:1">
      <c r="A2320" s="273"/>
    </row>
    <row r="2321" spans="1:1">
      <c r="A2321" s="272"/>
    </row>
    <row r="2322" spans="1:1">
      <c r="A2322" s="273"/>
    </row>
    <row r="2323" spans="1:1">
      <c r="A2323" s="272"/>
    </row>
    <row r="2324" spans="1:1">
      <c r="A2324" s="273"/>
    </row>
    <row r="2325" spans="1:1">
      <c r="A2325" s="272"/>
    </row>
    <row r="2326" spans="1:1">
      <c r="A2326" s="273"/>
    </row>
    <row r="2327" spans="1:1">
      <c r="A2327" s="272"/>
    </row>
    <row r="2328" spans="1:1">
      <c r="A2328" s="273"/>
    </row>
    <row r="2329" spans="1:1">
      <c r="A2329" s="272"/>
    </row>
    <row r="2330" spans="1:1">
      <c r="A2330" s="273"/>
    </row>
    <row r="2331" spans="1:1">
      <c r="A2331" s="272"/>
    </row>
    <row r="2332" spans="1:1">
      <c r="A2332" s="273"/>
    </row>
    <row r="2333" spans="1:1">
      <c r="A2333" s="272"/>
    </row>
    <row r="2334" spans="1:1">
      <c r="A2334" s="273"/>
    </row>
    <row r="2335" spans="1:1">
      <c r="A2335" s="272"/>
    </row>
    <row r="2336" spans="1:1">
      <c r="A2336" s="273"/>
    </row>
    <row r="2337" spans="1:1">
      <c r="A2337" s="272"/>
    </row>
    <row r="2338" spans="1:1">
      <c r="A2338" s="273"/>
    </row>
    <row r="2339" spans="1:1">
      <c r="A2339" s="272"/>
    </row>
    <row r="2340" spans="1:1">
      <c r="A2340" s="273"/>
    </row>
    <row r="2341" spans="1:1">
      <c r="A2341" s="272"/>
    </row>
    <row r="2342" spans="1:1">
      <c r="A2342" s="273"/>
    </row>
    <row r="2343" spans="1:1">
      <c r="A2343" s="272"/>
    </row>
    <row r="2344" spans="1:1">
      <c r="A2344" s="273"/>
    </row>
    <row r="2345" spans="1:1">
      <c r="A2345" s="272"/>
    </row>
    <row r="2346" spans="1:1">
      <c r="A2346" s="273"/>
    </row>
    <row r="2347" spans="1:1">
      <c r="A2347" s="272"/>
    </row>
    <row r="2348" spans="1:1">
      <c r="A2348" s="273"/>
    </row>
    <row r="2349" spans="1:1">
      <c r="A2349" s="272"/>
    </row>
    <row r="2350" spans="1:1">
      <c r="A2350" s="273"/>
    </row>
    <row r="2351" spans="1:1">
      <c r="A2351" s="272"/>
    </row>
    <row r="2352" spans="1:1">
      <c r="A2352" s="273"/>
    </row>
    <row r="2353" spans="1:1">
      <c r="A2353" s="272"/>
    </row>
    <row r="2354" spans="1:1">
      <c r="A2354" s="273"/>
    </row>
    <row r="2355" spans="1:1">
      <c r="A2355" s="272"/>
    </row>
    <row r="2356" spans="1:1">
      <c r="A2356" s="273"/>
    </row>
    <row r="2357" spans="1:1">
      <c r="A2357" s="272"/>
    </row>
    <row r="2358" spans="1:1">
      <c r="A2358" s="273"/>
    </row>
    <row r="2359" spans="1:1">
      <c r="A2359" s="272"/>
    </row>
    <row r="2360" spans="1:1">
      <c r="A2360" s="273"/>
    </row>
    <row r="2361" spans="1:1">
      <c r="A2361" s="272"/>
    </row>
    <row r="2362" spans="1:1">
      <c r="A2362" s="273"/>
    </row>
    <row r="2363" spans="1:1">
      <c r="A2363" s="272"/>
    </row>
    <row r="2364" spans="1:1">
      <c r="A2364" s="273"/>
    </row>
    <row r="2365" spans="1:1">
      <c r="A2365" s="272"/>
    </row>
    <row r="2366" spans="1:1">
      <c r="A2366" s="273"/>
    </row>
    <row r="2367" spans="1:1">
      <c r="A2367" s="272"/>
    </row>
    <row r="2368" spans="1:1">
      <c r="A2368" s="273"/>
    </row>
    <row r="2369" spans="1:1">
      <c r="A2369" s="272"/>
    </row>
    <row r="2370" spans="1:1">
      <c r="A2370" s="273"/>
    </row>
    <row r="2371" spans="1:1">
      <c r="A2371" s="272"/>
    </row>
    <row r="2372" spans="1:1">
      <c r="A2372" s="273"/>
    </row>
    <row r="2373" spans="1:1">
      <c r="A2373" s="272"/>
    </row>
    <row r="2374" spans="1:1">
      <c r="A2374" s="273"/>
    </row>
    <row r="2375" spans="1:1">
      <c r="A2375" s="272"/>
    </row>
    <row r="2376" spans="1:1">
      <c r="A2376" s="273"/>
    </row>
    <row r="2377" spans="1:1">
      <c r="A2377" s="272"/>
    </row>
    <row r="2378" spans="1:1">
      <c r="A2378" s="273"/>
    </row>
    <row r="2379" spans="1:1">
      <c r="A2379" s="272"/>
    </row>
    <row r="2380" spans="1:1">
      <c r="A2380" s="273"/>
    </row>
    <row r="2381" spans="1:1">
      <c r="A2381" s="272"/>
    </row>
    <row r="2382" spans="1:1">
      <c r="A2382" s="273"/>
    </row>
    <row r="2383" spans="1:1">
      <c r="A2383" s="272"/>
    </row>
    <row r="2384" spans="1:1">
      <c r="A2384" s="273"/>
    </row>
    <row r="2385" spans="1:1">
      <c r="A2385" s="272"/>
    </row>
    <row r="2386" spans="1:1">
      <c r="A2386" s="273"/>
    </row>
    <row r="2387" spans="1:1">
      <c r="A2387" s="272"/>
    </row>
    <row r="2388" spans="1:1">
      <c r="A2388" s="273"/>
    </row>
    <row r="2389" spans="1:1">
      <c r="A2389" s="272"/>
    </row>
    <row r="2390" spans="1:1">
      <c r="A2390" s="273"/>
    </row>
    <row r="2391" spans="1:1">
      <c r="A2391" s="272"/>
    </row>
    <row r="2392" spans="1:1">
      <c r="A2392" s="273"/>
    </row>
    <row r="2393" spans="1:1">
      <c r="A2393" s="272"/>
    </row>
    <row r="2394" spans="1:1">
      <c r="A2394" s="273"/>
    </row>
    <row r="2395" spans="1:1">
      <c r="A2395" s="272"/>
    </row>
    <row r="2396" spans="1:1">
      <c r="A2396" s="273"/>
    </row>
    <row r="2397" spans="1:1">
      <c r="A2397" s="272"/>
    </row>
    <row r="2398" spans="1:1">
      <c r="A2398" s="273"/>
    </row>
    <row r="2399" spans="1:1">
      <c r="A2399" s="272"/>
    </row>
    <row r="2400" spans="1:1">
      <c r="A2400" s="273"/>
    </row>
    <row r="2401" spans="1:1">
      <c r="A2401" s="272"/>
    </row>
    <row r="2402" spans="1:1">
      <c r="A2402" s="273"/>
    </row>
    <row r="2403" spans="1:1">
      <c r="A2403" s="272"/>
    </row>
    <row r="2404" spans="1:1">
      <c r="A2404" s="273"/>
    </row>
    <row r="2405" spans="1:1">
      <c r="A2405" s="272"/>
    </row>
    <row r="2406" spans="1:1">
      <c r="A2406" s="273"/>
    </row>
    <row r="2407" spans="1:1">
      <c r="A2407" s="272"/>
    </row>
    <row r="2408" spans="1:1">
      <c r="A2408" s="273"/>
    </row>
    <row r="2409" spans="1:1">
      <c r="A2409" s="272"/>
    </row>
    <row r="2410" spans="1:1">
      <c r="A2410" s="273"/>
    </row>
    <row r="2411" spans="1:1">
      <c r="A2411" s="272"/>
    </row>
    <row r="2412" spans="1:1">
      <c r="A2412" s="273"/>
    </row>
    <row r="2413" spans="1:1">
      <c r="A2413" s="272"/>
    </row>
    <row r="2414" spans="1:1">
      <c r="A2414" s="273"/>
    </row>
    <row r="2415" spans="1:1">
      <c r="A2415" s="272"/>
    </row>
    <row r="2416" spans="1:1">
      <c r="A2416" s="273"/>
    </row>
    <row r="2417" spans="1:1">
      <c r="A2417" s="272"/>
    </row>
    <row r="2418" spans="1:1">
      <c r="A2418" s="273"/>
    </row>
    <row r="2419" spans="1:1">
      <c r="A2419" s="272"/>
    </row>
    <row r="2420" spans="1:1">
      <c r="A2420" s="273"/>
    </row>
    <row r="2421" spans="1:1">
      <c r="A2421" s="272"/>
    </row>
    <row r="2422" spans="1:1">
      <c r="A2422" s="273"/>
    </row>
    <row r="2423" spans="1:1">
      <c r="A2423" s="272"/>
    </row>
    <row r="2424" spans="1:1">
      <c r="A2424" s="273"/>
    </row>
    <row r="2425" spans="1:1">
      <c r="A2425" s="272"/>
    </row>
    <row r="2426" spans="1:1">
      <c r="A2426" s="273"/>
    </row>
    <row r="2427" spans="1:1">
      <c r="A2427" s="272"/>
    </row>
    <row r="2428" spans="1:1">
      <c r="A2428" s="273"/>
    </row>
    <row r="2429" spans="1:1">
      <c r="A2429" s="272"/>
    </row>
    <row r="2430" spans="1:1">
      <c r="A2430" s="273"/>
    </row>
    <row r="2431" spans="1:1">
      <c r="A2431" s="272"/>
    </row>
    <row r="2432" spans="1:1">
      <c r="A2432" s="273"/>
    </row>
    <row r="2433" spans="1:1">
      <c r="A2433" s="272"/>
    </row>
    <row r="2434" spans="1:1">
      <c r="A2434" s="273"/>
    </row>
    <row r="2435" spans="1:1">
      <c r="A2435" s="272"/>
    </row>
    <row r="2436" spans="1:1">
      <c r="A2436" s="273"/>
    </row>
    <row r="2437" spans="1:1">
      <c r="A2437" s="272"/>
    </row>
    <row r="2438" spans="1:1">
      <c r="A2438" s="273"/>
    </row>
    <row r="2439" spans="1:1">
      <c r="A2439" s="272"/>
    </row>
    <row r="2440" spans="1:1">
      <c r="A2440" s="273"/>
    </row>
    <row r="2441" spans="1:1">
      <c r="A2441" s="272"/>
    </row>
    <row r="2442" spans="1:1">
      <c r="A2442" s="273"/>
    </row>
    <row r="2443" spans="1:1">
      <c r="A2443" s="272"/>
    </row>
    <row r="2444" spans="1:1">
      <c r="A2444" s="273"/>
    </row>
    <row r="2445" spans="1:1">
      <c r="A2445" s="272"/>
    </row>
    <row r="2446" spans="1:1">
      <c r="A2446" s="273"/>
    </row>
    <row r="2447" spans="1:1">
      <c r="A2447" s="272"/>
    </row>
    <row r="2448" spans="1:1">
      <c r="A2448" s="273"/>
    </row>
    <row r="2449" spans="1:1">
      <c r="A2449" s="272"/>
    </row>
    <row r="2450" spans="1:1">
      <c r="A2450" s="273"/>
    </row>
    <row r="2451" spans="1:1">
      <c r="A2451" s="272"/>
    </row>
    <row r="2452" spans="1:1">
      <c r="A2452" s="273"/>
    </row>
    <row r="2453" spans="1:1">
      <c r="A2453" s="272"/>
    </row>
    <row r="2454" spans="1:1">
      <c r="A2454" s="273"/>
    </row>
    <row r="2455" spans="1:1">
      <c r="A2455" s="272"/>
    </row>
    <row r="2456" spans="1:1">
      <c r="A2456" s="273"/>
    </row>
    <row r="2457" spans="1:1">
      <c r="A2457" s="272"/>
    </row>
    <row r="2458" spans="1:1">
      <c r="A2458" s="273"/>
    </row>
    <row r="2459" spans="1:1">
      <c r="A2459" s="272"/>
    </row>
    <row r="2460" spans="1:1">
      <c r="A2460" s="273"/>
    </row>
    <row r="2461" spans="1:1">
      <c r="A2461" s="272"/>
    </row>
    <row r="2462" spans="1:1">
      <c r="A2462" s="273"/>
    </row>
    <row r="2463" spans="1:1">
      <c r="A2463" s="272"/>
    </row>
    <row r="2464" spans="1:1">
      <c r="A2464" s="273"/>
    </row>
    <row r="2465" spans="1:1">
      <c r="A2465" s="272"/>
    </row>
    <row r="2466" spans="1:1">
      <c r="A2466" s="273"/>
    </row>
    <row r="2467" spans="1:1">
      <c r="A2467" s="272"/>
    </row>
    <row r="2468" spans="1:1">
      <c r="A2468" s="273"/>
    </row>
    <row r="2469" spans="1:1">
      <c r="A2469" s="272"/>
    </row>
    <row r="2470" spans="1:1">
      <c r="A2470" s="273"/>
    </row>
    <row r="2471" spans="1:1">
      <c r="A2471" s="272"/>
    </row>
    <row r="2472" spans="1:1">
      <c r="A2472" s="273"/>
    </row>
    <row r="2473" spans="1:1">
      <c r="A2473" s="272"/>
    </row>
    <row r="2474" spans="1:1">
      <c r="A2474" s="273"/>
    </row>
    <row r="2475" spans="1:1">
      <c r="A2475" s="272"/>
    </row>
    <row r="2476" spans="1:1">
      <c r="A2476" s="273"/>
    </row>
    <row r="2477" spans="1:1">
      <c r="A2477" s="272"/>
    </row>
    <row r="2478" spans="1:1">
      <c r="A2478" s="273"/>
    </row>
    <row r="2479" spans="1:1">
      <c r="A2479" s="272"/>
    </row>
    <row r="2480" spans="1:1">
      <c r="A2480" s="273"/>
    </row>
    <row r="2481" spans="1:1">
      <c r="A2481" s="272"/>
    </row>
    <row r="2482" spans="1:1">
      <c r="A2482" s="273"/>
    </row>
    <row r="2483" spans="1:1">
      <c r="A2483" s="272"/>
    </row>
    <row r="2484" spans="1:1">
      <c r="A2484" s="273"/>
    </row>
    <row r="2485" spans="1:1">
      <c r="A2485" s="272"/>
    </row>
    <row r="2486" spans="1:1">
      <c r="A2486" s="273"/>
    </row>
    <row r="2487" spans="1:1">
      <c r="A2487" s="272"/>
    </row>
    <row r="2488" spans="1:1">
      <c r="A2488" s="273"/>
    </row>
    <row r="2489" spans="1:1">
      <c r="A2489" s="272"/>
    </row>
    <row r="2490" spans="1:1">
      <c r="A2490" s="273"/>
    </row>
    <row r="2491" spans="1:1">
      <c r="A2491" s="272"/>
    </row>
    <row r="2492" spans="1:1">
      <c r="A2492" s="273"/>
    </row>
    <row r="2493" spans="1:1">
      <c r="A2493" s="272"/>
    </row>
    <row r="2494" spans="1:1">
      <c r="A2494" s="273"/>
    </row>
    <row r="2495" spans="1:1">
      <c r="A2495" s="272"/>
    </row>
    <row r="2496" spans="1:1">
      <c r="A2496" s="273"/>
    </row>
    <row r="2497" spans="1:1">
      <c r="A2497" s="272"/>
    </row>
    <row r="2498" spans="1:1">
      <c r="A2498" s="273"/>
    </row>
    <row r="2499" spans="1:1">
      <c r="A2499" s="272"/>
    </row>
    <row r="2500" spans="1:1">
      <c r="A2500" s="273"/>
    </row>
    <row r="2501" spans="1:1">
      <c r="A2501" s="272"/>
    </row>
    <row r="2502" spans="1:1">
      <c r="A2502" s="273"/>
    </row>
    <row r="2503" spans="1:1">
      <c r="A2503" s="272"/>
    </row>
    <row r="2504" spans="1:1">
      <c r="A2504" s="273"/>
    </row>
    <row r="2505" spans="1:1">
      <c r="A2505" s="272"/>
    </row>
    <row r="2506" spans="1:1">
      <c r="A2506" s="273"/>
    </row>
    <row r="2507" spans="1:1">
      <c r="A2507" s="272"/>
    </row>
    <row r="2508" spans="1:1">
      <c r="A2508" s="273"/>
    </row>
    <row r="2509" spans="1:1">
      <c r="A2509" s="272"/>
    </row>
    <row r="2510" spans="1:1">
      <c r="A2510" s="273"/>
    </row>
    <row r="2511" spans="1:1">
      <c r="A2511" s="272"/>
    </row>
    <row r="2512" spans="1:1">
      <c r="A2512" s="273"/>
    </row>
    <row r="2513" spans="1:1">
      <c r="A2513" s="272"/>
    </row>
    <row r="2514" spans="1:1">
      <c r="A2514" s="273"/>
    </row>
    <row r="2515" spans="1:1">
      <c r="A2515" s="272"/>
    </row>
    <row r="2516" spans="1:1">
      <c r="A2516" s="273"/>
    </row>
    <row r="2517" spans="1:1">
      <c r="A2517" s="272"/>
    </row>
    <row r="2518" spans="1:1">
      <c r="A2518" s="273"/>
    </row>
    <row r="2519" spans="1:1">
      <c r="A2519" s="272"/>
    </row>
    <row r="2520" spans="1:1">
      <c r="A2520" s="273"/>
    </row>
    <row r="2521" spans="1:1">
      <c r="A2521" s="272"/>
    </row>
    <row r="2522" spans="1:1">
      <c r="A2522" s="273"/>
    </row>
    <row r="2523" spans="1:1">
      <c r="A2523" s="272"/>
    </row>
    <row r="2524" spans="1:1">
      <c r="A2524" s="273"/>
    </row>
    <row r="2525" spans="1:1">
      <c r="A2525" s="272"/>
    </row>
    <row r="2526" spans="1:1">
      <c r="A2526" s="273"/>
    </row>
    <row r="2527" spans="1:1">
      <c r="A2527" s="272"/>
    </row>
    <row r="2528" spans="1:1">
      <c r="A2528" s="273"/>
    </row>
    <row r="2529" spans="1:1">
      <c r="A2529" s="272"/>
    </row>
    <row r="2530" spans="1:1">
      <c r="A2530" s="273"/>
    </row>
    <row r="2531" spans="1:1">
      <c r="A2531" s="272"/>
    </row>
    <row r="2532" spans="1:1">
      <c r="A2532" s="273"/>
    </row>
    <row r="2533" spans="1:1">
      <c r="A2533" s="272"/>
    </row>
    <row r="2534" spans="1:1">
      <c r="A2534" s="273"/>
    </row>
    <row r="2535" spans="1:1">
      <c r="A2535" s="272"/>
    </row>
    <row r="2536" spans="1:1">
      <c r="A2536" s="273"/>
    </row>
    <row r="2537" spans="1:1">
      <c r="A2537" s="272"/>
    </row>
    <row r="2538" spans="1:1">
      <c r="A2538" s="273"/>
    </row>
    <row r="2539" spans="1:1">
      <c r="A2539" s="272"/>
    </row>
    <row r="2540" spans="1:1">
      <c r="A2540" s="273"/>
    </row>
    <row r="2541" spans="1:1">
      <c r="A2541" s="272"/>
    </row>
    <row r="2542" spans="1:1">
      <c r="A2542" s="273"/>
    </row>
    <row r="2543" spans="1:1">
      <c r="A2543" s="272"/>
    </row>
    <row r="2544" spans="1:1">
      <c r="A2544" s="273"/>
    </row>
    <row r="2545" spans="1:1">
      <c r="A2545" s="272"/>
    </row>
    <row r="2546" spans="1:1">
      <c r="A2546" s="273"/>
    </row>
    <row r="2547" spans="1:1">
      <c r="A2547" s="272"/>
    </row>
    <row r="2548" spans="1:1">
      <c r="A2548" s="273"/>
    </row>
    <row r="2549" spans="1:1">
      <c r="A2549" s="272"/>
    </row>
    <row r="2550" spans="1:1">
      <c r="A2550" s="273"/>
    </row>
    <row r="2551" spans="1:1">
      <c r="A2551" s="272"/>
    </row>
    <row r="2552" spans="1:1">
      <c r="A2552" s="273"/>
    </row>
    <row r="2553" spans="1:1">
      <c r="A2553" s="272"/>
    </row>
    <row r="2554" spans="1:1">
      <c r="A2554" s="273"/>
    </row>
    <row r="2555" spans="1:1">
      <c r="A2555" s="272"/>
    </row>
    <row r="2556" spans="1:1">
      <c r="A2556" s="273"/>
    </row>
    <row r="2557" spans="1:1">
      <c r="A2557" s="272"/>
    </row>
    <row r="2558" spans="1:1">
      <c r="A2558" s="273"/>
    </row>
    <row r="2559" spans="1:1">
      <c r="A2559" s="272"/>
    </row>
    <row r="2560" spans="1:1">
      <c r="A2560" s="273"/>
    </row>
    <row r="2561" spans="1:1">
      <c r="A2561" s="272"/>
    </row>
    <row r="2562" spans="1:1">
      <c r="A2562" s="273"/>
    </row>
    <row r="2563" spans="1:1">
      <c r="A2563" s="272"/>
    </row>
    <row r="2564" spans="1:1">
      <c r="A2564" s="273"/>
    </row>
    <row r="2565" spans="1:1">
      <c r="A2565" s="272"/>
    </row>
    <row r="2566" spans="1:1">
      <c r="A2566" s="273"/>
    </row>
    <row r="2567" spans="1:1">
      <c r="A2567" s="272"/>
    </row>
    <row r="2568" spans="1:1">
      <c r="A2568" s="273"/>
    </row>
    <row r="2569" spans="1:1">
      <c r="A2569" s="272"/>
    </row>
    <row r="2570" spans="1:1">
      <c r="A2570" s="273"/>
    </row>
    <row r="2571" spans="1:1">
      <c r="A2571" s="272"/>
    </row>
    <row r="2572" spans="1:1">
      <c r="A2572" s="273"/>
    </row>
    <row r="2573" spans="1:1">
      <c r="A2573" s="272"/>
    </row>
    <row r="2574" spans="1:1">
      <c r="A2574" s="273"/>
    </row>
    <row r="2575" spans="1:1">
      <c r="A2575" s="272"/>
    </row>
    <row r="2576" spans="1:1">
      <c r="A2576" s="273"/>
    </row>
    <row r="2577" spans="1:1">
      <c r="A2577" s="272"/>
    </row>
    <row r="2578" spans="1:1">
      <c r="A2578" s="273"/>
    </row>
    <row r="2579" spans="1:1">
      <c r="A2579" s="272"/>
    </row>
    <row r="2580" spans="1:1">
      <c r="A2580" s="273"/>
    </row>
    <row r="2581" spans="1:1">
      <c r="A2581" s="272"/>
    </row>
    <row r="2582" spans="1:1">
      <c r="A2582" s="273"/>
    </row>
    <row r="2583" spans="1:1">
      <c r="A2583" s="272"/>
    </row>
    <row r="2584" spans="1:1">
      <c r="A2584" s="273"/>
    </row>
    <row r="2585" spans="1:1">
      <c r="A2585" s="272"/>
    </row>
    <row r="2586" spans="1:1">
      <c r="A2586" s="273"/>
    </row>
    <row r="2587" spans="1:1">
      <c r="A2587" s="272"/>
    </row>
    <row r="2588" spans="1:1">
      <c r="A2588" s="273"/>
    </row>
    <row r="2589" spans="1:1">
      <c r="A2589" s="272"/>
    </row>
    <row r="2590" spans="1:1">
      <c r="A2590" s="273"/>
    </row>
    <row r="2591" spans="1:1">
      <c r="A2591" s="272"/>
    </row>
    <row r="2592" spans="1:1">
      <c r="A2592" s="273"/>
    </row>
    <row r="2593" spans="1:1">
      <c r="A2593" s="272"/>
    </row>
    <row r="2594" spans="1:1">
      <c r="A2594" s="273"/>
    </row>
    <row r="2595" spans="1:1">
      <c r="A2595" s="272"/>
    </row>
    <row r="2596" spans="1:1">
      <c r="A2596" s="273"/>
    </row>
    <row r="2597" spans="1:1">
      <c r="A2597" s="272"/>
    </row>
    <row r="2598" spans="1:1">
      <c r="A2598" s="273"/>
    </row>
    <row r="2599" spans="1:1">
      <c r="A2599" s="272"/>
    </row>
    <row r="2600" spans="1:1">
      <c r="A2600" s="273"/>
    </row>
    <row r="2601" spans="1:1">
      <c r="A2601" s="272"/>
    </row>
    <row r="2602" spans="1:1">
      <c r="A2602" s="273"/>
    </row>
    <row r="2603" spans="1:1">
      <c r="A2603" s="272"/>
    </row>
    <row r="2604" spans="1:1">
      <c r="A2604" s="273"/>
    </row>
    <row r="2605" spans="1:1">
      <c r="A2605" s="272"/>
    </row>
    <row r="2606" spans="1:1">
      <c r="A2606" s="273"/>
    </row>
    <row r="2607" spans="1:1">
      <c r="A2607" s="272"/>
    </row>
    <row r="2608" spans="1:1">
      <c r="A2608" s="273"/>
    </row>
    <row r="2609" spans="1:1">
      <c r="A2609" s="272"/>
    </row>
    <row r="2610" spans="1:1">
      <c r="A2610" s="273"/>
    </row>
    <row r="2611" spans="1:1">
      <c r="A2611" s="272"/>
    </row>
    <row r="2612" spans="1:1">
      <c r="A2612" s="273"/>
    </row>
    <row r="2613" spans="1:1">
      <c r="A2613" s="272"/>
    </row>
    <row r="2614" spans="1:1">
      <c r="A2614" s="273"/>
    </row>
    <row r="2615" spans="1:1">
      <c r="A2615" s="272"/>
    </row>
    <row r="2616" spans="1:1">
      <c r="A2616" s="273"/>
    </row>
    <row r="2617" spans="1:1">
      <c r="A2617" s="272"/>
    </row>
    <row r="2618" spans="1:1">
      <c r="A2618" s="273"/>
    </row>
    <row r="2619" spans="1:1">
      <c r="A2619" s="272"/>
    </row>
    <row r="2620" spans="1:1">
      <c r="A2620" s="273"/>
    </row>
    <row r="2621" spans="1:1">
      <c r="A2621" s="272"/>
    </row>
    <row r="2622" spans="1:1">
      <c r="A2622" s="273"/>
    </row>
    <row r="2623" spans="1:1">
      <c r="A2623" s="272"/>
    </row>
    <row r="2624" spans="1:1">
      <c r="A2624" s="273"/>
    </row>
    <row r="2625" spans="1:1">
      <c r="A2625" s="272"/>
    </row>
    <row r="2626" spans="1:1">
      <c r="A2626" s="273"/>
    </row>
    <row r="2627" spans="1:1">
      <c r="A2627" s="272"/>
    </row>
    <row r="2628" spans="1:1">
      <c r="A2628" s="273"/>
    </row>
    <row r="2629" spans="1:1">
      <c r="A2629" s="272"/>
    </row>
    <row r="2630" spans="1:1">
      <c r="A2630" s="273"/>
    </row>
    <row r="2631" spans="1:1">
      <c r="A2631" s="272"/>
    </row>
    <row r="2632" spans="1:1">
      <c r="A2632" s="273"/>
    </row>
    <row r="2633" spans="1:1">
      <c r="A2633" s="272"/>
    </row>
    <row r="2634" spans="1:1">
      <c r="A2634" s="273"/>
    </row>
    <row r="2635" spans="1:1">
      <c r="A2635" s="272"/>
    </row>
    <row r="2636" spans="1:1">
      <c r="A2636" s="273"/>
    </row>
    <row r="2637" spans="1:1">
      <c r="A2637" s="272"/>
    </row>
    <row r="2638" spans="1:1">
      <c r="A2638" s="273"/>
    </row>
    <row r="2639" spans="1:1">
      <c r="A2639" s="272"/>
    </row>
    <row r="2640" spans="1:1">
      <c r="A2640" s="273"/>
    </row>
    <row r="2641" spans="1:1">
      <c r="A2641" s="272"/>
    </row>
    <row r="2642" spans="1:1">
      <c r="A2642" s="273"/>
    </row>
    <row r="2643" spans="1:1">
      <c r="A2643" s="272"/>
    </row>
    <row r="2644" spans="1:1">
      <c r="A2644" s="273"/>
    </row>
    <row r="2645" spans="1:1">
      <c r="A2645" s="272"/>
    </row>
    <row r="2646" spans="1:1">
      <c r="A2646" s="273"/>
    </row>
    <row r="2647" spans="1:1">
      <c r="A2647" s="272"/>
    </row>
    <row r="2648" spans="1:1">
      <c r="A2648" s="273"/>
    </row>
    <row r="2649" spans="1:1">
      <c r="A2649" s="272"/>
    </row>
    <row r="2650" spans="1:1">
      <c r="A2650" s="273"/>
    </row>
    <row r="2651" spans="1:1">
      <c r="A2651" s="272"/>
    </row>
    <row r="2652" spans="1:1">
      <c r="A2652" s="273"/>
    </row>
    <row r="2653" spans="1:1">
      <c r="A2653" s="272"/>
    </row>
    <row r="2654" spans="1:1">
      <c r="A2654" s="273"/>
    </row>
    <row r="2655" spans="1:1">
      <c r="A2655" s="272"/>
    </row>
    <row r="2656" spans="1:1">
      <c r="A2656" s="273"/>
    </row>
    <row r="2657" spans="1:1">
      <c r="A2657" s="272"/>
    </row>
    <row r="2658" spans="1:1">
      <c r="A2658" s="273"/>
    </row>
    <row r="2659" spans="1:1">
      <c r="A2659" s="272"/>
    </row>
    <row r="2660" spans="1:1">
      <c r="A2660" s="273"/>
    </row>
    <row r="2661" spans="1:1">
      <c r="A2661" s="272"/>
    </row>
    <row r="2662" spans="1:1">
      <c r="A2662" s="273"/>
    </row>
    <row r="2663" spans="1:1">
      <c r="A2663" s="272"/>
    </row>
    <row r="2664" spans="1:1">
      <c r="A2664" s="273"/>
    </row>
    <row r="2665" spans="1:1">
      <c r="A2665" s="272"/>
    </row>
    <row r="2666" spans="1:1">
      <c r="A2666" s="273"/>
    </row>
    <row r="2667" spans="1:1">
      <c r="A2667" s="272"/>
    </row>
    <row r="2668" spans="1:1">
      <c r="A2668" s="273"/>
    </row>
    <row r="2669" spans="1:1">
      <c r="A2669" s="272"/>
    </row>
    <row r="2670" spans="1:1">
      <c r="A2670" s="273"/>
    </row>
    <row r="2671" spans="1:1">
      <c r="A2671" s="272"/>
    </row>
    <row r="2672" spans="1:1">
      <c r="A2672" s="273"/>
    </row>
    <row r="2673" spans="1:1">
      <c r="A2673" s="272"/>
    </row>
    <row r="2674" spans="1:1">
      <c r="A2674" s="273"/>
    </row>
    <row r="2675" spans="1:1">
      <c r="A2675" s="272"/>
    </row>
    <row r="2676" spans="1:1">
      <c r="A2676" s="273"/>
    </row>
    <row r="2677" spans="1:1">
      <c r="A2677" s="272"/>
    </row>
    <row r="2678" spans="1:1">
      <c r="A2678" s="273"/>
    </row>
    <row r="2679" spans="1:1">
      <c r="A2679" s="272"/>
    </row>
    <row r="2680" spans="1:1">
      <c r="A2680" s="273"/>
    </row>
    <row r="2681" spans="1:1">
      <c r="A2681" s="272"/>
    </row>
    <row r="2682" spans="1:1">
      <c r="A2682" s="273"/>
    </row>
    <row r="2683" spans="1:1">
      <c r="A2683" s="272"/>
    </row>
    <row r="2684" spans="1:1">
      <c r="A2684" s="273"/>
    </row>
    <row r="2685" spans="1:1">
      <c r="A2685" s="272"/>
    </row>
    <row r="2686" spans="1:1">
      <c r="A2686" s="273"/>
    </row>
    <row r="2687" spans="1:1">
      <c r="A2687" s="272"/>
    </row>
    <row r="2688" spans="1:1">
      <c r="A2688" s="273"/>
    </row>
    <row r="2689" spans="1:1">
      <c r="A2689" s="272"/>
    </row>
    <row r="2690" spans="1:1">
      <c r="A2690" s="273"/>
    </row>
    <row r="2691" spans="1:1">
      <c r="A2691" s="272"/>
    </row>
    <row r="2692" spans="1:1">
      <c r="A2692" s="273"/>
    </row>
    <row r="2693" spans="1:1">
      <c r="A2693" s="272"/>
    </row>
    <row r="2694" spans="1:1">
      <c r="A2694" s="273"/>
    </row>
    <row r="2695" spans="1:1">
      <c r="A2695" s="272"/>
    </row>
    <row r="2696" spans="1:1">
      <c r="A2696" s="273"/>
    </row>
    <row r="2697" spans="1:1">
      <c r="A2697" s="272"/>
    </row>
    <row r="2698" spans="1:1">
      <c r="A2698" s="273"/>
    </row>
    <row r="2699" spans="1:1">
      <c r="A2699" s="272"/>
    </row>
    <row r="2700" spans="1:1">
      <c r="A2700" s="273"/>
    </row>
    <row r="2701" spans="1:1">
      <c r="A2701" s="272"/>
    </row>
    <row r="2702" spans="1:1">
      <c r="A2702" s="273"/>
    </row>
    <row r="2703" spans="1:1">
      <c r="A2703" s="272"/>
    </row>
    <row r="2704" spans="1:1">
      <c r="A2704" s="273"/>
    </row>
    <row r="2705" spans="1:1">
      <c r="A2705" s="272"/>
    </row>
    <row r="2706" spans="1:1">
      <c r="A2706" s="273"/>
    </row>
    <row r="2707" spans="1:1">
      <c r="A2707" s="272"/>
    </row>
    <row r="2708" spans="1:1">
      <c r="A2708" s="273"/>
    </row>
    <row r="2709" spans="1:1">
      <c r="A2709" s="272"/>
    </row>
    <row r="2710" spans="1:1">
      <c r="A2710" s="273"/>
    </row>
    <row r="2711" spans="1:1">
      <c r="A2711" s="272"/>
    </row>
    <row r="2712" spans="1:1">
      <c r="A2712" s="273"/>
    </row>
    <row r="2713" spans="1:1">
      <c r="A2713" s="272"/>
    </row>
    <row r="2714" spans="1:1">
      <c r="A2714" s="273"/>
    </row>
    <row r="2715" spans="1:1">
      <c r="A2715" s="272"/>
    </row>
    <row r="2716" spans="1:1">
      <c r="A2716" s="273"/>
    </row>
    <row r="2717" spans="1:1">
      <c r="A2717" s="272"/>
    </row>
    <row r="2718" spans="1:1">
      <c r="A2718" s="273"/>
    </row>
    <row r="2719" spans="1:1">
      <c r="A2719" s="272"/>
    </row>
    <row r="2720" spans="1:1">
      <c r="A2720" s="273"/>
    </row>
    <row r="2721" spans="1:1">
      <c r="A2721" s="272"/>
    </row>
    <row r="2722" spans="1:1">
      <c r="A2722" s="273"/>
    </row>
    <row r="2723" spans="1:1">
      <c r="A2723" s="272"/>
    </row>
    <row r="2724" spans="1:1">
      <c r="A2724" s="273"/>
    </row>
    <row r="2725" spans="1:1">
      <c r="A2725" s="272"/>
    </row>
    <row r="2726" spans="1:1">
      <c r="A2726" s="273"/>
    </row>
    <row r="2727" spans="1:1">
      <c r="A2727" s="272"/>
    </row>
    <row r="2728" spans="1:1">
      <c r="A2728" s="273"/>
    </row>
    <row r="2729" spans="1:1">
      <c r="A2729" s="272"/>
    </row>
    <row r="2730" spans="1:1">
      <c r="A2730" s="273"/>
    </row>
    <row r="2731" spans="1:1">
      <c r="A2731" s="272"/>
    </row>
    <row r="2732" spans="1:1">
      <c r="A2732" s="273"/>
    </row>
    <row r="2733" spans="1:1">
      <c r="A2733" s="272"/>
    </row>
    <row r="2734" spans="1:1">
      <c r="A2734" s="273"/>
    </row>
    <row r="2735" spans="1:1">
      <c r="A2735" s="272"/>
    </row>
    <row r="2736" spans="1:1">
      <c r="A2736" s="273"/>
    </row>
    <row r="2737" spans="1:1">
      <c r="A2737" s="272"/>
    </row>
    <row r="2738" spans="1:1">
      <c r="A2738" s="273"/>
    </row>
    <row r="2739" spans="1:1">
      <c r="A2739" s="272"/>
    </row>
    <row r="2740" spans="1:1">
      <c r="A2740" s="273"/>
    </row>
    <row r="2741" spans="1:1">
      <c r="A2741" s="272"/>
    </row>
    <row r="2742" spans="1:1">
      <c r="A2742" s="273"/>
    </row>
    <row r="2743" spans="1:1">
      <c r="A2743" s="272"/>
    </row>
    <row r="2744" spans="1:1">
      <c r="A2744" s="273"/>
    </row>
    <row r="2745" spans="1:1">
      <c r="A2745" s="272"/>
    </row>
    <row r="2746" spans="1:1">
      <c r="A2746" s="273"/>
    </row>
    <row r="2747" spans="1:1">
      <c r="A2747" s="272"/>
    </row>
    <row r="2748" spans="1:1">
      <c r="A2748" s="273"/>
    </row>
    <row r="2749" spans="1:1">
      <c r="A2749" s="272"/>
    </row>
    <row r="2750" spans="1:1">
      <c r="A2750" s="273"/>
    </row>
    <row r="2751" spans="1:1">
      <c r="A2751" s="272"/>
    </row>
    <row r="2752" spans="1:1">
      <c r="A2752" s="273"/>
    </row>
    <row r="2753" spans="1:1">
      <c r="A2753" s="272"/>
    </row>
    <row r="2754" spans="1:1">
      <c r="A2754" s="273"/>
    </row>
    <row r="2755" spans="1:1">
      <c r="A2755" s="272"/>
    </row>
    <row r="2756" spans="1:1">
      <c r="A2756" s="273"/>
    </row>
    <row r="2757" spans="1:1">
      <c r="A2757" s="272"/>
    </row>
    <row r="2758" spans="1:1">
      <c r="A2758" s="273"/>
    </row>
    <row r="2759" spans="1:1">
      <c r="A2759" s="272"/>
    </row>
    <row r="2760" spans="1:1">
      <c r="A2760" s="273"/>
    </row>
    <row r="2761" spans="1:1">
      <c r="A2761" s="272"/>
    </row>
    <row r="2762" spans="1:1">
      <c r="A2762" s="273"/>
    </row>
    <row r="2763" spans="1:1">
      <c r="A2763" s="272"/>
    </row>
    <row r="2764" spans="1:1">
      <c r="A2764" s="273"/>
    </row>
    <row r="2765" spans="1:1">
      <c r="A2765" s="272"/>
    </row>
    <row r="2766" spans="1:1">
      <c r="A2766" s="273"/>
    </row>
    <row r="2767" spans="1:1">
      <c r="A2767" s="272"/>
    </row>
    <row r="2768" spans="1:1">
      <c r="A2768" s="273"/>
    </row>
    <row r="2769" spans="1:1">
      <c r="A2769" s="272"/>
    </row>
    <row r="2770" spans="1:1">
      <c r="A2770" s="273"/>
    </row>
    <row r="2771" spans="1:1">
      <c r="A2771" s="272"/>
    </row>
    <row r="2772" spans="1:1">
      <c r="A2772" s="273"/>
    </row>
    <row r="2773" spans="1:1">
      <c r="A2773" s="272"/>
    </row>
    <row r="2774" spans="1:1">
      <c r="A2774" s="273"/>
    </row>
    <row r="2775" spans="1:1">
      <c r="A2775" s="272"/>
    </row>
    <row r="2776" spans="1:1">
      <c r="A2776" s="273"/>
    </row>
    <row r="2777" spans="1:1">
      <c r="A2777" s="272"/>
    </row>
    <row r="2778" spans="1:1">
      <c r="A2778" s="273"/>
    </row>
    <row r="2779" spans="1:1">
      <c r="A2779" s="272"/>
    </row>
    <row r="2780" spans="1:1">
      <c r="A2780" s="273"/>
    </row>
    <row r="2781" spans="1:1">
      <c r="A2781" s="272"/>
    </row>
    <row r="2782" spans="1:1">
      <c r="A2782" s="273"/>
    </row>
    <row r="2783" spans="1:1">
      <c r="A2783" s="272"/>
    </row>
    <row r="2784" spans="1:1">
      <c r="A2784" s="273"/>
    </row>
    <row r="2785" spans="1:1">
      <c r="A2785" s="272"/>
    </row>
    <row r="2786" spans="1:1">
      <c r="A2786" s="273"/>
    </row>
    <row r="2787" spans="1:1">
      <c r="A2787" s="272"/>
    </row>
    <row r="2788" spans="1:1">
      <c r="A2788" s="273"/>
    </row>
    <row r="2789" spans="1:1">
      <c r="A2789" s="272"/>
    </row>
    <row r="2790" spans="1:1">
      <c r="A2790" s="273"/>
    </row>
    <row r="2791" spans="1:1">
      <c r="A2791" s="272"/>
    </row>
    <row r="2792" spans="1:1">
      <c r="A2792" s="273"/>
    </row>
    <row r="2793" spans="1:1">
      <c r="A2793" s="272"/>
    </row>
    <row r="2794" spans="1:1">
      <c r="A2794" s="273"/>
    </row>
    <row r="2795" spans="1:1">
      <c r="A2795" s="272"/>
    </row>
    <row r="2796" spans="1:1">
      <c r="A2796" s="273"/>
    </row>
    <row r="2797" spans="1:1">
      <c r="A2797" s="272"/>
    </row>
    <row r="2798" spans="1:1">
      <c r="A2798" s="273"/>
    </row>
    <row r="2799" spans="1:1">
      <c r="A2799" s="272"/>
    </row>
    <row r="2800" spans="1:1">
      <c r="A2800" s="273"/>
    </row>
    <row r="2801" spans="1:1">
      <c r="A2801" s="272"/>
    </row>
    <row r="2802" spans="1:1">
      <c r="A2802" s="273"/>
    </row>
    <row r="2803" spans="1:1">
      <c r="A2803" s="272"/>
    </row>
    <row r="2804" spans="1:1">
      <c r="A2804" s="273"/>
    </row>
    <row r="2805" spans="1:1">
      <c r="A2805" s="272"/>
    </row>
    <row r="2806" spans="1:1">
      <c r="A2806" s="273"/>
    </row>
    <row r="2807" spans="1:1">
      <c r="A2807" s="272"/>
    </row>
    <row r="2808" spans="1:1">
      <c r="A2808" s="273"/>
    </row>
    <row r="2809" spans="1:1">
      <c r="A2809" s="272"/>
    </row>
    <row r="2810" spans="1:1">
      <c r="A2810" s="273"/>
    </row>
    <row r="2811" spans="1:1">
      <c r="A2811" s="272"/>
    </row>
    <row r="2812" spans="1:1">
      <c r="A2812" s="273"/>
    </row>
    <row r="2813" spans="1:1">
      <c r="A2813" s="272"/>
    </row>
    <row r="2814" spans="1:1">
      <c r="A2814" s="273"/>
    </row>
    <row r="2815" spans="1:1">
      <c r="A2815" s="272"/>
    </row>
    <row r="2816" spans="1:1">
      <c r="A2816" s="273"/>
    </row>
    <row r="2817" spans="1:1">
      <c r="A2817" s="272"/>
    </row>
    <row r="2818" spans="1:1">
      <c r="A2818" s="273"/>
    </row>
    <row r="2819" spans="1:1">
      <c r="A2819" s="272"/>
    </row>
    <row r="2820" spans="1:1">
      <c r="A2820" s="273"/>
    </row>
    <row r="2821" spans="1:1">
      <c r="A2821" s="272"/>
    </row>
    <row r="2822" spans="1:1">
      <c r="A2822" s="273"/>
    </row>
    <row r="2823" spans="1:1">
      <c r="A2823" s="272"/>
    </row>
    <row r="2824" spans="1:1">
      <c r="A2824" s="273"/>
    </row>
    <row r="2825" spans="1:1">
      <c r="A2825" s="272"/>
    </row>
    <row r="2826" spans="1:1">
      <c r="A2826" s="273"/>
    </row>
    <row r="2827" spans="1:1">
      <c r="A2827" s="272"/>
    </row>
    <row r="2828" spans="1:1">
      <c r="A2828" s="273"/>
    </row>
    <row r="2829" spans="1:1">
      <c r="A2829" s="272"/>
    </row>
    <row r="2830" spans="1:1">
      <c r="A2830" s="273"/>
    </row>
    <row r="2831" spans="1:1">
      <c r="A2831" s="272"/>
    </row>
    <row r="2832" spans="1:1">
      <c r="A2832" s="273"/>
    </row>
    <row r="2833" spans="1:1">
      <c r="A2833" s="272"/>
    </row>
    <row r="2834" spans="1:1">
      <c r="A2834" s="273"/>
    </row>
    <row r="2835" spans="1:1">
      <c r="A2835" s="272"/>
    </row>
    <row r="2836" spans="1:1">
      <c r="A2836" s="273"/>
    </row>
    <row r="2837" spans="1:1">
      <c r="A2837" s="272"/>
    </row>
    <row r="2838" spans="1:1">
      <c r="A2838" s="273"/>
    </row>
    <row r="2839" spans="1:1">
      <c r="A2839" s="272"/>
    </row>
    <row r="2840" spans="1:1">
      <c r="A2840" s="273"/>
    </row>
    <row r="2841" spans="1:1">
      <c r="A2841" s="272"/>
    </row>
    <row r="2842" spans="1:1">
      <c r="A2842" s="273"/>
    </row>
    <row r="2843" spans="1:1">
      <c r="A2843" s="272"/>
    </row>
    <row r="2844" spans="1:1">
      <c r="A2844" s="273"/>
    </row>
    <row r="2845" spans="1:1">
      <c r="A2845" s="272"/>
    </row>
    <row r="2846" spans="1:1">
      <c r="A2846" s="273"/>
    </row>
    <row r="2847" spans="1:1">
      <c r="A2847" s="272"/>
    </row>
    <row r="2848" spans="1:1">
      <c r="A2848" s="273"/>
    </row>
    <row r="2849" spans="1:1">
      <c r="A2849" s="272"/>
    </row>
    <row r="2850" spans="1:1">
      <c r="A2850" s="273"/>
    </row>
    <row r="2851" spans="1:1">
      <c r="A2851" s="272"/>
    </row>
    <row r="2852" spans="1:1">
      <c r="A2852" s="273"/>
    </row>
    <row r="2853" spans="1:1">
      <c r="A2853" s="272"/>
    </row>
    <row r="2854" spans="1:1">
      <c r="A2854" s="273"/>
    </row>
    <row r="2855" spans="1:1">
      <c r="A2855" s="272"/>
    </row>
    <row r="2856" spans="1:1">
      <c r="A2856" s="273"/>
    </row>
    <row r="2857" spans="1:1">
      <c r="A2857" s="272"/>
    </row>
    <row r="2858" spans="1:1">
      <c r="A2858" s="273"/>
    </row>
    <row r="2859" spans="1:1">
      <c r="A2859" s="272"/>
    </row>
    <row r="2860" spans="1:1">
      <c r="A2860" s="273"/>
    </row>
    <row r="2861" spans="1:1">
      <c r="A2861" s="272"/>
    </row>
    <row r="2862" spans="1:1">
      <c r="A2862" s="273"/>
    </row>
    <row r="2863" spans="1:1">
      <c r="A2863" s="272"/>
    </row>
    <row r="2864" spans="1:1">
      <c r="A2864" s="273"/>
    </row>
    <row r="2865" spans="1:1">
      <c r="A2865" s="272"/>
    </row>
    <row r="2866" spans="1:1">
      <c r="A2866" s="273"/>
    </row>
    <row r="2867" spans="1:1">
      <c r="A2867" s="272"/>
    </row>
    <row r="2868" spans="1:1">
      <c r="A2868" s="273"/>
    </row>
    <row r="2869" spans="1:1">
      <c r="A2869" s="272"/>
    </row>
    <row r="2870" spans="1:1">
      <c r="A2870" s="273"/>
    </row>
    <row r="2871" spans="1:1">
      <c r="A2871" s="272"/>
    </row>
    <row r="2872" spans="1:1">
      <c r="A2872" s="273"/>
    </row>
    <row r="2873" spans="1:1">
      <c r="A2873" s="272"/>
    </row>
    <row r="2874" spans="1:1">
      <c r="A2874" s="273"/>
    </row>
    <row r="2875" spans="1:1">
      <c r="A2875" s="272"/>
    </row>
    <row r="2876" spans="1:1">
      <c r="A2876" s="273"/>
    </row>
    <row r="2877" spans="1:1">
      <c r="A2877" s="272"/>
    </row>
    <row r="2878" spans="1:1">
      <c r="A2878" s="273"/>
    </row>
    <row r="2879" spans="1:1">
      <c r="A2879" s="272"/>
    </row>
    <row r="2880" spans="1:1">
      <c r="A2880" s="273"/>
    </row>
    <row r="2881" spans="1:1">
      <c r="A2881" s="272"/>
    </row>
    <row r="2882" spans="1:1">
      <c r="A2882" s="273"/>
    </row>
    <row r="2883" spans="1:1">
      <c r="A2883" s="272"/>
    </row>
    <row r="2884" spans="1:1">
      <c r="A2884" s="273"/>
    </row>
    <row r="2885" spans="1:1">
      <c r="A2885" s="272"/>
    </row>
    <row r="2886" spans="1:1">
      <c r="A2886" s="273"/>
    </row>
    <row r="2887" spans="1:1">
      <c r="A2887" s="272"/>
    </row>
    <row r="2888" spans="1:1">
      <c r="A2888" s="273"/>
    </row>
    <row r="2889" spans="1:1">
      <c r="A2889" s="272"/>
    </row>
    <row r="2890" spans="1:1">
      <c r="A2890" s="273"/>
    </row>
    <row r="2891" spans="1:1">
      <c r="A2891" s="272"/>
    </row>
    <row r="2892" spans="1:1">
      <c r="A2892" s="273"/>
    </row>
    <row r="2893" spans="1:1">
      <c r="A2893" s="272"/>
    </row>
    <row r="2894" spans="1:1">
      <c r="A2894" s="273"/>
    </row>
    <row r="2895" spans="1:1">
      <c r="A2895" s="272"/>
    </row>
    <row r="2896" spans="1:1">
      <c r="A2896" s="273"/>
    </row>
    <row r="2897" spans="1:1">
      <c r="A2897" s="272"/>
    </row>
    <row r="2898" spans="1:1">
      <c r="A2898" s="273"/>
    </row>
    <row r="2899" spans="1:1">
      <c r="A2899" s="272"/>
    </row>
    <row r="2900" spans="1:1">
      <c r="A2900" s="273"/>
    </row>
    <row r="2901" spans="1:1">
      <c r="A2901" s="272"/>
    </row>
    <row r="2902" spans="1:1">
      <c r="A2902" s="273"/>
    </row>
    <row r="2903" spans="1:1">
      <c r="A2903" s="272"/>
    </row>
    <row r="2904" spans="1:1">
      <c r="A2904" s="273"/>
    </row>
    <row r="2905" spans="1:1">
      <c r="A2905" s="272"/>
    </row>
    <row r="2906" spans="1:1">
      <c r="A2906" s="273"/>
    </row>
    <row r="2907" spans="1:1">
      <c r="A2907" s="272"/>
    </row>
    <row r="2908" spans="1:1">
      <c r="A2908" s="273"/>
    </row>
    <row r="2909" spans="1:1">
      <c r="A2909" s="272"/>
    </row>
    <row r="2910" spans="1:1">
      <c r="A2910" s="273"/>
    </row>
    <row r="2911" spans="1:1">
      <c r="A2911" s="272"/>
    </row>
    <row r="2912" spans="1:1">
      <c r="A2912" s="273"/>
    </row>
    <row r="2913" spans="1:1">
      <c r="A2913" s="272"/>
    </row>
    <row r="2914" spans="1:1">
      <c r="A2914" s="273"/>
    </row>
    <row r="2915" spans="1:1">
      <c r="A2915" s="272"/>
    </row>
    <row r="2916" spans="1:1">
      <c r="A2916" s="273"/>
    </row>
    <row r="2917" spans="1:1">
      <c r="A2917" s="272"/>
    </row>
    <row r="2918" spans="1:1">
      <c r="A2918" s="273"/>
    </row>
    <row r="2919" spans="1:1">
      <c r="A2919" s="272"/>
    </row>
    <row r="2920" spans="1:1">
      <c r="A2920" s="273"/>
    </row>
    <row r="2921" spans="1:1">
      <c r="A2921" s="272"/>
    </row>
    <row r="2922" spans="1:1">
      <c r="A2922" s="273"/>
    </row>
    <row r="2923" spans="1:1">
      <c r="A2923" s="272"/>
    </row>
    <row r="2924" spans="1:1">
      <c r="A2924" s="273"/>
    </row>
    <row r="2925" spans="1:1">
      <c r="A2925" s="272"/>
    </row>
    <row r="2926" spans="1:1">
      <c r="A2926" s="273"/>
    </row>
    <row r="2927" spans="1:1">
      <c r="A2927" s="272"/>
    </row>
    <row r="2928" spans="1:1">
      <c r="A2928" s="273"/>
    </row>
    <row r="2929" spans="1:1">
      <c r="A2929" s="272"/>
    </row>
    <row r="2930" spans="1:1">
      <c r="A2930" s="273"/>
    </row>
    <row r="2931" spans="1:1">
      <c r="A2931" s="272"/>
    </row>
    <row r="2932" spans="1:1">
      <c r="A2932" s="273"/>
    </row>
    <row r="2933" spans="1:1">
      <c r="A2933" s="272"/>
    </row>
    <row r="2934" spans="1:1">
      <c r="A2934" s="273"/>
    </row>
    <row r="2935" spans="1:1">
      <c r="A2935" s="272"/>
    </row>
    <row r="2936" spans="1:1">
      <c r="A2936" s="273"/>
    </row>
    <row r="2937" spans="1:1">
      <c r="A2937" s="272"/>
    </row>
    <row r="2938" spans="1:1">
      <c r="A2938" s="273"/>
    </row>
    <row r="2939" spans="1:1">
      <c r="A2939" s="272"/>
    </row>
    <row r="2940" spans="1:1">
      <c r="A2940" s="273"/>
    </row>
    <row r="2941" spans="1:1">
      <c r="A2941" s="272"/>
    </row>
    <row r="2942" spans="1:1">
      <c r="A2942" s="273"/>
    </row>
    <row r="2943" spans="1:1">
      <c r="A2943" s="272"/>
    </row>
    <row r="2944" spans="1:1">
      <c r="A2944" s="273"/>
    </row>
    <row r="2945" spans="1:1">
      <c r="A2945" s="272"/>
    </row>
    <row r="2946" spans="1:1">
      <c r="A2946" s="273"/>
    </row>
    <row r="2947" spans="1:1">
      <c r="A2947" s="272"/>
    </row>
    <row r="2948" spans="1:1">
      <c r="A2948" s="273"/>
    </row>
    <row r="2949" spans="1:1">
      <c r="A2949" s="272"/>
    </row>
    <row r="2950" spans="1:1">
      <c r="A2950" s="273"/>
    </row>
    <row r="2951" spans="1:1">
      <c r="A2951" s="272"/>
    </row>
    <row r="2952" spans="1:1">
      <c r="A2952" s="273"/>
    </row>
    <row r="2953" spans="1:1">
      <c r="A2953" s="272"/>
    </row>
    <row r="2954" spans="1:1">
      <c r="A2954" s="273"/>
    </row>
    <row r="2955" spans="1:1">
      <c r="A2955" s="272"/>
    </row>
    <row r="2956" spans="1:1">
      <c r="A2956" s="273"/>
    </row>
    <row r="2957" spans="1:1">
      <c r="A2957" s="272"/>
    </row>
    <row r="2958" spans="1:1">
      <c r="A2958" s="273"/>
    </row>
    <row r="2959" spans="1:1">
      <c r="A2959" s="272"/>
    </row>
    <row r="2960" spans="1:1">
      <c r="A2960" s="273"/>
    </row>
    <row r="2961" spans="1:1">
      <c r="A2961" s="272"/>
    </row>
    <row r="2962" spans="1:1">
      <c r="A2962" s="273"/>
    </row>
    <row r="2963" spans="1:1">
      <c r="A2963" s="272"/>
    </row>
    <row r="2964" spans="1:1">
      <c r="A2964" s="273"/>
    </row>
    <row r="2965" spans="1:1">
      <c r="A2965" s="272"/>
    </row>
    <row r="2966" spans="1:1">
      <c r="A2966" s="273"/>
    </row>
    <row r="2967" spans="1:1">
      <c r="A2967" s="272"/>
    </row>
    <row r="2968" spans="1:1">
      <c r="A2968" s="273"/>
    </row>
    <row r="2969" spans="1:1">
      <c r="A2969" s="272"/>
    </row>
    <row r="2970" spans="1:1">
      <c r="A2970" s="273"/>
    </row>
    <row r="2971" spans="1:1">
      <c r="A2971" s="272"/>
    </row>
    <row r="2972" spans="1:1">
      <c r="A2972" s="273"/>
    </row>
    <row r="2973" spans="1:1">
      <c r="A2973" s="272"/>
    </row>
    <row r="2974" spans="1:1">
      <c r="A2974" s="273"/>
    </row>
    <row r="2975" spans="1:1">
      <c r="A2975" s="272"/>
    </row>
    <row r="2976" spans="1:1">
      <c r="A2976" s="273"/>
    </row>
    <row r="2977" spans="1:1">
      <c r="A2977" s="272"/>
    </row>
    <row r="2978" spans="1:1">
      <c r="A2978" s="273"/>
    </row>
    <row r="2979" spans="1:1">
      <c r="A2979" s="272"/>
    </row>
    <row r="2980" spans="1:1">
      <c r="A2980" s="129"/>
    </row>
    <row r="2981" spans="1:1">
      <c r="A2981" s="129"/>
    </row>
    <row r="2982" spans="1:1">
      <c r="A2982" s="129"/>
    </row>
    <row r="2983" spans="1:1">
      <c r="A2983" s="129"/>
    </row>
    <row r="2984" spans="1:1">
      <c r="A2984" s="129"/>
    </row>
    <row r="2985" spans="1:1">
      <c r="A2985" s="129"/>
    </row>
    <row r="2986" spans="1:1">
      <c r="A2986" s="129"/>
    </row>
    <row r="2987" spans="1:1">
      <c r="A2987" s="129"/>
    </row>
    <row r="2988" spans="1:1">
      <c r="A2988" s="129"/>
    </row>
    <row r="2989" spans="1:1">
      <c r="A2989" s="129"/>
    </row>
    <row r="2990" spans="1:1">
      <c r="A2990" s="129"/>
    </row>
    <row r="2991" spans="1:1">
      <c r="A2991" s="129"/>
    </row>
    <row r="2992" spans="1:1">
      <c r="A2992" s="129"/>
    </row>
    <row r="2993" spans="1:1">
      <c r="A2993" s="129"/>
    </row>
    <row r="2994" spans="1:1">
      <c r="A2994" s="129"/>
    </row>
    <row r="2995" spans="1:1">
      <c r="A2995" s="129"/>
    </row>
    <row r="2996" spans="1:1">
      <c r="A2996" s="129"/>
    </row>
    <row r="2997" spans="1:1">
      <c r="A2997" s="129"/>
    </row>
    <row r="2998" spans="1:1">
      <c r="A2998" s="129"/>
    </row>
    <row r="2999" spans="1:1">
      <c r="A2999" s="129"/>
    </row>
    <row r="3000" spans="1:1">
      <c r="A3000" s="129"/>
    </row>
    <row r="3001" spans="1:1">
      <c r="A3001" s="129"/>
    </row>
    <row r="3002" spans="1:1">
      <c r="A3002" s="129"/>
    </row>
    <row r="3003" spans="1:1">
      <c r="A3003" s="129"/>
    </row>
    <row r="3004" spans="1:1">
      <c r="A3004" s="129"/>
    </row>
    <row r="3005" spans="1:1">
      <c r="A3005" s="129"/>
    </row>
    <row r="3006" spans="1:1">
      <c r="A3006" s="129"/>
    </row>
    <row r="3007" spans="1:1">
      <c r="A3007" s="129"/>
    </row>
    <row r="3008" spans="1:1">
      <c r="A3008" s="129"/>
    </row>
    <row r="3009" spans="1:1">
      <c r="A3009" s="129"/>
    </row>
    <row r="3010" spans="1:1">
      <c r="A3010" s="129"/>
    </row>
    <row r="3011" spans="1:1">
      <c r="A3011" s="129"/>
    </row>
    <row r="3012" spans="1:1">
      <c r="A3012" s="129"/>
    </row>
    <row r="3013" spans="1:1">
      <c r="A3013" s="129"/>
    </row>
    <row r="3014" spans="1:1">
      <c r="A3014" s="129"/>
    </row>
    <row r="3015" spans="1:1">
      <c r="A3015" s="129"/>
    </row>
    <row r="3016" spans="1:1">
      <c r="A3016" s="129"/>
    </row>
    <row r="3017" spans="1:1">
      <c r="A3017" s="129"/>
    </row>
    <row r="3018" spans="1:1">
      <c r="A3018" s="129"/>
    </row>
    <row r="3019" spans="1:1">
      <c r="A3019" s="129"/>
    </row>
    <row r="3020" spans="1:1">
      <c r="A3020" s="129"/>
    </row>
    <row r="3021" spans="1:1">
      <c r="A3021" s="129"/>
    </row>
    <row r="3022" spans="1:1">
      <c r="A3022" s="129"/>
    </row>
    <row r="3023" spans="1:1">
      <c r="A3023" s="129"/>
    </row>
    <row r="3024" spans="1:1">
      <c r="A3024" s="129"/>
    </row>
    <row r="3025" spans="1:1">
      <c r="A3025" s="129"/>
    </row>
    <row r="3026" spans="1:1">
      <c r="A3026" s="129"/>
    </row>
    <row r="3027" spans="1:1">
      <c r="A3027" s="129"/>
    </row>
    <row r="3028" spans="1:1">
      <c r="A3028" s="129"/>
    </row>
    <row r="3029" spans="1:1">
      <c r="A3029" s="129"/>
    </row>
    <row r="3030" spans="1:1">
      <c r="A3030" s="129"/>
    </row>
    <row r="3031" spans="1:1">
      <c r="A3031" s="129"/>
    </row>
    <row r="3032" spans="1:1">
      <c r="A3032" s="129"/>
    </row>
    <row r="3033" spans="1:1">
      <c r="A3033" s="129"/>
    </row>
    <row r="3034" spans="1:1">
      <c r="A3034" s="129"/>
    </row>
    <row r="3035" spans="1:1">
      <c r="A3035" s="129"/>
    </row>
    <row r="3036" spans="1:1">
      <c r="A3036" s="129"/>
    </row>
    <row r="3037" spans="1:1">
      <c r="A3037" s="129"/>
    </row>
    <row r="3038" spans="1:1">
      <c r="A3038" s="129"/>
    </row>
    <row r="3039" spans="1:1">
      <c r="A3039" s="129"/>
    </row>
    <row r="3040" spans="1:1">
      <c r="A3040" s="129"/>
    </row>
    <row r="3041" spans="1:1">
      <c r="A3041" s="129"/>
    </row>
    <row r="3042" spans="1:1">
      <c r="A3042" s="129"/>
    </row>
    <row r="3043" spans="1:1">
      <c r="A3043" s="129"/>
    </row>
    <row r="3044" spans="1:1">
      <c r="A3044" s="129"/>
    </row>
    <row r="3045" spans="1:1">
      <c r="A3045" s="129"/>
    </row>
    <row r="3046" spans="1:1">
      <c r="A3046" s="129"/>
    </row>
    <row r="3047" spans="1:1">
      <c r="A3047" s="129"/>
    </row>
    <row r="3048" spans="1:1">
      <c r="A3048" s="129"/>
    </row>
    <row r="3049" spans="1:1">
      <c r="A3049" s="129"/>
    </row>
    <row r="3050" spans="1:1">
      <c r="A3050" s="129"/>
    </row>
    <row r="3051" spans="1:1">
      <c r="A3051" s="129"/>
    </row>
    <row r="3052" spans="1:1">
      <c r="A3052" s="129"/>
    </row>
    <row r="3053" spans="1:1">
      <c r="A3053" s="129"/>
    </row>
    <row r="3054" spans="1:1">
      <c r="A3054" s="129"/>
    </row>
    <row r="3055" spans="1:1">
      <c r="A3055" s="129"/>
    </row>
    <row r="3056" spans="1:1">
      <c r="A3056" s="129"/>
    </row>
    <row r="3057" spans="1:1">
      <c r="A3057" s="129"/>
    </row>
    <row r="3058" spans="1:1">
      <c r="A3058" s="129"/>
    </row>
    <row r="3059" spans="1:1">
      <c r="A3059" s="129"/>
    </row>
    <row r="3060" spans="1:1">
      <c r="A3060" s="129"/>
    </row>
    <row r="3061" spans="1:1">
      <c r="A3061" s="129"/>
    </row>
    <row r="3062" spans="1:1">
      <c r="A3062" s="129"/>
    </row>
    <row r="3063" spans="1:1">
      <c r="A3063" s="129"/>
    </row>
    <row r="3064" spans="1:1">
      <c r="A3064" s="129"/>
    </row>
    <row r="3065" spans="1:1">
      <c r="A3065" s="129"/>
    </row>
    <row r="3066" spans="1:1">
      <c r="A3066" s="129"/>
    </row>
    <row r="3067" spans="1:1">
      <c r="A3067" s="129"/>
    </row>
    <row r="3068" spans="1:1">
      <c r="A3068" s="129"/>
    </row>
    <row r="3069" spans="1:1">
      <c r="A3069" s="129"/>
    </row>
    <row r="3070" spans="1:1">
      <c r="A3070" s="129"/>
    </row>
    <row r="3071" spans="1:1">
      <c r="A3071" s="129"/>
    </row>
    <row r="3072" spans="1:1">
      <c r="A3072" s="129"/>
    </row>
    <row r="3073" spans="1:1">
      <c r="A3073" s="129"/>
    </row>
    <row r="3074" spans="1:1">
      <c r="A3074" s="129"/>
    </row>
    <row r="3075" spans="1:1">
      <c r="A3075" s="129"/>
    </row>
    <row r="3076" spans="1:1">
      <c r="A3076" s="129"/>
    </row>
    <row r="3077" spans="1:1">
      <c r="A3077" s="129"/>
    </row>
    <row r="3078" spans="1:1">
      <c r="A3078" s="129"/>
    </row>
    <row r="3079" spans="1:1">
      <c r="A3079" s="129"/>
    </row>
    <row r="3080" spans="1:1">
      <c r="A3080" s="129"/>
    </row>
    <row r="3081" spans="1:1">
      <c r="A3081" s="129"/>
    </row>
    <row r="3082" spans="1:1">
      <c r="A3082" s="129"/>
    </row>
    <row r="3083" spans="1:1">
      <c r="A3083" s="129"/>
    </row>
    <row r="3084" spans="1:1">
      <c r="A3084" s="129"/>
    </row>
    <row r="3085" spans="1:1">
      <c r="A3085" s="129"/>
    </row>
    <row r="3086" spans="1:1">
      <c r="A3086" s="129"/>
    </row>
    <row r="3087" spans="1:1">
      <c r="A3087" s="129"/>
    </row>
    <row r="3088" spans="1:1">
      <c r="A3088" s="129"/>
    </row>
    <row r="3089" spans="1:1">
      <c r="A3089" s="129"/>
    </row>
    <row r="3090" spans="1:1">
      <c r="A3090" s="129"/>
    </row>
    <row r="3091" spans="1:1">
      <c r="A3091" s="129"/>
    </row>
    <row r="3092" spans="1:1">
      <c r="A3092" s="129"/>
    </row>
    <row r="3093" spans="1:1">
      <c r="A3093" s="129"/>
    </row>
    <row r="3094" spans="1:1">
      <c r="A3094" s="129"/>
    </row>
    <row r="3095" spans="1:1">
      <c r="A3095" s="129"/>
    </row>
    <row r="3096" spans="1:1">
      <c r="A3096" s="129"/>
    </row>
    <row r="3097" spans="1:1">
      <c r="A3097" s="129"/>
    </row>
    <row r="3098" spans="1:1">
      <c r="A3098" s="129"/>
    </row>
    <row r="3099" spans="1:1">
      <c r="A3099" s="129"/>
    </row>
    <row r="3100" spans="1:1">
      <c r="A3100" s="129"/>
    </row>
    <row r="3101" spans="1:1">
      <c r="A3101" s="129"/>
    </row>
    <row r="3102" spans="1:1">
      <c r="A3102" s="129"/>
    </row>
    <row r="3103" spans="1:1">
      <c r="A3103" s="129"/>
    </row>
    <row r="3104" spans="1:1">
      <c r="A3104" s="129"/>
    </row>
    <row r="3105" spans="1:1">
      <c r="A3105" s="129"/>
    </row>
    <row r="3106" spans="1:1">
      <c r="A3106" s="129"/>
    </row>
    <row r="3107" spans="1:1">
      <c r="A3107" s="129"/>
    </row>
    <row r="3108" spans="1:1">
      <c r="A3108" s="129"/>
    </row>
    <row r="3109" spans="1:1">
      <c r="A3109" s="129"/>
    </row>
    <row r="3110" spans="1:1">
      <c r="A3110" s="129"/>
    </row>
    <row r="3111" spans="1:1">
      <c r="A3111" s="129"/>
    </row>
    <row r="3112" spans="1:1">
      <c r="A3112" s="129"/>
    </row>
    <row r="3113" spans="1:1">
      <c r="A3113" s="129"/>
    </row>
    <row r="3114" spans="1:1">
      <c r="A3114" s="129"/>
    </row>
    <row r="3115" spans="1:1">
      <c r="A3115" s="129"/>
    </row>
    <row r="3116" spans="1:1">
      <c r="A3116" s="129"/>
    </row>
    <row r="3117" spans="1:1">
      <c r="A3117" s="129"/>
    </row>
    <row r="3118" spans="1:1">
      <c r="A3118" s="129"/>
    </row>
    <row r="3119" spans="1:1">
      <c r="A3119" s="129"/>
    </row>
    <row r="3120" spans="1:1">
      <c r="A3120" s="129"/>
    </row>
    <row r="3121" spans="1:1">
      <c r="A3121" s="129"/>
    </row>
    <row r="3122" spans="1:1">
      <c r="A3122" s="129"/>
    </row>
    <row r="3123" spans="1:1">
      <c r="A3123" s="129"/>
    </row>
    <row r="3124" spans="1:1">
      <c r="A3124" s="129"/>
    </row>
    <row r="3125" spans="1:1">
      <c r="A3125" s="129"/>
    </row>
    <row r="3126" spans="1:1">
      <c r="A3126" s="129"/>
    </row>
    <row r="3127" spans="1:1">
      <c r="A3127" s="129"/>
    </row>
    <row r="3128" spans="1:1">
      <c r="A3128" s="129"/>
    </row>
    <row r="3129" spans="1:1">
      <c r="A3129" s="129"/>
    </row>
    <row r="3130" spans="1:1">
      <c r="A3130" s="129"/>
    </row>
    <row r="3131" spans="1:1">
      <c r="A3131" s="129"/>
    </row>
    <row r="3132" spans="1:1">
      <c r="A3132" s="129"/>
    </row>
    <row r="3133" spans="1:1">
      <c r="A3133" s="129"/>
    </row>
    <row r="3134" spans="1:1">
      <c r="A3134" s="129"/>
    </row>
    <row r="3135" spans="1:1">
      <c r="A3135" s="129"/>
    </row>
    <row r="3136" spans="1:1">
      <c r="A3136" s="129"/>
    </row>
    <row r="3137" spans="1:1">
      <c r="A3137" s="129"/>
    </row>
    <row r="3138" spans="1:1">
      <c r="A3138" s="129"/>
    </row>
    <row r="3139" spans="1:1">
      <c r="A3139" s="129"/>
    </row>
    <row r="3140" spans="1:1">
      <c r="A3140" s="129"/>
    </row>
    <row r="3141" spans="1:1">
      <c r="A3141" s="129"/>
    </row>
    <row r="3142" spans="1:1">
      <c r="A3142" s="129"/>
    </row>
    <row r="3143" spans="1:1">
      <c r="A3143" s="129"/>
    </row>
    <row r="3144" spans="1:1">
      <c r="A3144" s="129"/>
    </row>
    <row r="3145" spans="1:1">
      <c r="A3145" s="129"/>
    </row>
    <row r="3146" spans="1:1">
      <c r="A3146" s="129"/>
    </row>
    <row r="3147" spans="1:1">
      <c r="A3147" s="129"/>
    </row>
    <row r="3148" spans="1:1">
      <c r="A3148" s="129"/>
    </row>
    <row r="3149" spans="1:1">
      <c r="A3149" s="129"/>
    </row>
    <row r="3150" spans="1:1">
      <c r="A3150" s="129"/>
    </row>
    <row r="3151" spans="1:1">
      <c r="A3151" s="129"/>
    </row>
    <row r="3152" spans="1:1">
      <c r="A3152" s="129"/>
    </row>
    <row r="3153" spans="1:1">
      <c r="A3153" s="129"/>
    </row>
    <row r="3154" spans="1:1">
      <c r="A3154" s="129"/>
    </row>
    <row r="3155" spans="1:1">
      <c r="A3155" s="129"/>
    </row>
    <row r="3156" spans="1:1">
      <c r="A3156" s="264"/>
    </row>
    <row r="3157" spans="1:1">
      <c r="A3157" s="265"/>
    </row>
    <row r="3158" spans="1:1">
      <c r="A3158" s="265"/>
    </row>
    <row r="3159" spans="1:1">
      <c r="A3159" s="265"/>
    </row>
    <row r="3160" spans="1:1">
      <c r="A3160" s="265"/>
    </row>
    <row r="3161" spans="1:1">
      <c r="A3161" s="265"/>
    </row>
    <row r="3162" spans="1:1">
      <c r="A3162" s="266"/>
    </row>
    <row r="3163" spans="1:1">
      <c r="A3163" s="265"/>
    </row>
    <row r="3164" spans="1:1">
      <c r="A3164" s="266"/>
    </row>
    <row r="3165" spans="1:1">
      <c r="A3165" s="266"/>
    </row>
    <row r="3166" spans="1:1">
      <c r="A3166" s="266"/>
    </row>
    <row r="3167" spans="1:1">
      <c r="A3167" s="265"/>
    </row>
    <row r="3168" spans="1:1">
      <c r="A3168" s="266"/>
    </row>
    <row r="3169" spans="1:1">
      <c r="A3169" s="265"/>
    </row>
    <row r="3170" spans="1:1">
      <c r="A3170" s="266"/>
    </row>
    <row r="3171" spans="1:1">
      <c r="A3171" s="266"/>
    </row>
    <row r="3172" spans="1:1">
      <c r="A3172" s="265"/>
    </row>
    <row r="3173" spans="1:1">
      <c r="A3173" s="266"/>
    </row>
    <row r="3174" spans="1:1">
      <c r="A3174" s="265"/>
    </row>
    <row r="3175" spans="1:1">
      <c r="A3175" s="266"/>
    </row>
    <row r="3176" spans="1:1">
      <c r="A3176" s="266"/>
    </row>
    <row r="3177" spans="1:1">
      <c r="A3177" s="265"/>
    </row>
    <row r="3178" spans="1:1">
      <c r="A3178" s="266"/>
    </row>
    <row r="3179" spans="1:1">
      <c r="A3179" s="265"/>
    </row>
    <row r="3180" spans="1:1">
      <c r="A3180" s="266"/>
    </row>
    <row r="3181" spans="1:1">
      <c r="A3181" s="265"/>
    </row>
    <row r="3182" spans="1:1">
      <c r="A3182" s="265"/>
    </row>
    <row r="3183" spans="1:1">
      <c r="A3183" s="265"/>
    </row>
    <row r="3184" spans="1:1">
      <c r="A3184" s="266"/>
    </row>
    <row r="3185" spans="1:1">
      <c r="A3185" s="265"/>
    </row>
    <row r="3186" spans="1:1">
      <c r="A3186" s="266"/>
    </row>
    <row r="3187" spans="1:1">
      <c r="A3187" s="265"/>
    </row>
    <row r="3188" spans="1:1">
      <c r="A3188" s="265"/>
    </row>
    <row r="3189" spans="1:1">
      <c r="A3189" s="266"/>
    </row>
    <row r="3190" spans="1:1">
      <c r="A3190" s="265"/>
    </row>
    <row r="3191" spans="1:1">
      <c r="A3191" s="266"/>
    </row>
    <row r="3192" spans="1:1">
      <c r="A3192" s="265"/>
    </row>
    <row r="3193" spans="1:1">
      <c r="A3193" s="265"/>
    </row>
    <row r="3194" spans="1:1">
      <c r="A3194" s="265"/>
    </row>
    <row r="3195" spans="1:1">
      <c r="A3195" s="265"/>
    </row>
    <row r="3196" spans="1:1">
      <c r="A3196" s="265"/>
    </row>
    <row r="3197" spans="1:1">
      <c r="A3197" s="266"/>
    </row>
    <row r="3198" spans="1:1">
      <c r="A3198" s="265"/>
    </row>
    <row r="3199" spans="1:1">
      <c r="A3199" s="265"/>
    </row>
    <row r="3200" spans="1:1">
      <c r="A3200" s="266"/>
    </row>
    <row r="3201" spans="1:1">
      <c r="A3201" s="266"/>
    </row>
    <row r="3202" spans="1:1">
      <c r="A3202" s="265"/>
    </row>
    <row r="3203" spans="1:1">
      <c r="A3203" s="266"/>
    </row>
    <row r="3204" spans="1:1">
      <c r="A3204" s="265"/>
    </row>
    <row r="3205" spans="1:1">
      <c r="A3205" s="265"/>
    </row>
    <row r="3206" spans="1:1">
      <c r="A3206" s="265"/>
    </row>
    <row r="3207" spans="1:1">
      <c r="A3207" s="266"/>
    </row>
    <row r="3208" spans="1:1">
      <c r="A3208" s="265"/>
    </row>
    <row r="3209" spans="1:1">
      <c r="A3209" s="265"/>
    </row>
    <row r="3210" spans="1:1">
      <c r="A3210" s="265"/>
    </row>
    <row r="3211" spans="1:1">
      <c r="A3211" s="265"/>
    </row>
    <row r="3212" spans="1:1">
      <c r="A3212" s="266"/>
    </row>
    <row r="3213" spans="1:1">
      <c r="A3213" s="266"/>
    </row>
    <row r="3214" spans="1:1">
      <c r="A3214" s="266"/>
    </row>
    <row r="3215" spans="1:1">
      <c r="A3215" s="266"/>
    </row>
    <row r="3216" spans="1:1">
      <c r="A3216" s="266"/>
    </row>
    <row r="3217" spans="1:1">
      <c r="A3217" s="265"/>
    </row>
    <row r="3218" spans="1:1">
      <c r="A3218" s="266"/>
    </row>
    <row r="3219" spans="1:1">
      <c r="A3219" s="265"/>
    </row>
    <row r="3220" spans="1:1">
      <c r="A3220" s="266"/>
    </row>
    <row r="3221" spans="1:1">
      <c r="A3221" s="282"/>
    </row>
    <row r="3222" spans="1:1">
      <c r="A3222" s="129"/>
    </row>
    <row r="3223" spans="1:1">
      <c r="A3223" s="129"/>
    </row>
    <row r="3224" spans="1:1">
      <c r="A3224" s="282"/>
    </row>
    <row r="3225" spans="1:1">
      <c r="A3225" s="282"/>
    </row>
    <row r="3226" spans="1:1">
      <c r="A3226" s="129"/>
    </row>
    <row r="3227" spans="1:1">
      <c r="A3227" s="282"/>
    </row>
    <row r="3228" spans="1:1">
      <c r="A3228" s="282"/>
    </row>
    <row r="3229" spans="1:1">
      <c r="A3229" s="282"/>
    </row>
    <row r="3230" spans="1:1">
      <c r="A3230" s="282"/>
    </row>
    <row r="3231" spans="1:1">
      <c r="A3231" s="282"/>
    </row>
    <row r="3232" spans="1:1">
      <c r="A3232" s="282"/>
    </row>
    <row r="3233" spans="1:1">
      <c r="A3233" s="282"/>
    </row>
    <row r="3234" spans="1:1">
      <c r="A3234" s="282"/>
    </row>
    <row r="3235" spans="1:1">
      <c r="A3235" s="282"/>
    </row>
    <row r="3236" spans="1:1">
      <c r="A3236" s="282"/>
    </row>
    <row r="3237" spans="1:1">
      <c r="A3237" s="282"/>
    </row>
    <row r="3238" spans="1:1">
      <c r="A3238" s="282"/>
    </row>
    <row r="3239" spans="1:1">
      <c r="A3239" s="282"/>
    </row>
    <row r="3240" spans="1:1">
      <c r="A3240" s="282"/>
    </row>
    <row r="3241" spans="1:1">
      <c r="A3241" s="282"/>
    </row>
    <row r="3242" spans="1:1">
      <c r="A3242" s="129"/>
    </row>
    <row r="3243" spans="1:1">
      <c r="A3243" s="129"/>
    </row>
    <row r="3244" spans="1:1">
      <c r="A3244" s="282"/>
    </row>
    <row r="3245" spans="1:1">
      <c r="A3245" s="282"/>
    </row>
    <row r="3246" spans="1:1">
      <c r="A3246" s="282"/>
    </row>
    <row r="3247" spans="1:1">
      <c r="A3247" s="282"/>
    </row>
    <row r="3248" spans="1:1">
      <c r="A3248" s="282"/>
    </row>
    <row r="3249" spans="1:1">
      <c r="A3249" s="282"/>
    </row>
    <row r="3250" spans="1:1">
      <c r="A3250" s="282"/>
    </row>
    <row r="3251" spans="1:1">
      <c r="A3251" s="282"/>
    </row>
    <row r="3252" spans="1:1">
      <c r="A3252" s="282"/>
    </row>
    <row r="3253" spans="1:1">
      <c r="A3253" s="282"/>
    </row>
    <row r="3254" spans="1:1">
      <c r="A3254" s="129"/>
    </row>
    <row r="3255" spans="1:1">
      <c r="A3255" s="129"/>
    </row>
    <row r="3256" spans="1:1">
      <c r="A3256" s="129"/>
    </row>
    <row r="3257" spans="1:1">
      <c r="A3257" s="282"/>
    </row>
    <row r="3258" spans="1:1">
      <c r="A3258" s="282"/>
    </row>
    <row r="3259" spans="1:1">
      <c r="A3259" s="282"/>
    </row>
    <row r="3260" spans="1:1">
      <c r="A3260" s="129"/>
    </row>
    <row r="3261" spans="1:1">
      <c r="A3261" s="129"/>
    </row>
    <row r="3262" spans="1:1">
      <c r="A3262" s="129"/>
    </row>
    <row r="3263" spans="1:1">
      <c r="A3263" s="129"/>
    </row>
    <row r="3264" spans="1:1">
      <c r="A3264" s="282"/>
    </row>
    <row r="3265" spans="1:1">
      <c r="A3265" s="282"/>
    </row>
    <row r="3266" spans="1:1">
      <c r="A3266" s="282"/>
    </row>
    <row r="3267" spans="1:1">
      <c r="A3267" s="282"/>
    </row>
    <row r="3268" spans="1:1">
      <c r="A3268" s="282"/>
    </row>
    <row r="3269" spans="1:1">
      <c r="A3269" s="282"/>
    </row>
    <row r="3270" spans="1:1">
      <c r="A3270" s="282"/>
    </row>
    <row r="3271" spans="1:1">
      <c r="A3271" s="282"/>
    </row>
    <row r="3272" spans="1:1">
      <c r="A3272" s="282"/>
    </row>
    <row r="3273" spans="1:1">
      <c r="A3273" s="282"/>
    </row>
    <row r="3274" spans="1:1">
      <c r="A3274" s="282"/>
    </row>
    <row r="3275" spans="1:1">
      <c r="A3275" s="282"/>
    </row>
    <row r="3276" spans="1:1">
      <c r="A3276" s="282"/>
    </row>
    <row r="3277" spans="1:1">
      <c r="A3277" s="282"/>
    </row>
    <row r="3278" spans="1:1">
      <c r="A3278" s="282"/>
    </row>
    <row r="3279" spans="1:1">
      <c r="A3279" s="282"/>
    </row>
    <row r="3280" spans="1:1">
      <c r="A3280" s="282"/>
    </row>
    <row r="3281" spans="1:1">
      <c r="A3281" s="282"/>
    </row>
    <row r="3282" spans="1:1">
      <c r="A3282" s="282"/>
    </row>
    <row r="3283" spans="1:1">
      <c r="A3283" s="282"/>
    </row>
    <row r="3284" spans="1:1">
      <c r="A3284" s="282"/>
    </row>
    <row r="3285" spans="1:1">
      <c r="A3285" s="129"/>
    </row>
    <row r="3286" spans="1:1">
      <c r="A3286" s="282"/>
    </row>
    <row r="3287" spans="1:1">
      <c r="A3287" s="282"/>
    </row>
    <row r="3288" spans="1:1">
      <c r="A3288" s="129"/>
    </row>
    <row r="3289" spans="1:1">
      <c r="A3289" s="282"/>
    </row>
    <row r="3290" spans="1:1">
      <c r="A3290" s="282"/>
    </row>
    <row r="3291" spans="1:1">
      <c r="A3291" s="282"/>
    </row>
    <row r="3292" spans="1:1">
      <c r="A3292" s="282"/>
    </row>
    <row r="3293" spans="1:1">
      <c r="A3293" s="282"/>
    </row>
    <row r="3294" spans="1:1">
      <c r="A3294" s="282"/>
    </row>
    <row r="3295" spans="1:1">
      <c r="A3295" s="282"/>
    </row>
    <row r="3296" spans="1:1">
      <c r="A3296" s="129"/>
    </row>
    <row r="3297" spans="1:1">
      <c r="A3297" s="129"/>
    </row>
    <row r="3298" spans="1:1">
      <c r="A3298" s="282"/>
    </row>
    <row r="3299" spans="1:1">
      <c r="A3299" s="282"/>
    </row>
    <row r="3300" spans="1:1">
      <c r="A3300" s="282"/>
    </row>
    <row r="3301" spans="1:1">
      <c r="A3301" s="129"/>
    </row>
    <row r="3302" spans="1:1">
      <c r="A3302" s="129"/>
    </row>
    <row r="3303" spans="1:1">
      <c r="A3303" s="282"/>
    </row>
    <row r="3304" spans="1:1">
      <c r="A3304" s="129"/>
    </row>
    <row r="3305" spans="1:1">
      <c r="A3305" s="282"/>
    </row>
    <row r="3306" spans="1:1">
      <c r="A3306" s="282"/>
    </row>
    <row r="3307" spans="1:1">
      <c r="A3307" s="282"/>
    </row>
    <row r="3308" spans="1:1">
      <c r="A3308" s="129"/>
    </row>
    <row r="3309" spans="1:1">
      <c r="A3309" s="129"/>
    </row>
    <row r="3310" spans="1:1">
      <c r="A3310" s="129"/>
    </row>
    <row r="3311" spans="1:1">
      <c r="A3311" s="129"/>
    </row>
    <row r="3312" spans="1:1">
      <c r="A3312" s="282"/>
    </row>
    <row r="3313" spans="1:1">
      <c r="A3313" s="282"/>
    </row>
    <row r="3314" spans="1:1">
      <c r="A3314" s="282"/>
    </row>
    <row r="3315" spans="1:1">
      <c r="A3315" s="282"/>
    </row>
    <row r="3316" spans="1:1">
      <c r="A3316" s="282"/>
    </row>
    <row r="3317" spans="1:1">
      <c r="A3317" s="282"/>
    </row>
    <row r="3318" spans="1:1">
      <c r="A3318" s="129"/>
    </row>
    <row r="3319" spans="1:1">
      <c r="A3319" s="129"/>
    </row>
    <row r="3320" spans="1:1">
      <c r="A3320" s="129"/>
    </row>
    <row r="3321" spans="1:1">
      <c r="A3321" s="129"/>
    </row>
    <row r="3322" spans="1:1">
      <c r="A3322" s="129"/>
    </row>
    <row r="3323" spans="1:1">
      <c r="A3323" s="129"/>
    </row>
    <row r="3324" spans="1:1">
      <c r="A3324" s="129"/>
    </row>
    <row r="3325" spans="1:1">
      <c r="A3325" s="282"/>
    </row>
    <row r="3326" spans="1:1">
      <c r="A3326" s="282"/>
    </row>
    <row r="3327" spans="1:1">
      <c r="A3327" s="282"/>
    </row>
    <row r="3328" spans="1:1">
      <c r="A3328" s="282"/>
    </row>
    <row r="3329" spans="1:1">
      <c r="A3329" s="282"/>
    </row>
    <row r="3330" spans="1:1">
      <c r="A3330" s="282"/>
    </row>
    <row r="3331" spans="1:1">
      <c r="A3331" s="282"/>
    </row>
    <row r="3332" spans="1:1">
      <c r="A3332" s="282"/>
    </row>
    <row r="3333" spans="1:1">
      <c r="A3333" s="282"/>
    </row>
    <row r="3334" spans="1:1">
      <c r="A3334" s="282"/>
    </row>
    <row r="3335" spans="1:1">
      <c r="A3335" s="282"/>
    </row>
    <row r="3336" spans="1:1">
      <c r="A3336" s="282"/>
    </row>
    <row r="3337" spans="1:1">
      <c r="A3337" s="282"/>
    </row>
    <row r="3338" spans="1:1">
      <c r="A3338" s="282"/>
    </row>
    <row r="3339" spans="1:1">
      <c r="A3339" s="282"/>
    </row>
    <row r="3340" spans="1:1">
      <c r="A3340" s="282"/>
    </row>
    <row r="3341" spans="1:1">
      <c r="A3341" s="282"/>
    </row>
    <row r="3342" spans="1:1">
      <c r="A3342" s="282"/>
    </row>
    <row r="3343" spans="1:1">
      <c r="A3343" s="282"/>
    </row>
    <row r="3344" spans="1:1">
      <c r="A3344" s="282"/>
    </row>
    <row r="3345" spans="1:1">
      <c r="A3345" s="282"/>
    </row>
    <row r="3346" spans="1:1">
      <c r="A3346" s="282"/>
    </row>
    <row r="3347" spans="1:1">
      <c r="A3347" s="282"/>
    </row>
    <row r="3348" spans="1:1">
      <c r="A3348" s="282"/>
    </row>
    <row r="3349" spans="1:1">
      <c r="A3349" s="282"/>
    </row>
    <row r="3350" spans="1:1">
      <c r="A3350" s="282"/>
    </row>
    <row r="3351" spans="1:1">
      <c r="A3351" s="282"/>
    </row>
    <row r="3352" spans="1:1">
      <c r="A3352" s="282"/>
    </row>
    <row r="3353" spans="1:1">
      <c r="A3353" s="282"/>
    </row>
    <row r="3354" spans="1:1">
      <c r="A3354" s="282"/>
    </row>
    <row r="3355" spans="1:1">
      <c r="A3355" s="129"/>
    </row>
    <row r="3356" spans="1:1">
      <c r="A3356" s="129"/>
    </row>
    <row r="3357" spans="1:1">
      <c r="A3357" s="282"/>
    </row>
    <row r="3358" spans="1:1">
      <c r="A3358" s="282"/>
    </row>
    <row r="3359" spans="1:1">
      <c r="A3359" s="282"/>
    </row>
    <row r="3360" spans="1:1">
      <c r="A3360" s="282"/>
    </row>
    <row r="3361" spans="1:1">
      <c r="A3361" s="282"/>
    </row>
    <row r="3362" spans="1:1">
      <c r="A3362" s="282"/>
    </row>
    <row r="3363" spans="1:1">
      <c r="A3363" s="282"/>
    </row>
    <row r="3364" spans="1:1">
      <c r="A3364" s="282"/>
    </row>
    <row r="3365" spans="1:1">
      <c r="A3365" s="282"/>
    </row>
    <row r="3366" spans="1:1">
      <c r="A3366" s="282"/>
    </row>
    <row r="3367" spans="1:1">
      <c r="A3367" s="282"/>
    </row>
    <row r="3368" spans="1:1">
      <c r="A3368" s="282"/>
    </row>
    <row r="3369" spans="1:1">
      <c r="A3369" s="282"/>
    </row>
    <row r="3370" spans="1:1">
      <c r="A3370" s="282"/>
    </row>
    <row r="3371" spans="1:1">
      <c r="A3371" s="282"/>
    </row>
    <row r="3372" spans="1:1">
      <c r="A3372" s="282"/>
    </row>
    <row r="3373" spans="1:1">
      <c r="A3373" s="282"/>
    </row>
    <row r="3374" spans="1:1">
      <c r="A3374" s="282"/>
    </row>
    <row r="3375" spans="1:1">
      <c r="A3375" s="282"/>
    </row>
    <row r="3376" spans="1:1">
      <c r="A3376" s="282"/>
    </row>
    <row r="3377" spans="1:1">
      <c r="A3377" s="282"/>
    </row>
    <row r="3378" spans="1:1">
      <c r="A3378" s="282"/>
    </row>
    <row r="3379" spans="1:1">
      <c r="A3379" s="282"/>
    </row>
    <row r="3380" spans="1:1">
      <c r="A3380" s="282"/>
    </row>
    <row r="3381" spans="1:1">
      <c r="A3381" s="282"/>
    </row>
    <row r="3382" spans="1:1">
      <c r="A3382" s="282"/>
    </row>
    <row r="3383" spans="1:1">
      <c r="A3383" s="282"/>
    </row>
    <row r="3384" spans="1:1">
      <c r="A3384" s="282"/>
    </row>
    <row r="3385" spans="1:1">
      <c r="A3385" s="282"/>
    </row>
    <row r="3386" spans="1:1">
      <c r="A3386" s="282"/>
    </row>
    <row r="3387" spans="1:1">
      <c r="A3387" s="282"/>
    </row>
    <row r="3388" spans="1:1">
      <c r="A3388" s="282"/>
    </row>
    <row r="3389" spans="1:1">
      <c r="A3389" s="282"/>
    </row>
    <row r="3390" spans="1:1">
      <c r="A3390" s="282"/>
    </row>
    <row r="3391" spans="1:1">
      <c r="A3391" s="282"/>
    </row>
    <row r="3392" spans="1:1">
      <c r="A3392" s="282"/>
    </row>
    <row r="3393" spans="1:1">
      <c r="A3393" s="282"/>
    </row>
    <row r="3394" spans="1:1">
      <c r="A3394" s="282"/>
    </row>
    <row r="3395" spans="1:1">
      <c r="A3395" s="282"/>
    </row>
    <row r="3396" spans="1:1">
      <c r="A3396" s="282"/>
    </row>
    <row r="3397" spans="1:1">
      <c r="A3397" s="282"/>
    </row>
    <row r="3398" spans="1:1">
      <c r="A3398" s="282"/>
    </row>
    <row r="3399" spans="1:1">
      <c r="A3399" s="282"/>
    </row>
    <row r="3400" spans="1:1">
      <c r="A3400" s="282"/>
    </row>
    <row r="3401" spans="1:1">
      <c r="A3401" s="282"/>
    </row>
    <row r="3402" spans="1:1">
      <c r="A3402" s="282"/>
    </row>
    <row r="3403" spans="1:1">
      <c r="A3403" s="282"/>
    </row>
    <row r="3404" spans="1:1">
      <c r="A3404" s="282"/>
    </row>
    <row r="3405" spans="1:1">
      <c r="A3405" s="282"/>
    </row>
    <row r="3406" spans="1:1">
      <c r="A3406" s="282"/>
    </row>
    <row r="3407" spans="1:1">
      <c r="A3407" s="282"/>
    </row>
    <row r="3408" spans="1:1">
      <c r="A3408" s="282"/>
    </row>
    <row r="3409" spans="1:1">
      <c r="A3409" s="282"/>
    </row>
    <row r="3410" spans="1:1">
      <c r="A3410" s="282"/>
    </row>
    <row r="3411" spans="1:1">
      <c r="A3411" s="282"/>
    </row>
    <row r="3412" spans="1:1">
      <c r="A3412" s="282"/>
    </row>
    <row r="3413" spans="1:1">
      <c r="A3413" s="282"/>
    </row>
    <row r="3414" spans="1:1">
      <c r="A3414" s="282"/>
    </row>
    <row r="3415" spans="1:1">
      <c r="A3415" s="282"/>
    </row>
    <row r="3416" spans="1:1">
      <c r="A3416" s="282"/>
    </row>
    <row r="3417" spans="1:1">
      <c r="A3417" s="282"/>
    </row>
    <row r="3418" spans="1:1">
      <c r="A3418" s="282"/>
    </row>
    <row r="3419" spans="1:1">
      <c r="A3419" s="282"/>
    </row>
    <row r="3420" spans="1:1">
      <c r="A3420" s="282"/>
    </row>
    <row r="3421" spans="1:1">
      <c r="A3421" s="282"/>
    </row>
    <row r="3422" spans="1:1">
      <c r="A3422" s="282"/>
    </row>
    <row r="3423" spans="1:1">
      <c r="A3423" s="282"/>
    </row>
    <row r="3424" spans="1:1">
      <c r="A3424" s="282"/>
    </row>
    <row r="3425" spans="1:1">
      <c r="A3425" s="282"/>
    </row>
    <row r="3426" spans="1:1">
      <c r="A3426" s="282"/>
    </row>
    <row r="3427" spans="1:1">
      <c r="A3427" s="282"/>
    </row>
    <row r="3428" spans="1:1">
      <c r="A3428" s="282"/>
    </row>
    <row r="3429" spans="1:1">
      <c r="A3429" s="282"/>
    </row>
    <row r="3430" spans="1:1">
      <c r="A3430" s="282"/>
    </row>
    <row r="3431" spans="1:1">
      <c r="A3431" s="282"/>
    </row>
    <row r="3432" spans="1:1">
      <c r="A3432" s="282"/>
    </row>
    <row r="3433" spans="1:1">
      <c r="A3433" s="282"/>
    </row>
    <row r="3434" spans="1:1">
      <c r="A3434" s="282"/>
    </row>
    <row r="3435" spans="1:1">
      <c r="A3435" s="282"/>
    </row>
    <row r="3436" spans="1:1">
      <c r="A3436" s="282"/>
    </row>
    <row r="3437" spans="1:1">
      <c r="A3437" s="282"/>
    </row>
    <row r="3438" spans="1:1">
      <c r="A3438" s="282"/>
    </row>
    <row r="3439" spans="1:1">
      <c r="A3439" s="282"/>
    </row>
    <row r="3440" spans="1:1">
      <c r="A3440" s="282"/>
    </row>
    <row r="3441" spans="1:1">
      <c r="A3441" s="282"/>
    </row>
    <row r="3442" spans="1:1">
      <c r="A3442" s="282"/>
    </row>
    <row r="3443" spans="1:1">
      <c r="A3443" s="282"/>
    </row>
    <row r="3444" spans="1:1">
      <c r="A3444" s="282"/>
    </row>
    <row r="3445" spans="1:1">
      <c r="A3445" s="282"/>
    </row>
    <row r="3446" spans="1:1">
      <c r="A3446" s="282"/>
    </row>
    <row r="3447" spans="1:1">
      <c r="A3447" s="282"/>
    </row>
    <row r="3448" spans="1:1">
      <c r="A3448" s="282"/>
    </row>
    <row r="3449" spans="1:1">
      <c r="A3449" s="282"/>
    </row>
    <row r="3450" spans="1:1">
      <c r="A3450" s="282"/>
    </row>
    <row r="3451" spans="1:1">
      <c r="A3451" s="282"/>
    </row>
    <row r="3452" spans="1:1">
      <c r="A3452" s="282"/>
    </row>
    <row r="3453" spans="1:1">
      <c r="A3453" s="282"/>
    </row>
    <row r="3454" spans="1:1">
      <c r="A3454" s="282"/>
    </row>
    <row r="3455" spans="1:1">
      <c r="A3455" s="282"/>
    </row>
    <row r="3456" spans="1:1">
      <c r="A3456" s="282"/>
    </row>
    <row r="3457" spans="1:1">
      <c r="A3457" s="282"/>
    </row>
    <row r="3458" spans="1:1">
      <c r="A3458" s="282"/>
    </row>
    <row r="3459" spans="1:1">
      <c r="A3459" s="282"/>
    </row>
    <row r="3460" spans="1:1">
      <c r="A3460" s="282"/>
    </row>
    <row r="3461" spans="1:1">
      <c r="A3461" s="282"/>
    </row>
    <row r="3462" spans="1:1">
      <c r="A3462" s="282"/>
    </row>
    <row r="3463" spans="1:1">
      <c r="A3463" s="282"/>
    </row>
    <row r="3464" spans="1:1">
      <c r="A3464" s="282"/>
    </row>
    <row r="3465" spans="1:1">
      <c r="A3465" s="282"/>
    </row>
    <row r="3466" spans="1:1">
      <c r="A3466" s="282"/>
    </row>
    <row r="3467" spans="1:1">
      <c r="A3467" s="282"/>
    </row>
    <row r="3468" spans="1:1">
      <c r="A3468" s="282"/>
    </row>
    <row r="3469" spans="1:1">
      <c r="A3469" s="282"/>
    </row>
    <row r="3470" spans="1:1">
      <c r="A3470" s="282"/>
    </row>
    <row r="3471" spans="1:1">
      <c r="A3471" s="282"/>
    </row>
    <row r="3472" spans="1:1">
      <c r="A3472" s="282"/>
    </row>
    <row r="3473" spans="1:1">
      <c r="A3473" s="282"/>
    </row>
    <row r="3474" spans="1:1">
      <c r="A3474" s="282"/>
    </row>
    <row r="3475" spans="1:1">
      <c r="A3475" s="282"/>
    </row>
    <row r="3476" spans="1:1">
      <c r="A3476" s="282"/>
    </row>
    <row r="3477" spans="1:1">
      <c r="A3477" s="282"/>
    </row>
    <row r="3478" spans="1:1">
      <c r="A3478" s="282"/>
    </row>
    <row r="3479" spans="1:1">
      <c r="A3479" s="282"/>
    </row>
    <row r="3480" spans="1:1">
      <c r="A3480" s="282"/>
    </row>
    <row r="3481" spans="1:1">
      <c r="A3481" s="282"/>
    </row>
    <row r="3482" spans="1:1">
      <c r="A3482" s="282"/>
    </row>
    <row r="3483" spans="1:1">
      <c r="A3483" s="282"/>
    </row>
    <row r="3484" spans="1:1">
      <c r="A3484" s="282"/>
    </row>
    <row r="3485" spans="1:1">
      <c r="A3485" s="282"/>
    </row>
    <row r="3486" spans="1:1">
      <c r="A3486" s="282"/>
    </row>
    <row r="3487" spans="1:1">
      <c r="A3487" s="282"/>
    </row>
    <row r="3488" spans="1:1">
      <c r="A3488" s="282"/>
    </row>
    <row r="3489" spans="1:1">
      <c r="A3489" s="282"/>
    </row>
    <row r="3490" spans="1:1">
      <c r="A3490" s="282"/>
    </row>
    <row r="3491" spans="1:1">
      <c r="A3491" s="282"/>
    </row>
    <row r="3492" spans="1:1">
      <c r="A3492" s="282"/>
    </row>
    <row r="3493" spans="1:1">
      <c r="A3493" s="282"/>
    </row>
    <row r="3494" spans="1:1">
      <c r="A3494" s="282"/>
    </row>
    <row r="3495" spans="1:1">
      <c r="A3495" s="282"/>
    </row>
    <row r="3496" spans="1:1">
      <c r="A3496" s="282"/>
    </row>
    <row r="3497" spans="1:1">
      <c r="A3497" s="282"/>
    </row>
    <row r="3498" spans="1:1">
      <c r="A3498" s="282"/>
    </row>
    <row r="3499" spans="1:1">
      <c r="A3499" s="282"/>
    </row>
    <row r="3500" spans="1:1">
      <c r="A3500" s="282"/>
    </row>
    <row r="3501" spans="1:1">
      <c r="A3501" s="282"/>
    </row>
    <row r="3502" spans="1:1">
      <c r="A3502" s="282"/>
    </row>
    <row r="3503" spans="1:1">
      <c r="A3503" s="282"/>
    </row>
    <row r="3504" spans="1:1">
      <c r="A3504" s="282"/>
    </row>
    <row r="3505" spans="1:1">
      <c r="A3505" s="282"/>
    </row>
    <row r="3506" spans="1:1">
      <c r="A3506" s="282"/>
    </row>
    <row r="3507" spans="1:1">
      <c r="A3507" s="282"/>
    </row>
    <row r="3508" spans="1:1">
      <c r="A3508" s="282"/>
    </row>
    <row r="3509" spans="1:1">
      <c r="A3509" s="282"/>
    </row>
    <row r="3510" spans="1:1">
      <c r="A3510" s="282"/>
    </row>
    <row r="3511" spans="1:1">
      <c r="A3511" s="282"/>
    </row>
    <row r="3512" spans="1:1">
      <c r="A3512" s="282"/>
    </row>
    <row r="3513" spans="1:1">
      <c r="A3513" s="282"/>
    </row>
    <row r="3514" spans="1:1">
      <c r="A3514" s="282"/>
    </row>
    <row r="3515" spans="1:1">
      <c r="A3515" s="282"/>
    </row>
    <row r="3516" spans="1:1">
      <c r="A3516" s="282"/>
    </row>
    <row r="3517" spans="1:1">
      <c r="A3517" s="282"/>
    </row>
    <row r="3518" spans="1:1">
      <c r="A3518" s="282"/>
    </row>
    <row r="3519" spans="1:1">
      <c r="A3519" s="282"/>
    </row>
    <row r="3520" spans="1:1">
      <c r="A3520" s="282"/>
    </row>
    <row r="3521" spans="1:1">
      <c r="A3521" s="282"/>
    </row>
    <row r="3522" spans="1:1">
      <c r="A3522" s="282"/>
    </row>
    <row r="3523" spans="1:1">
      <c r="A3523" s="282"/>
    </row>
    <row r="3524" spans="1:1">
      <c r="A3524" s="282"/>
    </row>
    <row r="3525" spans="1:1">
      <c r="A3525" s="282"/>
    </row>
    <row r="3526" spans="1:1">
      <c r="A3526" s="282"/>
    </row>
    <row r="3527" spans="1:1">
      <c r="A3527" s="282"/>
    </row>
    <row r="3528" spans="1:1">
      <c r="A3528" s="282"/>
    </row>
    <row r="3529" spans="1:1">
      <c r="A3529" s="282"/>
    </row>
    <row r="3530" spans="1:1">
      <c r="A3530" s="282"/>
    </row>
    <row r="3531" spans="1:1">
      <c r="A3531" s="282"/>
    </row>
    <row r="3532" spans="1:1">
      <c r="A3532" s="282"/>
    </row>
    <row r="3533" spans="1:1">
      <c r="A3533" s="282"/>
    </row>
    <row r="3534" spans="1:1">
      <c r="A3534" s="282"/>
    </row>
    <row r="3535" spans="1:1">
      <c r="A3535" s="282"/>
    </row>
    <row r="3536" spans="1:1">
      <c r="A3536" s="282"/>
    </row>
    <row r="3537" spans="1:1">
      <c r="A3537" s="282"/>
    </row>
    <row r="3538" spans="1:1">
      <c r="A3538" s="282"/>
    </row>
    <row r="3539" spans="1:1">
      <c r="A3539" s="282"/>
    </row>
    <row r="3540" spans="1:1">
      <c r="A3540" s="282"/>
    </row>
    <row r="3541" spans="1:1">
      <c r="A3541" s="282"/>
    </row>
    <row r="3542" spans="1:1">
      <c r="A3542" s="282"/>
    </row>
    <row r="3543" spans="1:1">
      <c r="A3543" s="282"/>
    </row>
    <row r="3544" spans="1:1">
      <c r="A3544" s="282"/>
    </row>
    <row r="3545" spans="1:1">
      <c r="A3545" s="282"/>
    </row>
    <row r="3546" spans="1:1">
      <c r="A3546" s="282"/>
    </row>
    <row r="3547" spans="1:1">
      <c r="A3547" s="282"/>
    </row>
    <row r="3548" spans="1:1">
      <c r="A3548" s="282"/>
    </row>
    <row r="3549" spans="1:1">
      <c r="A3549" s="282"/>
    </row>
    <row r="3550" spans="1:1">
      <c r="A3550" s="282"/>
    </row>
    <row r="3551" spans="1:1">
      <c r="A3551" s="282"/>
    </row>
    <row r="3552" spans="1:1">
      <c r="A3552" s="282"/>
    </row>
    <row r="3553" spans="1:1">
      <c r="A3553" s="282"/>
    </row>
    <row r="3554" spans="1:1">
      <c r="A3554" s="282"/>
    </row>
    <row r="3555" spans="1:1">
      <c r="A3555" s="282"/>
    </row>
    <row r="3556" spans="1:1">
      <c r="A3556" s="282"/>
    </row>
    <row r="3557" spans="1:1">
      <c r="A3557" s="282"/>
    </row>
    <row r="3558" spans="1:1">
      <c r="A3558" s="282"/>
    </row>
    <row r="3559" spans="1:1">
      <c r="A3559" s="282"/>
    </row>
    <row r="3560" spans="1:1">
      <c r="A3560" s="282"/>
    </row>
    <row r="3561" spans="1:1">
      <c r="A3561" s="282"/>
    </row>
    <row r="3562" spans="1:1">
      <c r="A3562" s="282"/>
    </row>
    <row r="3563" spans="1:1">
      <c r="A3563" s="282"/>
    </row>
    <row r="3564" spans="1:1">
      <c r="A3564" s="282"/>
    </row>
    <row r="3565" spans="1:1">
      <c r="A3565" s="282"/>
    </row>
    <row r="3566" spans="1:1">
      <c r="A3566" s="282"/>
    </row>
    <row r="3567" spans="1:1">
      <c r="A3567" s="282"/>
    </row>
    <row r="3568" spans="1:1">
      <c r="A3568" s="282"/>
    </row>
    <row r="3569" spans="1:1">
      <c r="A3569" s="282"/>
    </row>
    <row r="3570" spans="1:1">
      <c r="A3570" s="282"/>
    </row>
    <row r="3571" spans="1:1">
      <c r="A3571" s="282"/>
    </row>
    <row r="3572" spans="1:1">
      <c r="A3572" s="282"/>
    </row>
    <row r="3573" spans="1:1">
      <c r="A3573" s="282"/>
    </row>
    <row r="3574" spans="1:1">
      <c r="A3574" s="282"/>
    </row>
    <row r="3575" spans="1:1">
      <c r="A3575" s="282"/>
    </row>
    <row r="3576" spans="1:1">
      <c r="A3576" s="282"/>
    </row>
    <row r="3577" spans="1:1">
      <c r="A3577" s="282"/>
    </row>
    <row r="3578" spans="1:1">
      <c r="A3578" s="282"/>
    </row>
    <row r="3579" spans="1:1">
      <c r="A3579" s="282"/>
    </row>
    <row r="3580" spans="1:1">
      <c r="A3580" s="282"/>
    </row>
    <row r="3581" spans="1:1">
      <c r="A3581" s="282"/>
    </row>
    <row r="3582" spans="1:1">
      <c r="A3582" s="282"/>
    </row>
    <row r="3583" spans="1:1">
      <c r="A3583" s="282"/>
    </row>
    <row r="3584" spans="1:1">
      <c r="A3584" s="282"/>
    </row>
    <row r="3585" spans="1:1">
      <c r="A3585" s="282"/>
    </row>
    <row r="3586" spans="1:1">
      <c r="A3586" s="282"/>
    </row>
    <row r="3587" spans="1:1">
      <c r="A3587" s="282"/>
    </row>
    <row r="3588" spans="1:1">
      <c r="A3588" s="282"/>
    </row>
    <row r="3589" spans="1:1">
      <c r="A3589" s="282"/>
    </row>
    <row r="3590" spans="1:1">
      <c r="A3590" s="282"/>
    </row>
    <row r="3591" spans="1:1">
      <c r="A3591" s="282"/>
    </row>
    <row r="3592" spans="1:1">
      <c r="A3592" s="282"/>
    </row>
    <row r="3593" spans="1:1">
      <c r="A3593" s="282"/>
    </row>
    <row r="3594" spans="1:1">
      <c r="A3594" s="282"/>
    </row>
    <row r="3595" spans="1:1">
      <c r="A3595" s="282"/>
    </row>
    <row r="3596" spans="1:1">
      <c r="A3596" s="282"/>
    </row>
    <row r="3597" spans="1:1">
      <c r="A3597" s="282"/>
    </row>
    <row r="3598" spans="1:1">
      <c r="A3598" s="282"/>
    </row>
    <row r="3599" spans="1:1">
      <c r="A3599" s="282"/>
    </row>
    <row r="3600" spans="1:1">
      <c r="A3600" s="282"/>
    </row>
    <row r="3601" spans="1:1">
      <c r="A3601" s="282"/>
    </row>
    <row r="3602" spans="1:1">
      <c r="A3602" s="282"/>
    </row>
    <row r="3603" spans="1:1">
      <c r="A3603" s="282"/>
    </row>
    <row r="3604" spans="1:1">
      <c r="A3604" s="282"/>
    </row>
    <row r="3605" spans="1:1">
      <c r="A3605" s="282"/>
    </row>
    <row r="3606" spans="1:1">
      <c r="A3606" s="282"/>
    </row>
    <row r="3607" spans="1:1">
      <c r="A3607" s="282"/>
    </row>
    <row r="3608" spans="1:1">
      <c r="A3608" s="282"/>
    </row>
    <row r="3609" spans="1:1">
      <c r="A3609" s="282"/>
    </row>
    <row r="3610" spans="1:1">
      <c r="A3610" s="282"/>
    </row>
    <row r="3611" spans="1:1">
      <c r="A3611" s="282"/>
    </row>
    <row r="3612" spans="1:1">
      <c r="A3612" s="282"/>
    </row>
    <row r="3613" spans="1:1">
      <c r="A3613" s="282"/>
    </row>
    <row r="3614" spans="1:1">
      <c r="A3614" s="282"/>
    </row>
    <row r="3615" spans="1:1">
      <c r="A3615" s="282"/>
    </row>
    <row r="3616" spans="1:1">
      <c r="A3616" s="282"/>
    </row>
    <row r="3617" spans="1:1">
      <c r="A3617" s="282"/>
    </row>
    <row r="3618" spans="1:1">
      <c r="A3618" s="282"/>
    </row>
    <row r="3619" spans="1:1">
      <c r="A3619" s="282"/>
    </row>
    <row r="3620" spans="1:1">
      <c r="A3620" s="282"/>
    </row>
    <row r="3621" spans="1:1">
      <c r="A3621" s="282"/>
    </row>
    <row r="3622" spans="1:1">
      <c r="A3622" s="282"/>
    </row>
    <row r="3623" spans="1:1">
      <c r="A3623" s="282"/>
    </row>
    <row r="3624" spans="1:1">
      <c r="A3624" s="282"/>
    </row>
    <row r="3625" spans="1:1">
      <c r="A3625" s="282"/>
    </row>
    <row r="3626" spans="1:1">
      <c r="A3626" s="282"/>
    </row>
    <row r="3627" spans="1:1">
      <c r="A3627" s="282"/>
    </row>
    <row r="3628" spans="1:1">
      <c r="A3628" s="282"/>
    </row>
    <row r="3629" spans="1:1">
      <c r="A3629" s="282"/>
    </row>
    <row r="3630" spans="1:1">
      <c r="A3630" s="282"/>
    </row>
    <row r="3631" spans="1:1">
      <c r="A3631" s="282"/>
    </row>
    <row r="3632" spans="1:1">
      <c r="A3632" s="282"/>
    </row>
    <row r="3633" spans="1:1">
      <c r="A3633" s="282"/>
    </row>
    <row r="3634" spans="1:1">
      <c r="A3634" s="282"/>
    </row>
    <row r="3635" spans="1:1">
      <c r="A3635" s="282"/>
    </row>
    <row r="3636" spans="1:1">
      <c r="A3636" s="282"/>
    </row>
    <row r="3637" spans="1:1">
      <c r="A3637" s="282"/>
    </row>
    <row r="3638" spans="1:1">
      <c r="A3638" s="282"/>
    </row>
    <row r="3639" spans="1:1">
      <c r="A3639" s="282"/>
    </row>
    <row r="3640" spans="1:1">
      <c r="A3640" s="282"/>
    </row>
    <row r="3641" spans="1:1">
      <c r="A3641" s="282"/>
    </row>
    <row r="3642" spans="1:1">
      <c r="A3642" s="282"/>
    </row>
    <row r="3643" spans="1:1">
      <c r="A3643" s="282"/>
    </row>
    <row r="3644" spans="1:1">
      <c r="A3644" s="282"/>
    </row>
    <row r="3645" spans="1:1">
      <c r="A3645" s="282"/>
    </row>
    <row r="3646" spans="1:1">
      <c r="A3646" s="282"/>
    </row>
    <row r="3647" spans="1:1">
      <c r="A3647" s="282"/>
    </row>
    <row r="3648" spans="1:1">
      <c r="A3648" s="282"/>
    </row>
    <row r="3649" spans="1:1">
      <c r="A3649" s="282"/>
    </row>
    <row r="3650" spans="1:1">
      <c r="A3650" s="282"/>
    </row>
    <row r="3651" spans="1:1">
      <c r="A3651" s="282"/>
    </row>
    <row r="3652" spans="1:1">
      <c r="A3652" s="282"/>
    </row>
    <row r="3653" spans="1:1">
      <c r="A3653" s="282"/>
    </row>
    <row r="3654" spans="1:1">
      <c r="A3654" s="282"/>
    </row>
    <row r="3655" spans="1:1">
      <c r="A3655" s="282"/>
    </row>
    <row r="3656" spans="1:1">
      <c r="A3656" s="282"/>
    </row>
    <row r="3657" spans="1:1">
      <c r="A3657" s="282"/>
    </row>
    <row r="3658" spans="1:1">
      <c r="A3658" s="282"/>
    </row>
    <row r="3659" spans="1:1">
      <c r="A3659" s="282"/>
    </row>
    <row r="3660" spans="1:1">
      <c r="A3660" s="282"/>
    </row>
    <row r="3661" spans="1:1">
      <c r="A3661" s="282"/>
    </row>
    <row r="3662" spans="1:1">
      <c r="A3662" s="282"/>
    </row>
    <row r="3663" spans="1:1">
      <c r="A3663" s="282"/>
    </row>
    <row r="3664" spans="1:1">
      <c r="A3664" s="282"/>
    </row>
    <row r="3665" spans="1:1">
      <c r="A3665" s="282"/>
    </row>
    <row r="3666" spans="1:1">
      <c r="A3666" s="282"/>
    </row>
    <row r="3667" spans="1:1">
      <c r="A3667" s="282"/>
    </row>
    <row r="3668" spans="1:1">
      <c r="A3668" s="282"/>
    </row>
    <row r="3669" spans="1:1">
      <c r="A3669" s="282"/>
    </row>
    <row r="3670" spans="1:1">
      <c r="A3670" s="282"/>
    </row>
    <row r="3671" spans="1:1">
      <c r="A3671" s="282"/>
    </row>
    <row r="3672" spans="1:1">
      <c r="A3672" s="282"/>
    </row>
    <row r="3673" spans="1:1">
      <c r="A3673" s="282"/>
    </row>
    <row r="3674" spans="1:1">
      <c r="A3674" s="282"/>
    </row>
    <row r="3675" spans="1:1">
      <c r="A3675" s="282"/>
    </row>
    <row r="3676" spans="1:1">
      <c r="A3676" s="282"/>
    </row>
    <row r="3677" spans="1:1">
      <c r="A3677" s="282"/>
    </row>
    <row r="3678" spans="1:1">
      <c r="A3678" s="282"/>
    </row>
    <row r="3679" spans="1:1">
      <c r="A3679" s="282"/>
    </row>
    <row r="3680" spans="1:1">
      <c r="A3680" s="282"/>
    </row>
    <row r="3681" spans="1:1">
      <c r="A3681" s="282"/>
    </row>
    <row r="3682" spans="1:1">
      <c r="A3682" s="282"/>
    </row>
    <row r="3683" spans="1:1">
      <c r="A3683" s="282"/>
    </row>
    <row r="3684" spans="1:1">
      <c r="A3684" s="282"/>
    </row>
    <row r="3685" spans="1:1">
      <c r="A3685" s="282"/>
    </row>
    <row r="3686" spans="1:1">
      <c r="A3686" s="282"/>
    </row>
    <row r="3687" spans="1:1">
      <c r="A3687" s="282"/>
    </row>
    <row r="3688" spans="1:1">
      <c r="A3688" s="282"/>
    </row>
    <row r="3689" spans="1:1">
      <c r="A3689" s="282"/>
    </row>
    <row r="3690" spans="1:1">
      <c r="A3690" s="282"/>
    </row>
    <row r="3691" spans="1:1">
      <c r="A3691" s="282"/>
    </row>
    <row r="3692" spans="1:1">
      <c r="A3692" s="282"/>
    </row>
    <row r="3693" spans="1:1">
      <c r="A3693" s="282"/>
    </row>
    <row r="3694" spans="1:1">
      <c r="A3694" s="282"/>
    </row>
    <row r="3695" spans="1:1">
      <c r="A3695" s="282"/>
    </row>
    <row r="3696" spans="1:1">
      <c r="A3696" s="282"/>
    </row>
    <row r="3697" spans="1:1">
      <c r="A3697" s="282"/>
    </row>
    <row r="3698" spans="1:1">
      <c r="A3698" s="282"/>
    </row>
    <row r="3699" spans="1:1">
      <c r="A3699" s="282"/>
    </row>
    <row r="3700" spans="1:1">
      <c r="A3700" s="282"/>
    </row>
    <row r="3701" spans="1:1">
      <c r="A3701" s="282"/>
    </row>
    <row r="3702" spans="1:1">
      <c r="A3702" s="282"/>
    </row>
    <row r="3703" spans="1:1">
      <c r="A3703" s="282"/>
    </row>
    <row r="3704" spans="1:1">
      <c r="A3704" s="282"/>
    </row>
    <row r="3705" spans="1:1">
      <c r="A3705" s="282"/>
    </row>
    <row r="3706" spans="1:1">
      <c r="A3706" s="282"/>
    </row>
    <row r="3707" spans="1:1">
      <c r="A3707" s="282"/>
    </row>
    <row r="3708" spans="1:1">
      <c r="A3708" s="282"/>
    </row>
    <row r="3709" spans="1:1">
      <c r="A3709" s="282"/>
    </row>
    <row r="3710" spans="1:1">
      <c r="A3710" s="282"/>
    </row>
    <row r="3711" spans="1:1">
      <c r="A3711" s="282"/>
    </row>
    <row r="3712" spans="1:1">
      <c r="A3712" s="282"/>
    </row>
    <row r="3713" spans="1:1">
      <c r="A3713" s="282"/>
    </row>
    <row r="3714" spans="1:1">
      <c r="A3714" s="282"/>
    </row>
    <row r="3715" spans="1:1">
      <c r="A3715" s="282"/>
    </row>
    <row r="3716" spans="1:1">
      <c r="A3716" s="282"/>
    </row>
    <row r="3717" spans="1:1">
      <c r="A3717" s="282"/>
    </row>
    <row r="3718" spans="1:1">
      <c r="A3718" s="282"/>
    </row>
    <row r="3719" spans="1:1">
      <c r="A3719" s="282"/>
    </row>
    <row r="3720" spans="1:1">
      <c r="A3720" s="282"/>
    </row>
    <row r="3721" spans="1:1">
      <c r="A3721" s="282"/>
    </row>
    <row r="3722" spans="1:1">
      <c r="A3722" s="282"/>
    </row>
    <row r="3723" spans="1:1">
      <c r="A3723" s="282"/>
    </row>
    <row r="3724" spans="1:1">
      <c r="A3724" s="282"/>
    </row>
    <row r="3725" spans="1:1">
      <c r="A3725" s="282"/>
    </row>
    <row r="3726" spans="1:1">
      <c r="A3726" s="282"/>
    </row>
    <row r="3727" spans="1:1">
      <c r="A3727" s="282"/>
    </row>
    <row r="3728" spans="1:1">
      <c r="A3728" s="282"/>
    </row>
    <row r="3729" spans="1:1">
      <c r="A3729" s="282"/>
    </row>
    <row r="3730" spans="1:1">
      <c r="A3730" s="282"/>
    </row>
    <row r="3731" spans="1:1">
      <c r="A3731" s="282"/>
    </row>
    <row r="3732" spans="1:1">
      <c r="A3732" s="282"/>
    </row>
    <row r="3733" spans="1:1">
      <c r="A3733" s="282"/>
    </row>
    <row r="3734" spans="1:1">
      <c r="A3734" s="282"/>
    </row>
    <row r="3735" spans="1:1">
      <c r="A3735" s="282"/>
    </row>
    <row r="3736" spans="1:1">
      <c r="A3736" s="282"/>
    </row>
    <row r="3737" spans="1:1">
      <c r="A3737" s="282"/>
    </row>
    <row r="3738" spans="1:1">
      <c r="A3738" s="282"/>
    </row>
    <row r="3739" spans="1:1">
      <c r="A3739" s="282"/>
    </row>
    <row r="3740" spans="1:1">
      <c r="A3740" s="282"/>
    </row>
    <row r="3741" spans="1:1">
      <c r="A3741" s="282"/>
    </row>
    <row r="3742" spans="1:1">
      <c r="A3742" s="282"/>
    </row>
    <row r="3743" spans="1:1">
      <c r="A3743" s="282"/>
    </row>
    <row r="3744" spans="1:1">
      <c r="A3744" s="282"/>
    </row>
    <row r="3745" spans="1:1">
      <c r="A3745" s="282"/>
    </row>
    <row r="3746" spans="1:1">
      <c r="A3746" s="282"/>
    </row>
    <row r="3747" spans="1:1">
      <c r="A3747" s="282"/>
    </row>
    <row r="3748" spans="1:1">
      <c r="A3748" s="282"/>
    </row>
    <row r="3749" spans="1:1">
      <c r="A3749" s="282"/>
    </row>
    <row r="3750" spans="1:1">
      <c r="A3750" s="282"/>
    </row>
    <row r="3751" spans="1:1">
      <c r="A3751" s="282"/>
    </row>
    <row r="3752" spans="1:1">
      <c r="A3752" s="282"/>
    </row>
    <row r="3753" spans="1:1">
      <c r="A3753" s="282"/>
    </row>
    <row r="3754" spans="1:1">
      <c r="A3754" s="282"/>
    </row>
    <row r="3755" spans="1:1">
      <c r="A3755" s="282"/>
    </row>
    <row r="3756" spans="1:1">
      <c r="A3756" s="282"/>
    </row>
    <row r="3757" spans="1:1">
      <c r="A3757" s="282"/>
    </row>
    <row r="3758" spans="1:1">
      <c r="A3758" s="282"/>
    </row>
    <row r="3759" spans="1:1">
      <c r="A3759" s="282"/>
    </row>
    <row r="3760" spans="1:1">
      <c r="A3760" s="282"/>
    </row>
    <row r="3761" spans="1:1">
      <c r="A3761" s="282"/>
    </row>
    <row r="3762" spans="1:1">
      <c r="A3762" s="282"/>
    </row>
    <row r="3763" spans="1:1">
      <c r="A3763" s="282"/>
    </row>
    <row r="3764" spans="1:1">
      <c r="A3764" s="282"/>
    </row>
    <row r="3765" spans="1:1">
      <c r="A3765" s="282"/>
    </row>
    <row r="3766" spans="1:1">
      <c r="A3766" s="282"/>
    </row>
    <row r="3767" spans="1:1">
      <c r="A3767" s="282"/>
    </row>
    <row r="3768" spans="1:1">
      <c r="A3768" s="282"/>
    </row>
    <row r="3769" spans="1:1">
      <c r="A3769" s="282"/>
    </row>
    <row r="3770" spans="1:1">
      <c r="A3770" s="282"/>
    </row>
    <row r="3771" spans="1:1">
      <c r="A3771" s="282"/>
    </row>
    <row r="3772" spans="1:1">
      <c r="A3772" s="282"/>
    </row>
    <row r="3773" spans="1:1">
      <c r="A3773" s="282"/>
    </row>
    <row r="3774" spans="1:1">
      <c r="A3774" s="282"/>
    </row>
    <row r="3775" spans="1:1">
      <c r="A3775" s="282"/>
    </row>
    <row r="3776" spans="1:1">
      <c r="A3776" s="282"/>
    </row>
    <row r="3777" spans="1:1">
      <c r="A3777" s="282"/>
    </row>
    <row r="3778" spans="1:1">
      <c r="A3778" s="282"/>
    </row>
    <row r="3779" spans="1:1">
      <c r="A3779" s="282"/>
    </row>
    <row r="3780" spans="1:1">
      <c r="A3780" s="282"/>
    </row>
    <row r="3781" spans="1:1">
      <c r="A3781" s="282"/>
    </row>
    <row r="3782" spans="1:1">
      <c r="A3782" s="282"/>
    </row>
    <row r="3783" spans="1:1">
      <c r="A3783" s="282"/>
    </row>
    <row r="3784" spans="1:1">
      <c r="A3784" s="282"/>
    </row>
    <row r="3785" spans="1:1">
      <c r="A3785" s="282"/>
    </row>
    <row r="3786" spans="1:1">
      <c r="A3786" s="282"/>
    </row>
    <row r="3787" spans="1:1">
      <c r="A3787" s="282"/>
    </row>
    <row r="3788" spans="1:1">
      <c r="A3788" s="282"/>
    </row>
    <row r="3789" spans="1:1">
      <c r="A3789" s="282"/>
    </row>
    <row r="3790" spans="1:1">
      <c r="A3790" s="282"/>
    </row>
    <row r="3791" spans="1:1">
      <c r="A3791" s="282"/>
    </row>
    <row r="3792" spans="1:1">
      <c r="A3792" s="282"/>
    </row>
    <row r="3793" spans="1:1">
      <c r="A3793" s="282"/>
    </row>
    <row r="3794" spans="1:1">
      <c r="A3794" s="282"/>
    </row>
    <row r="3795" spans="1:1">
      <c r="A3795" s="282"/>
    </row>
    <row r="3796" spans="1:1">
      <c r="A3796" s="282"/>
    </row>
    <row r="3797" spans="1:1">
      <c r="A3797" s="282"/>
    </row>
    <row r="3798" spans="1:1">
      <c r="A3798" s="282"/>
    </row>
    <row r="3799" spans="1:1">
      <c r="A3799" s="282"/>
    </row>
    <row r="3800" spans="1:1">
      <c r="A3800" s="282"/>
    </row>
    <row r="3801" spans="1:1">
      <c r="A3801" s="282"/>
    </row>
    <row r="3802" spans="1:1">
      <c r="A3802" s="282"/>
    </row>
    <row r="3803" spans="1:1">
      <c r="A3803" s="282"/>
    </row>
    <row r="3804" spans="1:1">
      <c r="A3804" s="282"/>
    </row>
    <row r="3805" spans="1:1">
      <c r="A3805" s="282"/>
    </row>
    <row r="3806" spans="1:1">
      <c r="A3806" s="282"/>
    </row>
    <row r="3807" spans="1:1">
      <c r="A3807" s="282"/>
    </row>
    <row r="3808" spans="1:1">
      <c r="A3808" s="282"/>
    </row>
    <row r="3809" spans="1:1">
      <c r="A3809" s="282"/>
    </row>
    <row r="3810" spans="1:1">
      <c r="A3810" s="282"/>
    </row>
    <row r="3811" spans="1:1">
      <c r="A3811" s="282"/>
    </row>
    <row r="3812" spans="1:1">
      <c r="A3812" s="282"/>
    </row>
    <row r="3813" spans="1:1">
      <c r="A3813" s="282"/>
    </row>
    <row r="3814" spans="1:1">
      <c r="A3814" s="282"/>
    </row>
    <row r="3815" spans="1:1">
      <c r="A3815" s="282"/>
    </row>
    <row r="3816" spans="1:1">
      <c r="A3816" s="282"/>
    </row>
    <row r="3817" spans="1:1">
      <c r="A3817" s="282"/>
    </row>
    <row r="3818" spans="1:1">
      <c r="A3818" s="282"/>
    </row>
    <row r="3819" spans="1:1">
      <c r="A3819" s="282"/>
    </row>
    <row r="3820" spans="1:1">
      <c r="A3820" s="282"/>
    </row>
    <row r="3821" spans="1:1">
      <c r="A3821" s="282"/>
    </row>
    <row r="3822" spans="1:1">
      <c r="A3822" s="282"/>
    </row>
    <row r="3823" spans="1:1">
      <c r="A3823" s="282"/>
    </row>
    <row r="3824" spans="1:1">
      <c r="A3824" s="282"/>
    </row>
    <row r="3825" spans="1:1">
      <c r="A3825" s="282"/>
    </row>
    <row r="3826" spans="1:1">
      <c r="A3826" s="282"/>
    </row>
    <row r="3827" spans="1:1">
      <c r="A3827" s="282"/>
    </row>
    <row r="3828" spans="1:1">
      <c r="A3828" s="282"/>
    </row>
    <row r="3829" spans="1:1">
      <c r="A3829" s="282"/>
    </row>
    <row r="3830" spans="1:1">
      <c r="A3830" s="282"/>
    </row>
    <row r="3831" spans="1:1">
      <c r="A3831" s="282"/>
    </row>
    <row r="3832" spans="1:1">
      <c r="A3832" s="282"/>
    </row>
    <row r="3833" spans="1:1">
      <c r="A3833" s="282"/>
    </row>
    <row r="3834" spans="1:1">
      <c r="A3834" s="282"/>
    </row>
    <row r="3835" spans="1:1">
      <c r="A3835" s="282"/>
    </row>
    <row r="3836" spans="1:1">
      <c r="A3836" s="282"/>
    </row>
    <row r="3837" spans="1:1">
      <c r="A3837" s="282"/>
    </row>
    <row r="3838" spans="1:1">
      <c r="A3838" s="282"/>
    </row>
    <row r="3839" spans="1:1">
      <c r="A3839" s="282"/>
    </row>
    <row r="3840" spans="1:1">
      <c r="A3840" s="282"/>
    </row>
    <row r="3841" spans="1:1">
      <c r="A3841" s="282"/>
    </row>
    <row r="3842" spans="1:1">
      <c r="A3842" s="282"/>
    </row>
    <row r="3843" spans="1:1">
      <c r="A3843" s="282"/>
    </row>
    <row r="3844" spans="1:1">
      <c r="A3844" s="282"/>
    </row>
    <row r="3845" spans="1:1">
      <c r="A3845" s="282"/>
    </row>
    <row r="3846" spans="1:1">
      <c r="A3846" s="282"/>
    </row>
    <row r="3847" spans="1:1">
      <c r="A3847" s="282"/>
    </row>
    <row r="3848" spans="1:1">
      <c r="A3848" s="282"/>
    </row>
    <row r="3849" spans="1:1">
      <c r="A3849" s="282"/>
    </row>
    <row r="3850" spans="1:1">
      <c r="A3850" s="282"/>
    </row>
    <row r="3851" spans="1:1">
      <c r="A3851" s="282"/>
    </row>
    <row r="3852" spans="1:1">
      <c r="A3852" s="282"/>
    </row>
    <row r="3853" spans="1:1">
      <c r="A3853" s="282"/>
    </row>
    <row r="3854" spans="1:1">
      <c r="A3854" s="282"/>
    </row>
    <row r="3855" spans="1:1">
      <c r="A3855" s="282"/>
    </row>
    <row r="3856" spans="1:1">
      <c r="A3856" s="282"/>
    </row>
    <row r="3857" spans="1:1">
      <c r="A3857" s="282"/>
    </row>
    <row r="3858" spans="1:1">
      <c r="A3858" s="282"/>
    </row>
    <row r="3859" spans="1:1">
      <c r="A3859" s="282"/>
    </row>
    <row r="3860" spans="1:1">
      <c r="A3860" s="282"/>
    </row>
    <row r="3861" spans="1:1">
      <c r="A3861" s="282"/>
    </row>
    <row r="3862" spans="1:1">
      <c r="A3862" s="282"/>
    </row>
    <row r="3863" spans="1:1">
      <c r="A3863" s="282"/>
    </row>
    <row r="3864" spans="1:1">
      <c r="A3864" s="282"/>
    </row>
    <row r="3865" spans="1:1">
      <c r="A3865" s="282"/>
    </row>
    <row r="3866" spans="1:1">
      <c r="A3866" s="282"/>
    </row>
    <row r="3867" spans="1:1">
      <c r="A3867" s="282"/>
    </row>
    <row r="3868" spans="1:1">
      <c r="A3868" s="282"/>
    </row>
    <row r="3869" spans="1:1">
      <c r="A3869" s="282"/>
    </row>
    <row r="3870" spans="1:1">
      <c r="A3870" s="282"/>
    </row>
    <row r="3871" spans="1:1">
      <c r="A3871" s="282"/>
    </row>
    <row r="3872" spans="1:1">
      <c r="A3872" s="282"/>
    </row>
    <row r="3873" spans="1:1">
      <c r="A3873" s="282"/>
    </row>
    <row r="3874" spans="1:1">
      <c r="A3874" s="282"/>
    </row>
    <row r="3875" spans="1:1">
      <c r="A3875" s="282"/>
    </row>
    <row r="3876" spans="1:1">
      <c r="A3876" s="282"/>
    </row>
    <row r="3877" spans="1:1">
      <c r="A3877" s="282"/>
    </row>
    <row r="3878" spans="1:1">
      <c r="A3878" s="282"/>
    </row>
    <row r="3879" spans="1:1">
      <c r="A3879" s="282"/>
    </row>
    <row r="3880" spans="1:1">
      <c r="A3880" s="282"/>
    </row>
    <row r="3881" spans="1:1">
      <c r="A3881" s="282"/>
    </row>
    <row r="3882" spans="1:1">
      <c r="A3882" s="282"/>
    </row>
    <row r="3883" spans="1:1">
      <c r="A3883" s="282"/>
    </row>
    <row r="3884" spans="1:1">
      <c r="A3884" s="282"/>
    </row>
    <row r="3885" spans="1:1">
      <c r="A3885" s="282"/>
    </row>
    <row r="3886" spans="1:1">
      <c r="A3886" s="282"/>
    </row>
    <row r="3887" spans="1:1">
      <c r="A3887" s="282"/>
    </row>
    <row r="3888" spans="1:1">
      <c r="A3888" s="282"/>
    </row>
    <row r="3889" spans="1:1">
      <c r="A3889" s="282"/>
    </row>
    <row r="3890" spans="1:1">
      <c r="A3890" s="282"/>
    </row>
    <row r="3891" spans="1:1">
      <c r="A3891" s="282"/>
    </row>
    <row r="3892" spans="1:1">
      <c r="A3892" s="282"/>
    </row>
    <row r="3893" spans="1:1">
      <c r="A3893" s="282"/>
    </row>
    <row r="3894" spans="1:1">
      <c r="A3894" s="282"/>
    </row>
    <row r="3895" spans="1:1">
      <c r="A3895" s="282"/>
    </row>
    <row r="3896" spans="1:1">
      <c r="A3896" s="282"/>
    </row>
    <row r="3897" spans="1:1">
      <c r="A3897" s="282"/>
    </row>
    <row r="3898" spans="1:1">
      <c r="A3898" s="282"/>
    </row>
    <row r="3899" spans="1:1">
      <c r="A3899" s="282"/>
    </row>
    <row r="3900" spans="1:1">
      <c r="A3900" s="282"/>
    </row>
    <row r="3901" spans="1:1">
      <c r="A3901" s="282"/>
    </row>
    <row r="3902" spans="1:1">
      <c r="A3902" s="282"/>
    </row>
    <row r="3903" spans="1:1">
      <c r="A3903" s="282"/>
    </row>
    <row r="3904" spans="1:1">
      <c r="A3904" s="282"/>
    </row>
    <row r="3905" spans="1:1">
      <c r="A3905" s="282"/>
    </row>
    <row r="3906" spans="1:1">
      <c r="A3906" s="282"/>
    </row>
    <row r="3907" spans="1:1">
      <c r="A3907" s="282"/>
    </row>
    <row r="3908" spans="1:1">
      <c r="A3908" s="282"/>
    </row>
    <row r="3909" spans="1:1">
      <c r="A3909" s="282"/>
    </row>
    <row r="3910" spans="1:1">
      <c r="A3910" s="282"/>
    </row>
    <row r="3911" spans="1:1">
      <c r="A3911" s="282"/>
    </row>
    <row r="3912" spans="1:1">
      <c r="A3912" s="282"/>
    </row>
    <row r="3913" spans="1:1">
      <c r="A3913" s="282"/>
    </row>
    <row r="3914" spans="1:1">
      <c r="A3914" s="282"/>
    </row>
    <row r="3915" spans="1:1">
      <c r="A3915" s="282"/>
    </row>
    <row r="3916" spans="1:1">
      <c r="A3916" s="282"/>
    </row>
    <row r="3917" spans="1:1">
      <c r="A3917" s="282"/>
    </row>
    <row r="3918" spans="1:1">
      <c r="A3918" s="282"/>
    </row>
    <row r="3919" spans="1:1">
      <c r="A3919" s="282"/>
    </row>
    <row r="3920" spans="1:1">
      <c r="A3920" s="282"/>
    </row>
    <row r="3921" spans="1:1">
      <c r="A3921" s="282"/>
    </row>
    <row r="3922" spans="1:1">
      <c r="A3922" s="282"/>
    </row>
    <row r="3923" spans="1:1">
      <c r="A3923" s="282"/>
    </row>
    <row r="3924" spans="1:1">
      <c r="A3924" s="282"/>
    </row>
    <row r="3925" spans="1:1">
      <c r="A3925" s="282"/>
    </row>
    <row r="3926" spans="1:1">
      <c r="A3926" s="282"/>
    </row>
    <row r="3927" spans="1:1">
      <c r="A3927" s="282"/>
    </row>
    <row r="3928" spans="1:1">
      <c r="A3928" s="282"/>
    </row>
    <row r="3929" spans="1:1">
      <c r="A3929" s="282"/>
    </row>
    <row r="3930" spans="1:1">
      <c r="A3930" s="282"/>
    </row>
    <row r="3931" spans="1:1">
      <c r="A3931" s="282"/>
    </row>
    <row r="3932" spans="1:1">
      <c r="A3932" s="282"/>
    </row>
    <row r="3933" spans="1:1">
      <c r="A3933" s="282"/>
    </row>
    <row r="3934" spans="1:1">
      <c r="A3934" s="282"/>
    </row>
    <row r="3935" spans="1:1">
      <c r="A3935" s="282"/>
    </row>
    <row r="3936" spans="1:1">
      <c r="A3936" s="282"/>
    </row>
    <row r="3937" spans="1:1">
      <c r="A3937" s="282"/>
    </row>
    <row r="3938" spans="1:1">
      <c r="A3938" s="282"/>
    </row>
    <row r="3939" spans="1:1">
      <c r="A3939" s="282"/>
    </row>
    <row r="3940" spans="1:1">
      <c r="A3940" s="282"/>
    </row>
    <row r="3941" spans="1:1">
      <c r="A3941" s="282"/>
    </row>
    <row r="3942" spans="1:1">
      <c r="A3942" s="282"/>
    </row>
    <row r="3943" spans="1:1">
      <c r="A3943" s="282"/>
    </row>
    <row r="3944" spans="1:1">
      <c r="A3944" s="282"/>
    </row>
    <row r="3945" spans="1:1">
      <c r="A3945" s="282"/>
    </row>
    <row r="3946" spans="1:1">
      <c r="A3946" s="282"/>
    </row>
    <row r="3947" spans="1:1">
      <c r="A3947" s="282"/>
    </row>
    <row r="3948" spans="1:1">
      <c r="A3948" s="282"/>
    </row>
    <row r="3949" spans="1:1">
      <c r="A3949" s="282"/>
    </row>
    <row r="3950" spans="1:1">
      <c r="A3950" s="282"/>
    </row>
    <row r="3951" spans="1:1">
      <c r="A3951" s="282"/>
    </row>
    <row r="3952" spans="1:1">
      <c r="A3952" s="282"/>
    </row>
    <row r="3953" spans="1:1">
      <c r="A3953" s="282"/>
    </row>
    <row r="3954" spans="1:1">
      <c r="A3954" s="282"/>
    </row>
    <row r="3955" spans="1:1">
      <c r="A3955" s="282"/>
    </row>
    <row r="3956" spans="1:1">
      <c r="A3956" s="282"/>
    </row>
    <row r="3957" spans="1:1">
      <c r="A3957" s="282"/>
    </row>
    <row r="3958" spans="1:1">
      <c r="A3958" s="282"/>
    </row>
    <row r="3959" spans="1:1">
      <c r="A3959" s="282"/>
    </row>
    <row r="3960" spans="1:1">
      <c r="A3960" s="282"/>
    </row>
    <row r="3961" spans="1:1">
      <c r="A3961" s="282"/>
    </row>
    <row r="3962" spans="1:1">
      <c r="A3962" s="282"/>
    </row>
    <row r="3963" spans="1:1">
      <c r="A3963" s="282"/>
    </row>
    <row r="3964" spans="1:1">
      <c r="A3964" s="282"/>
    </row>
    <row r="3965" spans="1:1">
      <c r="A3965" s="282"/>
    </row>
    <row r="3966" spans="1:1">
      <c r="A3966" s="282"/>
    </row>
    <row r="3967" spans="1:1">
      <c r="A3967" s="282"/>
    </row>
    <row r="3968" spans="1:1">
      <c r="A3968" s="282"/>
    </row>
    <row r="3969" spans="1:1">
      <c r="A3969" s="282"/>
    </row>
    <row r="3970" spans="1:1">
      <c r="A3970" s="282"/>
    </row>
    <row r="3971" spans="1:1">
      <c r="A3971" s="282"/>
    </row>
    <row r="3972" spans="1:1">
      <c r="A3972" s="282"/>
    </row>
    <row r="3973" spans="1:1">
      <c r="A3973" s="282"/>
    </row>
    <row r="3974" spans="1:1">
      <c r="A3974" s="282"/>
    </row>
    <row r="3975" spans="1:1">
      <c r="A3975" s="282"/>
    </row>
    <row r="3976" spans="1:1">
      <c r="A3976" s="282"/>
    </row>
    <row r="3977" spans="1:1">
      <c r="A3977" s="282"/>
    </row>
    <row r="3978" spans="1:1">
      <c r="A3978" s="282"/>
    </row>
    <row r="3979" spans="1:1">
      <c r="A3979" s="282"/>
    </row>
    <row r="3980" spans="1:1">
      <c r="A3980" s="282"/>
    </row>
    <row r="3981" spans="1:1">
      <c r="A3981" s="282"/>
    </row>
    <row r="3982" spans="1:1">
      <c r="A3982" s="282"/>
    </row>
    <row r="3983" spans="1:1">
      <c r="A3983" s="282"/>
    </row>
    <row r="3984" spans="1:1">
      <c r="A3984" s="282"/>
    </row>
    <row r="3985" spans="1:1">
      <c r="A3985" s="282"/>
    </row>
    <row r="3986" spans="1:1">
      <c r="A3986" s="282"/>
    </row>
    <row r="3987" spans="1:1">
      <c r="A3987" s="282"/>
    </row>
    <row r="3988" spans="1:1">
      <c r="A3988" s="282"/>
    </row>
    <row r="3989" spans="1:1">
      <c r="A3989" s="282"/>
    </row>
    <row r="3990" spans="1:1">
      <c r="A3990" s="282"/>
    </row>
    <row r="3991" spans="1:1">
      <c r="A3991" s="282"/>
    </row>
    <row r="3992" spans="1:1">
      <c r="A3992" s="282"/>
    </row>
    <row r="3993" spans="1:1">
      <c r="A3993" s="282"/>
    </row>
    <row r="3994" spans="1:1">
      <c r="A3994" s="282"/>
    </row>
    <row r="3995" spans="1:1">
      <c r="A3995" s="282"/>
    </row>
    <row r="3996" spans="1:1">
      <c r="A3996" s="282"/>
    </row>
    <row r="3997" spans="1:1">
      <c r="A3997" s="282"/>
    </row>
    <row r="3998" spans="1:1">
      <c r="A3998" s="282"/>
    </row>
    <row r="3999" spans="1:1">
      <c r="A3999" s="282"/>
    </row>
    <row r="4000" spans="1:1">
      <c r="A4000" s="282"/>
    </row>
    <row r="4001" spans="1:1">
      <c r="A4001" s="282"/>
    </row>
    <row r="4002" spans="1:1">
      <c r="A4002" s="282"/>
    </row>
    <row r="4003" spans="1:1">
      <c r="A4003" s="282"/>
    </row>
    <row r="4004" spans="1:1">
      <c r="A4004" s="282"/>
    </row>
    <row r="4005" spans="1:1">
      <c r="A4005" s="282"/>
    </row>
    <row r="4006" spans="1:1">
      <c r="A4006" s="282"/>
    </row>
    <row r="4007" spans="1:1">
      <c r="A4007" s="282"/>
    </row>
    <row r="4008" spans="1:1">
      <c r="A4008" s="282"/>
    </row>
    <row r="4009" spans="1:1">
      <c r="A4009" s="282"/>
    </row>
    <row r="4010" spans="1:1">
      <c r="A4010" s="282"/>
    </row>
    <row r="4011" spans="1:1">
      <c r="A4011" s="282"/>
    </row>
    <row r="4012" spans="1:1">
      <c r="A4012" s="282"/>
    </row>
    <row r="4013" spans="1:1">
      <c r="A4013" s="282"/>
    </row>
    <row r="4014" spans="1:1">
      <c r="A4014" s="282"/>
    </row>
    <row r="4015" spans="1:1">
      <c r="A4015" s="282"/>
    </row>
    <row r="4016" spans="1:1">
      <c r="A4016" s="282"/>
    </row>
    <row r="4017" spans="1:1">
      <c r="A4017" s="282"/>
    </row>
    <row r="4018" spans="1:1">
      <c r="A4018" s="282"/>
    </row>
    <row r="4019" spans="1:1">
      <c r="A4019" s="282"/>
    </row>
    <row r="4020" spans="1:1">
      <c r="A4020" s="282"/>
    </row>
    <row r="4021" spans="1:1">
      <c r="A4021" s="282"/>
    </row>
    <row r="4022" spans="1:1">
      <c r="A4022" s="282"/>
    </row>
    <row r="4023" spans="1:1">
      <c r="A4023" s="282"/>
    </row>
    <row r="4024" spans="1:1">
      <c r="A4024" s="282"/>
    </row>
    <row r="4025" spans="1:1">
      <c r="A4025" s="282"/>
    </row>
    <row r="4026" spans="1:1">
      <c r="A4026" s="282"/>
    </row>
    <row r="4027" spans="1:1">
      <c r="A4027" s="282"/>
    </row>
    <row r="4028" spans="1:1">
      <c r="A4028" s="282"/>
    </row>
    <row r="4029" spans="1:1">
      <c r="A4029" s="282"/>
    </row>
    <row r="4030" spans="1:1">
      <c r="A4030" s="282"/>
    </row>
    <row r="4031" spans="1:1">
      <c r="A4031" s="282"/>
    </row>
    <row r="4032" spans="1:1">
      <c r="A4032" s="282"/>
    </row>
    <row r="4033" spans="1:1">
      <c r="A4033" s="282"/>
    </row>
    <row r="4034" spans="1:1">
      <c r="A4034" s="282"/>
    </row>
    <row r="4035" spans="1:1">
      <c r="A4035" s="282"/>
    </row>
    <row r="4036" spans="1:1">
      <c r="A4036" s="282"/>
    </row>
    <row r="4037" spans="1:1">
      <c r="A4037" s="282"/>
    </row>
    <row r="4038" spans="1:1">
      <c r="A4038" s="282"/>
    </row>
    <row r="4039" spans="1:1">
      <c r="A4039" s="282"/>
    </row>
    <row r="4040" spans="1:1">
      <c r="A4040" s="282"/>
    </row>
    <row r="4041" spans="1:1">
      <c r="A4041" s="282"/>
    </row>
    <row r="4042" spans="1:1">
      <c r="A4042" s="282"/>
    </row>
    <row r="4043" spans="1:1">
      <c r="A4043" s="282"/>
    </row>
    <row r="4044" spans="1:1">
      <c r="A4044" s="282"/>
    </row>
    <row r="4045" spans="1:1">
      <c r="A4045" s="282"/>
    </row>
    <row r="4046" spans="1:1">
      <c r="A4046" s="282"/>
    </row>
    <row r="4047" spans="1:1">
      <c r="A4047" s="282"/>
    </row>
    <row r="4048" spans="1:1">
      <c r="A4048" s="282"/>
    </row>
    <row r="4049" spans="1:1">
      <c r="A4049" s="282"/>
    </row>
    <row r="4050" spans="1:1">
      <c r="A4050" s="282"/>
    </row>
    <row r="4051" spans="1:1">
      <c r="A4051" s="282"/>
    </row>
    <row r="4052" spans="1:1">
      <c r="A4052" s="282"/>
    </row>
    <row r="4053" spans="1:1">
      <c r="A4053" s="282"/>
    </row>
    <row r="4054" spans="1:1">
      <c r="A4054" s="282"/>
    </row>
    <row r="4055" spans="1:1">
      <c r="A4055" s="282"/>
    </row>
    <row r="4056" spans="1:1">
      <c r="A4056" s="282"/>
    </row>
    <row r="4057" spans="1:1">
      <c r="A4057" s="282"/>
    </row>
    <row r="4058" spans="1:1">
      <c r="A4058" s="282"/>
    </row>
    <row r="4059" spans="1:1">
      <c r="A4059" s="282"/>
    </row>
    <row r="4060" spans="1:1">
      <c r="A4060" s="282"/>
    </row>
    <row r="4061" spans="1:1">
      <c r="A4061" s="282"/>
    </row>
    <row r="4062" spans="1:1">
      <c r="A4062" s="282"/>
    </row>
    <row r="4063" spans="1:1">
      <c r="A4063" s="282"/>
    </row>
    <row r="4064" spans="1:1">
      <c r="A4064" s="282"/>
    </row>
    <row r="4065" spans="1:1">
      <c r="A4065" s="282"/>
    </row>
    <row r="4066" spans="1:1">
      <c r="A4066" s="282"/>
    </row>
    <row r="4067" spans="1:1">
      <c r="A4067" s="282"/>
    </row>
    <row r="4068" spans="1:1">
      <c r="A4068" s="282"/>
    </row>
    <row r="4069" spans="1:1">
      <c r="A4069" s="282"/>
    </row>
    <row r="4070" spans="1:1">
      <c r="A4070" s="282"/>
    </row>
    <row r="4071" spans="1:1">
      <c r="A4071" s="282"/>
    </row>
    <row r="4072" spans="1:1">
      <c r="A4072" s="282"/>
    </row>
    <row r="4073" spans="1:1">
      <c r="A4073" s="282"/>
    </row>
    <row r="4074" spans="1:1">
      <c r="A4074" s="282"/>
    </row>
    <row r="4075" spans="1:1">
      <c r="A4075" s="282"/>
    </row>
    <row r="4076" spans="1:1">
      <c r="A4076" s="282"/>
    </row>
    <row r="4077" spans="1:1">
      <c r="A4077" s="282"/>
    </row>
    <row r="4078" spans="1:1">
      <c r="A4078" s="282"/>
    </row>
    <row r="4079" spans="1:1">
      <c r="A4079" s="282"/>
    </row>
    <row r="4080" spans="1:1">
      <c r="A4080" s="282"/>
    </row>
    <row r="4081" spans="1:1">
      <c r="A4081" s="282"/>
    </row>
    <row r="4082" spans="1:1">
      <c r="A4082" s="282"/>
    </row>
    <row r="4083" spans="1:1">
      <c r="A4083" s="282"/>
    </row>
    <row r="4084" spans="1:1">
      <c r="A4084" s="282"/>
    </row>
    <row r="4085" spans="1:1">
      <c r="A4085" s="282"/>
    </row>
    <row r="4086" spans="1:1">
      <c r="A4086" s="282"/>
    </row>
    <row r="4087" spans="1:1">
      <c r="A4087" s="282"/>
    </row>
    <row r="4088" spans="1:1">
      <c r="A4088" s="282"/>
    </row>
    <row r="4089" spans="1:1">
      <c r="A4089" s="282"/>
    </row>
    <row r="4090" spans="1:1">
      <c r="A4090" s="282"/>
    </row>
    <row r="4091" spans="1:1">
      <c r="A4091" s="282"/>
    </row>
    <row r="4092" spans="1:1">
      <c r="A4092" s="282"/>
    </row>
    <row r="4093" spans="1:1">
      <c r="A4093" s="282"/>
    </row>
    <row r="4094" spans="1:1">
      <c r="A4094" s="282"/>
    </row>
    <row r="4095" spans="1:1">
      <c r="A4095" s="282"/>
    </row>
    <row r="4096" spans="1:1">
      <c r="A4096" s="282"/>
    </row>
    <row r="4097" spans="1:1">
      <c r="A4097" s="282"/>
    </row>
    <row r="4098" spans="1:1">
      <c r="A4098" s="282"/>
    </row>
    <row r="4099" spans="1:1">
      <c r="A4099" s="282"/>
    </row>
    <row r="4100" spans="1:1">
      <c r="A4100" s="282"/>
    </row>
    <row r="4101" spans="1:1">
      <c r="A4101" s="282"/>
    </row>
    <row r="4102" spans="1:1">
      <c r="A4102" s="282"/>
    </row>
    <row r="4103" spans="1:1">
      <c r="A4103" s="282"/>
    </row>
    <row r="4104" spans="1:1">
      <c r="A4104" s="282"/>
    </row>
    <row r="4105" spans="1:1">
      <c r="A4105" s="282"/>
    </row>
    <row r="4106" spans="1:1">
      <c r="A4106" s="282"/>
    </row>
    <row r="4107" spans="1:1">
      <c r="A4107" s="282"/>
    </row>
    <row r="4108" spans="1:1">
      <c r="A4108" s="282"/>
    </row>
    <row r="4109" spans="1:1">
      <c r="A4109" s="282"/>
    </row>
    <row r="4110" spans="1:1">
      <c r="A4110" s="282"/>
    </row>
    <row r="4111" spans="1:1">
      <c r="A4111" s="282"/>
    </row>
    <row r="4112" spans="1:1">
      <c r="A4112" s="282"/>
    </row>
    <row r="4113" spans="1:1">
      <c r="A4113" s="282"/>
    </row>
    <row r="4114" spans="1:1">
      <c r="A4114" s="282"/>
    </row>
    <row r="4115" spans="1:1">
      <c r="A4115" s="282"/>
    </row>
    <row r="4116" spans="1:1">
      <c r="A4116" s="282"/>
    </row>
    <row r="4117" spans="1:1">
      <c r="A4117" s="282"/>
    </row>
    <row r="4118" spans="1:1">
      <c r="A4118" s="282"/>
    </row>
    <row r="4119" spans="1:1">
      <c r="A4119" s="282"/>
    </row>
    <row r="4120" spans="1:1">
      <c r="A4120" s="282"/>
    </row>
    <row r="4121" spans="1:1">
      <c r="A4121" s="282"/>
    </row>
    <row r="4122" spans="1:1">
      <c r="A4122" s="282"/>
    </row>
    <row r="4123" spans="1:1">
      <c r="A4123" s="282"/>
    </row>
    <row r="4124" spans="1:1">
      <c r="A4124" s="282"/>
    </row>
    <row r="4125" spans="1:1">
      <c r="A4125" s="282"/>
    </row>
    <row r="4126" spans="1:1">
      <c r="A4126" s="282"/>
    </row>
    <row r="4127" spans="1:1">
      <c r="A4127" s="282"/>
    </row>
    <row r="4128" spans="1:1">
      <c r="A4128" s="282"/>
    </row>
    <row r="4129" spans="1:1">
      <c r="A4129" s="282"/>
    </row>
    <row r="4130" spans="1:1">
      <c r="A4130" s="282"/>
    </row>
    <row r="4131" spans="1:1">
      <c r="A4131" s="282"/>
    </row>
    <row r="4132" spans="1:1">
      <c r="A4132" s="282"/>
    </row>
    <row r="4133" spans="1:1">
      <c r="A4133" s="282"/>
    </row>
    <row r="4134" spans="1:1">
      <c r="A4134" s="282"/>
    </row>
    <row r="4135" spans="1:1">
      <c r="A4135" s="282"/>
    </row>
    <row r="4136" spans="1:1">
      <c r="A4136" s="282"/>
    </row>
    <row r="4137" spans="1:1">
      <c r="A4137" s="282"/>
    </row>
    <row r="4138" spans="1:1">
      <c r="A4138" s="282"/>
    </row>
    <row r="4139" spans="1:1">
      <c r="A4139" s="282"/>
    </row>
    <row r="4140" spans="1:1">
      <c r="A4140" s="282"/>
    </row>
    <row r="4141" spans="1:1">
      <c r="A4141" s="282"/>
    </row>
    <row r="4142" spans="1:1">
      <c r="A4142" s="282"/>
    </row>
    <row r="4143" spans="1:1">
      <c r="A4143" s="282"/>
    </row>
    <row r="4144" spans="1:1">
      <c r="A4144" s="282"/>
    </row>
    <row r="4145" spans="1:1">
      <c r="A4145" s="282"/>
    </row>
    <row r="4146" spans="1:1">
      <c r="A4146" s="282"/>
    </row>
    <row r="4147" spans="1:1">
      <c r="A4147" s="282"/>
    </row>
    <row r="4148" spans="1:1">
      <c r="A4148" s="282"/>
    </row>
    <row r="4149" spans="1:1">
      <c r="A4149" s="282"/>
    </row>
    <row r="4150" spans="1:1">
      <c r="A4150" s="282"/>
    </row>
    <row r="4151" spans="1:1">
      <c r="A4151" s="282"/>
    </row>
    <row r="4152" spans="1:1">
      <c r="A4152" s="282"/>
    </row>
    <row r="4153" spans="1:1">
      <c r="A4153" s="282"/>
    </row>
    <row r="4154" spans="1:1">
      <c r="A4154" s="282"/>
    </row>
    <row r="4155" spans="1:1">
      <c r="A4155" s="282"/>
    </row>
    <row r="4156" spans="1:1">
      <c r="A4156" s="282"/>
    </row>
    <row r="4157" spans="1:1">
      <c r="A4157" s="282"/>
    </row>
    <row r="4158" spans="1:1">
      <c r="A4158" s="282"/>
    </row>
    <row r="4159" spans="1:1">
      <c r="A4159" s="282"/>
    </row>
    <row r="4160" spans="1:1">
      <c r="A4160" s="282"/>
    </row>
    <row r="4161" spans="1:1">
      <c r="A4161" s="282"/>
    </row>
    <row r="4162" spans="1:1">
      <c r="A4162" s="282"/>
    </row>
    <row r="4163" spans="1:1">
      <c r="A4163" s="282"/>
    </row>
    <row r="4164" spans="1:1">
      <c r="A4164" s="282"/>
    </row>
    <row r="4165" spans="1:1">
      <c r="A4165" s="282"/>
    </row>
    <row r="4166" spans="1:1">
      <c r="A4166" s="282"/>
    </row>
    <row r="4167" spans="1:1">
      <c r="A4167" s="282"/>
    </row>
    <row r="4168" spans="1:1">
      <c r="A4168" s="282"/>
    </row>
    <row r="4169" spans="1:1">
      <c r="A4169" s="282"/>
    </row>
    <row r="4170" spans="1:1">
      <c r="A4170" s="282"/>
    </row>
    <row r="4171" spans="1:1">
      <c r="A4171" s="282"/>
    </row>
    <row r="4172" spans="1:1">
      <c r="A4172" s="282"/>
    </row>
    <row r="4173" spans="1:1">
      <c r="A4173" s="282"/>
    </row>
    <row r="4174" spans="1:1">
      <c r="A4174" s="282"/>
    </row>
    <row r="4175" spans="1:1">
      <c r="A4175" s="282"/>
    </row>
    <row r="4176" spans="1:1">
      <c r="A4176" s="282"/>
    </row>
    <row r="4177" spans="1:1">
      <c r="A4177" s="282"/>
    </row>
    <row r="4178" spans="1:1">
      <c r="A4178" s="282"/>
    </row>
    <row r="4179" spans="1:1">
      <c r="A4179" s="282"/>
    </row>
    <row r="4180" spans="1:1">
      <c r="A4180" s="282"/>
    </row>
    <row r="4181" spans="1:1">
      <c r="A4181" s="282"/>
    </row>
    <row r="4182" spans="1:1">
      <c r="A4182" s="282"/>
    </row>
    <row r="4183" spans="1:1">
      <c r="A4183" s="282"/>
    </row>
    <row r="4184" spans="1:1">
      <c r="A4184" s="282"/>
    </row>
    <row r="4185" spans="1:1">
      <c r="A4185" s="282"/>
    </row>
    <row r="4186" spans="1:1">
      <c r="A4186" s="282"/>
    </row>
    <row r="4187" spans="1:1">
      <c r="A4187" s="282"/>
    </row>
    <row r="4188" spans="1:1">
      <c r="A4188" s="282"/>
    </row>
    <row r="4189" spans="1:1">
      <c r="A4189" s="282"/>
    </row>
    <row r="4190" spans="1:1">
      <c r="A4190" s="282"/>
    </row>
    <row r="4191" spans="1:1">
      <c r="A4191" s="282"/>
    </row>
    <row r="4192" spans="1:1">
      <c r="A4192" s="282"/>
    </row>
    <row r="4193" spans="1:1">
      <c r="A4193" s="282"/>
    </row>
    <row r="4194" spans="1:1">
      <c r="A4194" s="282"/>
    </row>
    <row r="4195" spans="1:1">
      <c r="A4195" s="282"/>
    </row>
    <row r="4196" spans="1:1">
      <c r="A4196" s="282"/>
    </row>
    <row r="4197" spans="1:1">
      <c r="A4197" s="282"/>
    </row>
    <row r="4198" spans="1:1">
      <c r="A4198" s="282"/>
    </row>
    <row r="4199" spans="1:1">
      <c r="A4199" s="282"/>
    </row>
    <row r="4200" spans="1:1">
      <c r="A4200" s="282"/>
    </row>
    <row r="4201" spans="1:1">
      <c r="A4201" s="282"/>
    </row>
    <row r="4202" spans="1:1">
      <c r="A4202" s="282"/>
    </row>
    <row r="4203" spans="1:1">
      <c r="A4203" s="282"/>
    </row>
    <row r="4204" spans="1:1">
      <c r="A4204" s="282"/>
    </row>
    <row r="4205" spans="1:1">
      <c r="A4205" s="282"/>
    </row>
    <row r="4206" spans="1:1">
      <c r="A4206" s="282"/>
    </row>
    <row r="4207" spans="1:1">
      <c r="A4207" s="282"/>
    </row>
    <row r="4208" spans="1:1">
      <c r="A4208" s="282"/>
    </row>
    <row r="4209" spans="1:1">
      <c r="A4209" s="282"/>
    </row>
    <row r="4210" spans="1:1">
      <c r="A4210" s="282"/>
    </row>
    <row r="4211" spans="1:1">
      <c r="A4211" s="282"/>
    </row>
    <row r="4212" spans="1:1">
      <c r="A4212" s="282"/>
    </row>
    <row r="4213" spans="1:1">
      <c r="A4213" s="282"/>
    </row>
    <row r="4214" spans="1:1">
      <c r="A4214" s="282"/>
    </row>
    <row r="4215" spans="1:1">
      <c r="A4215" s="282"/>
    </row>
    <row r="4216" spans="1:1">
      <c r="A4216" s="282"/>
    </row>
    <row r="4217" spans="1:1">
      <c r="A4217" s="282"/>
    </row>
    <row r="4218" spans="1:1">
      <c r="A4218" s="282"/>
    </row>
    <row r="4219" spans="1:1">
      <c r="A4219" s="282"/>
    </row>
    <row r="4220" spans="1:1">
      <c r="A4220" s="282"/>
    </row>
    <row r="4221" spans="1:1">
      <c r="A4221" s="282"/>
    </row>
    <row r="4222" spans="1:1">
      <c r="A4222" s="282"/>
    </row>
    <row r="4223" spans="1:1">
      <c r="A4223" s="282"/>
    </row>
    <row r="4224" spans="1:1">
      <c r="A4224" s="282"/>
    </row>
    <row r="4225" spans="1:1">
      <c r="A4225" s="282"/>
    </row>
    <row r="4226" spans="1:1">
      <c r="A4226" s="282"/>
    </row>
    <row r="4227" spans="1:1">
      <c r="A4227" s="282"/>
    </row>
    <row r="4228" spans="1:1">
      <c r="A4228" s="282"/>
    </row>
    <row r="4229" spans="1:1">
      <c r="A4229" s="282"/>
    </row>
    <row r="4230" spans="1:1">
      <c r="A4230" s="282"/>
    </row>
    <row r="4231" spans="1:1">
      <c r="A4231" s="282"/>
    </row>
    <row r="4232" spans="1:1">
      <c r="A4232" s="282"/>
    </row>
    <row r="4233" spans="1:1">
      <c r="A4233" s="282"/>
    </row>
    <row r="4234" spans="1:1">
      <c r="A4234" s="282"/>
    </row>
    <row r="4235" spans="1:1">
      <c r="A4235" s="282"/>
    </row>
    <row r="4236" spans="1:1">
      <c r="A4236" s="282"/>
    </row>
    <row r="4237" spans="1:1">
      <c r="A4237" s="282"/>
    </row>
    <row r="4238" spans="1:1">
      <c r="A4238" s="282"/>
    </row>
    <row r="4239" spans="1:1">
      <c r="A4239" s="282"/>
    </row>
    <row r="4240" spans="1:1">
      <c r="A4240" s="282"/>
    </row>
    <row r="4241" spans="1:1">
      <c r="A4241" s="282"/>
    </row>
    <row r="4242" spans="1:1">
      <c r="A4242" s="282"/>
    </row>
    <row r="4243" spans="1:1">
      <c r="A4243" s="282"/>
    </row>
    <row r="4244" spans="1:1">
      <c r="A4244" s="282"/>
    </row>
    <row r="4245" spans="1:1">
      <c r="A4245" s="282"/>
    </row>
    <row r="4246" spans="1:1">
      <c r="A4246" s="282"/>
    </row>
    <row r="4247" spans="1:1">
      <c r="A4247" s="282"/>
    </row>
    <row r="4248" spans="1:1">
      <c r="A4248" s="282"/>
    </row>
    <row r="4249" spans="1:1">
      <c r="A4249" s="282"/>
    </row>
    <row r="4250" spans="1:1">
      <c r="A4250" s="282"/>
    </row>
    <row r="4251" spans="1:1">
      <c r="A4251" s="282"/>
    </row>
    <row r="4252" spans="1:1">
      <c r="A4252" s="282"/>
    </row>
    <row r="4253" spans="1:1">
      <c r="A4253" s="282"/>
    </row>
    <row r="4254" spans="1:1">
      <c r="A4254" s="282"/>
    </row>
    <row r="4255" spans="1:1">
      <c r="A4255" s="282"/>
    </row>
    <row r="4256" spans="1:1">
      <c r="A4256" s="282"/>
    </row>
    <row r="4257" spans="1:1">
      <c r="A4257" s="282"/>
    </row>
    <row r="4258" spans="1:1">
      <c r="A4258" s="282"/>
    </row>
    <row r="4259" spans="1:1">
      <c r="A4259" s="282"/>
    </row>
    <row r="4260" spans="1:1">
      <c r="A4260" s="282"/>
    </row>
    <row r="4261" spans="1:1">
      <c r="A4261" s="282"/>
    </row>
    <row r="4262" spans="1:1">
      <c r="A4262" s="282"/>
    </row>
    <row r="4263" spans="1:1">
      <c r="A4263" s="282"/>
    </row>
    <row r="4264" spans="1:1">
      <c r="A4264" s="282"/>
    </row>
    <row r="4265" spans="1:1">
      <c r="A4265" s="282"/>
    </row>
    <row r="4266" spans="1:1">
      <c r="A4266" s="282"/>
    </row>
    <row r="4267" spans="1:1">
      <c r="A4267" s="282"/>
    </row>
    <row r="4268" spans="1:1">
      <c r="A4268" s="282"/>
    </row>
    <row r="4269" spans="1:1">
      <c r="A4269" s="282"/>
    </row>
    <row r="4270" spans="1:1">
      <c r="A4270" s="282"/>
    </row>
    <row r="4271" spans="1:1">
      <c r="A4271" s="282"/>
    </row>
    <row r="4272" spans="1:1">
      <c r="A4272" s="282"/>
    </row>
    <row r="4273" spans="1:1">
      <c r="A4273" s="282"/>
    </row>
    <row r="4274" spans="1:1">
      <c r="A4274" s="282"/>
    </row>
    <row r="4275" spans="1:1">
      <c r="A4275" s="282"/>
    </row>
    <row r="4276" spans="1:1">
      <c r="A4276" s="282"/>
    </row>
    <row r="4277" spans="1:1">
      <c r="A4277" s="282"/>
    </row>
    <row r="4278" spans="1:1">
      <c r="A4278" s="282"/>
    </row>
    <row r="4279" spans="1:1">
      <c r="A4279" s="282"/>
    </row>
    <row r="4280" spans="1:1">
      <c r="A4280" s="282"/>
    </row>
    <row r="4281" spans="1:1">
      <c r="A4281" s="282"/>
    </row>
    <row r="4282" spans="1:1">
      <c r="A4282" s="282"/>
    </row>
    <row r="4283" spans="1:1">
      <c r="A4283" s="282"/>
    </row>
    <row r="4284" spans="1:1">
      <c r="A4284" s="282"/>
    </row>
    <row r="4285" spans="1:1">
      <c r="A4285" s="282"/>
    </row>
    <row r="4286" spans="1:1">
      <c r="A4286" s="282"/>
    </row>
    <row r="4287" spans="1:1">
      <c r="A4287" s="282"/>
    </row>
    <row r="4288" spans="1:1">
      <c r="A4288" s="282"/>
    </row>
    <row r="4289" spans="1:1">
      <c r="A4289" s="282"/>
    </row>
    <row r="4290" spans="1:1">
      <c r="A4290" s="282"/>
    </row>
    <row r="4291" spans="1:1">
      <c r="A4291" s="282"/>
    </row>
    <row r="4292" spans="1:1">
      <c r="A4292" s="282"/>
    </row>
    <row r="4293" spans="1:1">
      <c r="A4293" s="282"/>
    </row>
    <row r="4294" spans="1:1">
      <c r="A4294" s="282"/>
    </row>
    <row r="4295" spans="1:1">
      <c r="A4295" s="282"/>
    </row>
    <row r="4296" spans="1:1">
      <c r="A4296" s="282"/>
    </row>
    <row r="4297" spans="1:1">
      <c r="A4297" s="282"/>
    </row>
    <row r="4298" spans="1:1">
      <c r="A4298" s="282"/>
    </row>
    <row r="4299" spans="1:1">
      <c r="A4299" s="282"/>
    </row>
    <row r="4300" spans="1:1">
      <c r="A4300" s="282"/>
    </row>
    <row r="4301" spans="1:1">
      <c r="A4301" s="282"/>
    </row>
    <row r="4302" spans="1:1">
      <c r="A4302" s="282"/>
    </row>
    <row r="4303" spans="1:1">
      <c r="A4303" s="282"/>
    </row>
    <row r="4304" spans="1:1">
      <c r="A4304" s="282"/>
    </row>
    <row r="4305" spans="1:1">
      <c r="A4305" s="282"/>
    </row>
    <row r="4306" spans="1:1">
      <c r="A4306" s="282"/>
    </row>
    <row r="4307" spans="1:1">
      <c r="A4307" s="282"/>
    </row>
    <row r="4308" spans="1:1">
      <c r="A4308" s="282"/>
    </row>
    <row r="4309" spans="1:1">
      <c r="A4309" s="282"/>
    </row>
    <row r="4310" spans="1:1">
      <c r="A4310" s="282"/>
    </row>
    <row r="4311" spans="1:1">
      <c r="A4311" s="282"/>
    </row>
    <row r="4312" spans="1:1">
      <c r="A4312" s="282"/>
    </row>
    <row r="4313" spans="1:1">
      <c r="A4313" s="282"/>
    </row>
    <row r="4314" spans="1:1">
      <c r="A4314" s="282"/>
    </row>
    <row r="4315" spans="1:1">
      <c r="A4315" s="282"/>
    </row>
    <row r="4316" spans="1:1">
      <c r="A4316" s="282"/>
    </row>
    <row r="4317" spans="1:1">
      <c r="A4317" s="282"/>
    </row>
    <row r="4318" spans="1:1">
      <c r="A4318" s="282"/>
    </row>
    <row r="4319" spans="1:1">
      <c r="A4319" s="282"/>
    </row>
    <row r="4320" spans="1:1">
      <c r="A4320" s="282"/>
    </row>
    <row r="4321" spans="1:1">
      <c r="A4321" s="282"/>
    </row>
    <row r="4322" spans="1:1">
      <c r="A4322" s="282"/>
    </row>
    <row r="4323" spans="1:1">
      <c r="A4323" s="282"/>
    </row>
    <row r="4324" spans="1:1">
      <c r="A4324" s="282"/>
    </row>
    <row r="4325" spans="1:1">
      <c r="A4325" s="282"/>
    </row>
    <row r="4326" spans="1:1">
      <c r="A4326" s="282"/>
    </row>
    <row r="4327" spans="1:1">
      <c r="A4327" s="282"/>
    </row>
    <row r="4328" spans="1:1">
      <c r="A4328" s="282"/>
    </row>
    <row r="4329" spans="1:1">
      <c r="A4329" s="282"/>
    </row>
    <row r="4330" spans="1:1">
      <c r="A4330" s="282"/>
    </row>
    <row r="4331" spans="1:1">
      <c r="A4331" s="282"/>
    </row>
    <row r="4332" spans="1:1">
      <c r="A4332" s="282"/>
    </row>
    <row r="4333" spans="1:1">
      <c r="A4333" s="282"/>
    </row>
    <row r="4334" spans="1:1">
      <c r="A4334" s="282"/>
    </row>
    <row r="4335" spans="1:1">
      <c r="A4335" s="282"/>
    </row>
    <row r="4336" spans="1:1">
      <c r="A4336" s="282"/>
    </row>
    <row r="4337" spans="1:1">
      <c r="A4337" s="282"/>
    </row>
    <row r="4338" spans="1:1">
      <c r="A4338" s="282"/>
    </row>
    <row r="4339" spans="1:1">
      <c r="A4339" s="282"/>
    </row>
    <row r="4340" spans="1:1">
      <c r="A4340" s="282"/>
    </row>
    <row r="4341" spans="1:1">
      <c r="A4341" s="282"/>
    </row>
    <row r="4342" spans="1:1">
      <c r="A4342" s="282"/>
    </row>
    <row r="4343" spans="1:1">
      <c r="A4343" s="282"/>
    </row>
    <row r="4344" spans="1:1">
      <c r="A4344" s="282"/>
    </row>
    <row r="4345" spans="1:1">
      <c r="A4345" s="282"/>
    </row>
    <row r="4346" spans="1:1">
      <c r="A4346" s="282"/>
    </row>
    <row r="4347" spans="1:1">
      <c r="A4347" s="282"/>
    </row>
    <row r="4348" spans="1:1">
      <c r="A4348" s="282"/>
    </row>
    <row r="4349" spans="1:1">
      <c r="A4349" s="282"/>
    </row>
    <row r="4350" spans="1:1">
      <c r="A4350" s="282"/>
    </row>
    <row r="4351" spans="1:1">
      <c r="A4351" s="282"/>
    </row>
    <row r="4352" spans="1:1">
      <c r="A4352" s="282"/>
    </row>
    <row r="4353" spans="1:1">
      <c r="A4353" s="282"/>
    </row>
    <row r="4354" spans="1:1">
      <c r="A4354" s="282"/>
    </row>
    <row r="4355" spans="1:1">
      <c r="A4355" s="282"/>
    </row>
    <row r="4356" spans="1:1">
      <c r="A4356" s="282"/>
    </row>
    <row r="4357" spans="1:1">
      <c r="A4357" s="282"/>
    </row>
    <row r="4358" spans="1:1">
      <c r="A4358" s="282"/>
    </row>
    <row r="4359" spans="1:1">
      <c r="A4359" s="282"/>
    </row>
    <row r="4360" spans="1:1">
      <c r="A4360" s="282"/>
    </row>
    <row r="4361" spans="1:1">
      <c r="A4361" s="282"/>
    </row>
    <row r="4362" spans="1:1">
      <c r="A4362" s="283"/>
    </row>
    <row r="4363" spans="1:1">
      <c r="A4363" s="282"/>
    </row>
    <row r="4364" spans="1:1">
      <c r="A4364" s="282"/>
    </row>
    <row r="4365" spans="1:1">
      <c r="A4365" s="282"/>
    </row>
    <row r="4366" spans="1:1">
      <c r="A4366" s="282"/>
    </row>
    <row r="4367" spans="1:1">
      <c r="A4367" s="282"/>
    </row>
    <row r="4368" spans="1:1">
      <c r="A4368" s="282"/>
    </row>
    <row r="4369" spans="1:1">
      <c r="A4369" s="282"/>
    </row>
    <row r="4370" spans="1:1">
      <c r="A4370" s="282"/>
    </row>
    <row r="4371" spans="1:1">
      <c r="A4371" s="282"/>
    </row>
    <row r="4372" spans="1:1">
      <c r="A4372" s="282"/>
    </row>
    <row r="4373" spans="1:1">
      <c r="A4373" s="282"/>
    </row>
    <row r="4374" spans="1:1">
      <c r="A4374" s="282"/>
    </row>
    <row r="4375" spans="1:1">
      <c r="A4375" s="282"/>
    </row>
    <row r="4376" spans="1:1">
      <c r="A4376" s="282"/>
    </row>
    <row r="4377" spans="1:1">
      <c r="A4377" s="282"/>
    </row>
    <row r="4378" spans="1:1">
      <c r="A4378" s="282"/>
    </row>
    <row r="4379" spans="1:1">
      <c r="A4379" s="282"/>
    </row>
    <row r="4380" spans="1:1">
      <c r="A4380" s="282"/>
    </row>
    <row r="4381" spans="1:1">
      <c r="A4381" s="282"/>
    </row>
    <row r="4382" spans="1:1">
      <c r="A4382" s="282"/>
    </row>
    <row r="4383" spans="1:1">
      <c r="A4383" s="282"/>
    </row>
    <row r="4384" spans="1:1">
      <c r="A4384" s="282"/>
    </row>
    <row r="4385" spans="1:1">
      <c r="A4385" s="282"/>
    </row>
    <row r="4386" spans="1:1">
      <c r="A4386" s="282"/>
    </row>
    <row r="4387" spans="1:1">
      <c r="A4387" s="282"/>
    </row>
    <row r="4388" spans="1:1">
      <c r="A4388" s="282"/>
    </row>
    <row r="4389" spans="1:1">
      <c r="A4389" s="282"/>
    </row>
    <row r="4390" spans="1:1">
      <c r="A4390" s="282"/>
    </row>
    <row r="4391" spans="1:1">
      <c r="A4391" s="282"/>
    </row>
    <row r="4392" spans="1:1">
      <c r="A4392" s="282"/>
    </row>
    <row r="4393" spans="1:1">
      <c r="A4393" s="282"/>
    </row>
    <row r="4394" spans="1:1">
      <c r="A4394" s="282"/>
    </row>
    <row r="4395" spans="1:1">
      <c r="A4395" s="282"/>
    </row>
    <row r="4396" spans="1:1">
      <c r="A4396" s="282"/>
    </row>
    <row r="4397" spans="1:1">
      <c r="A4397" s="282"/>
    </row>
    <row r="4398" spans="1:1">
      <c r="A4398" s="282"/>
    </row>
    <row r="4399" spans="1:1">
      <c r="A4399" s="282"/>
    </row>
    <row r="4400" spans="1:1">
      <c r="A4400" s="282"/>
    </row>
    <row r="4401" spans="1:1">
      <c r="A4401" s="282"/>
    </row>
    <row r="4402" spans="1:1">
      <c r="A4402" s="282"/>
    </row>
    <row r="4403" spans="1:1">
      <c r="A4403" s="282"/>
    </row>
    <row r="4404" spans="1:1">
      <c r="A4404" s="282"/>
    </row>
    <row r="4405" spans="1:1">
      <c r="A4405" s="282"/>
    </row>
    <row r="4406" spans="1:1">
      <c r="A4406" s="282"/>
    </row>
    <row r="4407" spans="1:1">
      <c r="A4407" s="282"/>
    </row>
    <row r="4408" spans="1:1">
      <c r="A4408" s="282"/>
    </row>
    <row r="4409" spans="1:1">
      <c r="A4409" s="282"/>
    </row>
    <row r="4410" spans="1:1">
      <c r="A4410" s="282"/>
    </row>
    <row r="4411" spans="1:1">
      <c r="A4411" s="282"/>
    </row>
    <row r="4412" spans="1:1">
      <c r="A4412" s="282"/>
    </row>
    <row r="4413" spans="1:1">
      <c r="A4413" s="282"/>
    </row>
    <row r="4414" spans="1:1">
      <c r="A4414" s="282"/>
    </row>
    <row r="4415" spans="1:1">
      <c r="A4415" s="282"/>
    </row>
    <row r="4416" spans="1:1">
      <c r="A4416" s="282"/>
    </row>
    <row r="4417" spans="1:1">
      <c r="A4417" s="282"/>
    </row>
    <row r="4418" spans="1:1">
      <c r="A4418" s="282"/>
    </row>
    <row r="4419" spans="1:1">
      <c r="A4419" s="282"/>
    </row>
    <row r="4420" spans="1:1">
      <c r="A4420" s="282"/>
    </row>
    <row r="4421" spans="1:1">
      <c r="A4421" s="282"/>
    </row>
    <row r="4422" spans="1:1">
      <c r="A4422" s="282"/>
    </row>
    <row r="4423" spans="1:1">
      <c r="A4423" s="282"/>
    </row>
    <row r="4424" spans="1:1">
      <c r="A4424" s="282"/>
    </row>
    <row r="4425" spans="1:1">
      <c r="A4425" s="282"/>
    </row>
    <row r="4426" spans="1:1">
      <c r="A4426" s="282"/>
    </row>
    <row r="4427" spans="1:1">
      <c r="A4427" s="282"/>
    </row>
    <row r="4428" spans="1:1">
      <c r="A4428" s="282"/>
    </row>
    <row r="4429" spans="1:1">
      <c r="A4429" s="282"/>
    </row>
    <row r="4430" spans="1:1">
      <c r="A4430" s="282"/>
    </row>
    <row r="4431" spans="1:1">
      <c r="A4431" s="282"/>
    </row>
    <row r="4432" spans="1:1">
      <c r="A4432" s="282"/>
    </row>
    <row r="4433" spans="1:1">
      <c r="A4433" s="282"/>
    </row>
    <row r="4434" spans="1:1">
      <c r="A4434" s="282"/>
    </row>
    <row r="4435" spans="1:1">
      <c r="A4435" s="282"/>
    </row>
    <row r="4436" spans="1:1">
      <c r="A4436" s="282"/>
    </row>
    <row r="4437" spans="1:1">
      <c r="A4437" s="282"/>
    </row>
    <row r="4438" spans="1:1">
      <c r="A4438" s="282"/>
    </row>
    <row r="4439" spans="1:1">
      <c r="A4439" s="282"/>
    </row>
    <row r="4440" spans="1:1">
      <c r="A4440" s="282"/>
    </row>
    <row r="4441" spans="1:1">
      <c r="A4441" s="282"/>
    </row>
    <row r="4442" spans="1:1">
      <c r="A4442" s="282"/>
    </row>
    <row r="4443" spans="1:1">
      <c r="A4443" s="282"/>
    </row>
    <row r="4444" spans="1:1">
      <c r="A4444" s="282"/>
    </row>
    <row r="4445" spans="1:1">
      <c r="A4445" s="282"/>
    </row>
    <row r="4446" spans="1:1">
      <c r="A4446" s="282"/>
    </row>
    <row r="4447" spans="1:1">
      <c r="A4447" s="282"/>
    </row>
    <row r="4448" spans="1:1">
      <c r="A4448" s="282"/>
    </row>
    <row r="4449" spans="1:1">
      <c r="A4449" s="282"/>
    </row>
    <row r="4450" spans="1:1">
      <c r="A4450" s="282"/>
    </row>
    <row r="4451" spans="1:1">
      <c r="A4451" s="282"/>
    </row>
    <row r="4452" spans="1:1">
      <c r="A4452" s="282"/>
    </row>
    <row r="4453" spans="1:1">
      <c r="A4453" s="282"/>
    </row>
    <row r="4454" spans="1:1">
      <c r="A4454" s="282"/>
    </row>
    <row r="4455" spans="1:1">
      <c r="A4455" s="282"/>
    </row>
    <row r="4456" spans="1:1">
      <c r="A4456" s="282"/>
    </row>
    <row r="4457" spans="1:1">
      <c r="A4457" s="282"/>
    </row>
    <row r="4458" spans="1:1">
      <c r="A4458" s="282"/>
    </row>
    <row r="4459" spans="1:1">
      <c r="A4459" s="282"/>
    </row>
    <row r="4460" spans="1:1">
      <c r="A4460" s="282"/>
    </row>
    <row r="4461" spans="1:1">
      <c r="A4461" s="282"/>
    </row>
    <row r="4462" spans="1:1">
      <c r="A4462" s="282"/>
    </row>
    <row r="4463" spans="1:1">
      <c r="A4463" s="282"/>
    </row>
    <row r="4464" spans="1:1">
      <c r="A4464" s="282"/>
    </row>
    <row r="4465" spans="1:1">
      <c r="A4465" s="282"/>
    </row>
    <row r="4466" spans="1:1">
      <c r="A4466" s="282"/>
    </row>
    <row r="4467" spans="1:1">
      <c r="A4467" s="282"/>
    </row>
    <row r="4468" spans="1:1">
      <c r="A4468" s="282"/>
    </row>
    <row r="4469" spans="1:1">
      <c r="A4469" s="282"/>
    </row>
    <row r="4470" spans="1:1">
      <c r="A4470" s="282"/>
    </row>
    <row r="4471" spans="1:1">
      <c r="A4471" s="282"/>
    </row>
    <row r="4472" spans="1:1">
      <c r="A4472" s="282"/>
    </row>
    <row r="4473" spans="1:1">
      <c r="A4473" s="282"/>
    </row>
    <row r="4474" spans="1:1">
      <c r="A4474" s="282"/>
    </row>
    <row r="4475" spans="1:1">
      <c r="A4475" s="282"/>
    </row>
    <row r="4476" spans="1:1">
      <c r="A4476" s="282"/>
    </row>
    <row r="4477" spans="1:1">
      <c r="A4477" s="282"/>
    </row>
    <row r="4478" spans="1:1">
      <c r="A4478" s="282"/>
    </row>
    <row r="4479" spans="1:1">
      <c r="A4479" s="282"/>
    </row>
    <row r="4480" spans="1:1">
      <c r="A4480" s="282"/>
    </row>
    <row r="4481" spans="1:1">
      <c r="A4481" s="282"/>
    </row>
    <row r="4482" spans="1:1">
      <c r="A4482" s="282"/>
    </row>
    <row r="4483" spans="1:1">
      <c r="A4483" s="282"/>
    </row>
    <row r="4484" spans="1:1">
      <c r="A4484" s="282"/>
    </row>
    <row r="4485" spans="1:1">
      <c r="A4485" s="282"/>
    </row>
    <row r="4486" spans="1:1">
      <c r="A4486" s="282"/>
    </row>
    <row r="4487" spans="1:1">
      <c r="A4487" s="282"/>
    </row>
    <row r="4488" spans="1:1">
      <c r="A4488" s="282"/>
    </row>
    <row r="4489" spans="1:1">
      <c r="A4489" s="282"/>
    </row>
    <row r="4490" spans="1:1">
      <c r="A4490" s="282"/>
    </row>
    <row r="4491" spans="1:1">
      <c r="A4491" s="282"/>
    </row>
    <row r="4492" spans="1:1">
      <c r="A4492" s="282"/>
    </row>
    <row r="4493" spans="1:1">
      <c r="A4493" s="282"/>
    </row>
    <row r="4494" spans="1:1">
      <c r="A4494" s="282"/>
    </row>
    <row r="4495" spans="1:1">
      <c r="A4495" s="282"/>
    </row>
    <row r="4496" spans="1:1">
      <c r="A4496" s="282"/>
    </row>
    <row r="4497" spans="1:1">
      <c r="A4497" s="282"/>
    </row>
    <row r="4498" spans="1:1">
      <c r="A4498" s="282"/>
    </row>
    <row r="4499" spans="1:1">
      <c r="A4499" s="282"/>
    </row>
    <row r="4500" spans="1:1">
      <c r="A4500" s="282"/>
    </row>
    <row r="4501" spans="1:1">
      <c r="A4501" s="282"/>
    </row>
    <row r="4502" spans="1:1">
      <c r="A4502" s="282"/>
    </row>
    <row r="4503" spans="1:1">
      <c r="A4503" s="282"/>
    </row>
    <row r="4504" spans="1:1">
      <c r="A4504" s="282"/>
    </row>
    <row r="4505" spans="1:1">
      <c r="A4505" s="282"/>
    </row>
    <row r="4506" spans="1:1">
      <c r="A4506" s="282"/>
    </row>
    <row r="4507" spans="1:1">
      <c r="A4507" s="282"/>
    </row>
    <row r="4508" spans="1:1">
      <c r="A4508" s="282"/>
    </row>
    <row r="4509" spans="1:1">
      <c r="A4509" s="282"/>
    </row>
    <row r="4510" spans="1:1">
      <c r="A4510" s="282"/>
    </row>
    <row r="4511" spans="1:1">
      <c r="A4511" s="282"/>
    </row>
    <row r="4512" spans="1:1">
      <c r="A4512" s="282"/>
    </row>
    <row r="4513" spans="1:1">
      <c r="A4513" s="282"/>
    </row>
    <row r="4514" spans="1:1">
      <c r="A4514" s="282"/>
    </row>
    <row r="4515" spans="1:1">
      <c r="A4515" s="282"/>
    </row>
    <row r="4516" spans="1:1">
      <c r="A4516" s="282"/>
    </row>
    <row r="4517" spans="1:1">
      <c r="A4517" s="282"/>
    </row>
    <row r="4518" spans="1:1">
      <c r="A4518" s="282"/>
    </row>
    <row r="4519" spans="1:1">
      <c r="A4519" s="282"/>
    </row>
    <row r="4520" spans="1:1">
      <c r="A4520" s="282"/>
    </row>
    <row r="4521" spans="1:1">
      <c r="A4521" s="282"/>
    </row>
    <row r="4522" spans="1:1">
      <c r="A4522" s="282"/>
    </row>
    <row r="4523" spans="1:1">
      <c r="A4523" s="282"/>
    </row>
    <row r="4524" spans="1:1">
      <c r="A4524" s="282"/>
    </row>
    <row r="4525" spans="1:1">
      <c r="A4525" s="282"/>
    </row>
    <row r="4526" spans="1:1">
      <c r="A4526" s="282"/>
    </row>
    <row r="4527" spans="1:1">
      <c r="A4527" s="282"/>
    </row>
    <row r="4528" spans="1:1">
      <c r="A4528" s="282"/>
    </row>
    <row r="4529" spans="1:1">
      <c r="A4529" s="282"/>
    </row>
    <row r="4530" spans="1:1">
      <c r="A4530" s="282"/>
    </row>
    <row r="4531" spans="1:1">
      <c r="A4531" s="282"/>
    </row>
    <row r="4532" spans="1:1">
      <c r="A4532" s="282"/>
    </row>
    <row r="4533" spans="1:1">
      <c r="A4533" s="282"/>
    </row>
    <row r="4534" spans="1:1">
      <c r="A4534" s="282"/>
    </row>
    <row r="4535" spans="1:1">
      <c r="A4535" s="282"/>
    </row>
    <row r="4536" spans="1:1">
      <c r="A4536" s="282"/>
    </row>
    <row r="4537" spans="1:1">
      <c r="A4537" s="282"/>
    </row>
    <row r="4538" spans="1:1">
      <c r="A4538" s="282"/>
    </row>
    <row r="4539" spans="1:1">
      <c r="A4539" s="282"/>
    </row>
    <row r="4540" spans="1:1">
      <c r="A4540" s="282"/>
    </row>
    <row r="4541" spans="1:1">
      <c r="A4541" s="282"/>
    </row>
    <row r="4542" spans="1:1">
      <c r="A4542" s="282"/>
    </row>
    <row r="4543" spans="1:1">
      <c r="A4543" s="282"/>
    </row>
    <row r="4544" spans="1:1">
      <c r="A4544" s="282"/>
    </row>
    <row r="4545" spans="1:1">
      <c r="A4545" s="282"/>
    </row>
    <row r="4546" spans="1:1">
      <c r="A4546" s="282"/>
    </row>
    <row r="4547" spans="1:1">
      <c r="A4547" s="282"/>
    </row>
    <row r="4548" spans="1:1">
      <c r="A4548" s="282"/>
    </row>
    <row r="4549" spans="1:1">
      <c r="A4549" s="282"/>
    </row>
    <row r="4550" spans="1:1">
      <c r="A4550" s="282"/>
    </row>
    <row r="4551" spans="1:1">
      <c r="A4551" s="282"/>
    </row>
    <row r="4552" spans="1:1">
      <c r="A4552" s="282"/>
    </row>
    <row r="4553" spans="1:1">
      <c r="A4553" s="282"/>
    </row>
    <row r="4554" spans="1:1">
      <c r="A4554" s="282"/>
    </row>
    <row r="4555" spans="1:1">
      <c r="A4555" s="282"/>
    </row>
    <row r="4556" spans="1:1">
      <c r="A4556" s="282"/>
    </row>
    <row r="4557" spans="1:1">
      <c r="A4557" s="282"/>
    </row>
    <row r="4558" spans="1:1">
      <c r="A4558" s="282"/>
    </row>
    <row r="4559" spans="1:1">
      <c r="A4559" s="282"/>
    </row>
    <row r="4560" spans="1:1">
      <c r="A4560" s="282"/>
    </row>
    <row r="4561" spans="1:1">
      <c r="A4561" s="282"/>
    </row>
    <row r="4562" spans="1:1">
      <c r="A4562" s="282"/>
    </row>
    <row r="4563" spans="1:1">
      <c r="A4563" s="282"/>
    </row>
    <row r="4564" spans="1:1">
      <c r="A4564" s="282"/>
    </row>
    <row r="4565" spans="1:1">
      <c r="A4565" s="282"/>
    </row>
    <row r="4566" spans="1:1">
      <c r="A4566" s="282"/>
    </row>
    <row r="4567" spans="1:1">
      <c r="A4567" s="282"/>
    </row>
    <row r="4568" spans="1:1">
      <c r="A4568" s="282"/>
    </row>
    <row r="4569" spans="1:1">
      <c r="A4569" s="282"/>
    </row>
    <row r="4570" spans="1:1">
      <c r="A4570" s="282"/>
    </row>
    <row r="4571" spans="1:1">
      <c r="A4571" s="282"/>
    </row>
    <row r="4572" spans="1:1">
      <c r="A4572" s="282"/>
    </row>
    <row r="4573" spans="1:1">
      <c r="A4573" s="282"/>
    </row>
    <row r="4574" spans="1:1">
      <c r="A4574" s="282"/>
    </row>
    <row r="4575" spans="1:1">
      <c r="A4575" s="282"/>
    </row>
    <row r="4576" spans="1:1">
      <c r="A4576" s="282"/>
    </row>
    <row r="4577" spans="1:1">
      <c r="A4577" s="282"/>
    </row>
    <row r="4578" spans="1:1">
      <c r="A4578" s="282"/>
    </row>
    <row r="4579" spans="1:1">
      <c r="A4579" s="282"/>
    </row>
    <row r="4580" spans="1:1">
      <c r="A4580" s="282"/>
    </row>
    <row r="4581" spans="1:1">
      <c r="A4581" s="282"/>
    </row>
    <row r="4582" spans="1:1">
      <c r="A4582" s="282"/>
    </row>
    <row r="4583" spans="1:1">
      <c r="A4583" s="282"/>
    </row>
    <row r="4584" spans="1:1">
      <c r="A4584" s="282"/>
    </row>
    <row r="4585" spans="1:1">
      <c r="A4585" s="282"/>
    </row>
    <row r="4586" spans="1:1">
      <c r="A4586" s="282"/>
    </row>
    <row r="4587" spans="1:1">
      <c r="A4587" s="282"/>
    </row>
    <row r="4588" spans="1:1">
      <c r="A4588" s="282"/>
    </row>
    <row r="4589" spans="1:1">
      <c r="A4589" s="282"/>
    </row>
    <row r="4590" spans="1:1">
      <c r="A4590" s="282"/>
    </row>
    <row r="4591" spans="1:1">
      <c r="A4591" s="282"/>
    </row>
    <row r="4592" spans="1:1">
      <c r="A4592" s="282"/>
    </row>
    <row r="4593" spans="1:1">
      <c r="A4593" s="282"/>
    </row>
    <row r="4594" spans="1:1">
      <c r="A4594" s="282"/>
    </row>
    <row r="4595" spans="1:1">
      <c r="A4595" s="282"/>
    </row>
    <row r="4596" spans="1:1">
      <c r="A4596" s="282"/>
    </row>
    <row r="4597" spans="1:1">
      <c r="A4597" s="282"/>
    </row>
    <row r="4598" spans="1:1">
      <c r="A4598" s="282"/>
    </row>
    <row r="4599" spans="1:1">
      <c r="A4599" s="282"/>
    </row>
    <row r="4600" spans="1:1">
      <c r="A4600" s="282"/>
    </row>
    <row r="4601" spans="1:1">
      <c r="A4601" s="282"/>
    </row>
    <row r="4602" spans="1:1">
      <c r="A4602" s="282"/>
    </row>
    <row r="4603" spans="1:1">
      <c r="A4603" s="282"/>
    </row>
    <row r="4604" spans="1:1">
      <c r="A4604" s="282"/>
    </row>
    <row r="4605" spans="1:1">
      <c r="A4605" s="282"/>
    </row>
    <row r="4606" spans="1:1">
      <c r="A4606" s="282"/>
    </row>
    <row r="4607" spans="1:1">
      <c r="A4607" s="282"/>
    </row>
    <row r="4608" spans="1:1">
      <c r="A4608" s="282"/>
    </row>
    <row r="4609" spans="1:1">
      <c r="A4609" s="282"/>
    </row>
    <row r="4610" spans="1:1">
      <c r="A4610" s="282"/>
    </row>
    <row r="4611" spans="1:1">
      <c r="A4611" s="282"/>
    </row>
    <row r="4612" spans="1:1">
      <c r="A4612" s="282"/>
    </row>
    <row r="4613" spans="1:1">
      <c r="A4613" s="282"/>
    </row>
    <row r="4614" spans="1:1">
      <c r="A4614" s="282"/>
    </row>
    <row r="4615" spans="1:1">
      <c r="A4615" s="282"/>
    </row>
    <row r="4616" spans="1:1">
      <c r="A4616" s="282"/>
    </row>
    <row r="4617" spans="1:1">
      <c r="A4617" s="282"/>
    </row>
    <row r="4618" spans="1:1">
      <c r="A4618" s="282"/>
    </row>
    <row r="4619" spans="1:1">
      <c r="A4619" s="282"/>
    </row>
    <row r="4620" spans="1:1">
      <c r="A4620" s="282"/>
    </row>
    <row r="4621" spans="1:1">
      <c r="A4621" s="282"/>
    </row>
    <row r="4622" spans="1:1">
      <c r="A4622" s="282"/>
    </row>
    <row r="4623" spans="1:1">
      <c r="A4623" s="282"/>
    </row>
    <row r="4624" spans="1:1">
      <c r="A4624" s="282"/>
    </row>
    <row r="4625" spans="1:1">
      <c r="A4625" s="282"/>
    </row>
    <row r="4626" spans="1:1">
      <c r="A4626" s="282"/>
    </row>
    <row r="4627" spans="1:1">
      <c r="A4627" s="282"/>
    </row>
    <row r="4628" spans="1:1">
      <c r="A4628" s="282"/>
    </row>
    <row r="4629" spans="1:1">
      <c r="A4629" s="282"/>
    </row>
    <row r="4630" spans="1:1">
      <c r="A4630" s="282"/>
    </row>
    <row r="4631" spans="1:1">
      <c r="A4631" s="282"/>
    </row>
    <row r="4632" spans="1:1">
      <c r="A4632" s="282"/>
    </row>
    <row r="4633" spans="1:1">
      <c r="A4633" s="282"/>
    </row>
    <row r="4634" spans="1:1">
      <c r="A4634" s="282"/>
    </row>
    <row r="4635" spans="1:1">
      <c r="A4635" s="282"/>
    </row>
    <row r="4636" spans="1:1">
      <c r="A4636" s="282"/>
    </row>
    <row r="4637" spans="1:1">
      <c r="A4637" s="282"/>
    </row>
    <row r="4638" spans="1:1">
      <c r="A4638" s="282"/>
    </row>
    <row r="4639" spans="1:1">
      <c r="A4639" s="282"/>
    </row>
    <row r="4640" spans="1:1">
      <c r="A4640" s="282"/>
    </row>
    <row r="4641" spans="1:1">
      <c r="A4641" s="282"/>
    </row>
    <row r="4642" spans="1:1">
      <c r="A4642" s="282"/>
    </row>
    <row r="4643" spans="1:1">
      <c r="A4643" s="282"/>
    </row>
    <row r="4644" spans="1:1">
      <c r="A4644" s="282"/>
    </row>
    <row r="4645" spans="1:1">
      <c r="A4645" s="282"/>
    </row>
    <row r="4646" spans="1:1">
      <c r="A4646" s="282"/>
    </row>
    <row r="4647" spans="1:1">
      <c r="A4647" s="282"/>
    </row>
    <row r="4648" spans="1:1">
      <c r="A4648" s="282"/>
    </row>
    <row r="4649" spans="1:1">
      <c r="A4649" s="282"/>
    </row>
    <row r="4650" spans="1:1">
      <c r="A4650" s="282"/>
    </row>
    <row r="4651" spans="1:1">
      <c r="A4651" s="282"/>
    </row>
    <row r="4652" spans="1:1">
      <c r="A4652" s="282"/>
    </row>
    <row r="4653" spans="1:1">
      <c r="A4653" s="282"/>
    </row>
    <row r="4654" spans="1:1">
      <c r="A4654" s="282"/>
    </row>
    <row r="4655" spans="1:1">
      <c r="A4655" s="282"/>
    </row>
    <row r="4656" spans="1:1">
      <c r="A4656" s="282"/>
    </row>
    <row r="4657" spans="1:1">
      <c r="A4657" s="282"/>
    </row>
    <row r="4658" spans="1:1">
      <c r="A4658" s="282"/>
    </row>
    <row r="4659" spans="1:1">
      <c r="A4659" s="282"/>
    </row>
    <row r="4660" spans="1:1">
      <c r="A4660" s="282"/>
    </row>
    <row r="4661" spans="1:1">
      <c r="A4661" s="282"/>
    </row>
    <row r="4662" spans="1:1">
      <c r="A4662" s="282"/>
    </row>
    <row r="4663" spans="1:1">
      <c r="A4663" s="282"/>
    </row>
    <row r="4664" spans="1:1">
      <c r="A4664" s="282"/>
    </row>
    <row r="4665" spans="1:1">
      <c r="A4665" s="282"/>
    </row>
    <row r="4666" spans="1:1">
      <c r="A4666" s="282"/>
    </row>
    <row r="4667" spans="1:1">
      <c r="A4667" s="282"/>
    </row>
    <row r="4668" spans="1:1">
      <c r="A4668" s="282"/>
    </row>
    <row r="4669" spans="1:1">
      <c r="A4669" s="282"/>
    </row>
    <row r="4670" spans="1:1">
      <c r="A4670" s="282"/>
    </row>
    <row r="4671" spans="1:1">
      <c r="A4671" s="282"/>
    </row>
    <row r="4672" spans="1:1">
      <c r="A4672" s="282"/>
    </row>
    <row r="4673" spans="1:1">
      <c r="A4673" s="282"/>
    </row>
    <row r="4674" spans="1:1">
      <c r="A4674" s="282"/>
    </row>
    <row r="4675" spans="1:1">
      <c r="A4675" s="282"/>
    </row>
    <row r="4676" spans="1:1">
      <c r="A4676" s="282"/>
    </row>
    <row r="4677" spans="1:1">
      <c r="A4677" s="282"/>
    </row>
    <row r="4678" spans="1:1">
      <c r="A4678" s="282"/>
    </row>
    <row r="4679" spans="1:1">
      <c r="A4679" s="282"/>
    </row>
    <row r="4680" spans="1:1">
      <c r="A4680" s="283"/>
    </row>
    <row r="4681" spans="1:1">
      <c r="A4681" s="282"/>
    </row>
    <row r="4682" spans="1:1">
      <c r="A4682" s="282"/>
    </row>
    <row r="4683" spans="1:1">
      <c r="A4683" s="282"/>
    </row>
    <row r="4684" spans="1:1">
      <c r="A4684" s="282"/>
    </row>
    <row r="4685" spans="1:1">
      <c r="A4685" s="282"/>
    </row>
    <row r="4686" spans="1:1">
      <c r="A4686" s="282"/>
    </row>
    <row r="4687" spans="1:1">
      <c r="A4687" s="282"/>
    </row>
    <row r="4688" spans="1:1">
      <c r="A4688" s="282"/>
    </row>
    <row r="4689" spans="1:1">
      <c r="A4689" s="282"/>
    </row>
    <row r="4690" spans="1:1">
      <c r="A4690" s="282"/>
    </row>
    <row r="4691" spans="1:1">
      <c r="A4691" s="282"/>
    </row>
    <row r="4692" spans="1:1">
      <c r="A4692" s="282"/>
    </row>
    <row r="4693" spans="1:1">
      <c r="A4693" s="282"/>
    </row>
    <row r="4694" spans="1:1">
      <c r="A4694" s="282"/>
    </row>
    <row r="4695" spans="1:1">
      <c r="A4695" s="282"/>
    </row>
    <row r="4696" spans="1:1">
      <c r="A4696" s="282"/>
    </row>
    <row r="4697" spans="1:1">
      <c r="A4697" s="282"/>
    </row>
    <row r="4698" spans="1:1">
      <c r="A4698" s="282"/>
    </row>
    <row r="4699" spans="1:1">
      <c r="A4699" s="282"/>
    </row>
    <row r="4700" spans="1:1">
      <c r="A4700" s="282"/>
    </row>
    <row r="4701" spans="1:1">
      <c r="A4701" s="282"/>
    </row>
    <row r="4702" spans="1:1">
      <c r="A4702" s="282"/>
    </row>
    <row r="4703" spans="1:1">
      <c r="A4703" s="282"/>
    </row>
    <row r="4704" spans="1:1">
      <c r="A4704" s="282"/>
    </row>
    <row r="4705" spans="1:1">
      <c r="A4705" s="282"/>
    </row>
    <row r="4706" spans="1:1">
      <c r="A4706" s="282"/>
    </row>
    <row r="4707" spans="1:1">
      <c r="A4707" s="282"/>
    </row>
    <row r="4708" spans="1:1">
      <c r="A4708" s="282"/>
    </row>
    <row r="4709" spans="1:1">
      <c r="A4709" s="282"/>
    </row>
    <row r="4710" spans="1:1">
      <c r="A4710" s="282"/>
    </row>
    <row r="4711" spans="1:1">
      <c r="A4711" s="282"/>
    </row>
    <row r="4712" spans="1:1">
      <c r="A4712" s="282"/>
    </row>
    <row r="4713" spans="1:1">
      <c r="A4713" s="282"/>
    </row>
    <row r="4714" spans="1:1">
      <c r="A4714" s="282"/>
    </row>
    <row r="4715" spans="1:1">
      <c r="A4715" s="282"/>
    </row>
    <row r="4716" spans="1:1">
      <c r="A4716" s="282"/>
    </row>
    <row r="4717" spans="1:1">
      <c r="A4717" s="282"/>
    </row>
    <row r="4718" spans="1:1">
      <c r="A4718" s="282"/>
    </row>
    <row r="4719" spans="1:1">
      <c r="A4719" s="282"/>
    </row>
    <row r="4720" spans="1:1">
      <c r="A4720" s="282"/>
    </row>
    <row r="4721" spans="1:1">
      <c r="A4721" s="282"/>
    </row>
    <row r="4722" spans="1:1">
      <c r="A4722" s="282"/>
    </row>
    <row r="4723" spans="1:1">
      <c r="A4723" s="282"/>
    </row>
    <row r="4724" spans="1:1">
      <c r="A4724" s="282"/>
    </row>
    <row r="4725" spans="1:1">
      <c r="A4725" s="282"/>
    </row>
    <row r="4726" spans="1:1">
      <c r="A4726" s="282"/>
    </row>
    <row r="4727" spans="1:1">
      <c r="A4727" s="282"/>
    </row>
    <row r="4728" spans="1:1">
      <c r="A4728" s="282"/>
    </row>
    <row r="4729" spans="1:1">
      <c r="A4729" s="282"/>
    </row>
    <row r="4730" spans="1:1">
      <c r="A4730" s="282"/>
    </row>
    <row r="4731" spans="1:1">
      <c r="A4731" s="282"/>
    </row>
    <row r="4732" spans="1:1">
      <c r="A4732" s="282"/>
    </row>
    <row r="4733" spans="1:1">
      <c r="A4733" s="282"/>
    </row>
    <row r="4734" spans="1:1">
      <c r="A4734" s="282"/>
    </row>
    <row r="4735" spans="1:1">
      <c r="A4735" s="282"/>
    </row>
    <row r="4736" spans="1:1">
      <c r="A4736" s="282"/>
    </row>
    <row r="4737" spans="1:1">
      <c r="A4737" s="282"/>
    </row>
    <row r="4738" spans="1:1">
      <c r="A4738" s="282"/>
    </row>
    <row r="4739" spans="1:1">
      <c r="A4739" s="282"/>
    </row>
    <row r="4740" spans="1:1">
      <c r="A4740" s="282"/>
    </row>
    <row r="4741" spans="1:1">
      <c r="A4741" s="282"/>
    </row>
    <row r="4742" spans="1:1">
      <c r="A4742" s="282"/>
    </row>
    <row r="4743" spans="1:1">
      <c r="A4743" s="282"/>
    </row>
    <row r="4744" spans="1:1">
      <c r="A4744" s="282"/>
    </row>
    <row r="4745" spans="1:1">
      <c r="A4745" s="282"/>
    </row>
    <row r="4746" spans="1:1">
      <c r="A4746" s="282"/>
    </row>
    <row r="4747" spans="1:1">
      <c r="A4747" s="282"/>
    </row>
    <row r="4748" spans="1:1">
      <c r="A4748" s="282"/>
    </row>
    <row r="4749" spans="1:1">
      <c r="A4749" s="282"/>
    </row>
    <row r="4750" spans="1:1">
      <c r="A4750" s="282"/>
    </row>
    <row r="4751" spans="1:1">
      <c r="A4751" s="282"/>
    </row>
    <row r="4752" spans="1:1">
      <c r="A4752" s="282"/>
    </row>
    <row r="4753" spans="1:1">
      <c r="A4753" s="282"/>
    </row>
    <row r="4754" spans="1:1">
      <c r="A4754" s="282"/>
    </row>
    <row r="4755" spans="1:1">
      <c r="A4755" s="282"/>
    </row>
    <row r="4756" spans="1:1">
      <c r="A4756" s="282"/>
    </row>
    <row r="4757" spans="1:1">
      <c r="A4757" s="282"/>
    </row>
    <row r="4758" spans="1:1">
      <c r="A4758" s="282"/>
    </row>
    <row r="4759" spans="1:1">
      <c r="A4759" s="282"/>
    </row>
    <row r="4760" spans="1:1">
      <c r="A4760" s="282"/>
    </row>
    <row r="4761" spans="1:1">
      <c r="A4761" s="282"/>
    </row>
    <row r="4762" spans="1:1">
      <c r="A4762" s="282"/>
    </row>
    <row r="4763" spans="1:1">
      <c r="A4763" s="282"/>
    </row>
    <row r="4764" spans="1:1">
      <c r="A4764" s="282"/>
    </row>
    <row r="4765" spans="1:1">
      <c r="A4765" s="282"/>
    </row>
    <row r="4766" spans="1:1">
      <c r="A4766" s="282"/>
    </row>
    <row r="4767" spans="1:1">
      <c r="A4767" s="282"/>
    </row>
    <row r="4768" spans="1:1">
      <c r="A4768" s="282"/>
    </row>
    <row r="4769" spans="1:1">
      <c r="A4769" s="282"/>
    </row>
    <row r="4770" spans="1:1">
      <c r="A4770" s="282"/>
    </row>
    <row r="4771" spans="1:1">
      <c r="A4771" s="282"/>
    </row>
    <row r="4772" spans="1:1">
      <c r="A4772" s="264"/>
    </row>
    <row r="4773" spans="1:1">
      <c r="A4773" s="265"/>
    </row>
    <row r="4774" spans="1:1">
      <c r="A4774" s="265"/>
    </row>
    <row r="4775" spans="1:1">
      <c r="A4775" s="265"/>
    </row>
    <row r="4776" spans="1:1">
      <c r="A4776" s="266"/>
    </row>
    <row r="4777" spans="1:1">
      <c r="A4777" s="265"/>
    </row>
    <row r="4778" spans="1:1">
      <c r="A4778" s="265"/>
    </row>
    <row r="4779" spans="1:1">
      <c r="A4779" s="266"/>
    </row>
    <row r="4780" spans="1:1">
      <c r="A4780" s="265"/>
    </row>
    <row r="4781" spans="1:1">
      <c r="A4781" s="266"/>
    </row>
    <row r="4782" spans="1:1">
      <c r="A4782" s="265"/>
    </row>
    <row r="4783" spans="1:1">
      <c r="A4783" s="266"/>
    </row>
    <row r="4784" spans="1:1">
      <c r="A4784" s="265"/>
    </row>
    <row r="4785" spans="1:1">
      <c r="A4785" s="266"/>
    </row>
    <row r="4786" spans="1:1">
      <c r="A4786" s="265"/>
    </row>
    <row r="4787" spans="1:1">
      <c r="A4787" s="266"/>
    </row>
    <row r="4788" spans="1:1">
      <c r="A4788" s="265"/>
    </row>
    <row r="4789" spans="1:1">
      <c r="A4789" s="266"/>
    </row>
    <row r="4790" spans="1:1">
      <c r="A4790" s="265"/>
    </row>
    <row r="4791" spans="1:1">
      <c r="A4791" s="266"/>
    </row>
    <row r="4792" spans="1:1">
      <c r="A4792" s="265"/>
    </row>
    <row r="4793" spans="1:1">
      <c r="A4793" s="266"/>
    </row>
    <row r="4794" spans="1:1">
      <c r="A4794" s="265"/>
    </row>
    <row r="4795" spans="1:1">
      <c r="A4795" s="266"/>
    </row>
    <row r="4796" spans="1:1">
      <c r="A4796" s="265"/>
    </row>
    <row r="4797" spans="1:1">
      <c r="A4797" s="266"/>
    </row>
    <row r="4798" spans="1:1">
      <c r="A4798" s="265"/>
    </row>
    <row r="4799" spans="1:1">
      <c r="A4799" s="266"/>
    </row>
    <row r="4800" spans="1:1">
      <c r="A4800" s="265"/>
    </row>
    <row r="4801" spans="1:1">
      <c r="A4801" s="266"/>
    </row>
    <row r="4802" spans="1:1">
      <c r="A4802" s="265"/>
    </row>
    <row r="4803" spans="1:1">
      <c r="A4803" s="266"/>
    </row>
    <row r="4804" spans="1:1">
      <c r="A4804" s="265"/>
    </row>
    <row r="4805" spans="1:1">
      <c r="A4805" s="266"/>
    </row>
    <row r="4806" spans="1:1">
      <c r="A4806" s="265"/>
    </row>
    <row r="4807" spans="1:1">
      <c r="A4807" s="266"/>
    </row>
    <row r="4808" spans="1:1">
      <c r="A4808" s="266"/>
    </row>
    <row r="4809" spans="1:1">
      <c r="A4809" s="265"/>
    </row>
    <row r="4810" spans="1:1">
      <c r="A4810" s="266"/>
    </row>
    <row r="4811" spans="1:1">
      <c r="A4811" s="265"/>
    </row>
    <row r="4812" spans="1:1">
      <c r="A4812" s="266"/>
    </row>
    <row r="4813" spans="1:1">
      <c r="A4813" s="265"/>
    </row>
    <row r="4814" spans="1:1">
      <c r="A4814" s="266"/>
    </row>
    <row r="4815" spans="1:1">
      <c r="A4815" s="266"/>
    </row>
    <row r="4816" spans="1:1">
      <c r="A4816" s="265"/>
    </row>
    <row r="4817" spans="1:1">
      <c r="A4817" s="266"/>
    </row>
    <row r="4818" spans="1:1">
      <c r="A4818" s="265"/>
    </row>
    <row r="4819" spans="1:1">
      <c r="A4819" s="266"/>
    </row>
    <row r="4820" spans="1:1">
      <c r="A4820" s="265"/>
    </row>
    <row r="4821" spans="1:1">
      <c r="A4821" s="266"/>
    </row>
    <row r="4822" spans="1:1">
      <c r="A4822" s="265"/>
    </row>
    <row r="4823" spans="1:1">
      <c r="A4823" s="266"/>
    </row>
    <row r="4824" spans="1:1">
      <c r="A4824" s="265"/>
    </row>
    <row r="4825" spans="1:1">
      <c r="A4825" s="266"/>
    </row>
    <row r="4826" spans="1:1">
      <c r="A4826" s="265"/>
    </row>
    <row r="4827" spans="1:1">
      <c r="A4827" s="266"/>
    </row>
    <row r="4828" spans="1:1">
      <c r="A4828" s="265"/>
    </row>
    <row r="4829" spans="1:1">
      <c r="A4829" s="266"/>
    </row>
    <row r="4830" spans="1:1">
      <c r="A4830" s="265"/>
    </row>
    <row r="4831" spans="1:1">
      <c r="A4831" s="266"/>
    </row>
    <row r="4832" spans="1:1">
      <c r="A4832" s="265"/>
    </row>
    <row r="4833" spans="1:1">
      <c r="A4833" s="266"/>
    </row>
    <row r="4834" spans="1:1">
      <c r="A4834" s="265"/>
    </row>
    <row r="4835" spans="1:1">
      <c r="A4835" s="266"/>
    </row>
    <row r="4836" spans="1:1">
      <c r="A4836" s="265"/>
    </row>
    <row r="4837" spans="1:1">
      <c r="A4837" s="266"/>
    </row>
    <row r="4838" spans="1:1">
      <c r="A4838" s="265"/>
    </row>
    <row r="4839" spans="1:1">
      <c r="A4839" s="266"/>
    </row>
    <row r="4840" spans="1:1">
      <c r="A4840" s="265"/>
    </row>
    <row r="4841" spans="1:1">
      <c r="A4841" s="266"/>
    </row>
    <row r="4842" spans="1:1">
      <c r="A4842" s="265"/>
    </row>
    <row r="4843" spans="1:1">
      <c r="A4843" s="266"/>
    </row>
    <row r="4844" spans="1:1">
      <c r="A4844" s="265"/>
    </row>
    <row r="4845" spans="1:1">
      <c r="A4845" s="266"/>
    </row>
    <row r="4846" spans="1:1">
      <c r="A4846" s="265"/>
    </row>
    <row r="4847" spans="1:1">
      <c r="A4847" s="266"/>
    </row>
    <row r="4848" spans="1:1">
      <c r="A4848" s="265"/>
    </row>
    <row r="4849" spans="1:1">
      <c r="A4849" s="265"/>
    </row>
    <row r="4850" spans="1:1">
      <c r="A4850" s="266"/>
    </row>
    <row r="4851" spans="1:1">
      <c r="A4851" s="265"/>
    </row>
    <row r="4852" spans="1:1">
      <c r="A4852" s="266"/>
    </row>
    <row r="4853" spans="1:1">
      <c r="A4853" s="265"/>
    </row>
    <row r="4854" spans="1:1">
      <c r="A4854" s="266"/>
    </row>
    <row r="4855" spans="1:1">
      <c r="A4855" s="265"/>
    </row>
    <row r="4856" spans="1:1">
      <c r="A4856" s="266"/>
    </row>
    <row r="4857" spans="1:1">
      <c r="A4857" s="265"/>
    </row>
    <row r="4858" spans="1:1">
      <c r="A4858" s="266"/>
    </row>
    <row r="4859" spans="1:1">
      <c r="A4859" s="265"/>
    </row>
    <row r="4860" spans="1:1">
      <c r="A4860" s="266"/>
    </row>
    <row r="4861" spans="1:1">
      <c r="A4861" s="265"/>
    </row>
    <row r="4862" spans="1:1">
      <c r="A4862" s="266"/>
    </row>
    <row r="4863" spans="1:1">
      <c r="A4863" s="265"/>
    </row>
    <row r="4864" spans="1:1">
      <c r="A4864" s="266"/>
    </row>
    <row r="4865" spans="1:1">
      <c r="A4865" s="265"/>
    </row>
    <row r="4866" spans="1:1">
      <c r="A4866" s="266"/>
    </row>
    <row r="4867" spans="1:1">
      <c r="A4867" s="265"/>
    </row>
    <row r="4868" spans="1:1">
      <c r="A4868" s="266"/>
    </row>
    <row r="4869" spans="1:1">
      <c r="A4869" s="265"/>
    </row>
    <row r="4870" spans="1:1">
      <c r="A4870" s="266"/>
    </row>
    <row r="4871" spans="1:1">
      <c r="A4871" s="265"/>
    </row>
    <row r="4872" spans="1:1">
      <c r="A4872" s="266"/>
    </row>
    <row r="4873" spans="1:1">
      <c r="A4873" s="265"/>
    </row>
    <row r="4874" spans="1:1">
      <c r="A4874" s="266"/>
    </row>
    <row r="4875" spans="1:1">
      <c r="A4875" s="265"/>
    </row>
    <row r="4876" spans="1:1">
      <c r="A4876" s="266"/>
    </row>
    <row r="4877" spans="1:1">
      <c r="A4877" s="265"/>
    </row>
    <row r="4878" spans="1:1">
      <c r="A4878" s="266"/>
    </row>
    <row r="4879" spans="1:1">
      <c r="A4879" s="265"/>
    </row>
    <row r="4880" spans="1:1">
      <c r="A4880" s="266"/>
    </row>
    <row r="4881" spans="1:1">
      <c r="A4881" s="265"/>
    </row>
    <row r="4882" spans="1:1">
      <c r="A4882" s="266"/>
    </row>
    <row r="4883" spans="1:1">
      <c r="A4883" s="265"/>
    </row>
    <row r="4884" spans="1:1">
      <c r="A4884" s="265"/>
    </row>
    <row r="4885" spans="1:1">
      <c r="A4885" s="266"/>
    </row>
    <row r="4886" spans="1:1">
      <c r="A4886" s="265"/>
    </row>
    <row r="4887" spans="1:1">
      <c r="A4887" s="266"/>
    </row>
    <row r="4888" spans="1:1">
      <c r="A4888" s="265"/>
    </row>
    <row r="4889" spans="1:1">
      <c r="A4889" s="266"/>
    </row>
    <row r="4890" spans="1:1">
      <c r="A4890" s="265"/>
    </row>
    <row r="4891" spans="1:1">
      <c r="A4891" s="266"/>
    </row>
    <row r="4892" spans="1:1">
      <c r="A4892" s="265"/>
    </row>
    <row r="4893" spans="1:1">
      <c r="A4893" s="265"/>
    </row>
    <row r="4894" spans="1:1">
      <c r="A4894" s="266"/>
    </row>
    <row r="4895" spans="1:1">
      <c r="A4895" s="265"/>
    </row>
    <row r="4896" spans="1:1">
      <c r="A4896" s="265"/>
    </row>
    <row r="4897" spans="1:1">
      <c r="A4897" s="265"/>
    </row>
    <row r="4898" spans="1:1">
      <c r="A4898" s="266"/>
    </row>
    <row r="4899" spans="1:1">
      <c r="A4899" s="265"/>
    </row>
    <row r="4900" spans="1:1">
      <c r="A4900" s="266"/>
    </row>
    <row r="4901" spans="1:1">
      <c r="A4901" s="265"/>
    </row>
    <row r="4902" spans="1:1">
      <c r="A4902" s="266"/>
    </row>
    <row r="4903" spans="1:1">
      <c r="A4903" s="265"/>
    </row>
    <row r="4904" spans="1:1">
      <c r="A4904" s="266"/>
    </row>
    <row r="4905" spans="1:1">
      <c r="A4905" s="265"/>
    </row>
    <row r="4906" spans="1:1">
      <c r="A4906" s="266"/>
    </row>
    <row r="4907" spans="1:1">
      <c r="A4907" s="265"/>
    </row>
    <row r="4908" spans="1:1">
      <c r="A4908" s="266"/>
    </row>
    <row r="4909" spans="1:1">
      <c r="A4909" s="265"/>
    </row>
    <row r="4910" spans="1:1">
      <c r="A4910" s="266"/>
    </row>
    <row r="4911" spans="1:1">
      <c r="A4911" s="265"/>
    </row>
    <row r="4912" spans="1:1">
      <c r="A4912" s="266"/>
    </row>
    <row r="4913" spans="1:1">
      <c r="A4913" s="265"/>
    </row>
    <row r="4914" spans="1:1">
      <c r="A4914" s="266"/>
    </row>
    <row r="4915" spans="1:1">
      <c r="A4915" s="265"/>
    </row>
    <row r="4916" spans="1:1">
      <c r="A4916" s="266"/>
    </row>
    <row r="4917" spans="1:1">
      <c r="A4917" s="265"/>
    </row>
    <row r="4918" spans="1:1">
      <c r="A4918" s="266"/>
    </row>
    <row r="4919" spans="1:1">
      <c r="A4919" s="265"/>
    </row>
    <row r="4920" spans="1:1">
      <c r="A4920" s="266"/>
    </row>
    <row r="4921" spans="1:1">
      <c r="A4921" s="265"/>
    </row>
    <row r="4922" spans="1:1">
      <c r="A4922" s="266"/>
    </row>
    <row r="4923" spans="1:1">
      <c r="A4923" s="265"/>
    </row>
    <row r="4924" spans="1:1">
      <c r="A4924" s="266"/>
    </row>
    <row r="4925" spans="1:1">
      <c r="A4925" s="265"/>
    </row>
    <row r="4926" spans="1:1">
      <c r="A4926" s="266"/>
    </row>
    <row r="4927" spans="1:1">
      <c r="A4927" s="265"/>
    </row>
    <row r="4928" spans="1:1">
      <c r="A4928" s="266"/>
    </row>
    <row r="4929" spans="1:1">
      <c r="A4929" s="265"/>
    </row>
    <row r="4930" spans="1:1">
      <c r="A4930" s="266"/>
    </row>
    <row r="4931" spans="1:1">
      <c r="A4931" s="265"/>
    </row>
    <row r="4932" spans="1:1">
      <c r="A4932" s="266"/>
    </row>
    <row r="4933" spans="1:1">
      <c r="A4933" s="265"/>
    </row>
    <row r="4934" spans="1:1">
      <c r="A4934" s="266"/>
    </row>
    <row r="4935" spans="1:1">
      <c r="A4935" s="265"/>
    </row>
    <row r="4936" spans="1:1">
      <c r="A4936" s="266"/>
    </row>
    <row r="4937" spans="1:1">
      <c r="A4937" s="265"/>
    </row>
    <row r="4938" spans="1:1">
      <c r="A4938" s="266"/>
    </row>
    <row r="4939" spans="1:1">
      <c r="A4939" s="265"/>
    </row>
    <row r="4940" spans="1:1">
      <c r="A4940" s="266"/>
    </row>
    <row r="4941" spans="1:1">
      <c r="A4941" s="265"/>
    </row>
    <row r="4942" spans="1:1">
      <c r="A4942" s="266"/>
    </row>
    <row r="4943" spans="1:1">
      <c r="A4943" s="265"/>
    </row>
    <row r="4944" spans="1:1">
      <c r="A4944" s="266"/>
    </row>
    <row r="4945" spans="1:1">
      <c r="A4945" s="265"/>
    </row>
    <row r="4946" spans="1:1">
      <c r="A4946" s="265"/>
    </row>
    <row r="4947" spans="1:1">
      <c r="A4947" s="266"/>
    </row>
    <row r="4948" spans="1:1">
      <c r="A4948" s="265"/>
    </row>
    <row r="4949" spans="1:1">
      <c r="A4949" s="266"/>
    </row>
    <row r="4950" spans="1:1">
      <c r="A4950" s="265"/>
    </row>
    <row r="4951" spans="1:1">
      <c r="A4951" s="266"/>
    </row>
    <row r="4952" spans="1:1">
      <c r="A4952" s="265"/>
    </row>
    <row r="4953" spans="1:1">
      <c r="A4953" s="266"/>
    </row>
    <row r="4954" spans="1:1">
      <c r="A4954" s="265"/>
    </row>
    <row r="4955" spans="1:1">
      <c r="A4955" s="266"/>
    </row>
    <row r="4956" spans="1:1">
      <c r="A4956" s="265"/>
    </row>
    <row r="4957" spans="1:1">
      <c r="A4957" s="266"/>
    </row>
    <row r="4958" spans="1:1">
      <c r="A4958" s="265"/>
    </row>
    <row r="4959" spans="1:1">
      <c r="A4959" s="266"/>
    </row>
    <row r="4960" spans="1:1">
      <c r="A4960" s="265"/>
    </row>
    <row r="4961" spans="1:1">
      <c r="A4961" s="266"/>
    </row>
    <row r="4962" spans="1:1">
      <c r="A4962" s="265"/>
    </row>
    <row r="4963" spans="1:1">
      <c r="A4963" s="266"/>
    </row>
    <row r="4964" spans="1:1">
      <c r="A4964" s="265"/>
    </row>
    <row r="4965" spans="1:1">
      <c r="A4965" s="266"/>
    </row>
    <row r="4966" spans="1:1">
      <c r="A4966" s="265"/>
    </row>
    <row r="4967" spans="1:1">
      <c r="A4967" s="266"/>
    </row>
    <row r="4968" spans="1:1">
      <c r="A4968" s="265"/>
    </row>
    <row r="4969" spans="1:1">
      <c r="A4969" s="266"/>
    </row>
    <row r="4970" spans="1:1">
      <c r="A4970" s="265"/>
    </row>
    <row r="4971" spans="1:1">
      <c r="A4971" s="266"/>
    </row>
    <row r="4972" spans="1:1">
      <c r="A4972" s="265"/>
    </row>
    <row r="4973" spans="1:1">
      <c r="A4973" s="266"/>
    </row>
    <row r="4974" spans="1:1">
      <c r="A4974" s="265"/>
    </row>
    <row r="4975" spans="1:1">
      <c r="A4975" s="266"/>
    </row>
    <row r="4976" spans="1:1">
      <c r="A4976" s="265"/>
    </row>
    <row r="4977" spans="1:1">
      <c r="A4977" s="266"/>
    </row>
    <row r="4978" spans="1:1">
      <c r="A4978" s="265"/>
    </row>
    <row r="4979" spans="1:1">
      <c r="A4979" s="266"/>
    </row>
    <row r="4980" spans="1:1">
      <c r="A4980" s="265"/>
    </row>
    <row r="4981" spans="1:1">
      <c r="A4981" s="266"/>
    </row>
    <row r="4982" spans="1:1">
      <c r="A4982" s="265"/>
    </row>
    <row r="4983" spans="1:1">
      <c r="A4983" s="266"/>
    </row>
    <row r="4984" spans="1:1">
      <c r="A4984" s="265"/>
    </row>
    <row r="4985" spans="1:1">
      <c r="A4985" s="266"/>
    </row>
    <row r="4986" spans="1:1">
      <c r="A4986" s="265"/>
    </row>
    <row r="4987" spans="1:1">
      <c r="A4987" s="266"/>
    </row>
    <row r="4988" spans="1:1">
      <c r="A4988" s="265"/>
    </row>
    <row r="4989" spans="1:1">
      <c r="A4989" s="266"/>
    </row>
    <row r="4990" spans="1:1">
      <c r="A4990" s="265"/>
    </row>
    <row r="4991" spans="1:1">
      <c r="A4991" s="266"/>
    </row>
    <row r="4992" spans="1:1">
      <c r="A4992" s="265"/>
    </row>
    <row r="4993" spans="1:1">
      <c r="A4993" s="265"/>
    </row>
    <row r="4994" spans="1:1">
      <c r="A4994" s="266"/>
    </row>
    <row r="4995" spans="1:1">
      <c r="A4995" s="265"/>
    </row>
    <row r="4996" spans="1:1">
      <c r="A4996" s="266"/>
    </row>
    <row r="4997" spans="1:1">
      <c r="A4997" s="265"/>
    </row>
    <row r="4998" spans="1:1">
      <c r="A4998" s="266"/>
    </row>
    <row r="4999" spans="1:1">
      <c r="A4999" s="265"/>
    </row>
    <row r="5000" spans="1:1">
      <c r="A5000" s="266"/>
    </row>
    <row r="5001" spans="1:1">
      <c r="A5001" s="265"/>
    </row>
    <row r="5002" spans="1:1">
      <c r="A5002" s="266"/>
    </row>
    <row r="5003" spans="1:1">
      <c r="A5003" s="265"/>
    </row>
    <row r="5004" spans="1:1">
      <c r="A5004" s="266"/>
    </row>
    <row r="5005" spans="1:1">
      <c r="A5005" s="265"/>
    </row>
    <row r="5006" spans="1:1">
      <c r="A5006" s="266"/>
    </row>
    <row r="5007" spans="1:1">
      <c r="A5007" s="265"/>
    </row>
    <row r="5008" spans="1:1">
      <c r="A5008" s="266"/>
    </row>
    <row r="5009" spans="1:1">
      <c r="A5009" s="266"/>
    </row>
    <row r="5010" spans="1:1">
      <c r="A5010" s="266"/>
    </row>
    <row r="5011" spans="1:1">
      <c r="A5011" s="265"/>
    </row>
    <row r="5012" spans="1:1">
      <c r="A5012" s="266"/>
    </row>
    <row r="5013" spans="1:1">
      <c r="A5013" s="265"/>
    </row>
    <row r="5014" spans="1:1">
      <c r="A5014" s="266"/>
    </row>
    <row r="5015" spans="1:1">
      <c r="A5015" s="265"/>
    </row>
    <row r="5016" spans="1:1">
      <c r="A5016" s="266"/>
    </row>
    <row r="5017" spans="1:1">
      <c r="A5017" s="265"/>
    </row>
    <row r="5018" spans="1:1">
      <c r="A5018" s="266"/>
    </row>
    <row r="5019" spans="1:1">
      <c r="A5019" s="265"/>
    </row>
    <row r="5020" spans="1:1">
      <c r="A5020" s="266"/>
    </row>
    <row r="5021" spans="1:1">
      <c r="A5021" s="265"/>
    </row>
    <row r="5022" spans="1:1">
      <c r="A5022" s="266"/>
    </row>
    <row r="5023" spans="1:1">
      <c r="A5023" s="265"/>
    </row>
    <row r="5024" spans="1:1">
      <c r="A5024" s="266"/>
    </row>
    <row r="5025" spans="1:1">
      <c r="A5025" s="265"/>
    </row>
    <row r="5026" spans="1:1">
      <c r="A5026" s="266"/>
    </row>
    <row r="5027" spans="1:1">
      <c r="A5027" s="265"/>
    </row>
    <row r="5028" spans="1:1">
      <c r="A5028" s="266"/>
    </row>
    <row r="5029" spans="1:1">
      <c r="A5029" s="265"/>
    </row>
    <row r="5030" spans="1:1">
      <c r="A5030" s="266"/>
    </row>
    <row r="5031" spans="1:1">
      <c r="A5031" s="265"/>
    </row>
    <row r="5032" spans="1:1">
      <c r="A5032" s="266"/>
    </row>
    <row r="5033" spans="1:1">
      <c r="A5033" s="265"/>
    </row>
    <row r="5034" spans="1:1">
      <c r="A5034" s="266"/>
    </row>
    <row r="5035" spans="1:1">
      <c r="A5035" s="265"/>
    </row>
    <row r="5036" spans="1:1">
      <c r="A5036" s="266"/>
    </row>
    <row r="5037" spans="1:1">
      <c r="A5037" s="265"/>
    </row>
    <row r="5038" spans="1:1">
      <c r="A5038" s="266"/>
    </row>
    <row r="5039" spans="1:1">
      <c r="A5039" s="265"/>
    </row>
    <row r="5040" spans="1:1">
      <c r="A5040" s="266"/>
    </row>
    <row r="5041" spans="1:1">
      <c r="A5041" s="265"/>
    </row>
    <row r="5042" spans="1:1">
      <c r="A5042" s="266"/>
    </row>
    <row r="5043" spans="1:1">
      <c r="A5043" s="284"/>
    </row>
    <row r="5044" spans="1:1">
      <c r="A5044" s="285"/>
    </row>
    <row r="5045" spans="1:1">
      <c r="A5045" s="285"/>
    </row>
    <row r="5046" spans="1:1">
      <c r="A5046" s="285"/>
    </row>
    <row r="5047" spans="1:1">
      <c r="A5047" s="285"/>
    </row>
    <row r="5048" spans="1:1">
      <c r="A5048" s="285"/>
    </row>
    <row r="5049" spans="1:1">
      <c r="A5049" s="285"/>
    </row>
    <row r="5050" spans="1:1">
      <c r="A5050" s="285"/>
    </row>
    <row r="5051" spans="1:1">
      <c r="A5051" s="285"/>
    </row>
    <row r="5052" spans="1:1">
      <c r="A5052" s="285"/>
    </row>
    <row r="5053" spans="1:1">
      <c r="A5053" s="285"/>
    </row>
    <row r="5054" spans="1:1">
      <c r="A5054" s="285"/>
    </row>
    <row r="5055" spans="1:1">
      <c r="A5055" s="285"/>
    </row>
    <row r="5056" spans="1:1">
      <c r="A5056" s="285"/>
    </row>
    <row r="5057" spans="1:1">
      <c r="A5057" s="285"/>
    </row>
    <row r="5058" spans="1:1">
      <c r="A5058" s="285"/>
    </row>
    <row r="5059" spans="1:1">
      <c r="A5059" s="285"/>
    </row>
    <row r="5060" spans="1:1">
      <c r="A5060" s="285"/>
    </row>
    <row r="5061" spans="1:1">
      <c r="A5061" s="285"/>
    </row>
    <row r="5062" spans="1:1">
      <c r="A5062" s="285"/>
    </row>
    <row r="5063" spans="1:1">
      <c r="A5063" s="285"/>
    </row>
    <row r="5064" spans="1:1">
      <c r="A5064" s="285"/>
    </row>
    <row r="5065" spans="1:1">
      <c r="A5065" s="285"/>
    </row>
    <row r="5066" spans="1:1">
      <c r="A5066" s="285"/>
    </row>
    <row r="5067" spans="1:1">
      <c r="A5067" s="285"/>
    </row>
    <row r="5068" spans="1:1">
      <c r="A5068" s="285"/>
    </row>
    <row r="5069" spans="1:1">
      <c r="A5069" s="285"/>
    </row>
    <row r="5070" spans="1:1">
      <c r="A5070" s="285"/>
    </row>
    <row r="5071" spans="1:1">
      <c r="A5071" s="285"/>
    </row>
    <row r="5072" spans="1:1">
      <c r="A5072" s="285"/>
    </row>
    <row r="5073" spans="1:1">
      <c r="A5073" s="285"/>
    </row>
    <row r="5074" spans="1:1">
      <c r="A5074" s="285"/>
    </row>
    <row r="5075" spans="1:1">
      <c r="A5075" s="285"/>
    </row>
    <row r="5076" spans="1:1">
      <c r="A5076" s="285"/>
    </row>
    <row r="5077" spans="1:1">
      <c r="A5077" s="285"/>
    </row>
    <row r="5078" spans="1:1">
      <c r="A5078" s="285"/>
    </row>
    <row r="5079" spans="1:1">
      <c r="A5079" s="285"/>
    </row>
    <row r="5080" spans="1:1">
      <c r="A5080" s="285"/>
    </row>
    <row r="5081" spans="1:1">
      <c r="A5081" s="285"/>
    </row>
    <row r="5082" spans="1:1">
      <c r="A5082" s="285"/>
    </row>
    <row r="5083" spans="1:1">
      <c r="A5083" s="285"/>
    </row>
    <row r="5084" spans="1:1">
      <c r="A5084" s="285"/>
    </row>
    <row r="5085" spans="1:1">
      <c r="A5085" s="285"/>
    </row>
    <row r="5086" spans="1:1">
      <c r="A5086" s="285"/>
    </row>
    <row r="5087" spans="1:1">
      <c r="A5087" s="285"/>
    </row>
    <row r="5088" spans="1:1">
      <c r="A5088" s="285"/>
    </row>
    <row r="5089" spans="1:1">
      <c r="A5089" s="285"/>
    </row>
    <row r="5090" spans="1:1">
      <c r="A5090" s="285"/>
    </row>
    <row r="5091" spans="1:1">
      <c r="A5091" s="285"/>
    </row>
    <row r="5092" spans="1:1">
      <c r="A5092" s="285"/>
    </row>
    <row r="5093" spans="1:1">
      <c r="A5093" s="285"/>
    </row>
    <row r="5094" spans="1:1">
      <c r="A5094" s="285"/>
    </row>
    <row r="5095" spans="1:1">
      <c r="A5095" s="285"/>
    </row>
    <row r="5096" spans="1:1">
      <c r="A5096" s="285"/>
    </row>
    <row r="5097" spans="1:1">
      <c r="A5097" s="285"/>
    </row>
    <row r="5098" spans="1:1">
      <c r="A5098" s="286"/>
    </row>
    <row r="5099" spans="1:1">
      <c r="A5099" s="285"/>
    </row>
    <row r="5100" spans="1:1">
      <c r="A5100" s="285"/>
    </row>
    <row r="5101" spans="1:1">
      <c r="A5101" s="285"/>
    </row>
    <row r="5102" spans="1:1">
      <c r="A5102" s="285"/>
    </row>
    <row r="5103" spans="1:1">
      <c r="A5103" s="285"/>
    </row>
    <row r="5104" spans="1:1">
      <c r="A5104" s="285"/>
    </row>
    <row r="5105" spans="1:1">
      <c r="A5105" s="285"/>
    </row>
    <row r="5106" spans="1:1">
      <c r="A5106" s="285"/>
    </row>
    <row r="5107" spans="1:1">
      <c r="A5107" s="285"/>
    </row>
    <row r="5108" spans="1:1">
      <c r="A5108" s="285"/>
    </row>
    <row r="5109" spans="1:1">
      <c r="A5109" s="285"/>
    </row>
    <row r="5110" spans="1:1">
      <c r="A5110" s="285"/>
    </row>
    <row r="5111" spans="1:1">
      <c r="A5111" s="285"/>
    </row>
    <row r="5112" spans="1:1">
      <c r="A5112" s="285"/>
    </row>
    <row r="5113" spans="1:1">
      <c r="A5113" s="285"/>
    </row>
    <row r="5114" spans="1:1">
      <c r="A5114" s="285"/>
    </row>
    <row r="5115" spans="1:1">
      <c r="A5115" s="285"/>
    </row>
    <row r="5116" spans="1:1">
      <c r="A5116" s="285"/>
    </row>
    <row r="5117" spans="1:1">
      <c r="A5117" s="285"/>
    </row>
    <row r="5118" spans="1:1">
      <c r="A5118" s="285"/>
    </row>
    <row r="5119" spans="1:1">
      <c r="A5119" s="285"/>
    </row>
    <row r="5120" spans="1:1">
      <c r="A5120" s="285"/>
    </row>
    <row r="5121" spans="1:1">
      <c r="A5121" s="285"/>
    </row>
    <row r="5122" spans="1:1">
      <c r="A5122" s="285"/>
    </row>
    <row r="5123" spans="1:1">
      <c r="A5123" s="285"/>
    </row>
    <row r="5124" spans="1:1">
      <c r="A5124" s="285"/>
    </row>
    <row r="5125" spans="1:1">
      <c r="A5125" s="285"/>
    </row>
    <row r="5126" spans="1:1">
      <c r="A5126" s="285"/>
    </row>
    <row r="5127" spans="1:1">
      <c r="A5127" s="285"/>
    </row>
    <row r="5128" spans="1:1">
      <c r="A5128" s="285"/>
    </row>
    <row r="5129" spans="1:1">
      <c r="A5129" s="285"/>
    </row>
    <row r="5130" spans="1:1">
      <c r="A5130" s="285"/>
    </row>
    <row r="5131" spans="1:1">
      <c r="A5131" s="285"/>
    </row>
    <row r="5132" spans="1:1">
      <c r="A5132" s="285"/>
    </row>
    <row r="5133" spans="1:1">
      <c r="A5133" s="285"/>
    </row>
    <row r="5134" spans="1:1">
      <c r="A5134" s="285"/>
    </row>
    <row r="5135" spans="1:1">
      <c r="A5135" s="285"/>
    </row>
    <row r="5136" spans="1:1">
      <c r="A5136" s="285"/>
    </row>
    <row r="5137" spans="1:1">
      <c r="A5137" s="285"/>
    </row>
    <row r="5138" spans="1:1">
      <c r="A5138" s="285"/>
    </row>
    <row r="5139" spans="1:1">
      <c r="A5139" s="287"/>
    </row>
    <row r="5140" spans="1:1">
      <c r="A5140" s="286"/>
    </row>
    <row r="5141" spans="1:1">
      <c r="A5141" s="285"/>
    </row>
    <row r="5142" spans="1:1">
      <c r="A5142" s="285"/>
    </row>
    <row r="5143" spans="1:1">
      <c r="A5143" s="285"/>
    </row>
    <row r="5144" spans="1:1">
      <c r="A5144" s="285"/>
    </row>
    <row r="5145" spans="1:1">
      <c r="A5145" s="285"/>
    </row>
    <row r="5146" spans="1:1">
      <c r="A5146" s="285"/>
    </row>
    <row r="5147" spans="1:1">
      <c r="A5147" s="285"/>
    </row>
    <row r="5148" spans="1:1">
      <c r="A5148" s="286"/>
    </row>
    <row r="5149" spans="1:1">
      <c r="A5149" s="287"/>
    </row>
    <row r="5150" spans="1:1">
      <c r="A5150" s="286"/>
    </row>
    <row r="5151" spans="1:1">
      <c r="A5151" s="287"/>
    </row>
    <row r="5152" spans="1:1">
      <c r="A5152" s="285"/>
    </row>
    <row r="5153" spans="1:1">
      <c r="A5153" s="285"/>
    </row>
    <row r="5154" spans="1:1">
      <c r="A5154" s="285"/>
    </row>
    <row r="5155" spans="1:1">
      <c r="A5155" s="285"/>
    </row>
    <row r="5156" spans="1:1">
      <c r="A5156" s="285"/>
    </row>
    <row r="5157" spans="1:1">
      <c r="A5157" s="285"/>
    </row>
    <row r="5158" spans="1:1">
      <c r="A5158" s="285"/>
    </row>
    <row r="5159" spans="1:1">
      <c r="A5159" s="287"/>
    </row>
    <row r="5160" spans="1:1">
      <c r="A5160" s="286"/>
    </row>
    <row r="5161" spans="1:1">
      <c r="A5161" s="287"/>
    </row>
    <row r="5162" spans="1:1">
      <c r="A5162" s="286"/>
    </row>
    <row r="5163" spans="1:1">
      <c r="A5163" s="285"/>
    </row>
    <row r="5164" spans="1:1">
      <c r="A5164" s="285"/>
    </row>
    <row r="5165" spans="1:1">
      <c r="A5165" s="287"/>
    </row>
    <row r="5166" spans="1:1">
      <c r="A5166" s="285"/>
    </row>
    <row r="5167" spans="1:1">
      <c r="A5167" s="285"/>
    </row>
    <row r="5168" spans="1:1">
      <c r="A5168" s="285"/>
    </row>
    <row r="5169" spans="1:1">
      <c r="A5169" s="285"/>
    </row>
    <row r="5170" spans="1:1">
      <c r="A5170" s="285"/>
    </row>
    <row r="5171" spans="1:1">
      <c r="A5171" s="287"/>
    </row>
    <row r="5172" spans="1:1">
      <c r="A5172" s="286"/>
    </row>
    <row r="5173" spans="1:1">
      <c r="A5173" s="287"/>
    </row>
    <row r="5174" spans="1:1">
      <c r="A5174" s="286"/>
    </row>
    <row r="5175" spans="1:1">
      <c r="A5175" s="287"/>
    </row>
    <row r="5176" spans="1:1">
      <c r="A5176" s="286"/>
    </row>
    <row r="5177" spans="1:1">
      <c r="A5177" s="285"/>
    </row>
    <row r="5178" spans="1:1">
      <c r="A5178" s="285"/>
    </row>
    <row r="5179" spans="1:1">
      <c r="A5179" s="285"/>
    </row>
    <row r="5180" spans="1:1">
      <c r="A5180" s="286"/>
    </row>
    <row r="5181" spans="1:1">
      <c r="A5181" s="266"/>
    </row>
    <row r="5182" spans="1:1">
      <c r="A5182" s="129"/>
    </row>
    <row r="5183" spans="1:1">
      <c r="A5183" s="129"/>
    </row>
    <row r="5184" spans="1:1">
      <c r="A5184" s="129"/>
    </row>
    <row r="5185" spans="1:1">
      <c r="A5185" s="129"/>
    </row>
    <row r="5186" spans="1:1">
      <c r="A5186" s="129"/>
    </row>
    <row r="5187" spans="1:1">
      <c r="A5187" s="129"/>
    </row>
    <row r="5188" spans="1:1">
      <c r="A5188" s="129"/>
    </row>
    <row r="5189" spans="1:1">
      <c r="A5189" s="129"/>
    </row>
    <row r="5190" spans="1:1">
      <c r="A5190" s="129"/>
    </row>
    <row r="5191" spans="1:1">
      <c r="A5191" s="129"/>
    </row>
    <row r="5192" spans="1:1">
      <c r="A5192" s="129"/>
    </row>
    <row r="5193" spans="1:1">
      <c r="A5193" s="129"/>
    </row>
    <row r="5194" spans="1:1">
      <c r="A5194" s="129"/>
    </row>
    <row r="5195" spans="1:1">
      <c r="A5195" s="129"/>
    </row>
    <row r="5196" spans="1:1">
      <c r="A5196" s="129"/>
    </row>
    <row r="5197" spans="1:1">
      <c r="A5197" s="129"/>
    </row>
    <row r="5198" spans="1:1">
      <c r="A5198" s="129"/>
    </row>
    <row r="5199" spans="1:1">
      <c r="A5199" s="129"/>
    </row>
    <row r="5200" spans="1:1">
      <c r="A5200" s="129"/>
    </row>
    <row r="5201" spans="1:1">
      <c r="A5201" s="129"/>
    </row>
    <row r="5202" spans="1:1">
      <c r="A5202" s="129"/>
    </row>
    <row r="5203" spans="1:1">
      <c r="A5203" s="129"/>
    </row>
    <row r="5204" spans="1:1">
      <c r="A5204" s="129"/>
    </row>
    <row r="5205" spans="1:1">
      <c r="A5205" s="129"/>
    </row>
    <row r="5206" spans="1:1">
      <c r="A5206" s="129"/>
    </row>
    <row r="5207" spans="1:1">
      <c r="A5207" s="129"/>
    </row>
    <row r="5208" spans="1:1">
      <c r="A5208" s="129"/>
    </row>
    <row r="5209" spans="1:1">
      <c r="A5209" s="129"/>
    </row>
    <row r="5210" spans="1:1">
      <c r="A5210" s="129"/>
    </row>
    <row r="5211" spans="1:1">
      <c r="A5211" s="129"/>
    </row>
    <row r="5212" spans="1:1">
      <c r="A5212" s="129"/>
    </row>
    <row r="5213" spans="1:1">
      <c r="A5213" s="129"/>
    </row>
    <row r="5214" spans="1:1">
      <c r="A5214" s="129"/>
    </row>
    <row r="5215" spans="1:1">
      <c r="A5215" s="129"/>
    </row>
    <row r="5216" spans="1:1">
      <c r="A5216" s="129"/>
    </row>
    <row r="5217" spans="1:1">
      <c r="A5217" s="129"/>
    </row>
    <row r="5218" spans="1:1">
      <c r="A5218" s="129"/>
    </row>
    <row r="5219" spans="1:1">
      <c r="A5219" s="129"/>
    </row>
    <row r="5220" spans="1:1">
      <c r="A5220" s="129"/>
    </row>
    <row r="5221" spans="1:1">
      <c r="A5221" s="129"/>
    </row>
    <row r="5222" spans="1:1">
      <c r="A5222" s="129"/>
    </row>
    <row r="5223" spans="1:1">
      <c r="A5223" s="129"/>
    </row>
    <row r="5224" spans="1:1">
      <c r="A5224" s="129"/>
    </row>
    <row r="5225" spans="1:1">
      <c r="A5225" s="129"/>
    </row>
    <row r="5226" spans="1:1">
      <c r="A5226" s="129"/>
    </row>
    <row r="5227" spans="1:1">
      <c r="A5227" s="129"/>
    </row>
    <row r="5228" spans="1:1">
      <c r="A5228" s="129"/>
    </row>
    <row r="5229" spans="1:1">
      <c r="A5229" s="129"/>
    </row>
    <row r="5230" spans="1:1">
      <c r="A5230" s="129"/>
    </row>
    <row r="5231" spans="1:1">
      <c r="A5231" s="129"/>
    </row>
    <row r="5232" spans="1:1">
      <c r="A5232" s="129"/>
    </row>
    <row r="5233" spans="1:1">
      <c r="A5233" s="129"/>
    </row>
    <row r="5234" spans="1:1">
      <c r="A5234" s="129"/>
    </row>
    <row r="5235" spans="1:1">
      <c r="A5235" s="129"/>
    </row>
    <row r="5236" spans="1:1">
      <c r="A5236" s="129"/>
    </row>
    <row r="5237" spans="1:1">
      <c r="A5237" s="129"/>
    </row>
    <row r="5238" spans="1:1">
      <c r="A5238" s="129"/>
    </row>
    <row r="5239" spans="1:1">
      <c r="A5239" s="129"/>
    </row>
    <row r="5240" spans="1:1">
      <c r="A5240" s="129"/>
    </row>
    <row r="5241" spans="1:1">
      <c r="A5241" s="129"/>
    </row>
    <row r="5242" spans="1:1">
      <c r="A5242" s="129"/>
    </row>
    <row r="5243" spans="1:1">
      <c r="A5243" s="129"/>
    </row>
    <row r="5244" spans="1:1">
      <c r="A5244" s="129"/>
    </row>
    <row r="5245" spans="1:1">
      <c r="A5245" s="129"/>
    </row>
    <row r="5246" spans="1:1">
      <c r="A5246" s="129"/>
    </row>
    <row r="5247" spans="1:1">
      <c r="A5247" s="129"/>
    </row>
    <row r="5248" spans="1:1">
      <c r="A5248" s="129"/>
    </row>
    <row r="5249" spans="1:1">
      <c r="A5249" s="129"/>
    </row>
    <row r="5250" spans="1:1">
      <c r="A5250" s="129"/>
    </row>
    <row r="5251" spans="1:1">
      <c r="A5251" s="129"/>
    </row>
    <row r="5252" spans="1:1">
      <c r="A5252" s="129"/>
    </row>
    <row r="5253" spans="1:1">
      <c r="A5253" s="129"/>
    </row>
    <row r="5254" spans="1:1">
      <c r="A5254" s="129"/>
    </row>
    <row r="5255" spans="1:1">
      <c r="A5255" s="129"/>
    </row>
    <row r="5256" spans="1:1">
      <c r="A5256" s="129"/>
    </row>
    <row r="5257" spans="1:1">
      <c r="A5257" s="129"/>
    </row>
    <row r="5258" spans="1:1">
      <c r="A5258" s="129"/>
    </row>
    <row r="5259" spans="1:1">
      <c r="A5259" s="129"/>
    </row>
    <row r="5260" spans="1:1">
      <c r="A5260" s="129"/>
    </row>
    <row r="5261" spans="1:1">
      <c r="A5261" s="129"/>
    </row>
    <row r="5262" spans="1:1">
      <c r="A5262" s="129"/>
    </row>
    <row r="5263" spans="1:1">
      <c r="A5263" s="129"/>
    </row>
    <row r="5264" spans="1:1">
      <c r="A5264" s="129"/>
    </row>
    <row r="5265" spans="1:1">
      <c r="A5265" s="129"/>
    </row>
    <row r="5266" spans="1:1">
      <c r="A5266" s="129"/>
    </row>
    <row r="5267" spans="1:1">
      <c r="A5267" s="129"/>
    </row>
    <row r="5268" spans="1:1">
      <c r="A5268" s="129"/>
    </row>
    <row r="5269" spans="1:1">
      <c r="A5269" s="129"/>
    </row>
    <row r="5270" spans="1:1">
      <c r="A5270" s="129"/>
    </row>
    <row r="5271" spans="1:1">
      <c r="A5271" s="129"/>
    </row>
    <row r="5272" spans="1:1">
      <c r="A5272" s="129"/>
    </row>
    <row r="5273" spans="1:1">
      <c r="A5273" s="129"/>
    </row>
    <row r="5274" spans="1:1">
      <c r="A5274" s="129"/>
    </row>
    <row r="5275" spans="1:1">
      <c r="A5275" s="129"/>
    </row>
    <row r="5276" spans="1:1">
      <c r="A5276" s="129"/>
    </row>
    <row r="5277" spans="1:1">
      <c r="A5277" s="129"/>
    </row>
    <row r="5278" spans="1:1">
      <c r="A5278" s="129"/>
    </row>
    <row r="5279" spans="1:1">
      <c r="A5279" s="129"/>
    </row>
    <row r="5280" spans="1:1">
      <c r="A5280" s="129"/>
    </row>
    <row r="5281" spans="1:1">
      <c r="A5281" s="129"/>
    </row>
    <row r="5282" spans="1:1">
      <c r="A5282" s="129"/>
    </row>
    <row r="5283" spans="1:1">
      <c r="A5283" s="129"/>
    </row>
    <row r="5284" spans="1:1">
      <c r="A5284" s="129"/>
    </row>
    <row r="5285" spans="1:1">
      <c r="A5285" s="129"/>
    </row>
    <row r="5286" spans="1:1">
      <c r="A5286" s="129"/>
    </row>
    <row r="5287" spans="1:1">
      <c r="A5287" s="129"/>
    </row>
    <row r="5288" spans="1:1">
      <c r="A5288" s="129"/>
    </row>
    <row r="5289" spans="1:1">
      <c r="A5289" s="129"/>
    </row>
    <row r="5290" spans="1:1">
      <c r="A5290" s="129"/>
    </row>
    <row r="5291" spans="1:1">
      <c r="A5291" s="129"/>
    </row>
    <row r="5292" spans="1:1">
      <c r="A5292" s="129"/>
    </row>
    <row r="5293" spans="1:1">
      <c r="A5293" s="129"/>
    </row>
    <row r="5294" spans="1:1">
      <c r="A5294" s="129"/>
    </row>
    <row r="5295" spans="1:1">
      <c r="A5295" s="129"/>
    </row>
    <row r="5296" spans="1:1">
      <c r="A5296" s="129"/>
    </row>
    <row r="5297" spans="1:1">
      <c r="A5297" s="129"/>
    </row>
    <row r="5298" spans="1:1">
      <c r="A5298" s="129"/>
    </row>
    <row r="5299" spans="1:1">
      <c r="A5299" s="129"/>
    </row>
    <row r="5300" spans="1:1">
      <c r="A5300" s="129"/>
    </row>
    <row r="5301" spans="1:1">
      <c r="A5301" s="129"/>
    </row>
    <row r="5302" spans="1:1">
      <c r="A5302" s="129"/>
    </row>
    <row r="5303" spans="1:1">
      <c r="A5303" s="129"/>
    </row>
    <row r="5304" spans="1:1">
      <c r="A5304" s="129"/>
    </row>
    <row r="5305" spans="1:1">
      <c r="A5305" s="129"/>
    </row>
    <row r="5306" spans="1:1">
      <c r="A5306" s="129"/>
    </row>
    <row r="5307" spans="1:1">
      <c r="A5307" s="129"/>
    </row>
    <row r="5308" spans="1:1">
      <c r="A5308" s="129"/>
    </row>
    <row r="5309" spans="1:1">
      <c r="A5309" s="129"/>
    </row>
    <row r="5310" spans="1:1">
      <c r="A5310" s="129"/>
    </row>
    <row r="5311" spans="1:1">
      <c r="A5311" s="129"/>
    </row>
    <row r="5312" spans="1:1">
      <c r="A5312" s="129"/>
    </row>
    <row r="5313" spans="1:1">
      <c r="A5313" s="129"/>
    </row>
    <row r="5314" spans="1:1">
      <c r="A5314" s="129"/>
    </row>
    <row r="5315" spans="1:1">
      <c r="A5315" s="129"/>
    </row>
    <row r="5316" spans="1:1">
      <c r="A5316" s="129"/>
    </row>
    <row r="5317" spans="1:1">
      <c r="A5317" s="129"/>
    </row>
    <row r="5318" spans="1:1">
      <c r="A5318" s="129"/>
    </row>
    <row r="5319" spans="1:1">
      <c r="A5319" s="129"/>
    </row>
    <row r="5320" spans="1:1">
      <c r="A5320" s="129"/>
    </row>
    <row r="5321" spans="1:1">
      <c r="A5321" s="129"/>
    </row>
    <row r="5322" spans="1:1">
      <c r="A5322" s="129"/>
    </row>
    <row r="5323" spans="1:1">
      <c r="A5323" s="129"/>
    </row>
    <row r="5324" spans="1:1">
      <c r="A5324" s="129"/>
    </row>
    <row r="5325" spans="1:1">
      <c r="A5325" s="129"/>
    </row>
    <row r="5326" spans="1:1">
      <c r="A5326" s="129"/>
    </row>
    <row r="5327" spans="1:1">
      <c r="A5327" s="129"/>
    </row>
    <row r="5328" spans="1:1">
      <c r="A5328" s="129"/>
    </row>
    <row r="5329" spans="1:1">
      <c r="A5329" s="129"/>
    </row>
    <row r="5330" spans="1:1">
      <c r="A5330" s="129"/>
    </row>
    <row r="5331" spans="1:1">
      <c r="A5331" s="129"/>
    </row>
    <row r="5332" spans="1:1">
      <c r="A5332" s="129"/>
    </row>
    <row r="5333" spans="1:1">
      <c r="A5333" s="129"/>
    </row>
    <row r="5334" spans="1:1">
      <c r="A5334" s="129"/>
    </row>
    <row r="5335" spans="1:1">
      <c r="A5335" s="129"/>
    </row>
    <row r="5336" spans="1:1">
      <c r="A5336" s="129"/>
    </row>
    <row r="5337" spans="1:1">
      <c r="A5337" s="129"/>
    </row>
    <row r="5338" spans="1:1">
      <c r="A5338" s="129"/>
    </row>
    <row r="5339" spans="1:1">
      <c r="A5339" s="129"/>
    </row>
    <row r="5340" spans="1:1">
      <c r="A5340" s="129"/>
    </row>
    <row r="5341" spans="1:1">
      <c r="A5341" s="129"/>
    </row>
    <row r="5342" spans="1:1">
      <c r="A5342" s="129"/>
    </row>
    <row r="5343" spans="1:1">
      <c r="A5343" s="129"/>
    </row>
    <row r="5344" spans="1:1">
      <c r="A5344" s="129"/>
    </row>
    <row r="5345" spans="1:1">
      <c r="A5345" s="129"/>
    </row>
    <row r="5346" spans="1:1">
      <c r="A5346" s="129"/>
    </row>
    <row r="5347" spans="1:1">
      <c r="A5347" s="129"/>
    </row>
    <row r="5348" spans="1:1">
      <c r="A5348" s="129"/>
    </row>
    <row r="5349" spans="1:1">
      <c r="A5349" s="129"/>
    </row>
    <row r="5350" spans="1:1">
      <c r="A5350" s="129"/>
    </row>
    <row r="5351" spans="1:1">
      <c r="A5351" s="129"/>
    </row>
    <row r="5352" spans="1:1">
      <c r="A5352" s="129"/>
    </row>
    <row r="5353" spans="1:1">
      <c r="A5353" s="129"/>
    </row>
    <row r="5354" spans="1:1">
      <c r="A5354" s="129"/>
    </row>
    <row r="5355" spans="1:1">
      <c r="A5355" s="129"/>
    </row>
    <row r="5356" spans="1:1">
      <c r="A5356" s="129"/>
    </row>
    <row r="5357" spans="1:1">
      <c r="A5357" s="129"/>
    </row>
    <row r="5358" spans="1:1">
      <c r="A5358" s="129"/>
    </row>
    <row r="5359" spans="1:1">
      <c r="A5359" s="129"/>
    </row>
    <row r="5360" spans="1:1">
      <c r="A5360" s="129"/>
    </row>
    <row r="5361" spans="1:1">
      <c r="A5361" s="129"/>
    </row>
    <row r="5362" spans="1:1">
      <c r="A5362" s="129"/>
    </row>
    <row r="5363" spans="1:1">
      <c r="A5363" s="129"/>
    </row>
    <row r="5364" spans="1:1">
      <c r="A5364" s="129"/>
    </row>
    <row r="5365" spans="1:1">
      <c r="A5365" s="129"/>
    </row>
    <row r="5366" spans="1:1">
      <c r="A5366" s="129"/>
    </row>
    <row r="5367" spans="1:1">
      <c r="A5367" s="129"/>
    </row>
    <row r="5368" spans="1:1">
      <c r="A5368" s="129"/>
    </row>
    <row r="5369" spans="1:1">
      <c r="A5369" s="129"/>
    </row>
    <row r="5370" spans="1:1">
      <c r="A5370" s="129"/>
    </row>
    <row r="5371" spans="1:1">
      <c r="A5371" s="129"/>
    </row>
    <row r="5372" spans="1:1">
      <c r="A5372" s="129"/>
    </row>
    <row r="5373" spans="1:1">
      <c r="A5373" s="129"/>
    </row>
    <row r="5374" spans="1:1">
      <c r="A5374" s="129"/>
    </row>
    <row r="5375" spans="1:1">
      <c r="A5375" s="129"/>
    </row>
    <row r="5376" spans="1:1">
      <c r="A5376" s="129"/>
    </row>
    <row r="5377" spans="1:1">
      <c r="A5377" s="129"/>
    </row>
    <row r="5378" spans="1:1">
      <c r="A5378" s="129"/>
    </row>
    <row r="5379" spans="1:1">
      <c r="A5379" s="129"/>
    </row>
    <row r="5380" spans="1:1">
      <c r="A5380" s="129"/>
    </row>
    <row r="5381" spans="1:1">
      <c r="A5381" s="129"/>
    </row>
    <row r="5382" spans="1:1">
      <c r="A5382" s="129"/>
    </row>
    <row r="5383" spans="1:1">
      <c r="A5383" s="129"/>
    </row>
    <row r="5384" spans="1:1">
      <c r="A5384" s="129"/>
    </row>
    <row r="5385" spans="1:1">
      <c r="A5385" s="129"/>
    </row>
    <row r="5386" spans="1:1">
      <c r="A5386" s="129"/>
    </row>
    <row r="5387" spans="1:1">
      <c r="A5387" s="129"/>
    </row>
    <row r="5388" spans="1:1">
      <c r="A5388" s="129"/>
    </row>
    <row r="5389" spans="1:1">
      <c r="A5389" s="129"/>
    </row>
    <row r="5390" spans="1:1">
      <c r="A5390" s="129"/>
    </row>
    <row r="5391" spans="1:1">
      <c r="A5391" s="129"/>
    </row>
    <row r="5392" spans="1:1">
      <c r="A5392" s="129"/>
    </row>
    <row r="5393" spans="1:1">
      <c r="A5393" s="129"/>
    </row>
    <row r="5394" spans="1:1">
      <c r="A5394" s="129"/>
    </row>
    <row r="5395" spans="1:1">
      <c r="A5395" s="129"/>
    </row>
    <row r="5396" spans="1:1">
      <c r="A5396" s="129"/>
    </row>
    <row r="5397" spans="1:1">
      <c r="A5397" s="129"/>
    </row>
    <row r="5398" spans="1:1">
      <c r="A5398" s="129"/>
    </row>
    <row r="5399" spans="1:1">
      <c r="A5399" s="129"/>
    </row>
    <row r="5400" spans="1:1">
      <c r="A5400" s="129"/>
    </row>
    <row r="5401" spans="1:1">
      <c r="A5401" s="129"/>
    </row>
    <row r="5402" spans="1:1">
      <c r="A5402" s="129"/>
    </row>
    <row r="5403" spans="1:1">
      <c r="A5403" s="129"/>
    </row>
    <row r="5404" spans="1:1">
      <c r="A5404" s="129"/>
    </row>
    <row r="5405" spans="1:1">
      <c r="A5405" s="129"/>
    </row>
    <row r="5406" spans="1:1">
      <c r="A5406" s="129"/>
    </row>
    <row r="5407" spans="1:1">
      <c r="A5407" s="129"/>
    </row>
    <row r="5408" spans="1:1">
      <c r="A5408" s="129"/>
    </row>
    <row r="5409" spans="1:1">
      <c r="A5409" s="129"/>
    </row>
    <row r="5410" spans="1:1">
      <c r="A5410" s="129"/>
    </row>
    <row r="5411" spans="1:1">
      <c r="A5411" s="129"/>
    </row>
    <row r="5412" spans="1:1">
      <c r="A5412" s="129"/>
    </row>
    <row r="5413" spans="1:1">
      <c r="A5413" s="129"/>
    </row>
    <row r="5414" spans="1:1">
      <c r="A5414" s="129"/>
    </row>
    <row r="5415" spans="1:1">
      <c r="A5415" s="129"/>
    </row>
    <row r="5416" spans="1:1">
      <c r="A5416" s="129"/>
    </row>
    <row r="5417" spans="1:1">
      <c r="A5417" s="129"/>
    </row>
    <row r="5418" spans="1:1">
      <c r="A5418" s="129"/>
    </row>
    <row r="5419" spans="1:1">
      <c r="A5419" s="129"/>
    </row>
    <row r="5420" spans="1:1">
      <c r="A5420" s="129"/>
    </row>
    <row r="5421" spans="1:1">
      <c r="A5421" s="129"/>
    </row>
    <row r="5422" spans="1:1">
      <c r="A5422" s="129"/>
    </row>
    <row r="5423" spans="1:1">
      <c r="A5423" s="129"/>
    </row>
    <row r="5424" spans="1:1">
      <c r="A5424" s="129"/>
    </row>
    <row r="5425" spans="1:1">
      <c r="A5425" s="129"/>
    </row>
    <row r="5426" spans="1:1">
      <c r="A5426" s="129"/>
    </row>
    <row r="5427" spans="1:1">
      <c r="A5427" s="129"/>
    </row>
    <row r="5428" spans="1:1">
      <c r="A5428" s="129"/>
    </row>
    <row r="5429" spans="1:1">
      <c r="A5429" s="129"/>
    </row>
    <row r="5430" spans="1:1">
      <c r="A5430" s="129"/>
    </row>
    <row r="5431" spans="1:1">
      <c r="A5431" s="129"/>
    </row>
    <row r="5432" spans="1:1">
      <c r="A5432" s="129"/>
    </row>
    <row r="5433" spans="1:1">
      <c r="A5433" s="129"/>
    </row>
    <row r="5434" spans="1:1">
      <c r="A5434" s="129"/>
    </row>
    <row r="5435" spans="1:1">
      <c r="A5435" s="129"/>
    </row>
    <row r="5436" spans="1:1">
      <c r="A5436" s="129"/>
    </row>
    <row r="5437" spans="1:1">
      <c r="A5437" s="129"/>
    </row>
    <row r="5438" spans="1:1">
      <c r="A5438" s="129"/>
    </row>
    <row r="5439" spans="1:1">
      <c r="A5439" s="129"/>
    </row>
    <row r="5440" spans="1:1">
      <c r="A5440" s="129"/>
    </row>
    <row r="5441" spans="1:1">
      <c r="A5441" s="129"/>
    </row>
    <row r="5442" spans="1:1">
      <c r="A5442" s="129"/>
    </row>
    <row r="5443" spans="1:1">
      <c r="A5443" s="129"/>
    </row>
    <row r="5444" spans="1:1">
      <c r="A5444" s="129"/>
    </row>
    <row r="5445" spans="1:1">
      <c r="A5445" s="129"/>
    </row>
    <row r="5446" spans="1:1">
      <c r="A5446" s="129"/>
    </row>
    <row r="5447" spans="1:1">
      <c r="A5447" s="129"/>
    </row>
    <row r="5448" spans="1:1">
      <c r="A5448" s="129"/>
    </row>
    <row r="5449" spans="1:1">
      <c r="A5449" s="129"/>
    </row>
    <row r="5450" spans="1:1">
      <c r="A5450" s="129"/>
    </row>
    <row r="5451" spans="1:1">
      <c r="A5451" s="129"/>
    </row>
    <row r="5452" spans="1:1">
      <c r="A5452" s="129"/>
    </row>
    <row r="5453" spans="1:1">
      <c r="A5453" s="129"/>
    </row>
    <row r="5454" spans="1:1">
      <c r="A5454" s="129"/>
    </row>
    <row r="5455" spans="1:1">
      <c r="A5455" s="129"/>
    </row>
    <row r="5456" spans="1:1">
      <c r="A5456" s="129"/>
    </row>
    <row r="5457" spans="1:1">
      <c r="A5457" s="129"/>
    </row>
    <row r="5458" spans="1:1">
      <c r="A5458" s="129"/>
    </row>
    <row r="5459" spans="1:1">
      <c r="A5459" s="129"/>
    </row>
    <row r="5460" spans="1:1">
      <c r="A5460" s="129"/>
    </row>
    <row r="5461" spans="1:1">
      <c r="A5461" s="129"/>
    </row>
    <row r="5462" spans="1:1">
      <c r="A5462" s="129"/>
    </row>
    <row r="5463" spans="1:1">
      <c r="A5463" s="129"/>
    </row>
    <row r="5464" spans="1:1">
      <c r="A5464" s="129"/>
    </row>
    <row r="5465" spans="1:1">
      <c r="A5465" s="129"/>
    </row>
    <row r="5466" spans="1:1">
      <c r="A5466" s="129"/>
    </row>
    <row r="5467" spans="1:1">
      <c r="A5467" s="129"/>
    </row>
    <row r="5468" spans="1:1">
      <c r="A5468" s="129"/>
    </row>
    <row r="5469" spans="1:1">
      <c r="A5469" s="129"/>
    </row>
    <row r="5470" spans="1:1">
      <c r="A5470" s="129"/>
    </row>
    <row r="5471" spans="1:1">
      <c r="A5471" s="129"/>
    </row>
    <row r="5472" spans="1:1">
      <c r="A5472" s="129"/>
    </row>
    <row r="5473" spans="1:1">
      <c r="A5473" s="129"/>
    </row>
    <row r="5474" spans="1:1">
      <c r="A5474" s="129"/>
    </row>
    <row r="5475" spans="1:1">
      <c r="A5475" s="129"/>
    </row>
    <row r="5476" spans="1:1">
      <c r="A5476" s="129"/>
    </row>
    <row r="5477" spans="1:1">
      <c r="A5477" s="129"/>
    </row>
    <row r="5478" spans="1:1">
      <c r="A5478" s="129"/>
    </row>
    <row r="5479" spans="1:1">
      <c r="A5479" s="129"/>
    </row>
    <row r="5480" spans="1:1">
      <c r="A5480" s="129"/>
    </row>
    <row r="5481" spans="1:1">
      <c r="A5481" s="129"/>
    </row>
    <row r="5482" spans="1:1">
      <c r="A5482" s="129"/>
    </row>
    <row r="5483" spans="1:1">
      <c r="A5483" s="129"/>
    </row>
    <row r="5484" spans="1:1">
      <c r="A5484" s="129"/>
    </row>
    <row r="5485" spans="1:1">
      <c r="A5485" s="129"/>
    </row>
    <row r="5486" spans="1:1">
      <c r="A5486" s="129"/>
    </row>
    <row r="5487" spans="1:1">
      <c r="A5487" s="129"/>
    </row>
    <row r="5488" spans="1:1">
      <c r="A5488" s="129"/>
    </row>
    <row r="5489" spans="1:1">
      <c r="A5489" s="129"/>
    </row>
    <row r="5490" spans="1:1">
      <c r="A5490" s="129"/>
    </row>
    <row r="5491" spans="1:1">
      <c r="A5491" s="129"/>
    </row>
    <row r="5492" spans="1:1">
      <c r="A5492" s="129"/>
    </row>
    <row r="5493" spans="1:1">
      <c r="A5493" s="129"/>
    </row>
    <row r="5494" spans="1:1">
      <c r="A5494" s="129"/>
    </row>
    <row r="5495" spans="1:1">
      <c r="A5495" s="129"/>
    </row>
    <row r="5496" spans="1:1">
      <c r="A5496" s="129"/>
    </row>
    <row r="5497" spans="1:1">
      <c r="A5497" s="129"/>
    </row>
    <row r="5498" spans="1:1">
      <c r="A5498" s="129"/>
    </row>
    <row r="5499" spans="1:1">
      <c r="A5499" s="129"/>
    </row>
    <row r="5500" spans="1:1">
      <c r="A5500" s="129"/>
    </row>
    <row r="5501" spans="1:1">
      <c r="A5501" s="129"/>
    </row>
    <row r="5502" spans="1:1">
      <c r="A5502" s="129"/>
    </row>
    <row r="5503" spans="1:1">
      <c r="A5503" s="129"/>
    </row>
    <row r="5504" spans="1:1">
      <c r="A5504" s="129"/>
    </row>
    <row r="5505" spans="1:1">
      <c r="A5505" s="129"/>
    </row>
    <row r="5506" spans="1:1">
      <c r="A5506" s="129"/>
    </row>
    <row r="5507" spans="1:1">
      <c r="A5507" s="129"/>
    </row>
    <row r="5508" spans="1:1">
      <c r="A5508" s="129"/>
    </row>
    <row r="5509" spans="1:1">
      <c r="A5509" s="129"/>
    </row>
    <row r="5510" spans="1:1">
      <c r="A5510" s="129"/>
    </row>
    <row r="5511" spans="1:1">
      <c r="A5511" s="129"/>
    </row>
    <row r="5512" spans="1:1">
      <c r="A5512" s="129"/>
    </row>
    <row r="5513" spans="1:1">
      <c r="A5513" s="129"/>
    </row>
    <row r="5514" spans="1:1">
      <c r="A5514" s="129"/>
    </row>
    <row r="5515" spans="1:1">
      <c r="A5515" s="129"/>
    </row>
    <row r="5516" spans="1:1">
      <c r="A5516" s="129"/>
    </row>
    <row r="5517" spans="1:1">
      <c r="A5517" s="129"/>
    </row>
    <row r="5518" spans="1:1">
      <c r="A5518" s="129"/>
    </row>
    <row r="5519" spans="1:1">
      <c r="A5519" s="129"/>
    </row>
    <row r="5520" spans="1:1">
      <c r="A5520" s="129"/>
    </row>
    <row r="5521" spans="1:1">
      <c r="A5521" s="129"/>
    </row>
    <row r="5522" spans="1:1">
      <c r="A5522" s="129"/>
    </row>
    <row r="5523" spans="1:1">
      <c r="A5523" s="129"/>
    </row>
    <row r="5524" spans="1:1">
      <c r="A5524" s="129"/>
    </row>
    <row r="5525" spans="1:1">
      <c r="A5525" s="129"/>
    </row>
    <row r="5526" spans="1:1">
      <c r="A5526" s="129"/>
    </row>
    <row r="5527" spans="1:1">
      <c r="A5527" s="129"/>
    </row>
    <row r="5528" spans="1:1">
      <c r="A5528" s="129"/>
    </row>
    <row r="5529" spans="1:1">
      <c r="A5529" s="129"/>
    </row>
    <row r="5530" spans="1:1">
      <c r="A5530" s="129"/>
    </row>
    <row r="5531" spans="1:1">
      <c r="A5531" s="129"/>
    </row>
    <row r="5532" spans="1:1">
      <c r="A5532" s="129"/>
    </row>
    <row r="5533" spans="1:1">
      <c r="A5533" s="129"/>
    </row>
    <row r="5534" spans="1:1">
      <c r="A5534" s="129"/>
    </row>
    <row r="5535" spans="1:1">
      <c r="A5535" s="129"/>
    </row>
    <row r="5536" spans="1:1">
      <c r="A5536" s="129"/>
    </row>
    <row r="5537" spans="1:1">
      <c r="A5537" s="129"/>
    </row>
    <row r="5538" spans="1:1">
      <c r="A5538" s="129"/>
    </row>
    <row r="5539" spans="1:1">
      <c r="A5539" s="129"/>
    </row>
    <row r="5540" spans="1:1">
      <c r="A5540" s="129"/>
    </row>
    <row r="5541" spans="1:1">
      <c r="A5541" s="129"/>
    </row>
    <row r="5542" spans="1:1">
      <c r="A5542" s="129"/>
    </row>
    <row r="5543" spans="1:1">
      <c r="A5543" s="129"/>
    </row>
    <row r="5544" spans="1:1">
      <c r="A5544" s="129"/>
    </row>
    <row r="5545" spans="1:1">
      <c r="A5545" s="129"/>
    </row>
    <row r="5546" spans="1:1">
      <c r="A5546" s="129"/>
    </row>
    <row r="5547" spans="1:1">
      <c r="A5547" s="129"/>
    </row>
    <row r="5548" spans="1:1">
      <c r="A5548" s="129"/>
    </row>
    <row r="5549" spans="1:1">
      <c r="A5549" s="129"/>
    </row>
    <row r="5550" spans="1:1">
      <c r="A5550" s="129"/>
    </row>
    <row r="5551" spans="1:1">
      <c r="A5551" s="129"/>
    </row>
    <row r="5552" spans="1:1">
      <c r="A5552" s="129"/>
    </row>
    <row r="5553" spans="1:1">
      <c r="A5553" s="129"/>
    </row>
    <row r="5554" spans="1:1">
      <c r="A5554" s="129"/>
    </row>
    <row r="5555" spans="1:1">
      <c r="A5555" s="129"/>
    </row>
    <row r="5556" spans="1:1">
      <c r="A5556" s="129"/>
    </row>
    <row r="5557" spans="1:1">
      <c r="A5557" s="129"/>
    </row>
    <row r="5558" spans="1:1">
      <c r="A5558" s="129"/>
    </row>
    <row r="5559" spans="1:1">
      <c r="A5559" s="129"/>
    </row>
    <row r="5560" spans="1:1">
      <c r="A5560" s="129"/>
    </row>
    <row r="5561" spans="1:1">
      <c r="A5561" s="129"/>
    </row>
    <row r="5562" spans="1:1">
      <c r="A5562" s="129"/>
    </row>
    <row r="5563" spans="1:1">
      <c r="A5563" s="129"/>
    </row>
    <row r="5564" spans="1:1">
      <c r="A5564" s="129"/>
    </row>
    <row r="5565" spans="1:1">
      <c r="A5565" s="129"/>
    </row>
    <row r="5566" spans="1:1">
      <c r="A5566" s="129"/>
    </row>
    <row r="5567" spans="1:1">
      <c r="A5567" s="129"/>
    </row>
    <row r="5568" spans="1:1">
      <c r="A5568" s="129"/>
    </row>
    <row r="5569" spans="1:1">
      <c r="A5569" s="129"/>
    </row>
    <row r="5570" spans="1:1">
      <c r="A5570" s="129"/>
    </row>
    <row r="5571" spans="1:1">
      <c r="A5571" s="129"/>
    </row>
    <row r="5572" spans="1:1">
      <c r="A5572" s="129"/>
    </row>
    <row r="5573" spans="1:1">
      <c r="A5573" s="129"/>
    </row>
    <row r="5574" spans="1:1">
      <c r="A5574" s="129"/>
    </row>
    <row r="5575" spans="1:1">
      <c r="A5575" s="129"/>
    </row>
    <row r="5576" spans="1:1">
      <c r="A5576" s="129"/>
    </row>
    <row r="5577" spans="1:1">
      <c r="A5577" s="129"/>
    </row>
    <row r="5578" spans="1:1">
      <c r="A5578" s="129"/>
    </row>
    <row r="5579" spans="1:1">
      <c r="A5579" s="129"/>
    </row>
    <row r="5580" spans="1:1">
      <c r="A5580" s="129"/>
    </row>
    <row r="5581" spans="1:1">
      <c r="A5581" s="129"/>
    </row>
    <row r="5582" spans="1:1">
      <c r="A5582" s="129"/>
    </row>
    <row r="5583" spans="1:1">
      <c r="A5583" s="129"/>
    </row>
    <row r="5584" spans="1:1">
      <c r="A5584" s="129"/>
    </row>
    <row r="5585" spans="1:1">
      <c r="A5585" s="129"/>
    </row>
    <row r="5586" spans="1:1">
      <c r="A5586" s="129"/>
    </row>
    <row r="5587" spans="1:1">
      <c r="A5587" s="129"/>
    </row>
    <row r="5588" spans="1:1">
      <c r="A5588" s="129"/>
    </row>
    <row r="5589" spans="1:1">
      <c r="A5589" s="129"/>
    </row>
    <row r="5590" spans="1:1">
      <c r="A5590" s="129"/>
    </row>
    <row r="5591" spans="1:1">
      <c r="A5591" s="129"/>
    </row>
    <row r="5592" spans="1:1">
      <c r="A5592" s="129"/>
    </row>
    <row r="5593" spans="1:1">
      <c r="A5593" s="129"/>
    </row>
    <row r="5594" spans="1:1">
      <c r="A5594" s="129"/>
    </row>
    <row r="5595" spans="1:1">
      <c r="A5595" s="129"/>
    </row>
    <row r="5596" spans="1:1">
      <c r="A5596" s="129"/>
    </row>
    <row r="5597" spans="1:1">
      <c r="A5597" s="129"/>
    </row>
    <row r="5598" spans="1:1">
      <c r="A5598" s="129"/>
    </row>
    <row r="5599" spans="1:1">
      <c r="A5599" s="129"/>
    </row>
    <row r="5600" spans="1:1">
      <c r="A5600" s="129"/>
    </row>
    <row r="5601" spans="1:1">
      <c r="A5601" s="129"/>
    </row>
    <row r="5602" spans="1:1">
      <c r="A5602" s="129"/>
    </row>
    <row r="5603" spans="1:1">
      <c r="A5603" s="129"/>
    </row>
    <row r="5604" spans="1:1">
      <c r="A5604" s="129"/>
    </row>
    <row r="5605" spans="1:1">
      <c r="A5605" s="129"/>
    </row>
    <row r="5606" spans="1:1">
      <c r="A5606" s="129"/>
    </row>
    <row r="5607" spans="1:1">
      <c r="A5607" s="129"/>
    </row>
    <row r="5608" spans="1:1">
      <c r="A5608" s="129"/>
    </row>
    <row r="5609" spans="1:1">
      <c r="A5609" s="129"/>
    </row>
    <row r="5610" spans="1:1">
      <c r="A5610" s="129"/>
    </row>
    <row r="5611" spans="1:1">
      <c r="A5611" s="129"/>
    </row>
    <row r="5612" spans="1:1">
      <c r="A5612" s="129"/>
    </row>
    <row r="5613" spans="1:1">
      <c r="A5613" s="129"/>
    </row>
    <row r="5614" spans="1:1">
      <c r="A5614" s="129"/>
    </row>
    <row r="5615" spans="1:1">
      <c r="A5615" s="129"/>
    </row>
    <row r="5616" spans="1:1">
      <c r="A5616" s="129"/>
    </row>
    <row r="5617" spans="1:1">
      <c r="A5617" s="129"/>
    </row>
    <row r="5618" spans="1:1">
      <c r="A5618" s="129"/>
    </row>
    <row r="5619" spans="1:1">
      <c r="A5619" s="129"/>
    </row>
    <row r="5620" spans="1:1">
      <c r="A5620" s="129"/>
    </row>
    <row r="5621" spans="1:1">
      <c r="A5621" s="129"/>
    </row>
    <row r="5622" spans="1:1">
      <c r="A5622" s="129"/>
    </row>
    <row r="5623" spans="1:1">
      <c r="A5623" s="129"/>
    </row>
    <row r="5624" spans="1:1">
      <c r="A5624" s="129"/>
    </row>
    <row r="5625" spans="1:1">
      <c r="A5625" s="129"/>
    </row>
    <row r="5626" spans="1:1">
      <c r="A5626" s="129"/>
    </row>
    <row r="5627" spans="1:1">
      <c r="A5627" s="129"/>
    </row>
    <row r="5628" spans="1:1">
      <c r="A5628" s="129"/>
    </row>
    <row r="5629" spans="1:1">
      <c r="A5629" s="129"/>
    </row>
    <row r="5630" spans="1:1">
      <c r="A5630" s="129"/>
    </row>
    <row r="5631" spans="1:1">
      <c r="A5631" s="129"/>
    </row>
    <row r="5632" spans="1:1">
      <c r="A5632" s="129"/>
    </row>
    <row r="5633" spans="1:1">
      <c r="A5633" s="129"/>
    </row>
    <row r="5634" spans="1:1">
      <c r="A5634" s="129"/>
    </row>
    <row r="5635" spans="1:1">
      <c r="A5635" s="129"/>
    </row>
    <row r="5636" spans="1:1">
      <c r="A5636" s="129"/>
    </row>
    <row r="5637" spans="1:1">
      <c r="A5637" s="129"/>
    </row>
    <row r="5638" spans="1:1">
      <c r="A5638" s="129"/>
    </row>
    <row r="5639" spans="1:1">
      <c r="A5639" s="129"/>
    </row>
    <row r="5640" spans="1:1">
      <c r="A5640" s="129"/>
    </row>
    <row r="5641" spans="1:1">
      <c r="A5641" s="129"/>
    </row>
    <row r="5642" spans="1:1">
      <c r="A5642" s="129"/>
    </row>
    <row r="5643" spans="1:1">
      <c r="A5643" s="129"/>
    </row>
    <row r="5644" spans="1:1">
      <c r="A5644" s="129"/>
    </row>
    <row r="5645" spans="1:1">
      <c r="A5645" s="129"/>
    </row>
    <row r="5646" spans="1:1">
      <c r="A5646" s="129"/>
    </row>
    <row r="5647" spans="1:1">
      <c r="A5647" s="129"/>
    </row>
    <row r="5648" spans="1:1">
      <c r="A5648" s="129"/>
    </row>
    <row r="5649" spans="1:1">
      <c r="A5649" s="129"/>
    </row>
    <row r="5650" spans="1:1">
      <c r="A5650" s="129"/>
    </row>
    <row r="5651" spans="1:1">
      <c r="A5651" s="129"/>
    </row>
    <row r="5652" spans="1:1">
      <c r="A5652" s="129"/>
    </row>
    <row r="5653" spans="1:1">
      <c r="A5653" s="129"/>
    </row>
    <row r="5654" spans="1:1">
      <c r="A5654" s="129"/>
    </row>
    <row r="5655" spans="1:1">
      <c r="A5655" s="129"/>
    </row>
    <row r="5656" spans="1:1">
      <c r="A5656" s="129"/>
    </row>
    <row r="5657" spans="1:1">
      <c r="A5657" s="129"/>
    </row>
    <row r="5658" spans="1:1">
      <c r="A5658" s="129"/>
    </row>
    <row r="5659" spans="1:1">
      <c r="A5659" s="129"/>
    </row>
    <row r="5660" spans="1:1">
      <c r="A5660" s="129"/>
    </row>
    <row r="5661" spans="1:1">
      <c r="A5661" s="129"/>
    </row>
    <row r="5662" spans="1:1">
      <c r="A5662" s="129"/>
    </row>
    <row r="5663" spans="1:1">
      <c r="A5663" s="129"/>
    </row>
    <row r="5664" spans="1:1">
      <c r="A5664" s="129"/>
    </row>
    <row r="5665" spans="1:1">
      <c r="A5665" s="129"/>
    </row>
    <row r="5666" spans="1:1">
      <c r="A5666" s="129"/>
    </row>
    <row r="5667" spans="1:1">
      <c r="A5667" s="129"/>
    </row>
    <row r="5668" spans="1:1">
      <c r="A5668" s="129"/>
    </row>
    <row r="5669" spans="1:1">
      <c r="A5669" s="129"/>
    </row>
    <row r="5670" spans="1:1">
      <c r="A5670" s="129"/>
    </row>
    <row r="5671" spans="1:1">
      <c r="A5671" s="288"/>
    </row>
    <row r="5672" spans="1:1">
      <c r="A5672" s="288"/>
    </row>
    <row r="5673" spans="1:1">
      <c r="A5673" s="288"/>
    </row>
    <row r="5674" spans="1:1">
      <c r="A5674" s="288"/>
    </row>
    <row r="5675" spans="1:1">
      <c r="A5675" s="129"/>
    </row>
    <row r="5676" spans="1:1">
      <c r="A5676" s="129"/>
    </row>
    <row r="5677" spans="1:1">
      <c r="A5677" s="129"/>
    </row>
    <row r="5678" spans="1:1">
      <c r="A5678" s="129"/>
    </row>
    <row r="5679" spans="1:1">
      <c r="A5679" s="129"/>
    </row>
    <row r="5680" spans="1:1">
      <c r="A5680" s="129"/>
    </row>
    <row r="5681" spans="1:1">
      <c r="A5681" s="129"/>
    </row>
    <row r="5682" spans="1:1">
      <c r="A5682" s="129"/>
    </row>
    <row r="5683" spans="1:1">
      <c r="A5683" s="129"/>
    </row>
    <row r="5684" spans="1:1">
      <c r="A5684" s="129"/>
    </row>
    <row r="5685" spans="1:1">
      <c r="A5685" s="129"/>
    </row>
    <row r="5686" spans="1:1">
      <c r="A5686" s="129"/>
    </row>
    <row r="5687" spans="1:1">
      <c r="A5687" s="129"/>
    </row>
    <row r="5688" spans="1:1">
      <c r="A5688" s="129"/>
    </row>
    <row r="5689" spans="1:1">
      <c r="A5689" s="129"/>
    </row>
    <row r="5690" spans="1:1">
      <c r="A5690" s="129"/>
    </row>
    <row r="5691" spans="1:1">
      <c r="A5691" s="129"/>
    </row>
    <row r="5692" spans="1:1">
      <c r="A5692" s="129"/>
    </row>
    <row r="5693" spans="1:1">
      <c r="A5693" s="129"/>
    </row>
    <row r="5694" spans="1:1">
      <c r="A5694" s="129"/>
    </row>
    <row r="5695" spans="1:1">
      <c r="A5695" s="129"/>
    </row>
    <row r="5696" spans="1:1">
      <c r="A5696" s="129"/>
    </row>
    <row r="5697" spans="1:1">
      <c r="A5697" s="129"/>
    </row>
    <row r="5698" spans="1:1">
      <c r="A5698" s="129"/>
    </row>
    <row r="5699" spans="1:1">
      <c r="A5699" s="129"/>
    </row>
    <row r="5700" spans="1:1">
      <c r="A5700" s="129"/>
    </row>
    <row r="5701" spans="1:1">
      <c r="A5701" s="129"/>
    </row>
    <row r="5702" spans="1:1">
      <c r="A5702" s="129"/>
    </row>
    <row r="5703" spans="1:1">
      <c r="A5703" s="129"/>
    </row>
    <row r="5704" spans="1:1">
      <c r="A5704" s="129"/>
    </row>
    <row r="5705" spans="1:1">
      <c r="A5705" s="129"/>
    </row>
    <row r="5706" spans="1:1">
      <c r="A5706" s="129"/>
    </row>
    <row r="5707" spans="1:1">
      <c r="A5707" s="129"/>
    </row>
    <row r="5708" spans="1:1">
      <c r="A5708" s="129"/>
    </row>
    <row r="5709" spans="1:1">
      <c r="A5709" s="129"/>
    </row>
    <row r="5710" spans="1:1">
      <c r="A5710" s="129"/>
    </row>
    <row r="5711" spans="1:1">
      <c r="A5711" s="129"/>
    </row>
    <row r="5712" spans="1:1">
      <c r="A5712" s="129"/>
    </row>
    <row r="5713" spans="1:1">
      <c r="A5713" s="129"/>
    </row>
    <row r="5714" spans="1:1">
      <c r="A5714" s="129"/>
    </row>
    <row r="5715" spans="1:1">
      <c r="A5715" s="129"/>
    </row>
    <row r="5716" spans="1:1">
      <c r="A5716" s="129"/>
    </row>
    <row r="5717" spans="1:1">
      <c r="A5717" s="129"/>
    </row>
    <row r="5718" spans="1:1">
      <c r="A5718" s="129"/>
    </row>
    <row r="5719" spans="1:1">
      <c r="A5719" s="129"/>
    </row>
    <row r="5720" spans="1:1">
      <c r="A5720" s="129"/>
    </row>
    <row r="5721" spans="1:1">
      <c r="A5721" s="129"/>
    </row>
    <row r="5722" spans="1:1">
      <c r="A5722" s="129"/>
    </row>
    <row r="5723" spans="1:1">
      <c r="A5723" s="129"/>
    </row>
    <row r="5724" spans="1:1">
      <c r="A5724" s="129"/>
    </row>
    <row r="5725" spans="1:1">
      <c r="A5725" s="129"/>
    </row>
    <row r="5726" spans="1:1">
      <c r="A5726" s="129"/>
    </row>
    <row r="5727" spans="1:1">
      <c r="A5727" s="129"/>
    </row>
    <row r="5728" spans="1:1">
      <c r="A5728" s="129"/>
    </row>
    <row r="5729" spans="1:1">
      <c r="A5729" s="129"/>
    </row>
    <row r="5730" spans="1:1">
      <c r="A5730" s="129"/>
    </row>
    <row r="5731" spans="1:1">
      <c r="A5731" s="129"/>
    </row>
    <row r="5732" spans="1:1">
      <c r="A5732" s="129"/>
    </row>
    <row r="5733" spans="1:1">
      <c r="A5733" s="129"/>
    </row>
    <row r="5734" spans="1:1">
      <c r="A5734" s="129"/>
    </row>
    <row r="5735" spans="1:1">
      <c r="A5735" s="129"/>
    </row>
    <row r="5736" spans="1:1">
      <c r="A5736" s="129"/>
    </row>
    <row r="5737" spans="1:1">
      <c r="A5737" s="129"/>
    </row>
    <row r="5738" spans="1:1">
      <c r="A5738" s="129"/>
    </row>
    <row r="5739" spans="1:1">
      <c r="A5739" s="129"/>
    </row>
    <row r="5740" spans="1:1">
      <c r="A5740" s="129"/>
    </row>
    <row r="5741" spans="1:1">
      <c r="A5741" s="129"/>
    </row>
    <row r="5742" spans="1:1">
      <c r="A5742" s="129"/>
    </row>
    <row r="5743" spans="1:1">
      <c r="A5743" s="129"/>
    </row>
    <row r="5744" spans="1:1">
      <c r="A5744" s="129"/>
    </row>
    <row r="5745" spans="1:1">
      <c r="A5745" s="129"/>
    </row>
    <row r="5746" spans="1:1">
      <c r="A5746" s="129"/>
    </row>
    <row r="5747" spans="1:1">
      <c r="A5747" s="129"/>
    </row>
    <row r="5748" spans="1:1">
      <c r="A5748" s="129"/>
    </row>
    <row r="5749" spans="1:1">
      <c r="A5749" s="129"/>
    </row>
    <row r="5750" spans="1:1">
      <c r="A5750" s="129"/>
    </row>
    <row r="5751" spans="1:1">
      <c r="A5751" s="129"/>
    </row>
    <row r="5752" spans="1:1">
      <c r="A5752" s="129"/>
    </row>
    <row r="5753" spans="1:1">
      <c r="A5753" s="129"/>
    </row>
    <row r="5754" spans="1:1">
      <c r="A5754" s="129"/>
    </row>
    <row r="5755" spans="1:1">
      <c r="A5755" s="129"/>
    </row>
    <row r="5756" spans="1:1">
      <c r="A5756" s="129"/>
    </row>
    <row r="5757" spans="1:1">
      <c r="A5757" s="129"/>
    </row>
    <row r="5758" spans="1:1">
      <c r="A5758" s="129"/>
    </row>
    <row r="5759" spans="1:1">
      <c r="A5759" s="129"/>
    </row>
    <row r="5760" spans="1:1">
      <c r="A5760" s="129"/>
    </row>
    <row r="5761" spans="1:1">
      <c r="A5761" s="129"/>
    </row>
    <row r="5762" spans="1:1">
      <c r="A5762" s="129"/>
    </row>
    <row r="5763" spans="1:1">
      <c r="A5763" s="129"/>
    </row>
    <row r="5764" spans="1:1">
      <c r="A5764" s="129"/>
    </row>
    <row r="5765" spans="1:1">
      <c r="A5765" s="129"/>
    </row>
    <row r="5766" spans="1:1">
      <c r="A5766" s="129"/>
    </row>
    <row r="5767" spans="1:1">
      <c r="A5767" s="129"/>
    </row>
    <row r="5768" spans="1:1">
      <c r="A5768" s="129"/>
    </row>
    <row r="5769" spans="1:1">
      <c r="A5769" s="129"/>
    </row>
    <row r="5770" spans="1:1">
      <c r="A5770" s="129"/>
    </row>
    <row r="5771" spans="1:1">
      <c r="A5771" s="129"/>
    </row>
    <row r="5772" spans="1:1">
      <c r="A5772" s="129"/>
    </row>
    <row r="5773" spans="1:1">
      <c r="A5773" s="129"/>
    </row>
    <row r="5774" spans="1:1">
      <c r="A5774" s="129"/>
    </row>
    <row r="5775" spans="1:1">
      <c r="A5775" s="129"/>
    </row>
    <row r="5776" spans="1:1">
      <c r="A5776" s="129"/>
    </row>
    <row r="5777" spans="1:1">
      <c r="A5777" s="129"/>
    </row>
    <row r="5778" spans="1:1">
      <c r="A5778" s="129"/>
    </row>
    <row r="5779" spans="1:1">
      <c r="A5779" s="129"/>
    </row>
    <row r="5780" spans="1:1">
      <c r="A5780" s="129"/>
    </row>
    <row r="5781" spans="1:1">
      <c r="A5781" s="129"/>
    </row>
    <row r="5782" spans="1:1">
      <c r="A5782" s="129"/>
    </row>
    <row r="5783" spans="1:1">
      <c r="A5783" s="129"/>
    </row>
    <row r="5784" spans="1:1">
      <c r="A5784" s="129"/>
    </row>
    <row r="5785" spans="1:1">
      <c r="A5785" s="129"/>
    </row>
    <row r="5786" spans="1:1">
      <c r="A5786" s="129"/>
    </row>
    <row r="5787" spans="1:1">
      <c r="A5787" s="129"/>
    </row>
    <row r="5788" spans="1:1">
      <c r="A5788" s="129"/>
    </row>
    <row r="5789" spans="1:1">
      <c r="A5789" s="129"/>
    </row>
    <row r="5790" spans="1:1">
      <c r="A5790" s="129"/>
    </row>
    <row r="5791" spans="1:1">
      <c r="A5791" s="129"/>
    </row>
    <row r="5792" spans="1:1">
      <c r="A5792" s="129"/>
    </row>
    <row r="5793" spans="1:1">
      <c r="A5793" s="129"/>
    </row>
    <row r="5794" spans="1:1">
      <c r="A5794" s="129"/>
    </row>
    <row r="5795" spans="1:1">
      <c r="A5795" s="129"/>
    </row>
    <row r="5796" spans="1:1">
      <c r="A5796" s="129"/>
    </row>
    <row r="5797" spans="1:1">
      <c r="A5797" s="129"/>
    </row>
    <row r="5798" spans="1:1">
      <c r="A5798" s="129"/>
    </row>
    <row r="5799" spans="1:1">
      <c r="A5799" s="129"/>
    </row>
    <row r="5800" spans="1:1">
      <c r="A5800" s="129"/>
    </row>
    <row r="5801" spans="1:1">
      <c r="A5801" s="129"/>
    </row>
    <row r="5802" spans="1:1">
      <c r="A5802" s="129"/>
    </row>
    <row r="5803" spans="1:1">
      <c r="A5803" s="129"/>
    </row>
    <row r="5804" spans="1:1">
      <c r="A5804" s="129"/>
    </row>
    <row r="5805" spans="1:1">
      <c r="A5805" s="129"/>
    </row>
    <row r="5806" spans="1:1">
      <c r="A5806" s="129"/>
    </row>
    <row r="5807" spans="1:1">
      <c r="A5807" s="129"/>
    </row>
    <row r="5808" spans="1:1">
      <c r="A5808" s="129"/>
    </row>
    <row r="5809" spans="1:1">
      <c r="A5809" s="129"/>
    </row>
    <row r="5810" spans="1:1">
      <c r="A5810" s="129"/>
    </row>
    <row r="5811" spans="1:1">
      <c r="A5811" s="129"/>
    </row>
    <row r="5812" spans="1:1">
      <c r="A5812" s="129"/>
    </row>
    <row r="5813" spans="1:1">
      <c r="A5813" s="129"/>
    </row>
    <row r="5814" spans="1:1">
      <c r="A5814" s="129"/>
    </row>
    <row r="5815" spans="1:1">
      <c r="A5815" s="129"/>
    </row>
    <row r="5816" spans="1:1">
      <c r="A5816" s="129"/>
    </row>
    <row r="5817" spans="1:1">
      <c r="A5817" s="129"/>
    </row>
    <row r="5818" spans="1:1">
      <c r="A5818" s="129"/>
    </row>
    <row r="5819" spans="1:1">
      <c r="A5819" s="129"/>
    </row>
    <row r="5820" spans="1:1">
      <c r="A5820" s="129"/>
    </row>
    <row r="5821" spans="1:1">
      <c r="A5821" s="129"/>
    </row>
    <row r="5822" spans="1:1">
      <c r="A5822" s="129"/>
    </row>
    <row r="5823" spans="1:1">
      <c r="A5823" s="129"/>
    </row>
    <row r="5824" spans="1:1">
      <c r="A5824" s="129"/>
    </row>
    <row r="5825" spans="1:1">
      <c r="A5825" s="129"/>
    </row>
    <row r="5826" spans="1:1">
      <c r="A5826" s="129"/>
    </row>
    <row r="5827" spans="1:1">
      <c r="A5827" s="129"/>
    </row>
    <row r="5828" spans="1:1">
      <c r="A5828" s="129"/>
    </row>
    <row r="5829" spans="1:1">
      <c r="A5829" s="129"/>
    </row>
    <row r="5830" spans="1:1">
      <c r="A5830" s="129"/>
    </row>
    <row r="5831" spans="1:1">
      <c r="A5831" s="129"/>
    </row>
    <row r="5832" spans="1:1">
      <c r="A5832" s="129"/>
    </row>
    <row r="5833" spans="1:1">
      <c r="A5833" s="129"/>
    </row>
    <row r="5834" spans="1:1">
      <c r="A5834" s="129"/>
    </row>
    <row r="5835" spans="1:1">
      <c r="A5835" s="129"/>
    </row>
    <row r="5836" spans="1:1">
      <c r="A5836" s="129"/>
    </row>
    <row r="5837" spans="1:1">
      <c r="A5837" s="129"/>
    </row>
    <row r="5838" spans="1:1">
      <c r="A5838" s="129"/>
    </row>
    <row r="5839" spans="1:1">
      <c r="A5839" s="129"/>
    </row>
    <row r="5840" spans="1:1">
      <c r="A5840" s="129"/>
    </row>
    <row r="5841" spans="1:1">
      <c r="A5841" s="129"/>
    </row>
    <row r="5842" spans="1:1">
      <c r="A5842" s="129"/>
    </row>
    <row r="5843" spans="1:1">
      <c r="A5843" s="129"/>
    </row>
    <row r="5844" spans="1:1">
      <c r="A5844" s="129"/>
    </row>
    <row r="5845" spans="1:1">
      <c r="A5845" s="129"/>
    </row>
    <row r="5846" spans="1:1">
      <c r="A5846" s="129"/>
    </row>
    <row r="5847" spans="1:1">
      <c r="A5847" s="129"/>
    </row>
    <row r="5848" spans="1:1">
      <c r="A5848" s="129"/>
    </row>
    <row r="5849" spans="1:1">
      <c r="A5849" s="129"/>
    </row>
    <row r="5850" spans="1:1">
      <c r="A5850" s="129"/>
    </row>
    <row r="5851" spans="1:1">
      <c r="A5851" s="129"/>
    </row>
    <row r="5852" spans="1:1">
      <c r="A5852" s="129"/>
    </row>
    <row r="5853" spans="1:1">
      <c r="A5853" s="129"/>
    </row>
    <row r="5854" spans="1:1">
      <c r="A5854" s="129"/>
    </row>
    <row r="5855" spans="1:1">
      <c r="A5855" s="129"/>
    </row>
    <row r="5856" spans="1:1">
      <c r="A5856" s="129"/>
    </row>
    <row r="5857" spans="1:1">
      <c r="A5857" s="129"/>
    </row>
    <row r="5858" spans="1:1">
      <c r="A5858" s="129"/>
    </row>
    <row r="5859" spans="1:1">
      <c r="A5859" s="129"/>
    </row>
    <row r="5860" spans="1:1">
      <c r="A5860" s="129"/>
    </row>
    <row r="5861" spans="1:1">
      <c r="A5861" s="129"/>
    </row>
    <row r="5862" spans="1:1">
      <c r="A5862" s="129"/>
    </row>
    <row r="5863" spans="1:1">
      <c r="A5863" s="129"/>
    </row>
    <row r="5864" spans="1:1">
      <c r="A5864" s="129"/>
    </row>
    <row r="5865" spans="1:1">
      <c r="A5865" s="129"/>
    </row>
    <row r="5866" spans="1:1">
      <c r="A5866" s="129"/>
    </row>
    <row r="5867" spans="1:1">
      <c r="A5867" s="129"/>
    </row>
    <row r="5868" spans="1:1">
      <c r="A5868" s="129"/>
    </row>
    <row r="5869" spans="1:1">
      <c r="A5869" s="129"/>
    </row>
    <row r="5870" spans="1:1">
      <c r="A5870" s="129"/>
    </row>
    <row r="5871" spans="1:1">
      <c r="A5871" s="129"/>
    </row>
    <row r="5872" spans="1:1">
      <c r="A5872" s="129"/>
    </row>
    <row r="5873" spans="1:1">
      <c r="A5873" s="129"/>
    </row>
    <row r="5874" spans="1:1">
      <c r="A5874" s="129"/>
    </row>
    <row r="5875" spans="1:1">
      <c r="A5875" s="129"/>
    </row>
    <row r="5876" spans="1:1">
      <c r="A5876" s="129"/>
    </row>
    <row r="5877" spans="1:1">
      <c r="A5877" s="129"/>
    </row>
    <row r="5878" spans="1:1">
      <c r="A5878" s="129"/>
    </row>
    <row r="5879" spans="1:1">
      <c r="A5879" s="129"/>
    </row>
    <row r="5880" spans="1:1">
      <c r="A5880" s="129"/>
    </row>
    <row r="5881" spans="1:1">
      <c r="A5881" s="129"/>
    </row>
    <row r="5882" spans="1:1">
      <c r="A5882" s="129"/>
    </row>
    <row r="5883" spans="1:1">
      <c r="A5883" s="129"/>
    </row>
    <row r="5884" spans="1:1">
      <c r="A5884" s="129"/>
    </row>
    <row r="5885" spans="1:1">
      <c r="A5885" s="129"/>
    </row>
    <row r="5886" spans="1:1">
      <c r="A5886" s="129"/>
    </row>
    <row r="5887" spans="1:1">
      <c r="A5887" s="129"/>
    </row>
    <row r="5888" spans="1:1">
      <c r="A5888" s="129"/>
    </row>
    <row r="5889" spans="1:1">
      <c r="A5889" s="129"/>
    </row>
    <row r="5890" spans="1:1">
      <c r="A5890" s="129"/>
    </row>
    <row r="5891" spans="1:1">
      <c r="A5891" s="129"/>
    </row>
    <row r="5892" spans="1:1">
      <c r="A5892" s="129"/>
    </row>
    <row r="5893" spans="1:1">
      <c r="A5893" s="129"/>
    </row>
    <row r="5894" spans="1:1">
      <c r="A5894" s="129"/>
    </row>
    <row r="5895" spans="1:1">
      <c r="A5895" s="129"/>
    </row>
    <row r="5896" spans="1:1">
      <c r="A5896" s="129"/>
    </row>
    <row r="5897" spans="1:1">
      <c r="A5897" s="129"/>
    </row>
    <row r="5898" spans="1:1">
      <c r="A5898" s="129"/>
    </row>
    <row r="5899" spans="1:1">
      <c r="A5899" s="129"/>
    </row>
    <row r="5900" spans="1:1">
      <c r="A5900" s="129"/>
    </row>
    <row r="5901" spans="1:1">
      <c r="A5901" s="129"/>
    </row>
    <row r="5902" spans="1:1">
      <c r="A5902" s="129"/>
    </row>
    <row r="5903" spans="1:1">
      <c r="A5903" s="129"/>
    </row>
    <row r="5904" spans="1:1">
      <c r="A5904" s="129"/>
    </row>
    <row r="5905" spans="1:1">
      <c r="A5905" s="129"/>
    </row>
    <row r="5906" spans="1:1">
      <c r="A5906" s="129"/>
    </row>
    <row r="5907" spans="1:1">
      <c r="A5907" s="129"/>
    </row>
    <row r="5908" spans="1:1">
      <c r="A5908" s="129"/>
    </row>
    <row r="5909" spans="1:1">
      <c r="A5909" s="129"/>
    </row>
    <row r="5910" spans="1:1">
      <c r="A5910" s="129"/>
    </row>
    <row r="5911" spans="1:1">
      <c r="A5911" s="129"/>
    </row>
    <row r="5912" spans="1:1">
      <c r="A5912" s="129"/>
    </row>
    <row r="5913" spans="1:1">
      <c r="A5913" s="129"/>
    </row>
    <row r="5914" spans="1:1">
      <c r="A5914" s="129"/>
    </row>
    <row r="5915" spans="1:1">
      <c r="A5915" s="129"/>
    </row>
    <row r="5916" spans="1:1">
      <c r="A5916" s="129"/>
    </row>
    <row r="5917" spans="1:1">
      <c r="A5917" s="129"/>
    </row>
    <row r="5918" spans="1:1">
      <c r="A5918" s="129"/>
    </row>
    <row r="5919" spans="1:1">
      <c r="A5919" s="129"/>
    </row>
    <row r="5920" spans="1:1">
      <c r="A5920" s="129"/>
    </row>
    <row r="5921" spans="1:1">
      <c r="A5921" s="129"/>
    </row>
    <row r="5922" spans="1:1">
      <c r="A5922" s="129"/>
    </row>
    <row r="5923" spans="1:1">
      <c r="A5923" s="129"/>
    </row>
    <row r="5924" spans="1:1">
      <c r="A5924" s="129"/>
    </row>
    <row r="5925" spans="1:1">
      <c r="A5925" s="129"/>
    </row>
    <row r="5926" spans="1:1">
      <c r="A5926" s="129"/>
    </row>
    <row r="5927" spans="1:1">
      <c r="A5927" s="129"/>
    </row>
    <row r="5928" spans="1:1">
      <c r="A5928" s="129"/>
    </row>
    <row r="5929" spans="1:1">
      <c r="A5929" s="129"/>
    </row>
    <row r="5930" spans="1:1">
      <c r="A5930" s="129"/>
    </row>
    <row r="5931" spans="1:1">
      <c r="A5931" s="129"/>
    </row>
    <row r="5932" spans="1:1">
      <c r="A5932" s="129"/>
    </row>
    <row r="5933" spans="1:1">
      <c r="A5933" s="129"/>
    </row>
    <row r="5934" spans="1:1">
      <c r="A5934" s="129"/>
    </row>
    <row r="5935" spans="1:1">
      <c r="A5935" s="129"/>
    </row>
    <row r="5936" spans="1:1">
      <c r="A5936" s="129"/>
    </row>
    <row r="5937" spans="1:1">
      <c r="A5937" s="129"/>
    </row>
    <row r="5938" spans="1:1">
      <c r="A5938" s="129"/>
    </row>
    <row r="5939" spans="1:1">
      <c r="A5939" s="129"/>
    </row>
    <row r="5940" spans="1:1">
      <c r="A5940" s="129"/>
    </row>
    <row r="5941" spans="1:1">
      <c r="A5941" s="129"/>
    </row>
    <row r="5942" spans="1:1">
      <c r="A5942" s="129"/>
    </row>
    <row r="5943" spans="1:1">
      <c r="A5943" s="129"/>
    </row>
    <row r="5944" spans="1:1">
      <c r="A5944" s="129"/>
    </row>
    <row r="5945" spans="1:1">
      <c r="A5945" s="129"/>
    </row>
    <row r="5946" spans="1:1">
      <c r="A5946" s="129"/>
    </row>
    <row r="5947" spans="1:1">
      <c r="A5947" s="129"/>
    </row>
    <row r="5948" spans="1:1">
      <c r="A5948" s="129"/>
    </row>
    <row r="5949" spans="1:1">
      <c r="A5949" s="129"/>
    </row>
    <row r="5950" spans="1:1">
      <c r="A5950" s="129"/>
    </row>
    <row r="5951" spans="1:1">
      <c r="A5951" s="129"/>
    </row>
    <row r="5952" spans="1:1">
      <c r="A5952" s="129"/>
    </row>
    <row r="5953" spans="1:1">
      <c r="A5953" s="129"/>
    </row>
    <row r="5954" spans="1:1">
      <c r="A5954" s="129"/>
    </row>
    <row r="5955" spans="1:1">
      <c r="A5955" s="129"/>
    </row>
    <row r="5956" spans="1:1">
      <c r="A5956" s="129"/>
    </row>
    <row r="5957" spans="1:1">
      <c r="A5957" s="129"/>
    </row>
    <row r="5958" spans="1:1">
      <c r="A5958" s="129"/>
    </row>
    <row r="5959" spans="1:1">
      <c r="A5959" s="129"/>
    </row>
    <row r="5960" spans="1:1">
      <c r="A5960" s="129"/>
    </row>
    <row r="5961" spans="1:1">
      <c r="A5961" s="129"/>
    </row>
    <row r="5962" spans="1:1">
      <c r="A5962" s="129"/>
    </row>
    <row r="5963" spans="1:1">
      <c r="A5963" s="129"/>
    </row>
    <row r="5964" spans="1:1">
      <c r="A5964" s="129"/>
    </row>
    <row r="5965" spans="1:1">
      <c r="A5965" s="129"/>
    </row>
    <row r="5966" spans="1:1">
      <c r="A5966" s="129"/>
    </row>
    <row r="5967" spans="1:1">
      <c r="A5967" s="129"/>
    </row>
    <row r="5968" spans="1:1">
      <c r="A5968" s="129"/>
    </row>
    <row r="5969" spans="1:1">
      <c r="A5969" s="129"/>
    </row>
    <row r="5970" spans="1:1">
      <c r="A5970" s="129"/>
    </row>
    <row r="5971" spans="1:1">
      <c r="A5971" s="129"/>
    </row>
    <row r="5972" spans="1:1">
      <c r="A5972" s="129"/>
    </row>
    <row r="5973" spans="1:1">
      <c r="A5973" s="129"/>
    </row>
    <row r="5974" spans="1:1">
      <c r="A5974" s="129"/>
    </row>
    <row r="5975" spans="1:1">
      <c r="A5975" s="129"/>
    </row>
    <row r="5976" spans="1:1">
      <c r="A5976" s="129"/>
    </row>
    <row r="5977" spans="1:1">
      <c r="A5977" s="129"/>
    </row>
    <row r="5978" spans="1:1">
      <c r="A5978" s="129"/>
    </row>
    <row r="5979" spans="1:1">
      <c r="A5979" s="129"/>
    </row>
    <row r="5980" spans="1:1">
      <c r="A5980" s="129"/>
    </row>
    <row r="5981" spans="1:1">
      <c r="A5981" s="129"/>
    </row>
    <row r="5982" spans="1:1">
      <c r="A5982" s="129"/>
    </row>
    <row r="5983" spans="1:1">
      <c r="A5983" s="129"/>
    </row>
    <row r="5984" spans="1:1">
      <c r="A5984" s="129"/>
    </row>
    <row r="5985" spans="1:1">
      <c r="A5985" s="129"/>
    </row>
    <row r="5986" spans="1:1">
      <c r="A5986" s="129"/>
    </row>
    <row r="5987" spans="1:1">
      <c r="A5987" s="129"/>
    </row>
    <row r="5988" spans="1:1">
      <c r="A5988" s="129"/>
    </row>
    <row r="5989" spans="1:1">
      <c r="A5989" s="129"/>
    </row>
    <row r="5990" spans="1:1">
      <c r="A5990" s="129"/>
    </row>
    <row r="5991" spans="1:1">
      <c r="A5991" s="129"/>
    </row>
    <row r="5992" spans="1:1">
      <c r="A5992" s="129"/>
    </row>
    <row r="5993" spans="1:1">
      <c r="A5993" s="129"/>
    </row>
    <row r="5994" spans="1:1">
      <c r="A5994" s="129"/>
    </row>
    <row r="5995" spans="1:1">
      <c r="A5995" s="129"/>
    </row>
    <row r="5996" spans="1:1">
      <c r="A5996" s="129"/>
    </row>
    <row r="5997" spans="1:1">
      <c r="A5997" s="129"/>
    </row>
    <row r="5998" spans="1:1">
      <c r="A5998" s="129"/>
    </row>
    <row r="5999" spans="1:1">
      <c r="A5999" s="129"/>
    </row>
    <row r="6000" spans="1:1">
      <c r="A6000" s="129"/>
    </row>
    <row r="6001" spans="1:1">
      <c r="A6001" s="129"/>
    </row>
    <row r="6002" spans="1:1">
      <c r="A6002" s="129"/>
    </row>
    <row r="6003" spans="1:1">
      <c r="A6003" s="129"/>
    </row>
    <row r="6004" spans="1:1">
      <c r="A6004" s="129"/>
    </row>
    <row r="6005" spans="1:1">
      <c r="A6005" s="129"/>
    </row>
    <row r="6006" spans="1:1">
      <c r="A6006" s="129"/>
    </row>
    <row r="6007" spans="1:1">
      <c r="A6007" s="129"/>
    </row>
    <row r="6008" spans="1:1">
      <c r="A6008" s="129"/>
    </row>
    <row r="6009" spans="1:1">
      <c r="A6009" s="129"/>
    </row>
    <row r="6010" spans="1:1">
      <c r="A6010" s="129"/>
    </row>
    <row r="6011" spans="1:1">
      <c r="A6011" s="129"/>
    </row>
    <row r="6012" spans="1:1">
      <c r="A6012" s="129"/>
    </row>
    <row r="6013" spans="1:1">
      <c r="A6013" s="129"/>
    </row>
    <row r="6014" spans="1:1">
      <c r="A6014" s="129"/>
    </row>
    <row r="6015" spans="1:1">
      <c r="A6015" s="129"/>
    </row>
    <row r="6016" spans="1:1">
      <c r="A6016" s="129"/>
    </row>
    <row r="6017" spans="1:1">
      <c r="A6017" s="129"/>
    </row>
    <row r="6018" spans="1:1">
      <c r="A6018" s="129"/>
    </row>
    <row r="6019" spans="1:1">
      <c r="A6019" s="129"/>
    </row>
    <row r="6020" spans="1:1">
      <c r="A6020" s="129"/>
    </row>
    <row r="6021" spans="1:1">
      <c r="A6021" s="129"/>
    </row>
    <row r="6022" spans="1:1">
      <c r="A6022" s="129"/>
    </row>
    <row r="6023" spans="1:1">
      <c r="A6023" s="129"/>
    </row>
    <row r="6024" spans="1:1">
      <c r="A6024" s="129"/>
    </row>
    <row r="6025" spans="1:1">
      <c r="A6025" s="129"/>
    </row>
    <row r="6026" spans="1:1">
      <c r="A6026" s="129"/>
    </row>
    <row r="6027" spans="1:1">
      <c r="A6027" s="129"/>
    </row>
    <row r="6028" spans="1:1">
      <c r="A6028" s="129"/>
    </row>
    <row r="6029" spans="1:1">
      <c r="A6029" s="129"/>
    </row>
    <row r="6030" spans="1:1">
      <c r="A6030" s="129"/>
    </row>
    <row r="6031" spans="1:1">
      <c r="A6031" s="129"/>
    </row>
    <row r="6032" spans="1:1">
      <c r="A6032" s="129"/>
    </row>
    <row r="6033" spans="1:1">
      <c r="A6033" s="129"/>
    </row>
    <row r="6034" spans="1:1">
      <c r="A6034" s="129"/>
    </row>
    <row r="6035" spans="1:1">
      <c r="A6035" s="129"/>
    </row>
    <row r="6036" spans="1:1">
      <c r="A6036" s="129"/>
    </row>
    <row r="6037" spans="1:1">
      <c r="A6037" s="129"/>
    </row>
    <row r="6038" spans="1:1">
      <c r="A6038" s="129"/>
    </row>
    <row r="6039" spans="1:1">
      <c r="A6039" s="129"/>
    </row>
    <row r="6040" spans="1:1">
      <c r="A6040" s="129"/>
    </row>
    <row r="6041" spans="1:1">
      <c r="A6041" s="129"/>
    </row>
    <row r="6042" spans="1:1">
      <c r="A6042" s="129"/>
    </row>
    <row r="6043" spans="1:1">
      <c r="A6043" s="129"/>
    </row>
    <row r="6044" spans="1:1">
      <c r="A6044" s="129"/>
    </row>
    <row r="6045" spans="1:1">
      <c r="A6045" s="129"/>
    </row>
    <row r="6046" spans="1:1">
      <c r="A6046" s="288"/>
    </row>
    <row r="6047" spans="1:1">
      <c r="A6047" s="288"/>
    </row>
    <row r="6048" spans="1:1">
      <c r="A6048" s="288"/>
    </row>
    <row r="6049" spans="1:1">
      <c r="A6049" s="288"/>
    </row>
    <row r="6050" spans="1:1">
      <c r="A6050" s="129"/>
    </row>
    <row r="6051" spans="1:1">
      <c r="A6051" s="129"/>
    </row>
    <row r="6052" spans="1:1">
      <c r="A6052" s="129"/>
    </row>
    <row r="6053" spans="1:1">
      <c r="A6053" s="129"/>
    </row>
    <row r="6054" spans="1:1">
      <c r="A6054" s="129"/>
    </row>
    <row r="6055" spans="1:1">
      <c r="A6055" s="129"/>
    </row>
    <row r="6056" spans="1:1">
      <c r="A6056" s="129"/>
    </row>
    <row r="6057" spans="1:1">
      <c r="A6057" s="129"/>
    </row>
    <row r="6058" spans="1:1">
      <c r="A6058" s="129"/>
    </row>
    <row r="6059" spans="1:1">
      <c r="A6059" s="129"/>
    </row>
    <row r="6060" spans="1:1">
      <c r="A6060" s="129"/>
    </row>
    <row r="6061" spans="1:1">
      <c r="A6061" s="129"/>
    </row>
    <row r="6062" spans="1:1">
      <c r="A6062" s="129"/>
    </row>
    <row r="6063" spans="1:1">
      <c r="A6063" s="129"/>
    </row>
    <row r="6064" spans="1:1">
      <c r="A6064" s="129"/>
    </row>
    <row r="6065" spans="1:1">
      <c r="A6065" s="129"/>
    </row>
    <row r="6066" spans="1:1">
      <c r="A6066" s="129"/>
    </row>
    <row r="6067" spans="1:1">
      <c r="A6067" s="129"/>
    </row>
    <row r="6068" spans="1:1">
      <c r="A6068" s="129"/>
    </row>
    <row r="6069" spans="1:1">
      <c r="A6069" s="129"/>
    </row>
    <row r="6070" spans="1:1">
      <c r="A6070" s="129"/>
    </row>
    <row r="6071" spans="1:1">
      <c r="A6071" s="129"/>
    </row>
    <row r="6072" spans="1:1">
      <c r="A6072" s="129"/>
    </row>
    <row r="6073" spans="1:1">
      <c r="A6073" s="129"/>
    </row>
    <row r="6074" spans="1:1">
      <c r="A6074" s="129"/>
    </row>
    <row r="6075" spans="1:1">
      <c r="A6075" s="129"/>
    </row>
    <row r="6076" spans="1:1">
      <c r="A6076" s="129"/>
    </row>
    <row r="6077" spans="1:1">
      <c r="A6077" s="129"/>
    </row>
    <row r="6078" spans="1:1">
      <c r="A6078" s="129"/>
    </row>
    <row r="6079" spans="1:1">
      <c r="A6079" s="129"/>
    </row>
    <row r="6080" spans="1:1">
      <c r="A6080" s="129"/>
    </row>
    <row r="6081" spans="1:1">
      <c r="A6081" s="129"/>
    </row>
    <row r="6082" spans="1:1">
      <c r="A6082" s="129"/>
    </row>
    <row r="6083" spans="1:1">
      <c r="A6083" s="129"/>
    </row>
    <row r="6084" spans="1:1">
      <c r="A6084" s="129"/>
    </row>
    <row r="6085" spans="1:1">
      <c r="A6085" s="129"/>
    </row>
    <row r="6086" spans="1:1">
      <c r="A6086" s="129"/>
    </row>
    <row r="6087" spans="1:1">
      <c r="A6087" s="129"/>
    </row>
    <row r="6088" spans="1:1">
      <c r="A6088" s="129"/>
    </row>
    <row r="6089" spans="1:1">
      <c r="A6089" s="129"/>
    </row>
    <row r="6090" spans="1:1">
      <c r="A6090" s="129"/>
    </row>
    <row r="6091" spans="1:1">
      <c r="A6091" s="129"/>
    </row>
    <row r="6092" spans="1:1">
      <c r="A6092" s="129"/>
    </row>
    <row r="6093" spans="1:1">
      <c r="A6093" s="129"/>
    </row>
    <row r="6094" spans="1:1">
      <c r="A6094" s="129"/>
    </row>
    <row r="6095" spans="1:1">
      <c r="A6095" s="129"/>
    </row>
    <row r="6096" spans="1:1">
      <c r="A6096" s="129"/>
    </row>
    <row r="6097" spans="1:1">
      <c r="A6097" s="129"/>
    </row>
    <row r="6098" spans="1:1">
      <c r="A6098" s="129"/>
    </row>
    <row r="6099" spans="1:1">
      <c r="A6099" s="129"/>
    </row>
    <row r="6100" spans="1:1">
      <c r="A6100" s="129"/>
    </row>
    <row r="6101" spans="1:1">
      <c r="A6101" s="129"/>
    </row>
    <row r="6102" spans="1:1">
      <c r="A6102" s="129"/>
    </row>
    <row r="6103" spans="1:1">
      <c r="A6103" s="129"/>
    </row>
    <row r="6104" spans="1:1">
      <c r="A6104" s="129"/>
    </row>
    <row r="6105" spans="1:1">
      <c r="A6105" s="129"/>
    </row>
    <row r="6106" spans="1:1">
      <c r="A6106" s="129"/>
    </row>
    <row r="6107" spans="1:1">
      <c r="A6107" s="129"/>
    </row>
    <row r="6108" spans="1:1">
      <c r="A6108" s="129"/>
    </row>
    <row r="6109" spans="1:1">
      <c r="A6109" s="129"/>
    </row>
    <row r="6110" spans="1:1">
      <c r="A6110" s="129"/>
    </row>
    <row r="6111" spans="1:1">
      <c r="A6111" s="129"/>
    </row>
    <row r="6112" spans="1:1">
      <c r="A6112" s="129"/>
    </row>
    <row r="6113" spans="1:1">
      <c r="A6113" s="129"/>
    </row>
    <row r="6114" spans="1:1">
      <c r="A6114" s="129"/>
    </row>
    <row r="6115" spans="1:1">
      <c r="A6115" s="129"/>
    </row>
    <row r="6116" spans="1:1">
      <c r="A6116" s="129"/>
    </row>
    <row r="6117" spans="1:1">
      <c r="A6117" s="129"/>
    </row>
    <row r="6118" spans="1:1">
      <c r="A6118" s="129"/>
    </row>
    <row r="6119" spans="1:1">
      <c r="A6119" s="129"/>
    </row>
    <row r="6120" spans="1:1">
      <c r="A6120" s="129"/>
    </row>
    <row r="6121" spans="1:1">
      <c r="A6121" s="129"/>
    </row>
    <row r="6122" spans="1:1">
      <c r="A6122" s="129"/>
    </row>
    <row r="6123" spans="1:1">
      <c r="A6123" s="129"/>
    </row>
    <row r="6124" spans="1:1">
      <c r="A6124" s="129"/>
    </row>
    <row r="6125" spans="1:1">
      <c r="A6125" s="129"/>
    </row>
    <row r="6126" spans="1:1">
      <c r="A6126" s="129"/>
    </row>
    <row r="6127" spans="1:1">
      <c r="A6127" s="129"/>
    </row>
    <row r="6128" spans="1:1">
      <c r="A6128" s="129"/>
    </row>
    <row r="6129" spans="1:1">
      <c r="A6129" s="129"/>
    </row>
    <row r="6130" spans="1:1">
      <c r="A6130" s="129"/>
    </row>
    <row r="6131" spans="1:1">
      <c r="A6131" s="129"/>
    </row>
    <row r="6132" spans="1:1">
      <c r="A6132" s="129"/>
    </row>
    <row r="6133" spans="1:1">
      <c r="A6133" s="129"/>
    </row>
    <row r="6134" spans="1:1">
      <c r="A6134" s="129"/>
    </row>
    <row r="6135" spans="1:1">
      <c r="A6135" s="129"/>
    </row>
    <row r="6136" spans="1:1">
      <c r="A6136" s="129"/>
    </row>
    <row r="6137" spans="1:1">
      <c r="A6137" s="129"/>
    </row>
    <row r="6138" spans="1:1">
      <c r="A6138" s="129"/>
    </row>
    <row r="6139" spans="1:1">
      <c r="A6139" s="129"/>
    </row>
    <row r="6140" spans="1:1">
      <c r="A6140" s="129"/>
    </row>
    <row r="6141" spans="1:1">
      <c r="A6141" s="129"/>
    </row>
    <row r="6142" spans="1:1">
      <c r="A6142" s="129"/>
    </row>
    <row r="6143" spans="1:1">
      <c r="A6143" s="129"/>
    </row>
    <row r="6144" spans="1:1">
      <c r="A6144" s="129"/>
    </row>
    <row r="6145" spans="1:1">
      <c r="A6145" s="129"/>
    </row>
    <row r="6146" spans="1:1">
      <c r="A6146" s="129"/>
    </row>
    <row r="6147" spans="1:1">
      <c r="A6147" s="129"/>
    </row>
    <row r="6148" spans="1:1">
      <c r="A6148" s="129"/>
    </row>
    <row r="6149" spans="1:1">
      <c r="A6149" s="129"/>
    </row>
    <row r="6150" spans="1:1">
      <c r="A6150" s="129"/>
    </row>
    <row r="6151" spans="1:1">
      <c r="A6151" s="129"/>
    </row>
    <row r="6152" spans="1:1">
      <c r="A6152" s="129"/>
    </row>
    <row r="6153" spans="1:1">
      <c r="A6153" s="129"/>
    </row>
    <row r="6154" spans="1:1">
      <c r="A6154" s="129"/>
    </row>
    <row r="6155" spans="1:1">
      <c r="A6155" s="129"/>
    </row>
    <row r="6156" spans="1:1">
      <c r="A6156" s="129"/>
    </row>
    <row r="6157" spans="1:1">
      <c r="A6157" s="129"/>
    </row>
    <row r="6158" spans="1:1">
      <c r="A6158" s="129"/>
    </row>
    <row r="6159" spans="1:1">
      <c r="A6159" s="129"/>
    </row>
    <row r="6160" spans="1:1">
      <c r="A6160" s="129"/>
    </row>
    <row r="6161" spans="1:1">
      <c r="A6161" s="129"/>
    </row>
    <row r="6162" spans="1:1">
      <c r="A6162" s="129"/>
    </row>
    <row r="6163" spans="1:1">
      <c r="A6163" s="129"/>
    </row>
    <row r="6164" spans="1:1">
      <c r="A6164" s="129"/>
    </row>
    <row r="6165" spans="1:1">
      <c r="A6165" s="129"/>
    </row>
    <row r="6166" spans="1:1">
      <c r="A6166" s="129"/>
    </row>
    <row r="6167" spans="1:1">
      <c r="A6167" s="129"/>
    </row>
    <row r="6168" spans="1:1">
      <c r="A6168" s="129"/>
    </row>
    <row r="6169" spans="1:1">
      <c r="A6169" s="129"/>
    </row>
    <row r="6170" spans="1:1">
      <c r="A6170" s="129"/>
    </row>
    <row r="6171" spans="1:1">
      <c r="A6171" s="129"/>
    </row>
    <row r="6172" spans="1:1">
      <c r="A6172" s="129"/>
    </row>
    <row r="6173" spans="1:1">
      <c r="A6173" s="129"/>
    </row>
    <row r="6174" spans="1:1">
      <c r="A6174" s="129"/>
    </row>
    <row r="6175" spans="1:1">
      <c r="A6175" s="129"/>
    </row>
    <row r="6176" spans="1:1">
      <c r="A6176" s="129"/>
    </row>
    <row r="6177" spans="1:1">
      <c r="A6177" s="129"/>
    </row>
    <row r="6178" spans="1:1">
      <c r="A6178" s="129"/>
    </row>
    <row r="6179" spans="1:1">
      <c r="A6179" s="129"/>
    </row>
    <row r="6180" spans="1:1">
      <c r="A6180" s="129"/>
    </row>
    <row r="6181" spans="1:1">
      <c r="A6181" s="129"/>
    </row>
    <row r="6182" spans="1:1">
      <c r="A6182" s="282"/>
    </row>
    <row r="6183" spans="1:1">
      <c r="A6183" s="282"/>
    </row>
    <row r="6184" spans="1:1">
      <c r="A6184" s="282"/>
    </row>
    <row r="6185" spans="1:1">
      <c r="A6185" s="282"/>
    </row>
    <row r="6186" spans="1:1">
      <c r="A6186" s="282"/>
    </row>
    <row r="6187" spans="1:1">
      <c r="A6187" s="129"/>
    </row>
    <row r="6188" spans="1:1">
      <c r="A6188" s="282"/>
    </row>
    <row r="6189" spans="1:1">
      <c r="A6189" s="282"/>
    </row>
    <row r="6190" spans="1:1">
      <c r="A6190" s="282"/>
    </row>
    <row r="6191" spans="1:1">
      <c r="A6191" s="129"/>
    </row>
    <row r="6192" spans="1:1">
      <c r="A6192" s="282"/>
    </row>
    <row r="6193" spans="1:1">
      <c r="A6193" s="282"/>
    </row>
    <row r="6194" spans="1:1">
      <c r="A6194" s="129"/>
    </row>
    <row r="6195" spans="1:1">
      <c r="A6195" s="129"/>
    </row>
    <row r="6196" spans="1:1">
      <c r="A6196" s="282"/>
    </row>
    <row r="6197" spans="1:1">
      <c r="A6197" s="282"/>
    </row>
    <row r="6198" spans="1:1">
      <c r="A6198" s="129"/>
    </row>
    <row r="6199" spans="1:1">
      <c r="A6199" s="282"/>
    </row>
    <row r="6200" spans="1:1">
      <c r="A6200" s="129"/>
    </row>
    <row r="6201" spans="1:1">
      <c r="A6201" s="282"/>
    </row>
    <row r="6202" spans="1:1">
      <c r="A6202" s="129"/>
    </row>
    <row r="6203" spans="1:1">
      <c r="A6203" s="282"/>
    </row>
    <row r="6204" spans="1:1">
      <c r="A6204" s="129"/>
    </row>
    <row r="6205" spans="1:1">
      <c r="A6205" s="129"/>
    </row>
    <row r="6206" spans="1:1">
      <c r="A6206" s="282"/>
    </row>
    <row r="6207" spans="1:1">
      <c r="A6207" s="282"/>
    </row>
    <row r="6208" spans="1:1">
      <c r="A6208" s="282"/>
    </row>
    <row r="6209" spans="1:1">
      <c r="A6209" s="129"/>
    </row>
    <row r="6210" spans="1:1">
      <c r="A6210" s="129"/>
    </row>
    <row r="6211" spans="1:1">
      <c r="A6211" s="282"/>
    </row>
    <row r="6212" spans="1:1">
      <c r="A6212" s="282"/>
    </row>
    <row r="6213" spans="1:1">
      <c r="A6213" s="282"/>
    </row>
    <row r="6214" spans="1:1">
      <c r="A6214" s="282"/>
    </row>
    <row r="6215" spans="1:1">
      <c r="A6215" s="282"/>
    </row>
    <row r="6216" spans="1:1">
      <c r="A6216" s="282"/>
    </row>
    <row r="6217" spans="1:1">
      <c r="A6217" s="282"/>
    </row>
    <row r="6218" spans="1:1">
      <c r="A6218" s="282"/>
    </row>
    <row r="6219" spans="1:1">
      <c r="A6219" s="282"/>
    </row>
    <row r="6220" spans="1:1">
      <c r="A6220" s="282"/>
    </row>
    <row r="6221" spans="1:1">
      <c r="A6221" s="282"/>
    </row>
    <row r="6222" spans="1:1">
      <c r="A6222" s="282"/>
    </row>
    <row r="6223" spans="1:1">
      <c r="A6223" s="282"/>
    </row>
    <row r="6224" spans="1:1">
      <c r="A6224" s="129"/>
    </row>
    <row r="6225" spans="1:1">
      <c r="A6225" s="282"/>
    </row>
    <row r="6226" spans="1:1">
      <c r="A6226" s="282"/>
    </row>
    <row r="6227" spans="1:1">
      <c r="A6227" s="282"/>
    </row>
    <row r="6228" spans="1:1">
      <c r="A6228" s="282"/>
    </row>
    <row r="6229" spans="1:1">
      <c r="A6229" s="282"/>
    </row>
    <row r="6230" spans="1:1">
      <c r="A6230" s="282"/>
    </row>
    <row r="6231" spans="1:1">
      <c r="A6231" s="282"/>
    </row>
    <row r="6232" spans="1:1">
      <c r="A6232" s="282"/>
    </row>
    <row r="6233" spans="1:1">
      <c r="A6233" s="282"/>
    </row>
    <row r="6234" spans="1:1">
      <c r="A6234" s="282"/>
    </row>
    <row r="6235" spans="1:1">
      <c r="A6235" s="282"/>
    </row>
    <row r="6236" spans="1:1">
      <c r="A6236" s="282"/>
    </row>
    <row r="6237" spans="1:1">
      <c r="A6237" s="282"/>
    </row>
    <row r="6238" spans="1:1">
      <c r="A6238" s="282"/>
    </row>
    <row r="6239" spans="1:1">
      <c r="A6239" s="282"/>
    </row>
    <row r="6240" spans="1:1">
      <c r="A6240" s="282"/>
    </row>
    <row r="6241" spans="1:1">
      <c r="A6241" s="282"/>
    </row>
    <row r="6242" spans="1:1">
      <c r="A6242" s="282"/>
    </row>
    <row r="6243" spans="1:1">
      <c r="A6243" s="282"/>
    </row>
    <row r="6244" spans="1:1">
      <c r="A6244" s="282"/>
    </row>
    <row r="6245" spans="1:1">
      <c r="A6245" s="282"/>
    </row>
    <row r="6246" spans="1:1">
      <c r="A6246" s="282"/>
    </row>
    <row r="6247" spans="1:1">
      <c r="A6247" s="282"/>
    </row>
    <row r="6248" spans="1:1">
      <c r="A6248" s="282"/>
    </row>
    <row r="6249" spans="1:1">
      <c r="A6249" s="282"/>
    </row>
    <row r="6250" spans="1:1">
      <c r="A6250" s="282"/>
    </row>
    <row r="6251" spans="1:1">
      <c r="A6251" s="282"/>
    </row>
    <row r="6252" spans="1:1">
      <c r="A6252" s="282"/>
    </row>
    <row r="6253" spans="1:1">
      <c r="A6253" s="282"/>
    </row>
    <row r="6254" spans="1:1">
      <c r="A6254" s="282"/>
    </row>
    <row r="6255" spans="1:1">
      <c r="A6255" s="282"/>
    </row>
    <row r="6256" spans="1:1">
      <c r="A6256" s="282"/>
    </row>
    <row r="6257" spans="1:1">
      <c r="A6257" s="282"/>
    </row>
    <row r="6258" spans="1:1">
      <c r="A6258" s="282"/>
    </row>
    <row r="6259" spans="1:1">
      <c r="A6259" s="282"/>
    </row>
    <row r="6260" spans="1:1">
      <c r="A6260" s="282"/>
    </row>
    <row r="6261" spans="1:1">
      <c r="A6261" s="282"/>
    </row>
    <row r="6262" spans="1:1">
      <c r="A6262" s="282"/>
    </row>
    <row r="6263" spans="1:1">
      <c r="A6263" s="282"/>
    </row>
    <row r="6264" spans="1:1">
      <c r="A6264" s="282"/>
    </row>
    <row r="6265" spans="1:1">
      <c r="A6265" s="282"/>
    </row>
    <row r="6266" spans="1:1">
      <c r="A6266" s="282"/>
    </row>
    <row r="6267" spans="1:1">
      <c r="A6267" s="282"/>
    </row>
    <row r="6268" spans="1:1">
      <c r="A6268" s="282"/>
    </row>
    <row r="6269" spans="1:1">
      <c r="A6269" s="282"/>
    </row>
    <row r="6270" spans="1:1">
      <c r="A6270" s="282"/>
    </row>
    <row r="6271" spans="1:1">
      <c r="A6271" s="282"/>
    </row>
    <row r="6272" spans="1:1">
      <c r="A6272" s="282"/>
    </row>
    <row r="6273" spans="1:1">
      <c r="A6273" s="282"/>
    </row>
    <row r="6274" spans="1:1">
      <c r="A6274" s="282"/>
    </row>
    <row r="6275" spans="1:1">
      <c r="A6275" s="282"/>
    </row>
    <row r="6276" spans="1:1">
      <c r="A6276" s="282"/>
    </row>
    <row r="6277" spans="1:1">
      <c r="A6277" s="282"/>
    </row>
    <row r="6278" spans="1:1">
      <c r="A6278" s="282"/>
    </row>
    <row r="6279" spans="1:1">
      <c r="A6279" s="282"/>
    </row>
    <row r="6280" spans="1:1">
      <c r="A6280" s="282"/>
    </row>
    <row r="6281" spans="1:1">
      <c r="A6281" s="282"/>
    </row>
    <row r="6282" spans="1:1">
      <c r="A6282" s="282"/>
    </row>
    <row r="6283" spans="1:1">
      <c r="A6283" s="282"/>
    </row>
    <row r="6284" spans="1:1">
      <c r="A6284" s="282"/>
    </row>
    <row r="6285" spans="1:1">
      <c r="A6285" s="282"/>
    </row>
    <row r="6286" spans="1:1">
      <c r="A6286" s="282"/>
    </row>
    <row r="6287" spans="1:1">
      <c r="A6287" s="282"/>
    </row>
    <row r="6288" spans="1:1">
      <c r="A6288" s="282"/>
    </row>
    <row r="6289" spans="1:1">
      <c r="A6289" s="282"/>
    </row>
    <row r="6290" spans="1:1">
      <c r="A6290" s="282"/>
    </row>
    <row r="6291" spans="1:1">
      <c r="A6291" s="282"/>
    </row>
    <row r="6292" spans="1:1">
      <c r="A6292" s="282"/>
    </row>
    <row r="6293" spans="1:1">
      <c r="A6293" s="282"/>
    </row>
    <row r="6294" spans="1:1">
      <c r="A6294" s="282"/>
    </row>
    <row r="6295" spans="1:1">
      <c r="A6295" s="282"/>
    </row>
    <row r="6296" spans="1:1">
      <c r="A6296" s="282"/>
    </row>
    <row r="6297" spans="1:1">
      <c r="A6297" s="282"/>
    </row>
    <row r="6298" spans="1:1">
      <c r="A6298" s="282"/>
    </row>
    <row r="6299" spans="1:1">
      <c r="A6299" s="282"/>
    </row>
    <row r="6300" spans="1:1">
      <c r="A6300" s="282"/>
    </row>
    <row r="6301" spans="1:1">
      <c r="A6301" s="282"/>
    </row>
    <row r="6302" spans="1:1">
      <c r="A6302" s="282"/>
    </row>
    <row r="6303" spans="1:1">
      <c r="A6303" s="282"/>
    </row>
    <row r="6304" spans="1:1">
      <c r="A6304" s="282"/>
    </row>
    <row r="6305" spans="1:1">
      <c r="A6305" s="282"/>
    </row>
    <row r="6306" spans="1:1">
      <c r="A6306" s="282"/>
    </row>
    <row r="6307" spans="1:1">
      <c r="A6307" s="282"/>
    </row>
    <row r="6308" spans="1:1">
      <c r="A6308" s="282"/>
    </row>
    <row r="6309" spans="1:1">
      <c r="A6309" s="282"/>
    </row>
    <row r="6310" spans="1:1">
      <c r="A6310" s="282"/>
    </row>
    <row r="6311" spans="1:1">
      <c r="A6311" s="282"/>
    </row>
    <row r="6312" spans="1:1">
      <c r="A6312" s="282"/>
    </row>
    <row r="6313" spans="1:1">
      <c r="A6313" s="282"/>
    </row>
    <row r="6314" spans="1:1">
      <c r="A6314" s="282"/>
    </row>
    <row r="6315" spans="1:1">
      <c r="A6315" s="282"/>
    </row>
    <row r="6316" spans="1:1">
      <c r="A6316" s="282"/>
    </row>
    <row r="6317" spans="1:1">
      <c r="A6317" s="282"/>
    </row>
    <row r="6318" spans="1:1">
      <c r="A6318" s="282"/>
    </row>
    <row r="6319" spans="1:1">
      <c r="A6319" s="282"/>
    </row>
    <row r="6320" spans="1:1">
      <c r="A6320" s="282"/>
    </row>
    <row r="6321" spans="1:1">
      <c r="A6321" s="282"/>
    </row>
    <row r="6322" spans="1:1">
      <c r="A6322" s="282"/>
    </row>
    <row r="6323" spans="1:1">
      <c r="A6323" s="282"/>
    </row>
    <row r="6324" spans="1:1">
      <c r="A6324" s="282"/>
    </row>
    <row r="6325" spans="1:1">
      <c r="A6325" s="282"/>
    </row>
    <row r="6326" spans="1:1">
      <c r="A6326" s="282"/>
    </row>
    <row r="6327" spans="1:1">
      <c r="A6327" s="282"/>
    </row>
    <row r="6328" spans="1:1">
      <c r="A6328" s="282"/>
    </row>
    <row r="6329" spans="1:1">
      <c r="A6329" s="282"/>
    </row>
    <row r="6330" spans="1:1">
      <c r="A6330" s="282"/>
    </row>
    <row r="6331" spans="1:1">
      <c r="A6331" s="282"/>
    </row>
    <row r="6332" spans="1:1">
      <c r="A6332" s="282"/>
    </row>
    <row r="6333" spans="1:1">
      <c r="A6333" s="282"/>
    </row>
    <row r="6334" spans="1:1">
      <c r="A6334" s="282"/>
    </row>
    <row r="6335" spans="1:1">
      <c r="A6335" s="282"/>
    </row>
    <row r="6336" spans="1:1">
      <c r="A6336" s="282"/>
    </row>
    <row r="6337" spans="1:1">
      <c r="A6337" s="282"/>
    </row>
    <row r="6338" spans="1:1">
      <c r="A6338" s="282"/>
    </row>
    <row r="6339" spans="1:1">
      <c r="A6339" s="282"/>
    </row>
    <row r="6340" spans="1:1">
      <c r="A6340" s="282"/>
    </row>
    <row r="6341" spans="1:1">
      <c r="A6341" s="282"/>
    </row>
    <row r="6342" spans="1:1">
      <c r="A6342" s="282"/>
    </row>
    <row r="6343" spans="1:1">
      <c r="A6343" s="282"/>
    </row>
    <row r="6344" spans="1:1">
      <c r="A6344" s="282"/>
    </row>
    <row r="6345" spans="1:1">
      <c r="A6345" s="282"/>
    </row>
    <row r="6346" spans="1:1">
      <c r="A6346" s="282"/>
    </row>
    <row r="6347" spans="1:1">
      <c r="A6347" s="282"/>
    </row>
    <row r="6348" spans="1:1">
      <c r="A6348" s="282"/>
    </row>
    <row r="6349" spans="1:1">
      <c r="A6349" s="282"/>
    </row>
    <row r="6350" spans="1:1">
      <c r="A6350" s="282"/>
    </row>
    <row r="6351" spans="1:1">
      <c r="A6351" s="282"/>
    </row>
    <row r="6352" spans="1:1">
      <c r="A6352" s="282"/>
    </row>
    <row r="6353" spans="1:1">
      <c r="A6353" s="282"/>
    </row>
    <row r="6354" spans="1:1">
      <c r="A6354" s="282"/>
    </row>
    <row r="6355" spans="1:1">
      <c r="A6355" s="282"/>
    </row>
    <row r="6356" spans="1:1">
      <c r="A6356" s="282"/>
    </row>
    <row r="6357" spans="1:1">
      <c r="A6357" s="282"/>
    </row>
    <row r="6358" spans="1:1">
      <c r="A6358" s="282"/>
    </row>
    <row r="6359" spans="1:1">
      <c r="A6359" s="282"/>
    </row>
    <row r="6360" spans="1:1">
      <c r="A6360" s="282"/>
    </row>
    <row r="6361" spans="1:1">
      <c r="A6361" s="282"/>
    </row>
    <row r="6362" spans="1:1">
      <c r="A6362" s="282"/>
    </row>
    <row r="6363" spans="1:1">
      <c r="A6363" s="282"/>
    </row>
    <row r="6364" spans="1:1">
      <c r="A6364" s="282"/>
    </row>
    <row r="6365" spans="1:1">
      <c r="A6365" s="282"/>
    </row>
    <row r="6366" spans="1:1">
      <c r="A6366" s="282"/>
    </row>
    <row r="6367" spans="1:1">
      <c r="A6367" s="282"/>
    </row>
    <row r="6368" spans="1:1">
      <c r="A6368" s="282"/>
    </row>
    <row r="6369" spans="1:1">
      <c r="A6369" s="282"/>
    </row>
    <row r="6370" spans="1:1">
      <c r="A6370" s="282"/>
    </row>
    <row r="6371" spans="1:1">
      <c r="A6371" s="282"/>
    </row>
    <row r="6372" spans="1:1">
      <c r="A6372" s="282"/>
    </row>
    <row r="6373" spans="1:1">
      <c r="A6373" s="282"/>
    </row>
    <row r="6374" spans="1:1">
      <c r="A6374" s="282"/>
    </row>
    <row r="6375" spans="1:1">
      <c r="A6375" s="284"/>
    </row>
    <row r="6376" spans="1:1">
      <c r="A6376" s="286"/>
    </row>
    <row r="6377" spans="1:1">
      <c r="A6377" s="285"/>
    </row>
    <row r="6378" spans="1:1">
      <c r="A6378" s="286"/>
    </row>
    <row r="6379" spans="1:1">
      <c r="A6379" s="285"/>
    </row>
    <row r="6380" spans="1:1">
      <c r="A6380" s="286"/>
    </row>
    <row r="6381" spans="1:1">
      <c r="A6381" s="285"/>
    </row>
    <row r="6382" spans="1:1">
      <c r="A6382" s="287"/>
    </row>
    <row r="6383" spans="1:1">
      <c r="A6383" s="285"/>
    </row>
    <row r="6384" spans="1:1">
      <c r="A6384" s="287"/>
    </row>
    <row r="6385" spans="1:1">
      <c r="A6385" s="285"/>
    </row>
    <row r="6386" spans="1:1">
      <c r="A6386" s="286"/>
    </row>
    <row r="6387" spans="1:1">
      <c r="A6387" s="285"/>
    </row>
    <row r="6388" spans="1:1">
      <c r="A6388" s="286"/>
    </row>
    <row r="6389" spans="1:1">
      <c r="A6389" s="285"/>
    </row>
    <row r="6390" spans="1:1">
      <c r="A6390" s="286"/>
    </row>
    <row r="6391" spans="1:1">
      <c r="A6391" s="285"/>
    </row>
    <row r="6392" spans="1:1">
      <c r="A6392" s="285"/>
    </row>
    <row r="6393" spans="1:1">
      <c r="A6393" s="286"/>
    </row>
    <row r="6394" spans="1:1">
      <c r="A6394" s="285"/>
    </row>
    <row r="6395" spans="1:1">
      <c r="A6395" s="286"/>
    </row>
    <row r="6396" spans="1:1">
      <c r="A6396" s="285"/>
    </row>
    <row r="6397" spans="1:1">
      <c r="A6397" s="287"/>
    </row>
    <row r="6398" spans="1:1">
      <c r="A6398" s="285"/>
    </row>
    <row r="6399" spans="1:1">
      <c r="A6399" s="287"/>
    </row>
    <row r="6400" spans="1:1">
      <c r="A6400" s="285"/>
    </row>
    <row r="6401" spans="1:1">
      <c r="A6401" s="287"/>
    </row>
    <row r="6402" spans="1:1">
      <c r="A6402" s="285"/>
    </row>
    <row r="6403" spans="1:1">
      <c r="A6403" s="287"/>
    </row>
    <row r="6404" spans="1:1">
      <c r="A6404" s="286"/>
    </row>
    <row r="6405" spans="1:1">
      <c r="A6405" s="285"/>
    </row>
    <row r="6406" spans="1:1">
      <c r="A6406" s="286"/>
    </row>
    <row r="6407" spans="1:1">
      <c r="A6407" s="285"/>
    </row>
    <row r="6408" spans="1:1">
      <c r="A6408" s="264"/>
    </row>
    <row r="6409" spans="1:1">
      <c r="A6409" s="285"/>
    </row>
    <row r="6410" spans="1:1">
      <c r="A6410" s="286"/>
    </row>
    <row r="6411" spans="1:1">
      <c r="A6411" s="285"/>
    </row>
    <row r="6412" spans="1:1">
      <c r="A6412" s="287"/>
    </row>
    <row r="6413" spans="1:1">
      <c r="A6413" s="285"/>
    </row>
    <row r="6414" spans="1:1">
      <c r="A6414" s="286"/>
    </row>
    <row r="6415" spans="1:1">
      <c r="A6415" s="285"/>
    </row>
    <row r="6416" spans="1:1">
      <c r="A6416" s="286"/>
    </row>
    <row r="6417" spans="1:1">
      <c r="A6417" s="285"/>
    </row>
    <row r="6418" spans="1:1">
      <c r="A6418" s="287"/>
    </row>
    <row r="6419" spans="1:1">
      <c r="A6419" s="285"/>
    </row>
    <row r="6420" spans="1:1">
      <c r="A6420" s="286"/>
    </row>
    <row r="6421" spans="1:1">
      <c r="A6421" s="285"/>
    </row>
    <row r="6422" spans="1:1">
      <c r="A6422" s="287"/>
    </row>
    <row r="6423" spans="1:1">
      <c r="A6423" s="285"/>
    </row>
    <row r="6424" spans="1:1">
      <c r="A6424" s="285"/>
    </row>
    <row r="6425" spans="1:1">
      <c r="A6425" s="286"/>
    </row>
    <row r="6426" spans="1:1">
      <c r="A6426" s="285"/>
    </row>
    <row r="6427" spans="1:1">
      <c r="A6427" s="287"/>
    </row>
    <row r="6428" spans="1:1">
      <c r="A6428" s="285"/>
    </row>
    <row r="6429" spans="1:1">
      <c r="A6429" s="286"/>
    </row>
    <row r="6430" spans="1:1">
      <c r="A6430" s="285"/>
    </row>
    <row r="6431" spans="1:1">
      <c r="A6431" s="286"/>
    </row>
    <row r="6432" spans="1:1">
      <c r="A6432" s="285"/>
    </row>
    <row r="6433" spans="1:1">
      <c r="A6433" s="287"/>
    </row>
    <row r="6434" spans="1:1">
      <c r="A6434" s="285"/>
    </row>
    <row r="6435" spans="1:1">
      <c r="A6435" s="286"/>
    </row>
    <row r="6436" spans="1:1">
      <c r="A6436" s="286"/>
    </row>
    <row r="6437" spans="1:1">
      <c r="A6437" s="285"/>
    </row>
    <row r="6438" spans="1:1">
      <c r="A6438" s="287"/>
    </row>
    <row r="6439" spans="1:1">
      <c r="A6439" s="285"/>
    </row>
    <row r="6440" spans="1:1">
      <c r="A6440" s="286"/>
    </row>
    <row r="6441" spans="1:1">
      <c r="A6441" s="285"/>
    </row>
    <row r="6442" spans="1:1">
      <c r="A6442" s="286"/>
    </row>
    <row r="6443" spans="1:1">
      <c r="A6443" s="285"/>
    </row>
    <row r="6444" spans="1:1">
      <c r="A6444" s="286"/>
    </row>
    <row r="6445" spans="1:1">
      <c r="A6445" s="285"/>
    </row>
    <row r="6446" spans="1:1">
      <c r="A6446" s="287"/>
    </row>
    <row r="6447" spans="1:1">
      <c r="A6447" s="285"/>
    </row>
    <row r="6448" spans="1:1">
      <c r="A6448" s="287"/>
    </row>
    <row r="6449" spans="1:1">
      <c r="A6449" s="285"/>
    </row>
    <row r="6450" spans="1:1">
      <c r="A6450" s="286"/>
    </row>
    <row r="6451" spans="1:1">
      <c r="A6451" s="285"/>
    </row>
    <row r="6452" spans="1:1">
      <c r="A6452" s="286"/>
    </row>
    <row r="6453" spans="1:1">
      <c r="A6453" s="285"/>
    </row>
    <row r="6454" spans="1:1">
      <c r="A6454" s="287"/>
    </row>
    <row r="6455" spans="1:1">
      <c r="A6455" s="285"/>
    </row>
    <row r="6456" spans="1:1">
      <c r="A6456" s="287"/>
    </row>
    <row r="6457" spans="1:1">
      <c r="A6457" s="285"/>
    </row>
    <row r="6458" spans="1:1">
      <c r="A6458" s="287"/>
    </row>
    <row r="6459" spans="1:1">
      <c r="A6459" s="285"/>
    </row>
    <row r="6460" spans="1:1">
      <c r="A6460" s="286"/>
    </row>
    <row r="6461" spans="1:1">
      <c r="A6461" s="285"/>
    </row>
    <row r="6462" spans="1:1">
      <c r="A6462" s="286"/>
    </row>
    <row r="6463" spans="1:1">
      <c r="A6463" s="285"/>
    </row>
    <row r="6464" spans="1:1">
      <c r="A6464" s="287"/>
    </row>
    <row r="6465" spans="1:1">
      <c r="A6465" s="285"/>
    </row>
    <row r="6466" spans="1:1">
      <c r="A6466" s="287"/>
    </row>
    <row r="6467" spans="1:1">
      <c r="A6467" s="286"/>
    </row>
    <row r="6468" spans="1:1">
      <c r="A6468" s="285"/>
    </row>
    <row r="6469" spans="1:1">
      <c r="A6469" s="287"/>
    </row>
    <row r="6470" spans="1:1">
      <c r="A6470" s="289"/>
    </row>
    <row r="6471" spans="1:1">
      <c r="A6471" s="290"/>
    </row>
    <row r="6472" spans="1:1">
      <c r="A6472" s="285"/>
    </row>
    <row r="6473" spans="1:1">
      <c r="A6473" s="286"/>
    </row>
    <row r="6474" spans="1:1">
      <c r="A6474" s="285"/>
    </row>
    <row r="6475" spans="1:1">
      <c r="A6475" s="286"/>
    </row>
    <row r="6476" spans="1:1">
      <c r="A6476" s="285"/>
    </row>
    <row r="6477" spans="1:1">
      <c r="A6477" s="286"/>
    </row>
    <row r="6478" spans="1:1">
      <c r="A6478" s="285"/>
    </row>
    <row r="6479" spans="1:1">
      <c r="A6479" s="287"/>
    </row>
    <row r="6480" spans="1:1">
      <c r="A6480" s="291"/>
    </row>
    <row r="6481" spans="1:1">
      <c r="A6481" s="285"/>
    </row>
    <row r="6482" spans="1:1">
      <c r="A6482" s="287"/>
    </row>
    <row r="6483" spans="1:1">
      <c r="A6483" s="285"/>
    </row>
    <row r="6484" spans="1:1">
      <c r="A6484" s="285"/>
    </row>
    <row r="6485" spans="1:1">
      <c r="A6485" s="286"/>
    </row>
    <row r="6486" spans="1:1">
      <c r="A6486" s="285"/>
    </row>
    <row r="6487" spans="1:1">
      <c r="A6487" s="287"/>
    </row>
    <row r="6488" spans="1:1">
      <c r="A6488" s="285"/>
    </row>
    <row r="6489" spans="1:1">
      <c r="A6489" s="287"/>
    </row>
    <row r="6490" spans="1:1">
      <c r="A6490" s="285"/>
    </row>
    <row r="6491" spans="1:1">
      <c r="A6491" s="286"/>
    </row>
    <row r="6492" spans="1:1">
      <c r="A6492" s="285"/>
    </row>
    <row r="6493" spans="1:1">
      <c r="A6493" s="285"/>
    </row>
    <row r="6494" spans="1:1">
      <c r="A6494" s="286"/>
    </row>
    <row r="6495" spans="1:1">
      <c r="A6495" s="287"/>
    </row>
    <row r="6496" spans="1:1">
      <c r="A6496" s="286"/>
    </row>
    <row r="6497" spans="1:1">
      <c r="A6497" s="285"/>
    </row>
    <row r="6498" spans="1:1">
      <c r="A6498" s="292"/>
    </row>
    <row r="6499" spans="1:1">
      <c r="A6499" s="289"/>
    </row>
    <row r="6500" spans="1:1">
      <c r="A6500" s="287"/>
    </row>
    <row r="6501" spans="1:1">
      <c r="A6501" s="285"/>
    </row>
    <row r="6502" spans="1:1">
      <c r="A6502" s="286"/>
    </row>
    <row r="6503" spans="1:1">
      <c r="A6503" s="285"/>
    </row>
    <row r="6504" spans="1:1">
      <c r="A6504" s="285"/>
    </row>
    <row r="6505" spans="1:1">
      <c r="A6505" s="287"/>
    </row>
    <row r="6506" spans="1:1">
      <c r="A6506" s="285"/>
    </row>
    <row r="6507" spans="1:1">
      <c r="A6507" s="285"/>
    </row>
    <row r="6508" spans="1:1">
      <c r="A6508" s="287"/>
    </row>
    <row r="6509" spans="1:1">
      <c r="A6509" s="285"/>
    </row>
    <row r="6510" spans="1:1">
      <c r="A6510" s="287"/>
    </row>
    <row r="6511" spans="1:1">
      <c r="A6511" s="285"/>
    </row>
    <row r="6512" spans="1:1">
      <c r="A6512" s="286"/>
    </row>
    <row r="6513" spans="1:1">
      <c r="A6513" s="285"/>
    </row>
    <row r="6514" spans="1:1">
      <c r="A6514" s="287"/>
    </row>
    <row r="6515" spans="1:1">
      <c r="A6515" s="289"/>
    </row>
    <row r="6516" spans="1:1">
      <c r="A6516" s="266"/>
    </row>
    <row r="6517" spans="1:1">
      <c r="A6517" s="289"/>
    </row>
    <row r="6518" spans="1:1">
      <c r="A6518" s="286"/>
    </row>
    <row r="6519" spans="1:1">
      <c r="A6519" s="285"/>
    </row>
    <row r="6520" spans="1:1">
      <c r="A6520" s="286"/>
    </row>
    <row r="6521" spans="1:1">
      <c r="A6521" s="285"/>
    </row>
    <row r="6522" spans="1:1">
      <c r="A6522" s="286"/>
    </row>
    <row r="6523" spans="1:1">
      <c r="A6523" s="285"/>
    </row>
    <row r="6524" spans="1:1">
      <c r="A6524" s="286"/>
    </row>
    <row r="6525" spans="1:1">
      <c r="A6525" s="287"/>
    </row>
    <row r="6526" spans="1:1">
      <c r="A6526" s="285"/>
    </row>
    <row r="6527" spans="1:1">
      <c r="A6527" s="287"/>
    </row>
    <row r="6528" spans="1:1">
      <c r="A6528" s="285"/>
    </row>
    <row r="6529" spans="1:1">
      <c r="A6529" s="286"/>
    </row>
    <row r="6530" spans="1:1">
      <c r="A6530" s="285"/>
    </row>
    <row r="6531" spans="1:1">
      <c r="A6531" s="286"/>
    </row>
    <row r="6532" spans="1:1">
      <c r="A6532" s="285"/>
    </row>
    <row r="6533" spans="1:1">
      <c r="A6533" s="286"/>
    </row>
    <row r="6534" spans="1:1">
      <c r="A6534" s="285"/>
    </row>
    <row r="6535" spans="1:1">
      <c r="A6535" s="286"/>
    </row>
    <row r="6536" spans="1:1">
      <c r="A6536" s="285"/>
    </row>
    <row r="6537" spans="1:1">
      <c r="A6537" s="287"/>
    </row>
    <row r="6538" spans="1:1">
      <c r="A6538" s="285"/>
    </row>
    <row r="6539" spans="1:1">
      <c r="A6539" s="287"/>
    </row>
    <row r="6540" spans="1:1">
      <c r="A6540" s="285"/>
    </row>
    <row r="6541" spans="1:1">
      <c r="A6541" s="287"/>
    </row>
    <row r="6542" spans="1:1">
      <c r="A6542" s="285"/>
    </row>
    <row r="6543" spans="1:1">
      <c r="A6543" s="287"/>
    </row>
    <row r="6544" spans="1:1">
      <c r="A6544" s="285"/>
    </row>
    <row r="6545" spans="1:1">
      <c r="A6545" s="287"/>
    </row>
    <row r="6546" spans="1:1">
      <c r="A6546" s="285"/>
    </row>
    <row r="6547" spans="1:1">
      <c r="A6547" s="287"/>
    </row>
    <row r="6548" spans="1:1">
      <c r="A6548" s="285"/>
    </row>
    <row r="6549" spans="1:1">
      <c r="A6549" s="287"/>
    </row>
    <row r="6550" spans="1:1">
      <c r="A6550" s="285"/>
    </row>
    <row r="6551" spans="1:1">
      <c r="A6551" s="285"/>
    </row>
    <row r="6552" spans="1:1">
      <c r="A6552" s="287"/>
    </row>
  </sheetData>
  <autoFilter ref="A1" xr:uid="{7F6075B4-556A-4505-87DD-DD52DFF52DE6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B787-1A9B-4CBE-BD79-EC6B4171E340}">
  <dimension ref="A1:BL596"/>
  <sheetViews>
    <sheetView showGridLines="0" topLeftCell="H1" zoomScale="70" zoomScaleNormal="70" workbookViewId="0">
      <pane ySplit="2" topLeftCell="A3" activePane="bottomLeft" state="frozen"/>
      <selection pane="bottomLeft" activeCell="N1" sqref="N1"/>
    </sheetView>
  </sheetViews>
  <sheetFormatPr defaultColWidth="9.140625" defaultRowHeight="15" customHeight="1"/>
  <cols>
    <col min="1" max="1" width="22" customWidth="1"/>
    <col min="2" max="2" width="13.7109375" customWidth="1"/>
    <col min="3" max="3" width="41" customWidth="1"/>
    <col min="4" max="4" width="20.28515625" customWidth="1"/>
    <col min="5" max="5" width="28.42578125" customWidth="1"/>
    <col min="6" max="6" width="84.28515625" customWidth="1"/>
    <col min="7" max="7" width="22.5703125" style="10" customWidth="1"/>
    <col min="8" max="8" width="19.140625" style="10" customWidth="1"/>
    <col min="9" max="9" width="13.42578125" style="12" customWidth="1"/>
    <col min="10" max="10" width="15" customWidth="1"/>
    <col min="11" max="11" width="23.28515625" customWidth="1"/>
    <col min="12" max="12" width="18.28515625" customWidth="1"/>
    <col min="13" max="13" width="25.7109375" style="10" customWidth="1"/>
    <col min="14" max="14" width="16.5703125" style="15" customWidth="1"/>
    <col min="15" max="16" width="26" customWidth="1"/>
    <col min="17" max="17" width="13.7109375" style="1" customWidth="1"/>
    <col min="18" max="18" width="17.85546875" style="1" customWidth="1"/>
    <col min="19" max="19" width="21.5703125" customWidth="1"/>
    <col min="20" max="20" width="21.5703125" style="10" customWidth="1"/>
    <col min="21" max="21" width="14.85546875" customWidth="1"/>
    <col min="22" max="22" width="17.140625" style="12" customWidth="1"/>
    <col min="23" max="23" width="18.140625" style="233" customWidth="1"/>
    <col min="24" max="24" width="35.140625" bestFit="1" customWidth="1"/>
  </cols>
  <sheetData>
    <row r="1" spans="1:24">
      <c r="G1"/>
      <c r="K1" s="12">
        <f>SUBTOTAL(9,Tabela131617181920[Valor_recibo])</f>
        <v>0</v>
      </c>
      <c r="N1" s="15">
        <f>SUBTOTAL(9,Tabela131617181920[Match_Planilha])</f>
        <v>0</v>
      </c>
      <c r="O1" s="15">
        <f>SUBTOTAL(9,O3:O576)</f>
        <v>0</v>
      </c>
      <c r="P1" s="281"/>
      <c r="Q1" s="224"/>
      <c r="R1" s="224">
        <f>SUBTOTAL(9,R3:R185)</f>
        <v>0</v>
      </c>
      <c r="S1" s="224" t="s">
        <v>372</v>
      </c>
      <c r="T1" s="227"/>
      <c r="V1" s="12">
        <f>SUM(Tabela131617181920[[Valor ]])</f>
        <v>0</v>
      </c>
      <c r="W1" s="230"/>
    </row>
    <row r="2" spans="1:24" ht="20.25" customHeight="1">
      <c r="A2" s="18" t="s">
        <v>0</v>
      </c>
      <c r="B2" s="19" t="s">
        <v>1</v>
      </c>
      <c r="C2" s="19" t="s">
        <v>316</v>
      </c>
      <c r="D2" s="19" t="s">
        <v>3</v>
      </c>
      <c r="E2" s="19" t="s">
        <v>4</v>
      </c>
      <c r="F2" s="19" t="s">
        <v>5</v>
      </c>
      <c r="G2" s="20" t="s">
        <v>6</v>
      </c>
      <c r="H2" s="20" t="s">
        <v>7</v>
      </c>
      <c r="I2" s="280" t="s">
        <v>373</v>
      </c>
      <c r="J2" s="19" t="s">
        <v>9</v>
      </c>
      <c r="K2" s="278" t="s">
        <v>374</v>
      </c>
      <c r="L2" s="22" t="s">
        <v>11</v>
      </c>
      <c r="M2" s="223" t="s">
        <v>317</v>
      </c>
      <c r="N2" s="23" t="s">
        <v>13</v>
      </c>
      <c r="O2" s="24" t="s">
        <v>14</v>
      </c>
      <c r="P2" s="274" t="s">
        <v>375</v>
      </c>
      <c r="Q2" s="225" t="s">
        <v>376</v>
      </c>
      <c r="R2" s="225" t="s">
        <v>377</v>
      </c>
      <c r="S2" s="226" t="s">
        <v>378</v>
      </c>
      <c r="T2" s="228" t="s">
        <v>379</v>
      </c>
      <c r="U2" s="234" t="s">
        <v>380</v>
      </c>
      <c r="V2" s="237" t="s">
        <v>529</v>
      </c>
      <c r="W2" s="231" t="s">
        <v>317</v>
      </c>
      <c r="X2" s="299" t="s">
        <v>15</v>
      </c>
    </row>
    <row r="3" spans="1:24" ht="15.75">
      <c r="A3" s="6"/>
      <c r="B3" s="7"/>
      <c r="C3" s="6"/>
      <c r="D3" s="59"/>
      <c r="E3" s="6"/>
      <c r="F3" s="1"/>
      <c r="G3" s="9"/>
      <c r="H3" s="9"/>
      <c r="I3" s="11"/>
      <c r="J3" s="1"/>
      <c r="K3" s="205" t="s">
        <v>315</v>
      </c>
      <c r="L3" s="1" t="s">
        <v>315</v>
      </c>
      <c r="M3" s="9"/>
      <c r="N3" s="14"/>
      <c r="O3" s="16"/>
      <c r="P3" s="6" t="e">
        <f>VLOOKUP(Tabela131617181920[[#This Row],[DT]],Aprovados!A:A,1,0)</f>
        <v>#N/A</v>
      </c>
      <c r="Q3" s="16"/>
      <c r="R3" s="16"/>
      <c r="S3" s="16"/>
      <c r="T3" s="9"/>
      <c r="U3" s="1" t="s">
        <v>315</v>
      </c>
      <c r="V3" s="11"/>
      <c r="W3" s="232"/>
      <c r="X3" s="304"/>
    </row>
    <row r="4" spans="1:24" ht="15.75">
      <c r="A4" s="6"/>
      <c r="B4" s="7"/>
      <c r="C4" s="6"/>
      <c r="D4" s="59"/>
      <c r="E4" s="6"/>
      <c r="F4" s="1"/>
      <c r="G4" s="9"/>
      <c r="H4" s="9"/>
      <c r="I4" s="11"/>
      <c r="J4" s="1"/>
      <c r="K4" s="205" t="s">
        <v>315</v>
      </c>
      <c r="L4" s="1" t="s">
        <v>315</v>
      </c>
      <c r="M4" s="9"/>
      <c r="N4" s="14"/>
      <c r="O4" s="16"/>
      <c r="P4" s="6" t="e">
        <f>VLOOKUP(Tabela131617181920[[#This Row],[DT]],Aprovados!A:A,1,0)</f>
        <v>#N/A</v>
      </c>
      <c r="Q4" s="16"/>
      <c r="R4" s="16"/>
      <c r="S4" s="16"/>
      <c r="T4" s="9"/>
      <c r="U4" s="1" t="s">
        <v>315</v>
      </c>
      <c r="V4" s="11"/>
      <c r="W4" s="232"/>
      <c r="X4" s="304"/>
    </row>
    <row r="5" spans="1:24" ht="15.75">
      <c r="A5" s="6"/>
      <c r="B5" s="7"/>
      <c r="C5" s="6"/>
      <c r="D5" s="59"/>
      <c r="E5" s="6"/>
      <c r="F5" s="1"/>
      <c r="G5" s="9"/>
      <c r="H5" s="9"/>
      <c r="I5" s="11"/>
      <c r="J5" s="1"/>
      <c r="K5" s="205" t="s">
        <v>315</v>
      </c>
      <c r="L5" s="1" t="s">
        <v>315</v>
      </c>
      <c r="M5" s="9"/>
      <c r="N5" s="14"/>
      <c r="O5" s="16"/>
      <c r="P5" s="6" t="e">
        <f>VLOOKUP(Tabela131617181920[[#This Row],[DT]],Aprovados!A:A,1,0)</f>
        <v>#N/A</v>
      </c>
      <c r="Q5" s="16"/>
      <c r="R5" s="16"/>
      <c r="S5" s="16"/>
      <c r="T5" s="9"/>
      <c r="U5" s="1" t="s">
        <v>315</v>
      </c>
      <c r="V5" s="11"/>
      <c r="W5" s="232"/>
      <c r="X5" s="304"/>
    </row>
    <row r="6" spans="1:24" ht="15.75">
      <c r="A6" s="6"/>
      <c r="B6" s="7"/>
      <c r="C6" s="6"/>
      <c r="D6" s="59"/>
      <c r="E6" s="6"/>
      <c r="F6" s="1"/>
      <c r="G6" s="9"/>
      <c r="H6" s="9"/>
      <c r="I6" s="11"/>
      <c r="J6" s="1"/>
      <c r="K6" s="205" t="s">
        <v>315</v>
      </c>
      <c r="L6" s="1" t="s">
        <v>315</v>
      </c>
      <c r="M6" s="9"/>
      <c r="N6" s="14"/>
      <c r="O6" s="16"/>
      <c r="P6" s="6" t="e">
        <f>VLOOKUP(Tabela131617181920[[#This Row],[DT]],Aprovados!A:A,1,0)</f>
        <v>#N/A</v>
      </c>
      <c r="Q6" s="16"/>
      <c r="R6" s="16"/>
      <c r="S6" s="16"/>
      <c r="T6" s="9"/>
      <c r="U6" s="1" t="s">
        <v>315</v>
      </c>
      <c r="V6" s="11"/>
      <c r="W6" s="232"/>
      <c r="X6" s="304"/>
    </row>
    <row r="7" spans="1:24" ht="15.75">
      <c r="A7" s="6"/>
      <c r="B7" s="7"/>
      <c r="C7" s="6"/>
      <c r="D7" s="59"/>
      <c r="E7" s="6"/>
      <c r="F7" s="1"/>
      <c r="G7" s="9"/>
      <c r="H7" s="9"/>
      <c r="I7" s="11"/>
      <c r="J7" s="1"/>
      <c r="K7" s="205" t="s">
        <v>315</v>
      </c>
      <c r="L7" s="1" t="s">
        <v>315</v>
      </c>
      <c r="M7" s="9"/>
      <c r="N7" s="14"/>
      <c r="O7" s="16"/>
      <c r="P7" s="6" t="e">
        <f>VLOOKUP(Tabela131617181920[[#This Row],[DT]],Aprovados!A:A,1,0)</f>
        <v>#N/A</v>
      </c>
      <c r="Q7" s="16"/>
      <c r="R7" s="16"/>
      <c r="S7" s="16"/>
      <c r="T7" s="9"/>
      <c r="U7" s="1" t="s">
        <v>315</v>
      </c>
      <c r="V7" s="11"/>
      <c r="W7" s="232"/>
      <c r="X7" s="304"/>
    </row>
    <row r="8" spans="1:24" ht="15.75">
      <c r="A8" s="6"/>
      <c r="B8" s="7"/>
      <c r="C8" s="6"/>
      <c r="D8" s="59"/>
      <c r="E8" s="6"/>
      <c r="F8" s="1"/>
      <c r="G8" s="9"/>
      <c r="H8" s="9"/>
      <c r="I8" s="11"/>
      <c r="J8" s="1"/>
      <c r="K8" s="205" t="s">
        <v>315</v>
      </c>
      <c r="L8" s="1" t="s">
        <v>315</v>
      </c>
      <c r="M8" s="9"/>
      <c r="N8" s="14"/>
      <c r="O8" s="16"/>
      <c r="P8" s="6" t="e">
        <f>VLOOKUP(Tabela131617181920[[#This Row],[DT]],Aprovados!A:A,1,0)</f>
        <v>#N/A</v>
      </c>
      <c r="Q8" s="16"/>
      <c r="R8" s="16"/>
      <c r="S8" s="16"/>
      <c r="T8" s="9"/>
      <c r="U8" s="1" t="s">
        <v>315</v>
      </c>
      <c r="V8" s="11"/>
      <c r="W8" s="232"/>
      <c r="X8" s="304"/>
    </row>
    <row r="9" spans="1:24" ht="15.75">
      <c r="A9" s="6"/>
      <c r="B9" s="7"/>
      <c r="C9" s="6"/>
      <c r="D9" s="6"/>
      <c r="E9" s="6"/>
      <c r="F9" s="1"/>
      <c r="G9" s="9"/>
      <c r="H9" s="9"/>
      <c r="I9" s="11"/>
      <c r="J9" s="1"/>
      <c r="K9" s="205" t="s">
        <v>315</v>
      </c>
      <c r="L9" s="1" t="s">
        <v>315</v>
      </c>
      <c r="M9" s="9"/>
      <c r="N9" s="14"/>
      <c r="O9" s="16"/>
      <c r="P9" s="6" t="e">
        <f>VLOOKUP(Tabela131617181920[[#This Row],[DT]],Aprovados!A:A,1,0)</f>
        <v>#N/A</v>
      </c>
      <c r="Q9" s="16"/>
      <c r="R9" s="16"/>
      <c r="S9" s="16"/>
      <c r="T9" s="9"/>
      <c r="U9" s="1" t="s">
        <v>315</v>
      </c>
      <c r="V9" s="11"/>
      <c r="W9" s="232"/>
      <c r="X9" s="304"/>
    </row>
    <row r="10" spans="1:24" ht="15.75">
      <c r="A10" s="6"/>
      <c r="B10" s="7"/>
      <c r="C10" s="6"/>
      <c r="D10" s="6"/>
      <c r="E10" s="6"/>
      <c r="F10" s="1"/>
      <c r="G10" s="9"/>
      <c r="H10" s="9"/>
      <c r="I10" s="11"/>
      <c r="J10" s="1"/>
      <c r="K10" s="205" t="s">
        <v>315</v>
      </c>
      <c r="L10" s="1" t="s">
        <v>315</v>
      </c>
      <c r="M10" s="9"/>
      <c r="N10" s="14"/>
      <c r="O10" s="16"/>
      <c r="P10" s="6" t="e">
        <f>VLOOKUP(Tabela131617181920[[#This Row],[DT]],Aprovados!A:A,1,0)</f>
        <v>#N/A</v>
      </c>
      <c r="Q10" s="16"/>
      <c r="R10" s="16"/>
      <c r="S10" s="16"/>
      <c r="T10" s="9"/>
      <c r="U10" s="1" t="s">
        <v>315</v>
      </c>
      <c r="V10" s="11"/>
      <c r="W10" s="232"/>
      <c r="X10" s="304"/>
    </row>
    <row r="11" spans="1:24" ht="15.75">
      <c r="A11" s="6"/>
      <c r="B11" s="7"/>
      <c r="C11" s="6"/>
      <c r="D11" s="6"/>
      <c r="E11" s="6"/>
      <c r="F11" s="1"/>
      <c r="G11" s="9"/>
      <c r="H11" s="9"/>
      <c r="I11" s="11"/>
      <c r="J11" s="1"/>
      <c r="K11" s="205" t="s">
        <v>315</v>
      </c>
      <c r="L11" s="1" t="s">
        <v>315</v>
      </c>
      <c r="M11" s="9"/>
      <c r="N11" s="14"/>
      <c r="O11" s="16"/>
      <c r="P11" s="6" t="e">
        <f>VLOOKUP(Tabela131617181920[[#This Row],[DT]],Aprovados!A:A,1,0)</f>
        <v>#N/A</v>
      </c>
      <c r="Q11" s="16"/>
      <c r="R11" s="16"/>
      <c r="S11" s="16"/>
      <c r="T11" s="9"/>
      <c r="U11" s="1" t="s">
        <v>315</v>
      </c>
      <c r="V11" s="11"/>
      <c r="W11" s="232"/>
      <c r="X11" s="304"/>
    </row>
    <row r="12" spans="1:24" ht="15.75">
      <c r="A12" s="6"/>
      <c r="B12" s="7"/>
      <c r="C12" s="6"/>
      <c r="D12" s="6"/>
      <c r="E12" s="6"/>
      <c r="F12" s="1"/>
      <c r="G12" s="9"/>
      <c r="H12" s="9"/>
      <c r="I12" s="11"/>
      <c r="J12" s="1"/>
      <c r="K12" s="205" t="s">
        <v>315</v>
      </c>
      <c r="L12" s="1" t="s">
        <v>315</v>
      </c>
      <c r="M12" s="9"/>
      <c r="N12" s="14"/>
      <c r="O12" s="16"/>
      <c r="P12" s="6" t="e">
        <f>VLOOKUP(Tabela131617181920[[#This Row],[DT]],Aprovados!A:A,1,0)</f>
        <v>#N/A</v>
      </c>
      <c r="Q12" s="16"/>
      <c r="R12" s="16"/>
      <c r="S12" s="16"/>
      <c r="T12" s="9"/>
      <c r="U12" s="1" t="s">
        <v>315</v>
      </c>
      <c r="V12" s="11"/>
      <c r="W12" s="232"/>
      <c r="X12" s="304"/>
    </row>
    <row r="13" spans="1:24" ht="15.75">
      <c r="A13" s="6"/>
      <c r="B13" s="7"/>
      <c r="C13" s="6"/>
      <c r="D13" s="6"/>
      <c r="E13" s="6"/>
      <c r="F13" s="1"/>
      <c r="G13" s="9"/>
      <c r="H13" s="9"/>
      <c r="I13" s="11"/>
      <c r="J13" s="1"/>
      <c r="K13" s="205" t="s">
        <v>315</v>
      </c>
      <c r="L13" s="1" t="s">
        <v>315</v>
      </c>
      <c r="M13" s="9"/>
      <c r="N13" s="14"/>
      <c r="O13" s="16"/>
      <c r="P13" s="6" t="e">
        <f>VLOOKUP(Tabela131617181920[[#This Row],[DT]],Aprovados!A:A,1,0)</f>
        <v>#N/A</v>
      </c>
      <c r="Q13" s="16"/>
      <c r="R13" s="16"/>
      <c r="S13" s="16"/>
      <c r="T13" s="9"/>
      <c r="U13" s="1" t="s">
        <v>315</v>
      </c>
      <c r="V13" s="11"/>
      <c r="W13" s="232"/>
      <c r="X13" s="304"/>
    </row>
    <row r="14" spans="1:24" ht="15.75">
      <c r="A14" s="6"/>
      <c r="B14" s="7"/>
      <c r="C14" s="6"/>
      <c r="D14" s="6"/>
      <c r="E14" s="6"/>
      <c r="F14" s="1"/>
      <c r="G14" s="9"/>
      <c r="H14" s="9"/>
      <c r="I14" s="11"/>
      <c r="J14" s="1"/>
      <c r="K14" s="205" t="s">
        <v>315</v>
      </c>
      <c r="L14" s="1" t="s">
        <v>315</v>
      </c>
      <c r="M14" s="9"/>
      <c r="N14" s="14"/>
      <c r="O14" s="16"/>
      <c r="P14" s="6" t="e">
        <f>VLOOKUP(Tabela131617181920[[#This Row],[DT]],Aprovados!A:A,1,0)</f>
        <v>#N/A</v>
      </c>
      <c r="Q14" s="16"/>
      <c r="R14" s="16"/>
      <c r="S14" s="16"/>
      <c r="T14" s="9"/>
      <c r="U14" s="1" t="s">
        <v>315</v>
      </c>
      <c r="V14" s="11"/>
      <c r="W14" s="232"/>
      <c r="X14" s="304"/>
    </row>
    <row r="15" spans="1:24" ht="15.75">
      <c r="A15" s="6"/>
      <c r="B15" s="7"/>
      <c r="C15" s="6"/>
      <c r="D15" s="6"/>
      <c r="E15" s="6"/>
      <c r="F15" s="1"/>
      <c r="G15" s="9"/>
      <c r="H15" s="9"/>
      <c r="I15" s="11"/>
      <c r="J15" s="1"/>
      <c r="K15" s="205" t="s">
        <v>315</v>
      </c>
      <c r="L15" s="1" t="s">
        <v>315</v>
      </c>
      <c r="M15" s="9"/>
      <c r="N15" s="14"/>
      <c r="O15" s="16"/>
      <c r="P15" s="6" t="e">
        <f>VLOOKUP(Tabela131617181920[[#This Row],[DT]],Aprovados!A:A,1,0)</f>
        <v>#N/A</v>
      </c>
      <c r="Q15" s="16"/>
      <c r="R15" s="16"/>
      <c r="S15" s="16"/>
      <c r="T15" s="9"/>
      <c r="U15" s="1" t="s">
        <v>315</v>
      </c>
      <c r="V15" s="11"/>
      <c r="W15" s="232"/>
      <c r="X15" s="304"/>
    </row>
    <row r="16" spans="1:24" ht="15.75">
      <c r="A16" s="6"/>
      <c r="B16" s="7"/>
      <c r="C16" s="6"/>
      <c r="D16" s="6"/>
      <c r="E16" s="6"/>
      <c r="F16" s="1"/>
      <c r="G16" s="9"/>
      <c r="H16" s="9"/>
      <c r="I16" s="11"/>
      <c r="J16" s="1"/>
      <c r="K16" s="205" t="s">
        <v>315</v>
      </c>
      <c r="L16" s="1" t="s">
        <v>315</v>
      </c>
      <c r="M16" s="9"/>
      <c r="N16" s="14"/>
      <c r="O16" s="16"/>
      <c r="P16" s="6" t="e">
        <f>VLOOKUP(Tabela131617181920[[#This Row],[DT]],Aprovados!A:A,1,0)</f>
        <v>#N/A</v>
      </c>
      <c r="Q16" s="16"/>
      <c r="R16" s="16"/>
      <c r="S16" s="16"/>
      <c r="T16" s="9"/>
      <c r="U16" s="1" t="s">
        <v>315</v>
      </c>
      <c r="V16" s="11"/>
      <c r="W16" s="232"/>
      <c r="X16" s="304"/>
    </row>
    <row r="17" spans="1:24" ht="15.75">
      <c r="A17" s="6"/>
      <c r="B17" s="7"/>
      <c r="C17" s="6"/>
      <c r="D17" s="6"/>
      <c r="E17" s="6"/>
      <c r="F17" s="1"/>
      <c r="G17" s="9"/>
      <c r="H17" s="9"/>
      <c r="I17" s="11"/>
      <c r="J17" s="1"/>
      <c r="K17" s="205" t="s">
        <v>315</v>
      </c>
      <c r="L17" s="1" t="s">
        <v>315</v>
      </c>
      <c r="M17" s="9"/>
      <c r="N17" s="14"/>
      <c r="O17" s="16"/>
      <c r="P17" s="6" t="e">
        <f>VLOOKUP(Tabela131617181920[[#This Row],[DT]],Aprovados!A:A,1,0)</f>
        <v>#N/A</v>
      </c>
      <c r="Q17" s="16"/>
      <c r="R17" s="16"/>
      <c r="S17" s="16"/>
      <c r="T17" s="9"/>
      <c r="U17" s="1" t="s">
        <v>315</v>
      </c>
      <c r="V17" s="11"/>
      <c r="W17" s="232"/>
      <c r="X17" s="304"/>
    </row>
    <row r="18" spans="1:24" ht="15.75">
      <c r="A18" s="6"/>
      <c r="B18" s="7"/>
      <c r="C18" s="6"/>
      <c r="D18" s="6"/>
      <c r="E18" s="6"/>
      <c r="F18" s="1"/>
      <c r="G18" s="9"/>
      <c r="H18" s="9"/>
      <c r="I18" s="11"/>
      <c r="J18" s="1"/>
      <c r="K18" s="205" t="s">
        <v>315</v>
      </c>
      <c r="L18" s="1" t="s">
        <v>315</v>
      </c>
      <c r="M18" s="9"/>
      <c r="N18" s="14"/>
      <c r="O18" s="16"/>
      <c r="P18" s="6" t="e">
        <f>VLOOKUP(Tabela131617181920[[#This Row],[DT]],Aprovados!A:A,1,0)</f>
        <v>#N/A</v>
      </c>
      <c r="Q18" s="16"/>
      <c r="R18" s="16"/>
      <c r="S18" s="16"/>
      <c r="T18" s="9"/>
      <c r="U18" s="1" t="s">
        <v>315</v>
      </c>
      <c r="V18" s="11"/>
      <c r="W18" s="232"/>
      <c r="X18" s="304"/>
    </row>
    <row r="19" spans="1:24" ht="15.75">
      <c r="A19" s="6"/>
      <c r="B19" s="7"/>
      <c r="C19" s="6"/>
      <c r="D19" s="6"/>
      <c r="E19" s="6"/>
      <c r="F19" s="1"/>
      <c r="G19" s="9"/>
      <c r="H19" s="9"/>
      <c r="I19" s="11"/>
      <c r="J19" s="1"/>
      <c r="K19" s="205" t="s">
        <v>315</v>
      </c>
      <c r="L19" s="1" t="s">
        <v>315</v>
      </c>
      <c r="M19" s="9"/>
      <c r="N19" s="14"/>
      <c r="O19" s="16"/>
      <c r="P19" s="6" t="e">
        <f>VLOOKUP(Tabela131617181920[[#This Row],[DT]],Aprovados!A:A,1,0)</f>
        <v>#N/A</v>
      </c>
      <c r="Q19" s="16"/>
      <c r="R19" s="16"/>
      <c r="S19" s="16"/>
      <c r="T19" s="9"/>
      <c r="U19" s="1" t="s">
        <v>315</v>
      </c>
      <c r="V19" s="11"/>
      <c r="W19" s="232"/>
      <c r="X19" s="304"/>
    </row>
    <row r="20" spans="1:24" ht="15.75">
      <c r="A20" s="6"/>
      <c r="B20" s="7"/>
      <c r="C20" s="6"/>
      <c r="D20" s="6"/>
      <c r="E20" s="6"/>
      <c r="F20" s="1"/>
      <c r="G20" s="9"/>
      <c r="H20" s="9"/>
      <c r="I20" s="11"/>
      <c r="J20" s="1"/>
      <c r="K20" s="205" t="s">
        <v>315</v>
      </c>
      <c r="L20" s="1" t="s">
        <v>315</v>
      </c>
      <c r="M20" s="9"/>
      <c r="N20" s="14"/>
      <c r="O20" s="16"/>
      <c r="P20" s="6" t="e">
        <f>VLOOKUP(Tabela131617181920[[#This Row],[DT]],Aprovados!A:A,1,0)</f>
        <v>#N/A</v>
      </c>
      <c r="Q20" s="16"/>
      <c r="R20" s="16"/>
      <c r="S20" s="16"/>
      <c r="T20" s="9"/>
      <c r="U20" s="1" t="s">
        <v>315</v>
      </c>
      <c r="V20" s="11"/>
      <c r="W20" s="232"/>
      <c r="X20" s="304"/>
    </row>
    <row r="21" spans="1:24" ht="15.75">
      <c r="A21" s="6"/>
      <c r="B21" s="7"/>
      <c r="C21" s="6"/>
      <c r="D21" s="6"/>
      <c r="E21" s="6"/>
      <c r="F21" s="1"/>
      <c r="G21" s="9"/>
      <c r="H21" s="9"/>
      <c r="I21" s="11"/>
      <c r="J21" s="1"/>
      <c r="K21" s="205" t="s">
        <v>315</v>
      </c>
      <c r="L21" s="1" t="s">
        <v>315</v>
      </c>
      <c r="M21" s="9"/>
      <c r="N21" s="14"/>
      <c r="O21" s="16"/>
      <c r="P21" s="6" t="e">
        <f>VLOOKUP(Tabela131617181920[[#This Row],[DT]],Aprovados!A:A,1,0)</f>
        <v>#N/A</v>
      </c>
      <c r="Q21" s="16"/>
      <c r="R21" s="16"/>
      <c r="S21" s="16"/>
      <c r="T21" s="9"/>
      <c r="U21" s="1" t="s">
        <v>315</v>
      </c>
      <c r="V21" s="11"/>
      <c r="W21" s="232"/>
      <c r="X21" s="304"/>
    </row>
    <row r="22" spans="1:24" ht="15.75">
      <c r="A22" s="6"/>
      <c r="B22" s="7"/>
      <c r="C22" s="6"/>
      <c r="D22" s="6"/>
      <c r="E22" s="6"/>
      <c r="F22" s="1"/>
      <c r="G22" s="9"/>
      <c r="H22" s="9"/>
      <c r="I22" s="11"/>
      <c r="J22" s="1"/>
      <c r="K22" s="205" t="s">
        <v>315</v>
      </c>
      <c r="L22" s="1" t="s">
        <v>315</v>
      </c>
      <c r="M22" s="9"/>
      <c r="N22" s="14"/>
      <c r="O22" s="16"/>
      <c r="P22" s="6" t="e">
        <f>VLOOKUP(Tabela131617181920[[#This Row],[DT]],Aprovados!A:A,1,0)</f>
        <v>#N/A</v>
      </c>
      <c r="Q22" s="16"/>
      <c r="R22" s="16"/>
      <c r="S22" s="16"/>
      <c r="T22" s="9"/>
      <c r="U22" s="1" t="s">
        <v>315</v>
      </c>
      <c r="V22" s="11"/>
      <c r="W22" s="232"/>
      <c r="X22" s="304"/>
    </row>
    <row r="23" spans="1:24" ht="15.75">
      <c r="A23" s="6"/>
      <c r="B23" s="7"/>
      <c r="C23" s="6"/>
      <c r="D23" s="6"/>
      <c r="E23" s="6"/>
      <c r="F23" s="1"/>
      <c r="G23" s="9"/>
      <c r="H23" s="9"/>
      <c r="I23" s="11"/>
      <c r="J23" s="1"/>
      <c r="K23" s="205" t="s">
        <v>315</v>
      </c>
      <c r="L23" s="1" t="s">
        <v>315</v>
      </c>
      <c r="M23" s="9"/>
      <c r="N23" s="14"/>
      <c r="O23" s="16"/>
      <c r="P23" s="6" t="e">
        <f>VLOOKUP(Tabela131617181920[[#This Row],[DT]],Aprovados!A:A,1,0)</f>
        <v>#N/A</v>
      </c>
      <c r="Q23" s="16"/>
      <c r="R23" s="16"/>
      <c r="S23" s="16"/>
      <c r="T23" s="9"/>
      <c r="U23" s="1" t="s">
        <v>315</v>
      </c>
      <c r="V23" s="11"/>
      <c r="W23" s="232"/>
      <c r="X23" s="304"/>
    </row>
    <row r="24" spans="1:24" ht="15.75">
      <c r="A24" s="6"/>
      <c r="B24" s="7"/>
      <c r="C24" s="6"/>
      <c r="D24" s="6"/>
      <c r="E24" s="6"/>
      <c r="F24" s="1"/>
      <c r="G24" s="9"/>
      <c r="H24" s="9"/>
      <c r="I24" s="11"/>
      <c r="J24" s="1"/>
      <c r="K24" s="205" t="s">
        <v>315</v>
      </c>
      <c r="L24" s="1" t="s">
        <v>315</v>
      </c>
      <c r="M24" s="9"/>
      <c r="N24" s="14"/>
      <c r="O24" s="16"/>
      <c r="P24" s="6" t="e">
        <f>VLOOKUP(Tabela131617181920[[#This Row],[DT]],Aprovados!A:A,1,0)</f>
        <v>#N/A</v>
      </c>
      <c r="Q24" s="16"/>
      <c r="R24" s="16"/>
      <c r="S24" s="16"/>
      <c r="T24" s="9"/>
      <c r="U24" s="1" t="s">
        <v>315</v>
      </c>
      <c r="V24" s="11"/>
      <c r="W24" s="232"/>
      <c r="X24" s="304"/>
    </row>
    <row r="25" spans="1:24" ht="15.75">
      <c r="A25" s="6"/>
      <c r="B25" s="7"/>
      <c r="C25" s="6"/>
      <c r="D25" s="6"/>
      <c r="E25" s="6"/>
      <c r="F25" s="6"/>
      <c r="G25" s="9"/>
      <c r="H25" s="9"/>
      <c r="I25" s="11"/>
      <c r="J25" s="1"/>
      <c r="K25" s="205" t="s">
        <v>315</v>
      </c>
      <c r="L25" s="1" t="s">
        <v>315</v>
      </c>
      <c r="M25" s="9"/>
      <c r="N25" s="14"/>
      <c r="O25" s="16"/>
      <c r="P25" s="6" t="e">
        <f>VLOOKUP(Tabela131617181920[[#This Row],[DT]],Aprovados!A:A,1,0)</f>
        <v>#N/A</v>
      </c>
      <c r="Q25" s="16"/>
      <c r="R25" s="16"/>
      <c r="S25" s="16"/>
      <c r="T25" s="9"/>
      <c r="U25" s="1" t="s">
        <v>315</v>
      </c>
      <c r="V25" s="11"/>
      <c r="W25" s="232"/>
      <c r="X25" s="304"/>
    </row>
    <row r="26" spans="1:24" ht="15.75">
      <c r="A26" s="6"/>
      <c r="B26" s="7"/>
      <c r="C26" s="6"/>
      <c r="D26" s="6"/>
      <c r="E26" s="6"/>
      <c r="F26" s="1"/>
      <c r="G26" s="9"/>
      <c r="H26" s="9"/>
      <c r="I26" s="11"/>
      <c r="J26" s="1"/>
      <c r="K26" s="205" t="s">
        <v>315</v>
      </c>
      <c r="L26" s="1" t="s">
        <v>315</v>
      </c>
      <c r="M26" s="9"/>
      <c r="N26" s="14"/>
      <c r="O26" s="16"/>
      <c r="P26" s="6" t="e">
        <f>VLOOKUP(Tabela131617181920[[#This Row],[DT]],Aprovados!A:A,1,0)</f>
        <v>#N/A</v>
      </c>
      <c r="Q26" s="16"/>
      <c r="R26" s="16"/>
      <c r="S26" s="16"/>
      <c r="T26" s="9"/>
      <c r="U26" s="1" t="s">
        <v>315</v>
      </c>
      <c r="V26" s="11"/>
      <c r="W26" s="232"/>
      <c r="X26" s="304"/>
    </row>
    <row r="27" spans="1:24" ht="15.75">
      <c r="A27" s="6"/>
      <c r="B27" s="7"/>
      <c r="C27" s="6"/>
      <c r="D27" s="6"/>
      <c r="E27" s="6"/>
      <c r="F27" s="1"/>
      <c r="G27" s="9"/>
      <c r="H27" s="9"/>
      <c r="I27" s="11"/>
      <c r="J27" s="1"/>
      <c r="K27" s="205" t="s">
        <v>315</v>
      </c>
      <c r="L27" s="1" t="s">
        <v>315</v>
      </c>
      <c r="M27" s="9"/>
      <c r="N27" s="14"/>
      <c r="O27" s="16"/>
      <c r="P27" s="6" t="e">
        <f>VLOOKUP(Tabela131617181920[[#This Row],[DT]],Aprovados!A:A,1,0)</f>
        <v>#N/A</v>
      </c>
      <c r="Q27" s="16"/>
      <c r="R27" s="16"/>
      <c r="S27" s="16"/>
      <c r="T27" s="9"/>
      <c r="U27" s="1" t="s">
        <v>315</v>
      </c>
      <c r="V27" s="11"/>
      <c r="W27" s="232"/>
      <c r="X27" s="304"/>
    </row>
    <row r="28" spans="1:24" ht="15.75">
      <c r="A28" s="6"/>
      <c r="B28" s="7"/>
      <c r="C28" s="6"/>
      <c r="D28" s="6"/>
      <c r="E28" s="6"/>
      <c r="F28" s="1"/>
      <c r="G28" s="9"/>
      <c r="H28" s="9"/>
      <c r="I28" s="11"/>
      <c r="J28" s="1"/>
      <c r="K28" s="205" t="s">
        <v>315</v>
      </c>
      <c r="L28" s="1" t="s">
        <v>315</v>
      </c>
      <c r="M28" s="9"/>
      <c r="N28" s="14"/>
      <c r="O28" s="16"/>
      <c r="P28" s="6" t="e">
        <f>VLOOKUP(Tabela131617181920[[#This Row],[DT]],Aprovados!A:A,1,0)</f>
        <v>#N/A</v>
      </c>
      <c r="Q28" s="16"/>
      <c r="R28" s="16"/>
      <c r="S28" s="16"/>
      <c r="T28" s="9"/>
      <c r="U28" s="1" t="s">
        <v>315</v>
      </c>
      <c r="V28" s="11"/>
      <c r="W28" s="232"/>
      <c r="X28" s="304"/>
    </row>
    <row r="29" spans="1:24" ht="15.75">
      <c r="A29" s="6"/>
      <c r="B29" s="7"/>
      <c r="C29" s="6"/>
      <c r="D29" s="6"/>
      <c r="E29" s="6"/>
      <c r="F29" s="1"/>
      <c r="G29" s="9"/>
      <c r="H29" s="9"/>
      <c r="I29" s="11"/>
      <c r="J29" s="1"/>
      <c r="K29" s="205" t="s">
        <v>315</v>
      </c>
      <c r="L29" s="1" t="s">
        <v>315</v>
      </c>
      <c r="M29" s="9"/>
      <c r="N29" s="14"/>
      <c r="O29" s="16"/>
      <c r="P29" s="6" t="e">
        <f>VLOOKUP(Tabela131617181920[[#This Row],[DT]],Aprovados!A:A,1,0)</f>
        <v>#N/A</v>
      </c>
      <c r="Q29" s="16"/>
      <c r="R29" s="16"/>
      <c r="S29" s="16"/>
      <c r="T29" s="9"/>
      <c r="U29" s="1" t="s">
        <v>315</v>
      </c>
      <c r="V29" s="11"/>
      <c r="W29" s="232"/>
      <c r="X29" s="304"/>
    </row>
    <row r="30" spans="1:24" ht="15.75">
      <c r="A30" s="6"/>
      <c r="B30" s="7"/>
      <c r="C30" s="6"/>
      <c r="D30" s="6"/>
      <c r="E30" s="6"/>
      <c r="F30" s="1"/>
      <c r="G30" s="9"/>
      <c r="H30" s="9"/>
      <c r="I30" s="11"/>
      <c r="J30" s="1"/>
      <c r="K30" s="205" t="s">
        <v>315</v>
      </c>
      <c r="L30" s="1" t="s">
        <v>315</v>
      </c>
      <c r="M30" s="9"/>
      <c r="N30" s="14"/>
      <c r="O30" s="16"/>
      <c r="P30" s="6" t="e">
        <f>VLOOKUP(Tabela131617181920[[#This Row],[DT]],Aprovados!A:A,1,0)</f>
        <v>#N/A</v>
      </c>
      <c r="Q30" s="16"/>
      <c r="R30" s="16"/>
      <c r="S30" s="16"/>
      <c r="T30" s="9"/>
      <c r="U30" s="1" t="s">
        <v>315</v>
      </c>
      <c r="V30" s="11"/>
      <c r="W30" s="232"/>
      <c r="X30" s="304"/>
    </row>
    <row r="31" spans="1:24" ht="15.75">
      <c r="A31" s="6"/>
      <c r="B31" s="7"/>
      <c r="C31" s="6"/>
      <c r="D31" s="6"/>
      <c r="E31" s="6"/>
      <c r="F31" s="1"/>
      <c r="G31" s="9"/>
      <c r="H31" s="9"/>
      <c r="I31" s="11"/>
      <c r="J31" s="1"/>
      <c r="K31" s="205" t="s">
        <v>315</v>
      </c>
      <c r="L31" s="1" t="s">
        <v>315</v>
      </c>
      <c r="M31" s="9"/>
      <c r="N31" s="14"/>
      <c r="O31" s="16"/>
      <c r="P31" s="6" t="e">
        <f>VLOOKUP(Tabela131617181920[[#This Row],[DT]],Aprovados!A:A,1,0)</f>
        <v>#N/A</v>
      </c>
      <c r="Q31" s="16"/>
      <c r="R31" s="16"/>
      <c r="S31" s="16"/>
      <c r="T31" s="9"/>
      <c r="U31" s="1" t="s">
        <v>315</v>
      </c>
      <c r="V31" s="11"/>
      <c r="W31" s="232"/>
      <c r="X31" s="304"/>
    </row>
    <row r="32" spans="1:24" ht="15.75">
      <c r="A32" s="6"/>
      <c r="B32" s="7"/>
      <c r="C32" s="6"/>
      <c r="D32" s="59"/>
      <c r="E32" s="6"/>
      <c r="F32" s="1"/>
      <c r="G32" s="9"/>
      <c r="H32" s="9"/>
      <c r="I32" s="11"/>
      <c r="J32" s="1"/>
      <c r="K32" s="205" t="s">
        <v>315</v>
      </c>
      <c r="L32" s="1" t="s">
        <v>315</v>
      </c>
      <c r="M32" s="9"/>
      <c r="N32" s="14"/>
      <c r="O32" s="16"/>
      <c r="P32" s="6" t="e">
        <f>VLOOKUP(Tabela131617181920[[#This Row],[DT]],Aprovados!A:A,1,0)</f>
        <v>#N/A</v>
      </c>
      <c r="Q32" s="16"/>
      <c r="R32" s="16"/>
      <c r="S32" s="16"/>
      <c r="T32" s="9"/>
      <c r="U32" s="1" t="s">
        <v>315</v>
      </c>
      <c r="V32" s="11"/>
      <c r="W32" s="232"/>
      <c r="X32" s="304"/>
    </row>
    <row r="33" spans="1:24" ht="15.75">
      <c r="A33" s="6"/>
      <c r="B33" s="7"/>
      <c r="C33" s="6"/>
      <c r="D33" s="59"/>
      <c r="E33" s="6"/>
      <c r="F33" s="1"/>
      <c r="G33" s="9"/>
      <c r="H33" s="9"/>
      <c r="I33" s="11"/>
      <c r="J33" s="1"/>
      <c r="K33" s="205" t="s">
        <v>315</v>
      </c>
      <c r="L33" s="1" t="s">
        <v>315</v>
      </c>
      <c r="M33" s="9"/>
      <c r="N33" s="14"/>
      <c r="O33" s="16"/>
      <c r="P33" s="6" t="e">
        <f>VLOOKUP(Tabela131617181920[[#This Row],[DT]],Aprovados!A:A,1,0)</f>
        <v>#N/A</v>
      </c>
      <c r="Q33" s="16"/>
      <c r="R33" s="16"/>
      <c r="S33" s="16"/>
      <c r="T33" s="9"/>
      <c r="U33" s="1" t="s">
        <v>315</v>
      </c>
      <c r="V33" s="11"/>
      <c r="W33" s="232"/>
      <c r="X33" s="304"/>
    </row>
    <row r="34" spans="1:24" ht="15.75">
      <c r="A34" s="6"/>
      <c r="B34" s="7"/>
      <c r="C34" s="6"/>
      <c r="D34" s="59"/>
      <c r="E34" s="6"/>
      <c r="F34" s="1"/>
      <c r="G34" s="9"/>
      <c r="H34" s="9"/>
      <c r="I34" s="11"/>
      <c r="J34" s="1"/>
      <c r="K34" s="205" t="s">
        <v>315</v>
      </c>
      <c r="L34" s="1" t="s">
        <v>315</v>
      </c>
      <c r="M34" s="9"/>
      <c r="N34" s="14"/>
      <c r="O34" s="16"/>
      <c r="P34" s="6" t="e">
        <f>VLOOKUP(Tabela131617181920[[#This Row],[DT]],Aprovados!A:A,1,0)</f>
        <v>#N/A</v>
      </c>
      <c r="Q34" s="16"/>
      <c r="R34" s="16"/>
      <c r="S34" s="16"/>
      <c r="T34" s="9"/>
      <c r="U34" s="1" t="s">
        <v>315</v>
      </c>
      <c r="V34" s="11"/>
      <c r="W34" s="232"/>
      <c r="X34" s="304"/>
    </row>
    <row r="35" spans="1:24" ht="15.75">
      <c r="A35" s="6"/>
      <c r="B35" s="7"/>
      <c r="C35" s="6"/>
      <c r="D35" s="59"/>
      <c r="E35" s="6"/>
      <c r="F35" s="1"/>
      <c r="G35" s="9"/>
      <c r="H35" s="9"/>
      <c r="I35" s="11"/>
      <c r="J35" s="1"/>
      <c r="K35" s="205" t="s">
        <v>315</v>
      </c>
      <c r="L35" s="1" t="s">
        <v>315</v>
      </c>
      <c r="M35" s="9"/>
      <c r="N35" s="14"/>
      <c r="O35" s="16"/>
      <c r="P35" s="6" t="e">
        <f>VLOOKUP(Tabela131617181920[[#This Row],[DT]],Aprovados!A:A,1,0)</f>
        <v>#N/A</v>
      </c>
      <c r="Q35" s="16"/>
      <c r="R35" s="16"/>
      <c r="S35" s="16"/>
      <c r="T35" s="9"/>
      <c r="U35" s="1" t="s">
        <v>315</v>
      </c>
      <c r="V35" s="11"/>
      <c r="W35" s="232"/>
      <c r="X35" s="304"/>
    </row>
    <row r="36" spans="1:24" ht="15.75">
      <c r="A36" s="6"/>
      <c r="B36" s="7"/>
      <c r="C36" s="6"/>
      <c r="D36" s="59"/>
      <c r="E36" s="6"/>
      <c r="F36" s="1"/>
      <c r="G36" s="9"/>
      <c r="H36" s="9"/>
      <c r="I36" s="11"/>
      <c r="J36" s="1"/>
      <c r="K36" s="205" t="s">
        <v>315</v>
      </c>
      <c r="L36" s="1" t="s">
        <v>315</v>
      </c>
      <c r="M36" s="9"/>
      <c r="N36" s="14"/>
      <c r="O36" s="16"/>
      <c r="P36" s="6" t="e">
        <f>VLOOKUP(Tabela131617181920[[#This Row],[DT]],Aprovados!A:A,1,0)</f>
        <v>#N/A</v>
      </c>
      <c r="Q36" s="16"/>
      <c r="R36" s="16"/>
      <c r="S36" s="16"/>
      <c r="T36" s="9"/>
      <c r="U36" s="1" t="s">
        <v>315</v>
      </c>
      <c r="V36" s="11"/>
      <c r="W36" s="232"/>
      <c r="X36" s="304"/>
    </row>
    <row r="37" spans="1:24" ht="15.75">
      <c r="A37" s="6"/>
      <c r="B37" s="7"/>
      <c r="C37" s="6"/>
      <c r="D37" s="59"/>
      <c r="E37" s="6"/>
      <c r="F37" s="1"/>
      <c r="G37" s="9"/>
      <c r="H37" s="9"/>
      <c r="I37" s="11"/>
      <c r="J37" s="1"/>
      <c r="K37" s="205" t="s">
        <v>315</v>
      </c>
      <c r="L37" s="1" t="s">
        <v>315</v>
      </c>
      <c r="M37" s="9"/>
      <c r="N37" s="14"/>
      <c r="O37" s="16"/>
      <c r="P37" s="6" t="e">
        <f>VLOOKUP(Tabela131617181920[[#This Row],[DT]],Aprovados!A:A,1,0)</f>
        <v>#N/A</v>
      </c>
      <c r="Q37" s="16"/>
      <c r="R37" s="16"/>
      <c r="S37" s="16"/>
      <c r="T37" s="9"/>
      <c r="U37" s="1" t="s">
        <v>315</v>
      </c>
      <c r="V37" s="11"/>
      <c r="W37" s="232"/>
      <c r="X37" s="304"/>
    </row>
    <row r="38" spans="1:24" ht="15.75">
      <c r="A38" s="6"/>
      <c r="B38" s="7"/>
      <c r="C38" s="6"/>
      <c r="D38" s="6"/>
      <c r="E38" s="6"/>
      <c r="F38" s="1"/>
      <c r="G38" s="9"/>
      <c r="H38" s="9"/>
      <c r="I38" s="11"/>
      <c r="J38" s="1"/>
      <c r="K38" s="205" t="s">
        <v>315</v>
      </c>
      <c r="L38" s="1" t="s">
        <v>315</v>
      </c>
      <c r="M38" s="9"/>
      <c r="N38" s="14"/>
      <c r="O38" s="16"/>
      <c r="P38" s="6" t="e">
        <f>VLOOKUP(Tabela131617181920[[#This Row],[DT]],Aprovados!A:A,1,0)</f>
        <v>#N/A</v>
      </c>
      <c r="Q38" s="16"/>
      <c r="R38" s="16"/>
      <c r="S38" s="16"/>
      <c r="T38" s="9"/>
      <c r="U38" s="1" t="s">
        <v>315</v>
      </c>
      <c r="V38" s="11"/>
      <c r="W38" s="232"/>
      <c r="X38" s="304"/>
    </row>
    <row r="39" spans="1:24" ht="15.75">
      <c r="A39" s="6"/>
      <c r="B39" s="7"/>
      <c r="C39" s="6"/>
      <c r="D39" s="6"/>
      <c r="E39" s="6"/>
      <c r="F39" s="1"/>
      <c r="G39" s="9"/>
      <c r="H39" s="9"/>
      <c r="I39" s="11"/>
      <c r="J39" s="1"/>
      <c r="K39" s="205" t="s">
        <v>315</v>
      </c>
      <c r="L39" s="1" t="s">
        <v>315</v>
      </c>
      <c r="M39" s="9"/>
      <c r="N39" s="14"/>
      <c r="O39" s="16"/>
      <c r="P39" s="6" t="e">
        <f>VLOOKUP(Tabela131617181920[[#This Row],[DT]],Aprovados!A:A,1,0)</f>
        <v>#N/A</v>
      </c>
      <c r="Q39" s="16"/>
      <c r="R39" s="16"/>
      <c r="S39" s="16"/>
      <c r="T39" s="9"/>
      <c r="U39" s="1" t="s">
        <v>315</v>
      </c>
      <c r="V39" s="11"/>
      <c r="W39" s="232"/>
      <c r="X39" s="304"/>
    </row>
    <row r="40" spans="1:24" ht="15.75">
      <c r="A40" s="6"/>
      <c r="B40" s="7"/>
      <c r="C40" s="6"/>
      <c r="D40" s="6"/>
      <c r="E40" s="6"/>
      <c r="F40" s="1"/>
      <c r="G40" s="9"/>
      <c r="H40" s="9"/>
      <c r="I40" s="11"/>
      <c r="J40" s="1"/>
      <c r="K40" s="205" t="s">
        <v>315</v>
      </c>
      <c r="L40" s="1" t="s">
        <v>315</v>
      </c>
      <c r="M40" s="9"/>
      <c r="N40" s="14"/>
      <c r="O40" s="16"/>
      <c r="P40" s="6" t="e">
        <f>VLOOKUP(Tabela131617181920[[#This Row],[DT]],Aprovados!A:A,1,0)</f>
        <v>#N/A</v>
      </c>
      <c r="Q40" s="16"/>
      <c r="R40" s="16"/>
      <c r="S40" s="16"/>
      <c r="T40" s="9"/>
      <c r="U40" s="1" t="s">
        <v>315</v>
      </c>
      <c r="V40" s="11"/>
      <c r="W40" s="232"/>
      <c r="X40" s="304"/>
    </row>
    <row r="41" spans="1:24" ht="15.75">
      <c r="A41" s="6"/>
      <c r="B41" s="7"/>
      <c r="C41" s="6"/>
      <c r="D41" s="6"/>
      <c r="E41" s="6"/>
      <c r="F41" s="1"/>
      <c r="G41" s="9"/>
      <c r="H41" s="9"/>
      <c r="I41" s="11"/>
      <c r="J41" s="1"/>
      <c r="K41" s="205" t="s">
        <v>315</v>
      </c>
      <c r="L41" s="1" t="s">
        <v>315</v>
      </c>
      <c r="M41" s="9"/>
      <c r="N41" s="14"/>
      <c r="O41" s="16"/>
      <c r="P41" s="6" t="e">
        <f>VLOOKUP(Tabela131617181920[[#This Row],[DT]],Aprovados!A:A,1,0)</f>
        <v>#N/A</v>
      </c>
      <c r="Q41" s="16"/>
      <c r="R41" s="16"/>
      <c r="S41" s="16"/>
      <c r="T41" s="9"/>
      <c r="U41" s="1" t="s">
        <v>315</v>
      </c>
      <c r="V41" s="11"/>
      <c r="W41" s="232"/>
      <c r="X41" s="304"/>
    </row>
    <row r="42" spans="1:24" ht="15.75">
      <c r="A42" s="6"/>
      <c r="B42" s="7"/>
      <c r="C42" s="6"/>
      <c r="D42" s="6"/>
      <c r="E42" s="6"/>
      <c r="F42" s="1"/>
      <c r="G42" s="9"/>
      <c r="H42" s="9"/>
      <c r="I42" s="11"/>
      <c r="J42" s="1"/>
      <c r="K42" s="205" t="s">
        <v>315</v>
      </c>
      <c r="L42" s="1" t="s">
        <v>315</v>
      </c>
      <c r="M42" s="9"/>
      <c r="N42" s="14"/>
      <c r="O42" s="16"/>
      <c r="P42" s="6" t="e">
        <f>VLOOKUP(Tabela131617181920[[#This Row],[DT]],Aprovados!A:A,1,0)</f>
        <v>#N/A</v>
      </c>
      <c r="Q42" s="16"/>
      <c r="R42" s="16"/>
      <c r="S42" s="16"/>
      <c r="T42" s="9"/>
      <c r="U42" s="1" t="s">
        <v>315</v>
      </c>
      <c r="V42" s="11"/>
      <c r="W42" s="232"/>
      <c r="X42" s="304"/>
    </row>
    <row r="43" spans="1:24" ht="15.75">
      <c r="A43" s="6"/>
      <c r="B43" s="7"/>
      <c r="C43" s="6"/>
      <c r="D43" s="6"/>
      <c r="E43" s="6"/>
      <c r="F43" s="1"/>
      <c r="G43" s="9"/>
      <c r="H43" s="9"/>
      <c r="I43" s="11"/>
      <c r="J43" s="1"/>
      <c r="K43" s="205" t="s">
        <v>315</v>
      </c>
      <c r="L43" s="1" t="s">
        <v>315</v>
      </c>
      <c r="M43" s="9"/>
      <c r="N43" s="14"/>
      <c r="O43" s="16"/>
      <c r="P43" s="6" t="e">
        <f>VLOOKUP(Tabela131617181920[[#This Row],[DT]],Aprovados!A:A,1,0)</f>
        <v>#N/A</v>
      </c>
      <c r="Q43" s="16"/>
      <c r="R43" s="16"/>
      <c r="S43" s="16"/>
      <c r="T43" s="9"/>
      <c r="U43" s="1" t="s">
        <v>315</v>
      </c>
      <c r="V43" s="11"/>
      <c r="W43" s="232"/>
      <c r="X43" s="304" t="s">
        <v>530</v>
      </c>
    </row>
    <row r="44" spans="1:24" ht="15.75" customHeight="1">
      <c r="A44" s="6"/>
      <c r="B44" s="7"/>
      <c r="C44" s="6"/>
      <c r="D44" s="6"/>
      <c r="E44" s="6"/>
      <c r="F44" s="1"/>
      <c r="G44" s="9"/>
      <c r="H44" s="9"/>
      <c r="I44" s="11"/>
      <c r="J44" s="1"/>
      <c r="K44" s="205" t="s">
        <v>315</v>
      </c>
      <c r="L44" s="1" t="s">
        <v>315</v>
      </c>
      <c r="M44" s="9"/>
      <c r="N44" s="14"/>
      <c r="O44" s="16">
        <f>IFERROR(IF(L44="PENDENTE",-N44,I44-N44),0)</f>
        <v>0</v>
      </c>
      <c r="P44" s="6" t="s">
        <v>532</v>
      </c>
      <c r="Q44" s="16"/>
      <c r="R44" s="16"/>
      <c r="S44" s="16"/>
      <c r="T44" s="9"/>
      <c r="U44" s="1" t="s">
        <v>315</v>
      </c>
      <c r="V44" s="11"/>
      <c r="W44" s="232"/>
      <c r="X44" s="304"/>
    </row>
    <row r="45" spans="1:24" ht="15.75" customHeight="1">
      <c r="A45" s="6"/>
      <c r="B45" s="7"/>
      <c r="C45" s="6"/>
      <c r="D45" s="6"/>
      <c r="E45" s="6"/>
      <c r="F45" s="1"/>
      <c r="G45" s="9"/>
      <c r="H45" s="9"/>
      <c r="I45" s="11"/>
      <c r="J45" s="1"/>
      <c r="K45" s="205" t="s">
        <v>315</v>
      </c>
      <c r="L45" s="1" t="s">
        <v>315</v>
      </c>
      <c r="M45" s="9"/>
      <c r="N45" s="14"/>
      <c r="O45" s="16"/>
      <c r="P45" s="6" t="e">
        <f>VLOOKUP(Tabela131617181920[[#This Row],[DT]],Aprovados!A:A,1,0)</f>
        <v>#N/A</v>
      </c>
      <c r="Q45" s="16"/>
      <c r="R45" s="16"/>
      <c r="S45" s="16"/>
      <c r="T45" s="9"/>
      <c r="U45" s="1" t="s">
        <v>315</v>
      </c>
      <c r="V45" s="11"/>
      <c r="W45" s="232"/>
      <c r="X45" s="304"/>
    </row>
    <row r="46" spans="1:24" ht="15.75">
      <c r="A46" s="6"/>
      <c r="B46" s="7"/>
      <c r="C46" s="6"/>
      <c r="D46" s="6"/>
      <c r="E46" s="6"/>
      <c r="F46" s="1"/>
      <c r="G46" s="9"/>
      <c r="H46" s="9"/>
      <c r="I46" s="11"/>
      <c r="J46" s="1"/>
      <c r="K46" s="205" t="s">
        <v>315</v>
      </c>
      <c r="L46" s="1" t="s">
        <v>315</v>
      </c>
      <c r="M46" s="9"/>
      <c r="N46" s="14"/>
      <c r="O46" s="16"/>
      <c r="P46" s="6" t="e">
        <f>VLOOKUP(Tabela131617181920[[#This Row],[DT]],Aprovados!A:A,1,0)</f>
        <v>#N/A</v>
      </c>
      <c r="Q46" s="16"/>
      <c r="R46" s="16"/>
      <c r="S46" s="1"/>
      <c r="T46" s="9"/>
      <c r="U46" s="1" t="s">
        <v>315</v>
      </c>
      <c r="V46" s="11"/>
      <c r="W46" s="232"/>
      <c r="X46" s="304"/>
    </row>
    <row r="47" spans="1:24" ht="15.75">
      <c r="A47" s="6"/>
      <c r="B47" s="7"/>
      <c r="C47" s="6"/>
      <c r="D47" s="6"/>
      <c r="E47" s="6"/>
      <c r="F47" s="1"/>
      <c r="G47" s="9"/>
      <c r="H47" s="9"/>
      <c r="I47" s="11"/>
      <c r="J47" s="1"/>
      <c r="K47" s="205" t="s">
        <v>315</v>
      </c>
      <c r="L47" s="1" t="s">
        <v>315</v>
      </c>
      <c r="M47" s="9"/>
      <c r="N47" s="14"/>
      <c r="O47" s="16"/>
      <c r="P47" s="6" t="e">
        <f>VLOOKUP(Tabela131617181920[[#This Row],[DT]],Aprovados!A:A,1,0)</f>
        <v>#N/A</v>
      </c>
      <c r="Q47" s="16"/>
      <c r="R47" s="16"/>
      <c r="S47" s="1"/>
      <c r="T47" s="9"/>
      <c r="U47" s="1" t="s">
        <v>315</v>
      </c>
      <c r="V47" s="11"/>
      <c r="W47" s="232"/>
      <c r="X47" s="304"/>
    </row>
    <row r="48" spans="1:24" ht="15.75">
      <c r="A48" s="6"/>
      <c r="B48" s="7"/>
      <c r="C48" s="6"/>
      <c r="D48" s="6"/>
      <c r="E48" s="6"/>
      <c r="F48" s="1"/>
      <c r="G48" s="9"/>
      <c r="H48" s="9"/>
      <c r="I48" s="11"/>
      <c r="J48" s="1"/>
      <c r="K48" s="205" t="s">
        <v>315</v>
      </c>
      <c r="L48" s="1" t="s">
        <v>315</v>
      </c>
      <c r="M48" s="9"/>
      <c r="N48" s="14"/>
      <c r="O48" s="16"/>
      <c r="P48" s="6" t="e">
        <f>VLOOKUP(Tabela131617181920[[#This Row],[DT]],Aprovados!A:A,1,0)</f>
        <v>#N/A</v>
      </c>
      <c r="Q48" s="16"/>
      <c r="R48" s="16"/>
      <c r="S48" s="1"/>
      <c r="T48" s="9"/>
      <c r="U48" s="1" t="s">
        <v>315</v>
      </c>
      <c r="V48" s="11"/>
      <c r="W48" s="232"/>
      <c r="X48" s="304"/>
    </row>
    <row r="49" spans="1:24" ht="15.75">
      <c r="A49" s="6"/>
      <c r="B49" s="7"/>
      <c r="C49" s="6"/>
      <c r="D49" s="6"/>
      <c r="E49" s="6"/>
      <c r="F49" s="1"/>
      <c r="G49" s="9"/>
      <c r="H49" s="9"/>
      <c r="I49" s="11"/>
      <c r="J49" s="1"/>
      <c r="K49" s="205" t="s">
        <v>315</v>
      </c>
      <c r="L49" s="1" t="s">
        <v>315</v>
      </c>
      <c r="M49" s="9"/>
      <c r="N49" s="14"/>
      <c r="O49" s="16"/>
      <c r="P49" s="6" t="e">
        <f>VLOOKUP(Tabela131617181920[[#This Row],[DT]],Aprovados!A:A,1,0)</f>
        <v>#N/A</v>
      </c>
      <c r="Q49" s="16"/>
      <c r="R49" s="16"/>
      <c r="S49" s="1"/>
      <c r="T49" s="9"/>
      <c r="U49" s="1" t="s">
        <v>315</v>
      </c>
      <c r="V49" s="11"/>
      <c r="W49" s="232"/>
      <c r="X49" s="304"/>
    </row>
    <row r="50" spans="1:24" ht="15.75">
      <c r="A50" s="6"/>
      <c r="B50" s="7"/>
      <c r="C50" s="6"/>
      <c r="D50" s="6"/>
      <c r="E50" s="6"/>
      <c r="F50" s="1"/>
      <c r="G50" s="9"/>
      <c r="H50" s="9"/>
      <c r="I50" s="11"/>
      <c r="J50" s="1"/>
      <c r="K50" s="205" t="s">
        <v>315</v>
      </c>
      <c r="L50" s="1" t="s">
        <v>315</v>
      </c>
      <c r="M50" s="9"/>
      <c r="N50" s="14"/>
      <c r="O50" s="16"/>
      <c r="P50" s="6" t="e">
        <f>VLOOKUP(Tabela131617181920[[#This Row],[DT]],Aprovados!A:A,1,0)</f>
        <v>#N/A</v>
      </c>
      <c r="Q50" s="16"/>
      <c r="R50" s="16"/>
      <c r="S50" s="1"/>
      <c r="T50" s="9"/>
      <c r="U50" s="1" t="s">
        <v>315</v>
      </c>
      <c r="V50" s="11"/>
      <c r="W50" s="232"/>
      <c r="X50" s="304"/>
    </row>
    <row r="51" spans="1:24" ht="15.75">
      <c r="A51" s="6"/>
      <c r="B51" s="7"/>
      <c r="C51" s="6"/>
      <c r="D51" s="6"/>
      <c r="E51" s="6"/>
      <c r="F51" s="1"/>
      <c r="G51" s="9"/>
      <c r="H51" s="9"/>
      <c r="I51" s="11"/>
      <c r="J51" s="1"/>
      <c r="K51" s="205" t="s">
        <v>315</v>
      </c>
      <c r="L51" s="1" t="s">
        <v>315</v>
      </c>
      <c r="M51" s="9"/>
      <c r="N51" s="14"/>
      <c r="O51" s="16"/>
      <c r="P51" s="6" t="e">
        <f>VLOOKUP(Tabela131617181920[[#This Row],[DT]],Aprovados!A:A,1,0)</f>
        <v>#N/A</v>
      </c>
      <c r="Q51" s="16"/>
      <c r="R51" s="16"/>
      <c r="S51" s="16"/>
      <c r="T51" s="9"/>
      <c r="U51" s="1" t="s">
        <v>315</v>
      </c>
      <c r="V51" s="11"/>
      <c r="W51" s="232"/>
      <c r="X51" s="304"/>
    </row>
    <row r="52" spans="1:24" ht="15.75">
      <c r="A52" s="6"/>
      <c r="B52" s="7"/>
      <c r="C52" s="6"/>
      <c r="D52" s="6"/>
      <c r="E52" s="6"/>
      <c r="F52" s="1"/>
      <c r="G52" s="9"/>
      <c r="H52" s="9"/>
      <c r="I52" s="11"/>
      <c r="J52" s="1"/>
      <c r="K52" s="205" t="s">
        <v>315</v>
      </c>
      <c r="L52" s="1" t="s">
        <v>315</v>
      </c>
      <c r="M52" s="9"/>
      <c r="N52" s="14"/>
      <c r="O52" s="16"/>
      <c r="P52" s="6" t="e">
        <f>VLOOKUP(Tabela131617181920[[#This Row],[DT]],Aprovados!A:A,1,0)</f>
        <v>#N/A</v>
      </c>
      <c r="Q52" s="16"/>
      <c r="R52" s="16"/>
      <c r="S52" s="1"/>
      <c r="T52" s="9"/>
      <c r="U52" s="1" t="s">
        <v>315</v>
      </c>
      <c r="V52" s="11"/>
      <c r="W52" s="232"/>
      <c r="X52" s="304"/>
    </row>
    <row r="53" spans="1:24" ht="15.75">
      <c r="A53" s="6"/>
      <c r="B53" s="7"/>
      <c r="C53" s="6"/>
      <c r="D53" s="6"/>
      <c r="E53" s="6"/>
      <c r="F53" s="1"/>
      <c r="G53" s="9"/>
      <c r="H53" s="9"/>
      <c r="I53" s="11"/>
      <c r="J53" s="1"/>
      <c r="K53" s="205" t="s">
        <v>315</v>
      </c>
      <c r="L53" s="1" t="s">
        <v>315</v>
      </c>
      <c r="M53" s="9"/>
      <c r="N53" s="14"/>
      <c r="O53" s="16"/>
      <c r="P53" s="6" t="e">
        <f>VLOOKUP(Tabela131617181920[[#This Row],[DT]],Aprovados!A:A,1,0)</f>
        <v>#N/A</v>
      </c>
      <c r="Q53" s="16"/>
      <c r="R53" s="16"/>
      <c r="S53" s="1"/>
      <c r="T53" s="9"/>
      <c r="U53" s="1" t="s">
        <v>315</v>
      </c>
      <c r="V53" s="11"/>
      <c r="W53" s="232"/>
      <c r="X53" s="304"/>
    </row>
    <row r="54" spans="1:24" ht="15.75">
      <c r="A54" s="6"/>
      <c r="B54" s="7"/>
      <c r="C54" s="6"/>
      <c r="D54" s="6"/>
      <c r="E54" s="6"/>
      <c r="F54" s="1"/>
      <c r="G54" s="9"/>
      <c r="H54" s="9"/>
      <c r="I54" s="11"/>
      <c r="J54" s="1"/>
      <c r="K54" s="205" t="s">
        <v>315</v>
      </c>
      <c r="L54" s="1" t="s">
        <v>315</v>
      </c>
      <c r="M54" s="9"/>
      <c r="N54" s="14"/>
      <c r="O54" s="16"/>
      <c r="P54" s="6" t="e">
        <f>VLOOKUP(Tabela131617181920[[#This Row],[DT]],Aprovados!A:A,1,0)</f>
        <v>#N/A</v>
      </c>
      <c r="Q54" s="16"/>
      <c r="R54" s="16"/>
      <c r="S54" s="1"/>
      <c r="T54" s="9"/>
      <c r="U54" s="1" t="s">
        <v>315</v>
      </c>
      <c r="V54" s="11"/>
      <c r="W54" s="232"/>
      <c r="X54" s="304"/>
    </row>
    <row r="55" spans="1:24" ht="15.75">
      <c r="A55" s="6"/>
      <c r="B55" s="7"/>
      <c r="C55" s="6"/>
      <c r="D55" s="6"/>
      <c r="E55" s="6"/>
      <c r="F55" s="1"/>
      <c r="G55" s="9"/>
      <c r="H55" s="9"/>
      <c r="I55" s="11"/>
      <c r="J55" s="1"/>
      <c r="K55" s="205" t="s">
        <v>315</v>
      </c>
      <c r="L55" s="1" t="s">
        <v>315</v>
      </c>
      <c r="M55" s="9"/>
      <c r="N55" s="14"/>
      <c r="O55" s="16"/>
      <c r="P55" s="6" t="e">
        <f>VLOOKUP(Tabela131617181920[[#This Row],[DT]],Aprovados!A:A,1,0)</f>
        <v>#N/A</v>
      </c>
      <c r="Q55" s="16"/>
      <c r="R55" s="16"/>
      <c r="S55" s="1"/>
      <c r="T55" s="9"/>
      <c r="U55" s="1" t="s">
        <v>315</v>
      </c>
      <c r="V55" s="11"/>
      <c r="W55" s="232"/>
      <c r="X55" s="304"/>
    </row>
    <row r="56" spans="1:24" ht="15.75">
      <c r="A56" s="6"/>
      <c r="B56" s="7"/>
      <c r="C56" s="6"/>
      <c r="D56" s="6"/>
      <c r="E56" s="6"/>
      <c r="F56" s="1"/>
      <c r="G56" s="9"/>
      <c r="H56" s="9"/>
      <c r="I56" s="11"/>
      <c r="J56" s="1"/>
      <c r="K56" s="205" t="s">
        <v>315</v>
      </c>
      <c r="L56" s="1" t="s">
        <v>315</v>
      </c>
      <c r="M56" s="9"/>
      <c r="N56" s="14"/>
      <c r="O56" s="16"/>
      <c r="P56" s="6" t="e">
        <f>VLOOKUP(Tabela131617181920[[#This Row],[DT]],Aprovados!A:A,1,0)</f>
        <v>#N/A</v>
      </c>
      <c r="R56" s="16"/>
      <c r="S56" s="1"/>
      <c r="T56" s="9"/>
      <c r="U56" s="1" t="s">
        <v>315</v>
      </c>
      <c r="V56" s="11"/>
      <c r="W56" s="232"/>
      <c r="X56" s="304"/>
    </row>
    <row r="57" spans="1:24" ht="15.75">
      <c r="A57" s="6"/>
      <c r="B57" s="7"/>
      <c r="C57" s="6"/>
      <c r="D57" s="6"/>
      <c r="E57" s="6"/>
      <c r="F57" s="1"/>
      <c r="G57" s="9"/>
      <c r="H57" s="9"/>
      <c r="I57" s="11"/>
      <c r="J57" s="1"/>
      <c r="K57" s="205" t="s">
        <v>315</v>
      </c>
      <c r="L57" s="1" t="s">
        <v>315</v>
      </c>
      <c r="M57" s="9"/>
      <c r="N57" s="14"/>
      <c r="O57" s="16"/>
      <c r="P57" s="6" t="e">
        <f>VLOOKUP(Tabela131617181920[[#This Row],[DT]],Aprovados!A:A,1,0)</f>
        <v>#N/A</v>
      </c>
      <c r="Q57" s="16"/>
      <c r="R57" s="16"/>
      <c r="S57" s="1"/>
      <c r="T57" s="9"/>
      <c r="U57" s="1" t="s">
        <v>315</v>
      </c>
      <c r="V57" s="11"/>
      <c r="W57" s="232"/>
      <c r="X57" s="304"/>
    </row>
    <row r="58" spans="1:24" ht="15.75">
      <c r="A58" s="6"/>
      <c r="B58" s="7"/>
      <c r="C58" s="6"/>
      <c r="D58" s="6"/>
      <c r="E58" s="6"/>
      <c r="F58" s="1"/>
      <c r="G58" s="9"/>
      <c r="H58" s="9"/>
      <c r="I58" s="11"/>
      <c r="J58" s="1"/>
      <c r="K58" s="205" t="s">
        <v>315</v>
      </c>
      <c r="L58" s="1" t="s">
        <v>315</v>
      </c>
      <c r="M58" s="9"/>
      <c r="N58" s="14"/>
      <c r="O58" s="16"/>
      <c r="P58" s="6" t="e">
        <f>VLOOKUP(Tabela131617181920[[#This Row],[DT]],Aprovados!A:A,1,0)</f>
        <v>#N/A</v>
      </c>
      <c r="Q58" s="16"/>
      <c r="R58" s="16"/>
      <c r="S58" s="16"/>
      <c r="T58" s="9"/>
      <c r="U58" s="1" t="s">
        <v>315</v>
      </c>
      <c r="V58" s="11"/>
      <c r="W58" s="232"/>
      <c r="X58" s="304"/>
    </row>
    <row r="59" spans="1:24" ht="15.75">
      <c r="A59" s="6"/>
      <c r="B59" s="7"/>
      <c r="C59" s="6"/>
      <c r="D59" s="6"/>
      <c r="E59" s="6"/>
      <c r="F59" s="1"/>
      <c r="G59" s="9"/>
      <c r="H59" s="9"/>
      <c r="I59" s="11"/>
      <c r="J59" s="1"/>
      <c r="K59" s="205" t="s">
        <v>315</v>
      </c>
      <c r="L59" s="1" t="s">
        <v>315</v>
      </c>
      <c r="M59" s="9"/>
      <c r="N59" s="14"/>
      <c r="O59" s="16"/>
      <c r="P59" s="6" t="e">
        <f>VLOOKUP(Tabela131617181920[[#This Row],[DT]],Aprovados!A:A,1,0)</f>
        <v>#N/A</v>
      </c>
      <c r="Q59" s="16"/>
      <c r="R59" s="16"/>
      <c r="S59" s="1"/>
      <c r="T59" s="9"/>
      <c r="U59" s="1" t="s">
        <v>315</v>
      </c>
      <c r="V59" s="11"/>
      <c r="W59" s="232"/>
      <c r="X59" s="304"/>
    </row>
    <row r="60" spans="1:24" ht="15.75">
      <c r="A60" s="6"/>
      <c r="B60" s="7"/>
      <c r="C60" s="6"/>
      <c r="D60" s="6"/>
      <c r="E60" s="6"/>
      <c r="F60" s="1"/>
      <c r="G60" s="9"/>
      <c r="H60" s="9"/>
      <c r="I60" s="11"/>
      <c r="J60" s="1"/>
      <c r="K60" s="205" t="s">
        <v>315</v>
      </c>
      <c r="L60" s="1" t="s">
        <v>315</v>
      </c>
      <c r="M60" s="9"/>
      <c r="N60" s="14"/>
      <c r="O60" s="16"/>
      <c r="P60" s="6" t="e">
        <f>VLOOKUP(Tabela131617181920[[#This Row],[DT]],Aprovados!A:A,1,0)</f>
        <v>#N/A</v>
      </c>
      <c r="Q60" s="16"/>
      <c r="R60" s="16"/>
      <c r="S60" s="16"/>
      <c r="T60" s="9"/>
      <c r="U60" s="1" t="s">
        <v>315</v>
      </c>
      <c r="V60" s="11"/>
      <c r="W60" s="232"/>
      <c r="X60" s="304"/>
    </row>
    <row r="61" spans="1:24" ht="15.75">
      <c r="A61" s="6"/>
      <c r="B61" s="7"/>
      <c r="C61" s="6"/>
      <c r="D61" s="6"/>
      <c r="E61" s="6"/>
      <c r="F61" s="1"/>
      <c r="G61" s="9"/>
      <c r="H61" s="9"/>
      <c r="I61" s="11"/>
      <c r="J61" s="1"/>
      <c r="K61" s="205" t="s">
        <v>315</v>
      </c>
      <c r="L61" s="1" t="s">
        <v>315</v>
      </c>
      <c r="M61" s="9"/>
      <c r="N61" s="14"/>
      <c r="O61" s="16"/>
      <c r="P61" s="6" t="e">
        <f>VLOOKUP(Tabela131617181920[[#This Row],[DT]],Aprovados!A:A,1,0)</f>
        <v>#N/A</v>
      </c>
      <c r="Q61" s="16"/>
      <c r="R61" s="16"/>
      <c r="S61" s="16"/>
      <c r="T61" s="9"/>
      <c r="U61" s="1" t="s">
        <v>315</v>
      </c>
      <c r="V61" s="11"/>
      <c r="W61" s="232"/>
      <c r="X61" s="304"/>
    </row>
    <row r="62" spans="1:24" ht="15.75">
      <c r="A62" s="6"/>
      <c r="B62" s="7"/>
      <c r="C62" s="6"/>
      <c r="D62" s="6"/>
      <c r="E62" s="6"/>
      <c r="F62" s="1"/>
      <c r="G62" s="9"/>
      <c r="H62" s="9"/>
      <c r="I62" s="11"/>
      <c r="J62" s="1"/>
      <c r="K62" s="205" t="s">
        <v>315</v>
      </c>
      <c r="L62" s="1" t="s">
        <v>315</v>
      </c>
      <c r="M62" s="9"/>
      <c r="N62" s="14"/>
      <c r="O62" s="16"/>
      <c r="P62" s="6" t="e">
        <f>VLOOKUP(Tabela131617181920[[#This Row],[DT]],Aprovados!A:A,1,0)</f>
        <v>#N/A</v>
      </c>
      <c r="Q62" s="16"/>
      <c r="R62" s="16"/>
      <c r="S62" s="16"/>
      <c r="T62" s="9"/>
      <c r="U62" s="1" t="s">
        <v>315</v>
      </c>
      <c r="V62" s="11"/>
      <c r="W62" s="232"/>
      <c r="X62" s="304"/>
    </row>
    <row r="63" spans="1:24" ht="15.75">
      <c r="A63" s="6"/>
      <c r="B63" s="7"/>
      <c r="C63" s="6"/>
      <c r="D63" s="6"/>
      <c r="E63" s="6"/>
      <c r="F63" s="1"/>
      <c r="G63" s="9"/>
      <c r="H63" s="9"/>
      <c r="I63" s="11"/>
      <c r="J63" s="1"/>
      <c r="K63" s="205" t="s">
        <v>315</v>
      </c>
      <c r="L63" s="1" t="s">
        <v>315</v>
      </c>
      <c r="M63" s="9"/>
      <c r="N63" s="14"/>
      <c r="O63" s="16"/>
      <c r="P63" s="6" t="e">
        <f>VLOOKUP(Tabela131617181920[[#This Row],[DT]],Aprovados!A:A,1,0)</f>
        <v>#N/A</v>
      </c>
      <c r="Q63" s="16"/>
      <c r="R63" s="16"/>
      <c r="S63" s="16"/>
      <c r="T63" s="9"/>
      <c r="U63" s="1" t="s">
        <v>315</v>
      </c>
      <c r="V63" s="11"/>
      <c r="W63" s="232"/>
      <c r="X63" s="304"/>
    </row>
    <row r="64" spans="1:24" ht="15.75">
      <c r="A64" s="6"/>
      <c r="B64" s="7"/>
      <c r="C64" s="6"/>
      <c r="D64" s="6"/>
      <c r="E64" s="6"/>
      <c r="F64" s="1"/>
      <c r="G64" s="9"/>
      <c r="H64" s="9"/>
      <c r="I64" s="11"/>
      <c r="J64" s="1"/>
      <c r="K64" s="205" t="s">
        <v>315</v>
      </c>
      <c r="L64" s="1" t="s">
        <v>315</v>
      </c>
      <c r="M64" s="9"/>
      <c r="N64" s="14"/>
      <c r="O64" s="16"/>
      <c r="P64" s="6" t="e">
        <f>VLOOKUP(Tabela131617181920[[#This Row],[DT]],Aprovados!A:A,1,0)</f>
        <v>#N/A</v>
      </c>
      <c r="Q64" s="16"/>
      <c r="R64" s="16"/>
      <c r="S64" s="16"/>
      <c r="T64" s="9"/>
      <c r="U64" s="1" t="s">
        <v>315</v>
      </c>
      <c r="V64" s="11"/>
      <c r="W64" s="232"/>
      <c r="X64" s="304"/>
    </row>
    <row r="65" spans="1:24" ht="15.75">
      <c r="A65" s="6"/>
      <c r="B65" s="7"/>
      <c r="C65" s="6"/>
      <c r="D65" s="6"/>
      <c r="E65" s="6"/>
      <c r="F65" s="1"/>
      <c r="G65" s="9"/>
      <c r="H65" s="9"/>
      <c r="I65" s="11"/>
      <c r="J65" s="1"/>
      <c r="K65" s="205" t="s">
        <v>315</v>
      </c>
      <c r="L65" s="1" t="s">
        <v>315</v>
      </c>
      <c r="M65" s="9"/>
      <c r="N65" s="14"/>
      <c r="O65" s="16"/>
      <c r="P65" s="6" t="e">
        <f>VLOOKUP(Tabela131617181920[[#This Row],[DT]],Aprovados!A:A,1,0)</f>
        <v>#N/A</v>
      </c>
      <c r="Q65" s="16"/>
      <c r="R65" s="16"/>
      <c r="S65" s="16"/>
      <c r="T65" s="9"/>
      <c r="U65" s="1" t="s">
        <v>315</v>
      </c>
      <c r="V65" s="11"/>
      <c r="W65" s="232"/>
      <c r="X65" s="304"/>
    </row>
    <row r="66" spans="1:24" ht="15.75">
      <c r="A66" s="6"/>
      <c r="B66" s="7"/>
      <c r="C66" s="6"/>
      <c r="D66" s="6"/>
      <c r="E66" s="6"/>
      <c r="F66" s="1"/>
      <c r="G66" s="9"/>
      <c r="H66" s="9"/>
      <c r="I66" s="11"/>
      <c r="J66" s="1"/>
      <c r="K66" s="205" t="s">
        <v>315</v>
      </c>
      <c r="L66" s="1" t="s">
        <v>315</v>
      </c>
      <c r="M66" s="9"/>
      <c r="N66" s="14"/>
      <c r="O66" s="16"/>
      <c r="P66" s="6" t="e">
        <f>VLOOKUP(Tabela131617181920[[#This Row],[DT]],Aprovados!A:A,1,0)</f>
        <v>#N/A</v>
      </c>
      <c r="Q66" s="16"/>
      <c r="R66" s="16"/>
      <c r="S66" s="16"/>
      <c r="T66" s="9"/>
      <c r="U66" s="1" t="s">
        <v>315</v>
      </c>
      <c r="V66" s="11"/>
      <c r="W66" s="232"/>
      <c r="X66" s="304"/>
    </row>
    <row r="67" spans="1:24" ht="15.75">
      <c r="A67" s="6"/>
      <c r="B67" s="7"/>
      <c r="C67" s="6"/>
      <c r="D67" s="6"/>
      <c r="E67" s="6"/>
      <c r="F67" s="1"/>
      <c r="G67" s="9"/>
      <c r="H67" s="9"/>
      <c r="I67" s="11"/>
      <c r="J67" s="1"/>
      <c r="K67" s="205" t="s">
        <v>315</v>
      </c>
      <c r="L67" s="1" t="s">
        <v>315</v>
      </c>
      <c r="M67" s="9"/>
      <c r="N67" s="14"/>
      <c r="O67" s="16"/>
      <c r="P67" s="6" t="e">
        <f>VLOOKUP(Tabela131617181920[[#This Row],[DT]],Aprovados!A:A,1,0)</f>
        <v>#N/A</v>
      </c>
      <c r="Q67" s="16"/>
      <c r="R67" s="16"/>
      <c r="S67" s="16"/>
      <c r="T67" s="9"/>
      <c r="U67" s="1" t="s">
        <v>315</v>
      </c>
      <c r="V67" s="11"/>
      <c r="W67" s="232"/>
      <c r="X67" s="304"/>
    </row>
    <row r="68" spans="1:24" ht="15.75">
      <c r="A68" s="6"/>
      <c r="B68" s="7"/>
      <c r="C68" s="6"/>
      <c r="D68" s="6"/>
      <c r="E68" s="6"/>
      <c r="F68" s="1"/>
      <c r="G68" s="9"/>
      <c r="H68" s="9"/>
      <c r="I68" s="11"/>
      <c r="J68" s="1"/>
      <c r="K68" s="205" t="s">
        <v>315</v>
      </c>
      <c r="L68" s="1" t="s">
        <v>315</v>
      </c>
      <c r="M68" s="9"/>
      <c r="N68" s="14"/>
      <c r="O68" s="16"/>
      <c r="P68" s="6" t="e">
        <f>VLOOKUP(Tabela131617181920[[#This Row],[DT]],Aprovados!A:A,1,0)</f>
        <v>#N/A</v>
      </c>
      <c r="Q68" s="16"/>
      <c r="R68" s="16"/>
      <c r="S68" s="16"/>
      <c r="T68" s="9"/>
      <c r="U68" s="1" t="s">
        <v>315</v>
      </c>
      <c r="V68" s="11"/>
      <c r="W68" s="232"/>
      <c r="X68" s="304"/>
    </row>
    <row r="69" spans="1:24" ht="15.75">
      <c r="A69" s="6"/>
      <c r="B69" s="7"/>
      <c r="C69" s="6"/>
      <c r="D69" s="6"/>
      <c r="E69" s="6"/>
      <c r="F69" s="1"/>
      <c r="G69" s="9"/>
      <c r="H69" s="9"/>
      <c r="I69" s="11"/>
      <c r="J69" s="1"/>
      <c r="K69" s="205" t="s">
        <v>315</v>
      </c>
      <c r="L69" s="1" t="s">
        <v>315</v>
      </c>
      <c r="M69" s="9"/>
      <c r="N69" s="14"/>
      <c r="O69" s="16"/>
      <c r="P69" s="6" t="e">
        <f>VLOOKUP(Tabela131617181920[[#This Row],[DT]],Aprovados!A:A,1,0)</f>
        <v>#N/A</v>
      </c>
      <c r="Q69" s="16"/>
      <c r="R69" s="16"/>
      <c r="S69" s="16"/>
      <c r="T69" s="9"/>
      <c r="U69" s="1" t="s">
        <v>315</v>
      </c>
      <c r="V69" s="11"/>
      <c r="W69" s="232"/>
      <c r="X69" s="304"/>
    </row>
    <row r="70" spans="1:24" ht="15.75">
      <c r="A70" s="6"/>
      <c r="B70" s="7"/>
      <c r="C70" s="6"/>
      <c r="D70" s="6"/>
      <c r="E70" s="6"/>
      <c r="F70" s="1"/>
      <c r="G70" s="9"/>
      <c r="H70" s="9"/>
      <c r="I70" s="11"/>
      <c r="J70" s="1"/>
      <c r="K70" s="205" t="s">
        <v>315</v>
      </c>
      <c r="L70" s="1" t="s">
        <v>315</v>
      </c>
      <c r="M70" s="9"/>
      <c r="N70" s="14"/>
      <c r="O70" s="16"/>
      <c r="P70" s="6" t="e">
        <f>VLOOKUP(Tabela131617181920[[#This Row],[DT]],Aprovados!A:A,1,0)</f>
        <v>#N/A</v>
      </c>
      <c r="Q70" s="16"/>
      <c r="R70" s="16"/>
      <c r="S70" s="16"/>
      <c r="T70" s="9"/>
      <c r="U70" s="1" t="s">
        <v>315</v>
      </c>
      <c r="V70" s="11"/>
      <c r="W70" s="232"/>
      <c r="X70" s="304"/>
    </row>
    <row r="71" spans="1:24" ht="15.75">
      <c r="A71" s="6"/>
      <c r="B71" s="7"/>
      <c r="C71" s="6"/>
      <c r="D71" s="6"/>
      <c r="E71" s="6"/>
      <c r="F71" s="1"/>
      <c r="G71" s="9"/>
      <c r="H71" s="9"/>
      <c r="I71" s="11"/>
      <c r="J71" s="1"/>
      <c r="K71" s="205" t="s">
        <v>315</v>
      </c>
      <c r="L71" s="1" t="s">
        <v>315</v>
      </c>
      <c r="M71" s="9"/>
      <c r="N71" s="14"/>
      <c r="O71" s="16"/>
      <c r="P71" s="6" t="e">
        <f>VLOOKUP(Tabela131617181920[[#This Row],[DT]],Aprovados!A:A,1,0)</f>
        <v>#N/A</v>
      </c>
      <c r="Q71" s="16"/>
      <c r="R71" s="16"/>
      <c r="S71" s="16"/>
      <c r="T71" s="9"/>
      <c r="U71" s="1" t="s">
        <v>315</v>
      </c>
      <c r="V71" s="11"/>
      <c r="W71" s="232"/>
      <c r="X71" s="304"/>
    </row>
    <row r="72" spans="1:24" ht="15.75">
      <c r="A72" s="6"/>
      <c r="B72" s="7"/>
      <c r="C72" s="6"/>
      <c r="D72" s="6"/>
      <c r="E72" s="6"/>
      <c r="F72" s="1"/>
      <c r="G72" s="9"/>
      <c r="H72" s="9"/>
      <c r="I72" s="11"/>
      <c r="J72" s="1"/>
      <c r="K72" s="205" t="s">
        <v>315</v>
      </c>
      <c r="L72" s="1" t="s">
        <v>315</v>
      </c>
      <c r="M72" s="9"/>
      <c r="N72" s="14"/>
      <c r="O72" s="16"/>
      <c r="P72" s="6" t="e">
        <f>VLOOKUP(Tabela131617181920[[#This Row],[DT]],Aprovados!A:A,1,0)</f>
        <v>#N/A</v>
      </c>
      <c r="Q72" s="16"/>
      <c r="R72" s="16"/>
      <c r="S72" s="16"/>
      <c r="T72" s="9"/>
      <c r="U72" s="1" t="s">
        <v>315</v>
      </c>
      <c r="V72" s="11"/>
      <c r="W72" s="232"/>
      <c r="X72" s="304"/>
    </row>
    <row r="73" spans="1:24" ht="15.75">
      <c r="A73" s="6"/>
      <c r="B73" s="7"/>
      <c r="C73" s="6"/>
      <c r="D73" s="6"/>
      <c r="E73" s="6"/>
      <c r="F73" s="1"/>
      <c r="G73" s="9"/>
      <c r="H73" s="9"/>
      <c r="I73" s="11"/>
      <c r="J73" s="1"/>
      <c r="K73" s="205" t="s">
        <v>315</v>
      </c>
      <c r="L73" s="1" t="s">
        <v>315</v>
      </c>
      <c r="M73" s="9"/>
      <c r="N73" s="14"/>
      <c r="O73" s="16"/>
      <c r="P73" s="6" t="e">
        <f>VLOOKUP(Tabela131617181920[[#This Row],[DT]],Aprovados!A:A,1,0)</f>
        <v>#N/A</v>
      </c>
      <c r="Q73" s="16"/>
      <c r="R73" s="16"/>
      <c r="S73" s="16"/>
      <c r="T73" s="9"/>
      <c r="U73" s="1" t="s">
        <v>315</v>
      </c>
      <c r="V73" s="11"/>
      <c r="W73" s="232"/>
      <c r="X73" s="304"/>
    </row>
    <row r="74" spans="1:24" ht="15.75">
      <c r="A74" s="6"/>
      <c r="B74" s="7"/>
      <c r="C74" s="6"/>
      <c r="D74" s="6"/>
      <c r="E74" s="6"/>
      <c r="F74" s="1"/>
      <c r="G74" s="9"/>
      <c r="H74" s="9"/>
      <c r="I74" s="11"/>
      <c r="J74" s="1"/>
      <c r="K74" s="205" t="s">
        <v>315</v>
      </c>
      <c r="L74" s="1" t="s">
        <v>315</v>
      </c>
      <c r="M74" s="9"/>
      <c r="N74" s="14"/>
      <c r="O74" s="16"/>
      <c r="P74" s="6" t="e">
        <f>VLOOKUP(Tabela131617181920[[#This Row],[DT]],Aprovados!A:A,1,0)</f>
        <v>#N/A</v>
      </c>
      <c r="Q74" s="16"/>
      <c r="R74" s="16"/>
      <c r="S74" s="16"/>
      <c r="T74" s="9"/>
      <c r="U74" s="1" t="s">
        <v>315</v>
      </c>
      <c r="V74" s="11"/>
      <c r="W74" s="232"/>
      <c r="X74" s="304"/>
    </row>
    <row r="75" spans="1:24" ht="15.75">
      <c r="A75" s="6"/>
      <c r="B75" s="7"/>
      <c r="C75" s="6"/>
      <c r="D75" s="6"/>
      <c r="E75" s="6"/>
      <c r="F75" s="1"/>
      <c r="G75" s="9"/>
      <c r="H75" s="9"/>
      <c r="I75" s="11"/>
      <c r="J75" s="1"/>
      <c r="K75" s="205" t="s">
        <v>315</v>
      </c>
      <c r="L75" s="1" t="s">
        <v>315</v>
      </c>
      <c r="M75" s="9"/>
      <c r="N75" s="14"/>
      <c r="O75" s="16"/>
      <c r="P75" s="6" t="e">
        <f>VLOOKUP(Tabela131617181920[[#This Row],[DT]],Aprovados!A:A,1,0)</f>
        <v>#N/A</v>
      </c>
      <c r="Q75" s="16"/>
      <c r="R75" s="16"/>
      <c r="S75" s="16"/>
      <c r="T75" s="9"/>
      <c r="U75" s="1" t="s">
        <v>315</v>
      </c>
      <c r="V75" s="11"/>
      <c r="W75" s="232"/>
      <c r="X75" s="304"/>
    </row>
    <row r="76" spans="1:24" ht="15.75">
      <c r="A76" s="6"/>
      <c r="B76" s="7"/>
      <c r="C76" s="6"/>
      <c r="D76" s="6"/>
      <c r="E76" s="6"/>
      <c r="F76" s="1"/>
      <c r="G76" s="9"/>
      <c r="H76" s="9"/>
      <c r="I76" s="11"/>
      <c r="J76" s="1"/>
      <c r="K76" s="205" t="s">
        <v>315</v>
      </c>
      <c r="L76" s="1" t="s">
        <v>315</v>
      </c>
      <c r="M76" s="9"/>
      <c r="N76" s="14"/>
      <c r="O76" s="16"/>
      <c r="P76" s="6" t="e">
        <f>VLOOKUP(Tabela131617181920[[#This Row],[DT]],Aprovados!A:A,1,0)</f>
        <v>#N/A</v>
      </c>
      <c r="Q76" s="16"/>
      <c r="R76" s="16"/>
      <c r="S76" s="16"/>
      <c r="T76" s="9"/>
      <c r="U76" s="1" t="s">
        <v>315</v>
      </c>
      <c r="V76" s="11"/>
      <c r="W76" s="232"/>
      <c r="X76" s="304"/>
    </row>
    <row r="77" spans="1:24" ht="15.75">
      <c r="A77" s="6"/>
      <c r="B77" s="7"/>
      <c r="C77" s="6"/>
      <c r="D77" s="6"/>
      <c r="E77" s="6"/>
      <c r="F77" s="1"/>
      <c r="G77" s="9"/>
      <c r="H77" s="9"/>
      <c r="I77" s="11"/>
      <c r="J77" s="1"/>
      <c r="K77" s="205" t="s">
        <v>315</v>
      </c>
      <c r="L77" s="1" t="s">
        <v>315</v>
      </c>
      <c r="M77" s="9"/>
      <c r="N77" s="14"/>
      <c r="O77" s="16"/>
      <c r="P77" s="6" t="e">
        <f>VLOOKUP(Tabela131617181920[[#This Row],[DT]],Aprovados!A:A,1,0)</f>
        <v>#N/A</v>
      </c>
      <c r="Q77" s="16"/>
      <c r="R77" s="16"/>
      <c r="S77" s="1"/>
      <c r="T77" s="9"/>
      <c r="U77" s="1" t="s">
        <v>315</v>
      </c>
      <c r="V77" s="11"/>
      <c r="W77" s="232"/>
      <c r="X77" s="304"/>
    </row>
    <row r="78" spans="1:24" ht="15.75">
      <c r="A78" s="6"/>
      <c r="B78" s="7"/>
      <c r="C78" s="6"/>
      <c r="D78" s="6"/>
      <c r="E78" s="6"/>
      <c r="F78" s="6"/>
      <c r="G78" s="9"/>
      <c r="H78" s="9"/>
      <c r="I78" s="11"/>
      <c r="J78" s="1"/>
      <c r="K78" s="205" t="s">
        <v>315</v>
      </c>
      <c r="L78" s="1" t="s">
        <v>315</v>
      </c>
      <c r="M78" s="9"/>
      <c r="N78" s="14"/>
      <c r="O78" s="16"/>
      <c r="P78" s="6" t="e">
        <f>VLOOKUP(Tabela131617181920[[#This Row],[DT]],Aprovados!A:A,1,0)</f>
        <v>#N/A</v>
      </c>
      <c r="Q78" s="229"/>
      <c r="R78" s="16"/>
      <c r="S78" s="1"/>
      <c r="T78" s="9"/>
      <c r="U78" s="1" t="s">
        <v>315</v>
      </c>
      <c r="V78" s="11"/>
      <c r="W78" s="232"/>
      <c r="X78" s="304"/>
    </row>
    <row r="79" spans="1:24" ht="15.75">
      <c r="A79" s="6"/>
      <c r="B79" s="7"/>
      <c r="C79" s="6"/>
      <c r="D79" s="6"/>
      <c r="E79" s="6"/>
      <c r="F79" s="1"/>
      <c r="G79" s="9"/>
      <c r="H79" s="9"/>
      <c r="I79" s="11"/>
      <c r="J79" s="1"/>
      <c r="K79" s="205" t="s">
        <v>315</v>
      </c>
      <c r="L79" s="1" t="s">
        <v>315</v>
      </c>
      <c r="M79" s="9"/>
      <c r="N79" s="14"/>
      <c r="O79" s="16"/>
      <c r="P79" s="6" t="e">
        <f>VLOOKUP(Tabela131617181920[[#This Row],[DT]],Aprovados!A:A,1,0)</f>
        <v>#N/A</v>
      </c>
      <c r="Q79" s="16"/>
      <c r="R79" s="16"/>
      <c r="S79" s="16"/>
      <c r="T79" s="9"/>
      <c r="U79" s="1" t="s">
        <v>315</v>
      </c>
      <c r="V79" s="11"/>
      <c r="W79" s="232"/>
      <c r="X79" s="304"/>
    </row>
    <row r="80" spans="1:24" ht="15.75">
      <c r="A80" s="6"/>
      <c r="B80" s="7"/>
      <c r="C80" s="6"/>
      <c r="D80" s="6"/>
      <c r="E80" s="6"/>
      <c r="F80" s="1"/>
      <c r="G80" s="9"/>
      <c r="H80" s="9"/>
      <c r="I80" s="11"/>
      <c r="J80" s="1"/>
      <c r="K80" s="205" t="s">
        <v>315</v>
      </c>
      <c r="L80" s="1" t="s">
        <v>315</v>
      </c>
      <c r="M80" s="9"/>
      <c r="N80" s="14"/>
      <c r="O80" s="16"/>
      <c r="P80" s="6" t="e">
        <f>VLOOKUP(Tabela131617181920[[#This Row],[DT]],Aprovados!A:A,1,0)</f>
        <v>#N/A</v>
      </c>
      <c r="Q80" s="16"/>
      <c r="R80" s="16"/>
      <c r="S80" s="16"/>
      <c r="T80" s="9"/>
      <c r="U80" s="1" t="s">
        <v>315</v>
      </c>
      <c r="V80" s="11"/>
      <c r="W80" s="232"/>
      <c r="X80" s="304"/>
    </row>
    <row r="81" spans="1:24" ht="15.75">
      <c r="A81" s="6"/>
      <c r="B81" s="7"/>
      <c r="C81" s="6"/>
      <c r="D81" s="6"/>
      <c r="E81" s="6"/>
      <c r="F81" s="1"/>
      <c r="G81" s="9"/>
      <c r="H81" s="9"/>
      <c r="I81" s="11"/>
      <c r="J81" s="1"/>
      <c r="K81" s="205" t="s">
        <v>315</v>
      </c>
      <c r="L81" s="1" t="s">
        <v>315</v>
      </c>
      <c r="M81" s="9"/>
      <c r="N81" s="14"/>
      <c r="O81" s="16"/>
      <c r="P81" s="6" t="e">
        <f>VLOOKUP(Tabela131617181920[[#This Row],[DT]],Aprovados!A:A,1,0)</f>
        <v>#N/A</v>
      </c>
      <c r="Q81" s="16"/>
      <c r="R81" s="16"/>
      <c r="S81" s="16"/>
      <c r="T81" s="9"/>
      <c r="U81" s="1" t="s">
        <v>315</v>
      </c>
      <c r="V81" s="11"/>
      <c r="W81" s="232"/>
      <c r="X81" s="304"/>
    </row>
    <row r="82" spans="1:24" ht="15.75">
      <c r="A82" s="6"/>
      <c r="B82" s="7"/>
      <c r="C82" s="6"/>
      <c r="D82" s="6"/>
      <c r="E82" s="6"/>
      <c r="F82" s="1"/>
      <c r="G82" s="9"/>
      <c r="H82" s="9"/>
      <c r="I82" s="11"/>
      <c r="J82" s="1"/>
      <c r="K82" s="205" t="s">
        <v>315</v>
      </c>
      <c r="L82" s="1" t="s">
        <v>315</v>
      </c>
      <c r="M82" s="9"/>
      <c r="N82" s="14"/>
      <c r="O82" s="16"/>
      <c r="P82" s="6" t="e">
        <f>VLOOKUP(Tabela131617181920[[#This Row],[DT]],Aprovados!A:A,1,0)</f>
        <v>#N/A</v>
      </c>
      <c r="Q82" s="16"/>
      <c r="R82" s="16"/>
      <c r="S82" s="16"/>
      <c r="T82" s="9"/>
      <c r="U82" s="1" t="s">
        <v>315</v>
      </c>
      <c r="V82" s="11"/>
      <c r="W82" s="232"/>
      <c r="X82" s="304"/>
    </row>
    <row r="83" spans="1:24" ht="15.75">
      <c r="A83" s="6"/>
      <c r="B83" s="7"/>
      <c r="C83" s="6"/>
      <c r="D83" s="6"/>
      <c r="E83" s="6"/>
      <c r="F83" s="1"/>
      <c r="G83" s="9"/>
      <c r="H83" s="9"/>
      <c r="I83" s="11"/>
      <c r="J83" s="1"/>
      <c r="K83" s="205" t="s">
        <v>315</v>
      </c>
      <c r="L83" s="1" t="s">
        <v>315</v>
      </c>
      <c r="M83" s="9"/>
      <c r="N83" s="14"/>
      <c r="O83" s="16"/>
      <c r="P83" s="6" t="e">
        <f>VLOOKUP(Tabela131617181920[[#This Row],[DT]],Aprovados!A:A,1,0)</f>
        <v>#N/A</v>
      </c>
      <c r="Q83" s="16"/>
      <c r="R83" s="16"/>
      <c r="S83" s="16"/>
      <c r="T83" s="9"/>
      <c r="U83" s="1" t="s">
        <v>315</v>
      </c>
      <c r="V83" s="11"/>
      <c r="W83" s="232"/>
      <c r="X83" s="304"/>
    </row>
    <row r="84" spans="1:24" ht="15.75">
      <c r="A84" s="6"/>
      <c r="B84" s="7"/>
      <c r="C84" s="6"/>
      <c r="D84" s="6"/>
      <c r="E84" s="6"/>
      <c r="F84" s="1"/>
      <c r="G84" s="9"/>
      <c r="H84" s="9"/>
      <c r="I84" s="11"/>
      <c r="J84" s="1"/>
      <c r="K84" s="205" t="s">
        <v>315</v>
      </c>
      <c r="L84" s="1" t="s">
        <v>315</v>
      </c>
      <c r="M84" s="9"/>
      <c r="N84" s="14"/>
      <c r="O84" s="16"/>
      <c r="P84" s="6" t="e">
        <f>VLOOKUP(Tabela131617181920[[#This Row],[DT]],Aprovados!A:A,1,0)</f>
        <v>#N/A</v>
      </c>
      <c r="Q84" s="16"/>
      <c r="R84" s="16"/>
      <c r="S84" s="16"/>
      <c r="T84" s="9"/>
      <c r="U84" s="1" t="s">
        <v>315</v>
      </c>
      <c r="V84" s="11"/>
      <c r="W84" s="232"/>
      <c r="X84" s="304"/>
    </row>
    <row r="85" spans="1:24" ht="15.75">
      <c r="A85" s="6"/>
      <c r="B85" s="7"/>
      <c r="C85" s="6"/>
      <c r="D85" s="6"/>
      <c r="E85" s="6"/>
      <c r="F85" s="1"/>
      <c r="G85" s="9"/>
      <c r="H85" s="9"/>
      <c r="I85" s="11"/>
      <c r="J85" s="1"/>
      <c r="K85" s="205" t="s">
        <v>315</v>
      </c>
      <c r="L85" s="1" t="s">
        <v>315</v>
      </c>
      <c r="M85" s="9"/>
      <c r="N85" s="14"/>
      <c r="O85" s="16"/>
      <c r="P85" s="6" t="e">
        <f>VLOOKUP(Tabela131617181920[[#This Row],[DT]],Aprovados!A:A,1,0)</f>
        <v>#N/A</v>
      </c>
      <c r="Q85" s="16"/>
      <c r="R85" s="16"/>
      <c r="S85" s="16"/>
      <c r="T85" s="9"/>
      <c r="U85" s="1" t="s">
        <v>315</v>
      </c>
      <c r="V85" s="11"/>
      <c r="W85" s="232"/>
      <c r="X85" s="304"/>
    </row>
    <row r="86" spans="1:24" ht="15.75">
      <c r="A86" s="6"/>
      <c r="B86" s="7"/>
      <c r="C86" s="67"/>
      <c r="D86" s="6"/>
      <c r="E86" s="255"/>
      <c r="F86" s="1"/>
      <c r="G86" s="9"/>
      <c r="H86" s="9"/>
      <c r="I86" s="11"/>
      <c r="J86" s="1"/>
      <c r="K86" s="205" t="s">
        <v>315</v>
      </c>
      <c r="L86" s="1" t="s">
        <v>315</v>
      </c>
      <c r="M86" s="9"/>
      <c r="N86" s="14"/>
      <c r="O86" s="16"/>
      <c r="P86" s="6" t="e">
        <f>VLOOKUP(Tabela131617181920[[#This Row],[DT]],Aprovados!A:A,1,0)</f>
        <v>#N/A</v>
      </c>
      <c r="Q86" s="16"/>
      <c r="R86" s="16"/>
      <c r="S86" s="16"/>
      <c r="T86" s="9"/>
      <c r="U86" s="1" t="s">
        <v>315</v>
      </c>
      <c r="V86" s="11"/>
      <c r="W86" s="232"/>
      <c r="X86" s="304"/>
    </row>
    <row r="87" spans="1:24" ht="15.75">
      <c r="A87" s="6"/>
      <c r="B87" s="7"/>
      <c r="C87" s="6"/>
      <c r="D87" s="6"/>
      <c r="E87" s="6"/>
      <c r="F87" s="1"/>
      <c r="G87" s="9"/>
      <c r="H87" s="9"/>
      <c r="I87" s="11"/>
      <c r="J87" s="1"/>
      <c r="K87" s="205" t="s">
        <v>315</v>
      </c>
      <c r="L87" s="1" t="s">
        <v>315</v>
      </c>
      <c r="M87" s="9"/>
      <c r="N87" s="14"/>
      <c r="O87" s="16"/>
      <c r="P87" s="6" t="e">
        <f>VLOOKUP(Tabela131617181920[[#This Row],[DT]],Aprovados!A:A,1,0)</f>
        <v>#N/A</v>
      </c>
      <c r="Q87" s="16"/>
      <c r="R87" s="16"/>
      <c r="S87" s="16"/>
      <c r="T87" s="9"/>
      <c r="U87" s="1" t="s">
        <v>315</v>
      </c>
      <c r="V87" s="11"/>
      <c r="W87" s="232"/>
      <c r="X87" s="304"/>
    </row>
    <row r="88" spans="1:24" ht="15.75">
      <c r="A88" s="6"/>
      <c r="B88" s="7"/>
      <c r="C88" s="6"/>
      <c r="D88" s="6"/>
      <c r="E88" s="6"/>
      <c r="F88" s="1"/>
      <c r="G88" s="9"/>
      <c r="H88" s="9"/>
      <c r="I88" s="11"/>
      <c r="J88" s="1"/>
      <c r="K88" s="205" t="s">
        <v>315</v>
      </c>
      <c r="L88" s="1" t="s">
        <v>315</v>
      </c>
      <c r="M88" s="9"/>
      <c r="N88" s="14"/>
      <c r="O88" s="16"/>
      <c r="P88" s="6" t="e">
        <f>VLOOKUP(Tabela131617181920[[#This Row],[DT]],Aprovados!A:A,1,0)</f>
        <v>#N/A</v>
      </c>
      <c r="Q88" s="16"/>
      <c r="R88" s="16"/>
      <c r="S88" s="16"/>
      <c r="T88" s="9"/>
      <c r="U88" s="1" t="s">
        <v>315</v>
      </c>
      <c r="V88" s="11"/>
      <c r="W88" s="232"/>
      <c r="X88" s="304"/>
    </row>
    <row r="89" spans="1:24" ht="15.75">
      <c r="A89" s="6"/>
      <c r="B89" s="7"/>
      <c r="C89" s="6"/>
      <c r="D89" s="6"/>
      <c r="E89" s="6"/>
      <c r="F89" s="1"/>
      <c r="G89" s="9"/>
      <c r="H89" s="9"/>
      <c r="I89" s="11"/>
      <c r="J89" s="1"/>
      <c r="K89" s="205" t="s">
        <v>315</v>
      </c>
      <c r="L89" s="1" t="s">
        <v>315</v>
      </c>
      <c r="M89" s="9"/>
      <c r="N89" s="14"/>
      <c r="O89" s="16"/>
      <c r="P89" s="6" t="e">
        <f>VLOOKUP(Tabela131617181920[[#This Row],[DT]],Aprovados!A:A,1,0)</f>
        <v>#N/A</v>
      </c>
      <c r="Q89" s="16"/>
      <c r="R89" s="16"/>
      <c r="S89" s="16"/>
      <c r="T89" s="9"/>
      <c r="U89" s="1" t="s">
        <v>315</v>
      </c>
      <c r="V89" s="11"/>
      <c r="W89" s="232"/>
      <c r="X89" s="304"/>
    </row>
    <row r="90" spans="1:24" ht="15.75">
      <c r="A90" s="6"/>
      <c r="B90" s="7"/>
      <c r="C90" s="6"/>
      <c r="D90" s="6"/>
      <c r="E90" s="6"/>
      <c r="F90" s="1"/>
      <c r="G90" s="9"/>
      <c r="H90" s="9"/>
      <c r="I90" s="11"/>
      <c r="J90" s="1"/>
      <c r="K90" s="205" t="s">
        <v>315</v>
      </c>
      <c r="L90" s="1" t="s">
        <v>315</v>
      </c>
      <c r="M90" s="9"/>
      <c r="N90" s="14"/>
      <c r="O90" s="16"/>
      <c r="P90" s="6" t="e">
        <f>VLOOKUP(Tabela131617181920[[#This Row],[DT]],Aprovados!A:A,1,0)</f>
        <v>#N/A</v>
      </c>
      <c r="Q90" s="16"/>
      <c r="R90" s="16"/>
      <c r="S90" s="16"/>
      <c r="T90" s="9"/>
      <c r="U90" s="1" t="s">
        <v>315</v>
      </c>
      <c r="V90" s="11"/>
      <c r="W90" s="232"/>
      <c r="X90" s="304"/>
    </row>
    <row r="91" spans="1:24" ht="15.75">
      <c r="A91" s="6"/>
      <c r="B91" s="7"/>
      <c r="C91" s="6"/>
      <c r="D91" s="6"/>
      <c r="E91" s="6"/>
      <c r="F91" s="1"/>
      <c r="G91" s="9"/>
      <c r="H91" s="9"/>
      <c r="I91" s="11"/>
      <c r="J91" s="1"/>
      <c r="K91" s="205" t="s">
        <v>315</v>
      </c>
      <c r="L91" s="1" t="s">
        <v>315</v>
      </c>
      <c r="M91" s="9"/>
      <c r="N91" s="14"/>
      <c r="O91" s="16"/>
      <c r="P91" s="6" t="e">
        <f>VLOOKUP(Tabela131617181920[[#This Row],[DT]],Aprovados!A:A,1,0)</f>
        <v>#N/A</v>
      </c>
      <c r="Q91" s="16"/>
      <c r="R91" s="16"/>
      <c r="S91" s="16"/>
      <c r="T91" s="9"/>
      <c r="U91" s="1" t="s">
        <v>315</v>
      </c>
      <c r="V91" s="11"/>
      <c r="W91" s="232"/>
      <c r="X91" s="304"/>
    </row>
    <row r="92" spans="1:24" ht="15.75">
      <c r="A92" s="6"/>
      <c r="B92" s="7"/>
      <c r="C92" s="6"/>
      <c r="D92" s="6"/>
      <c r="E92" s="6"/>
      <c r="F92" s="1"/>
      <c r="G92" s="9"/>
      <c r="H92" s="9"/>
      <c r="I92" s="11"/>
      <c r="J92" s="1"/>
      <c r="K92" s="205" t="s">
        <v>315</v>
      </c>
      <c r="L92" s="1" t="s">
        <v>315</v>
      </c>
      <c r="M92" s="9"/>
      <c r="N92" s="14"/>
      <c r="O92" s="16"/>
      <c r="P92" s="6" t="e">
        <f>VLOOKUP(Tabela131617181920[[#This Row],[DT]],Aprovados!A:A,1,0)</f>
        <v>#N/A</v>
      </c>
      <c r="Q92" s="16"/>
      <c r="R92" s="16"/>
      <c r="S92" s="16"/>
      <c r="T92" s="9"/>
      <c r="U92" s="1" t="s">
        <v>315</v>
      </c>
      <c r="V92" s="11"/>
      <c r="W92" s="232"/>
      <c r="X92" s="304"/>
    </row>
    <row r="93" spans="1:24" ht="15.75">
      <c r="A93" s="6"/>
      <c r="B93" s="7"/>
      <c r="C93" s="6"/>
      <c r="D93" s="6"/>
      <c r="E93" s="6"/>
      <c r="F93" s="1"/>
      <c r="G93" s="9"/>
      <c r="H93" s="9"/>
      <c r="I93" s="11"/>
      <c r="J93" s="1"/>
      <c r="K93" s="205" t="s">
        <v>315</v>
      </c>
      <c r="L93" s="1" t="s">
        <v>315</v>
      </c>
      <c r="M93" s="9"/>
      <c r="N93" s="14"/>
      <c r="O93" s="16"/>
      <c r="P93" s="6" t="e">
        <f>VLOOKUP(Tabela131617181920[[#This Row],[DT]],Aprovados!A:A,1,0)</f>
        <v>#N/A</v>
      </c>
      <c r="Q93" s="16"/>
      <c r="R93" s="16"/>
      <c r="S93" s="16"/>
      <c r="T93" s="9"/>
      <c r="U93" s="1" t="s">
        <v>315</v>
      </c>
      <c r="V93" s="11"/>
      <c r="W93" s="232"/>
      <c r="X93" s="304"/>
    </row>
    <row r="94" spans="1:24" ht="15.75">
      <c r="A94" s="6"/>
      <c r="B94" s="7"/>
      <c r="C94" s="6"/>
      <c r="D94" s="6"/>
      <c r="E94" s="6"/>
      <c r="F94" s="1"/>
      <c r="G94" s="9"/>
      <c r="H94" s="9"/>
      <c r="I94" s="11"/>
      <c r="J94" s="1"/>
      <c r="K94" s="205" t="s">
        <v>315</v>
      </c>
      <c r="L94" s="1" t="s">
        <v>315</v>
      </c>
      <c r="M94" s="9"/>
      <c r="N94" s="14"/>
      <c r="O94" s="16"/>
      <c r="P94" s="6" t="e">
        <f>VLOOKUP(Tabela131617181920[[#This Row],[DT]],Aprovados!A:A,1,0)</f>
        <v>#N/A</v>
      </c>
      <c r="Q94" s="16"/>
      <c r="R94" s="16"/>
      <c r="S94" s="16"/>
      <c r="T94" s="9"/>
      <c r="U94" s="1" t="s">
        <v>315</v>
      </c>
      <c r="V94" s="11"/>
      <c r="W94" s="232"/>
      <c r="X94" s="304"/>
    </row>
    <row r="95" spans="1:24" ht="15.75">
      <c r="A95" s="6"/>
      <c r="B95" s="7"/>
      <c r="C95" s="6"/>
      <c r="D95" s="6"/>
      <c r="E95" s="6"/>
      <c r="F95" s="1"/>
      <c r="G95" s="9"/>
      <c r="H95" s="9"/>
      <c r="I95" s="11"/>
      <c r="J95" s="1"/>
      <c r="K95" s="205" t="s">
        <v>315</v>
      </c>
      <c r="L95" s="1" t="s">
        <v>315</v>
      </c>
      <c r="M95" s="9"/>
      <c r="N95" s="14"/>
      <c r="O95" s="16"/>
      <c r="P95" s="6" t="e">
        <f>VLOOKUP(Tabela131617181920[[#This Row],[DT]],Aprovados!A:A,1,0)</f>
        <v>#N/A</v>
      </c>
      <c r="Q95" s="16"/>
      <c r="R95" s="16"/>
      <c r="S95" s="16"/>
      <c r="T95" s="9"/>
      <c r="U95" s="1" t="s">
        <v>315</v>
      </c>
      <c r="V95" s="11"/>
      <c r="W95" s="232"/>
      <c r="X95" s="304"/>
    </row>
    <row r="96" spans="1:24" ht="15.75">
      <c r="A96" s="6"/>
      <c r="B96" s="7"/>
      <c r="C96" s="6"/>
      <c r="D96" s="6"/>
      <c r="E96" s="6"/>
      <c r="F96" s="1"/>
      <c r="G96" s="9"/>
      <c r="H96" s="9"/>
      <c r="I96" s="11"/>
      <c r="J96" s="1"/>
      <c r="K96" s="205" t="s">
        <v>315</v>
      </c>
      <c r="L96" s="1" t="s">
        <v>315</v>
      </c>
      <c r="M96" s="9"/>
      <c r="N96" s="14"/>
      <c r="O96" s="16"/>
      <c r="P96" s="6" t="e">
        <f>VLOOKUP(Tabela131617181920[[#This Row],[DT]],Aprovados!A:A,1,0)</f>
        <v>#N/A</v>
      </c>
      <c r="Q96" s="16"/>
      <c r="R96" s="16"/>
      <c r="S96" s="16"/>
      <c r="T96" s="9"/>
      <c r="U96" s="1" t="s">
        <v>315</v>
      </c>
      <c r="V96" s="11"/>
      <c r="W96" s="232"/>
      <c r="X96" s="304"/>
    </row>
    <row r="97" spans="1:24" ht="15.75">
      <c r="A97" s="6"/>
      <c r="B97" s="7"/>
      <c r="C97" s="6"/>
      <c r="D97" s="6"/>
      <c r="E97" s="6"/>
      <c r="F97" s="1"/>
      <c r="G97" s="9"/>
      <c r="H97" s="9"/>
      <c r="I97" s="11"/>
      <c r="J97" s="1"/>
      <c r="K97" s="205" t="s">
        <v>315</v>
      </c>
      <c r="L97" s="1" t="s">
        <v>315</v>
      </c>
      <c r="M97" s="9"/>
      <c r="N97" s="14"/>
      <c r="O97" s="16"/>
      <c r="P97" s="6" t="e">
        <f>VLOOKUP(Tabela131617181920[[#This Row],[DT]],Aprovados!A:A,1,0)</f>
        <v>#N/A</v>
      </c>
      <c r="Q97" s="16"/>
      <c r="R97" s="16"/>
      <c r="S97" s="16"/>
      <c r="T97" s="9"/>
      <c r="U97" s="1" t="s">
        <v>315</v>
      </c>
      <c r="V97" s="11"/>
      <c r="W97" s="232"/>
      <c r="X97" s="304"/>
    </row>
    <row r="98" spans="1:24" ht="15.75">
      <c r="A98" s="6"/>
      <c r="B98" s="7"/>
      <c r="C98" s="6"/>
      <c r="D98" s="6"/>
      <c r="E98" s="6"/>
      <c r="F98" s="1"/>
      <c r="G98" s="9"/>
      <c r="H98" s="9"/>
      <c r="I98" s="11"/>
      <c r="J98" s="1"/>
      <c r="K98" s="205" t="s">
        <v>315</v>
      </c>
      <c r="L98" s="1" t="s">
        <v>315</v>
      </c>
      <c r="M98" s="9"/>
      <c r="N98" s="14"/>
      <c r="O98" s="16"/>
      <c r="P98" s="6" t="e">
        <f>VLOOKUP(Tabela131617181920[[#This Row],[DT]],Aprovados!A:A,1,0)</f>
        <v>#N/A</v>
      </c>
      <c r="Q98" s="16"/>
      <c r="R98" s="16"/>
      <c r="S98" s="16"/>
      <c r="T98" s="9"/>
      <c r="U98" s="1" t="s">
        <v>315</v>
      </c>
      <c r="V98" s="11"/>
      <c r="W98" s="232"/>
      <c r="X98" s="304"/>
    </row>
    <row r="99" spans="1:24" ht="15.75">
      <c r="A99" s="6"/>
      <c r="B99" s="7"/>
      <c r="C99" s="6"/>
      <c r="D99" s="6"/>
      <c r="E99" s="6"/>
      <c r="F99" s="1"/>
      <c r="G99" s="9"/>
      <c r="H99" s="9"/>
      <c r="I99" s="11"/>
      <c r="J99" s="1"/>
      <c r="K99" s="205" t="s">
        <v>315</v>
      </c>
      <c r="L99" s="1" t="s">
        <v>315</v>
      </c>
      <c r="M99" s="9"/>
      <c r="N99" s="14"/>
      <c r="O99" s="16"/>
      <c r="P99" s="6" t="e">
        <f>VLOOKUP(Tabela131617181920[[#This Row],[DT]],Aprovados!A:A,1,0)</f>
        <v>#N/A</v>
      </c>
      <c r="Q99" s="16"/>
      <c r="R99" s="16"/>
      <c r="S99" s="16"/>
      <c r="T99" s="9"/>
      <c r="U99" s="1" t="s">
        <v>315</v>
      </c>
      <c r="V99" s="11"/>
      <c r="W99" s="232"/>
      <c r="X99" s="304"/>
    </row>
    <row r="100" spans="1:24" ht="15.75">
      <c r="A100" s="6"/>
      <c r="B100" s="7"/>
      <c r="C100" s="6"/>
      <c r="D100" s="6"/>
      <c r="E100" s="6"/>
      <c r="F100" s="1"/>
      <c r="G100" s="9"/>
      <c r="H100" s="9"/>
      <c r="I100" s="11"/>
      <c r="J100" s="1"/>
      <c r="K100" s="205" t="s">
        <v>315</v>
      </c>
      <c r="L100" s="1" t="s">
        <v>315</v>
      </c>
      <c r="M100" s="9"/>
      <c r="N100" s="14"/>
      <c r="O100" s="16"/>
      <c r="P100" s="6" t="e">
        <f>VLOOKUP(Tabela131617181920[[#This Row],[DT]],Aprovados!A:A,1,0)</f>
        <v>#N/A</v>
      </c>
      <c r="Q100" s="16"/>
      <c r="R100" s="16"/>
      <c r="S100" s="16"/>
      <c r="T100" s="9"/>
      <c r="U100" s="1" t="s">
        <v>315</v>
      </c>
      <c r="V100" s="11"/>
      <c r="W100" s="232"/>
      <c r="X100" s="304"/>
    </row>
    <row r="101" spans="1:24" ht="15.75">
      <c r="A101" s="6"/>
      <c r="B101" s="7"/>
      <c r="C101" s="6"/>
      <c r="D101" s="6"/>
      <c r="E101" s="6"/>
      <c r="F101" s="1"/>
      <c r="G101" s="9"/>
      <c r="H101" s="9"/>
      <c r="I101" s="11"/>
      <c r="J101" s="1"/>
      <c r="K101" s="205" t="s">
        <v>315</v>
      </c>
      <c r="L101" s="1" t="s">
        <v>315</v>
      </c>
      <c r="M101" s="9"/>
      <c r="N101" s="14"/>
      <c r="O101" s="16"/>
      <c r="P101" s="6" t="e">
        <f>VLOOKUP(Tabela131617181920[[#This Row],[DT]],Aprovados!A:A,1,0)</f>
        <v>#N/A</v>
      </c>
      <c r="Q101" s="16"/>
      <c r="R101" s="16"/>
      <c r="S101" s="16"/>
      <c r="T101" s="9"/>
      <c r="U101" s="1" t="s">
        <v>315</v>
      </c>
      <c r="V101" s="11"/>
      <c r="W101" s="232"/>
      <c r="X101" s="304"/>
    </row>
    <row r="102" spans="1:24" ht="15.75">
      <c r="A102" s="6"/>
      <c r="B102" s="7"/>
      <c r="C102" s="6"/>
      <c r="D102" s="6"/>
      <c r="E102" s="6"/>
      <c r="F102" s="1"/>
      <c r="G102" s="9"/>
      <c r="H102" s="9"/>
      <c r="I102" s="11"/>
      <c r="J102" s="1"/>
      <c r="K102" s="205" t="s">
        <v>315</v>
      </c>
      <c r="L102" s="1" t="s">
        <v>315</v>
      </c>
      <c r="M102" s="9"/>
      <c r="N102" s="14"/>
      <c r="O102" s="16"/>
      <c r="P102" s="6" t="e">
        <f>VLOOKUP(Tabela131617181920[[#This Row],[DT]],Aprovados!A:A,1,0)</f>
        <v>#N/A</v>
      </c>
      <c r="Q102" s="16"/>
      <c r="R102" s="16"/>
      <c r="S102" s="16"/>
      <c r="T102" s="9"/>
      <c r="U102" s="1" t="s">
        <v>315</v>
      </c>
      <c r="V102" s="11"/>
      <c r="W102" s="232"/>
      <c r="X102" s="304"/>
    </row>
    <row r="103" spans="1:24" ht="15.75">
      <c r="A103" s="6"/>
      <c r="B103" s="7"/>
      <c r="C103" s="6"/>
      <c r="D103" s="6"/>
      <c r="E103" s="6"/>
      <c r="F103" s="1"/>
      <c r="G103" s="9"/>
      <c r="H103" s="9"/>
      <c r="I103" s="11"/>
      <c r="J103" s="1"/>
      <c r="K103" s="205" t="s">
        <v>315</v>
      </c>
      <c r="L103" s="1" t="s">
        <v>315</v>
      </c>
      <c r="M103" s="9"/>
      <c r="N103" s="14"/>
      <c r="O103" s="16"/>
      <c r="P103" s="6" t="e">
        <f>VLOOKUP(Tabela131617181920[[#This Row],[DT]],Aprovados!A:A,1,0)</f>
        <v>#N/A</v>
      </c>
      <c r="Q103" s="16"/>
      <c r="R103" s="16"/>
      <c r="S103" s="16"/>
      <c r="T103" s="9"/>
      <c r="U103" s="1" t="s">
        <v>315</v>
      </c>
      <c r="V103" s="11"/>
      <c r="W103" s="232"/>
      <c r="X103" s="304"/>
    </row>
    <row r="104" spans="1:24" ht="15.75">
      <c r="A104" s="6"/>
      <c r="B104" s="7"/>
      <c r="C104" s="6"/>
      <c r="D104" s="6"/>
      <c r="E104" s="6"/>
      <c r="F104" s="1"/>
      <c r="G104" s="9"/>
      <c r="H104" s="9"/>
      <c r="I104" s="11"/>
      <c r="J104" s="1"/>
      <c r="K104" s="205" t="s">
        <v>315</v>
      </c>
      <c r="L104" s="1" t="s">
        <v>315</v>
      </c>
      <c r="M104" s="9"/>
      <c r="N104" s="14"/>
      <c r="O104" s="16"/>
      <c r="P104" s="6" t="e">
        <f>VLOOKUP(Tabela131617181920[[#This Row],[DT]],Aprovados!A:A,1,0)</f>
        <v>#N/A</v>
      </c>
      <c r="Q104" s="16"/>
      <c r="R104" s="16"/>
      <c r="S104" s="16"/>
      <c r="T104" s="9"/>
      <c r="U104" s="1" t="s">
        <v>315</v>
      </c>
      <c r="V104" s="11"/>
      <c r="W104" s="232"/>
      <c r="X104" s="304"/>
    </row>
    <row r="105" spans="1:24" ht="15.75">
      <c r="A105" s="67"/>
      <c r="B105" s="7"/>
      <c r="C105" s="67"/>
      <c r="D105" s="67"/>
      <c r="E105" s="67"/>
      <c r="F105" s="71"/>
      <c r="G105" s="72"/>
      <c r="H105" s="72"/>
      <c r="I105" s="256"/>
      <c r="J105" s="71"/>
      <c r="K105" s="205" t="s">
        <v>315</v>
      </c>
      <c r="L105" s="1" t="s">
        <v>315</v>
      </c>
      <c r="M105" s="72"/>
      <c r="N105" s="14"/>
      <c r="O105" s="81"/>
      <c r="P105" s="6" t="e">
        <f>VLOOKUP(Tabela131617181920[[#This Row],[DT]],Aprovados!A:A,1,0)</f>
        <v>#N/A</v>
      </c>
      <c r="Q105" s="81"/>
      <c r="R105" s="81"/>
      <c r="S105" s="81"/>
      <c r="T105" s="72"/>
      <c r="U105" s="1" t="s">
        <v>315</v>
      </c>
      <c r="V105" s="11"/>
      <c r="W105" s="232"/>
      <c r="X105" s="304"/>
    </row>
    <row r="106" spans="1:24" ht="15.75">
      <c r="A106" s="67"/>
      <c r="B106" s="7"/>
      <c r="C106" s="67"/>
      <c r="D106" s="67"/>
      <c r="E106" s="67"/>
      <c r="F106" s="71"/>
      <c r="G106" s="72"/>
      <c r="H106" s="72"/>
      <c r="I106" s="256"/>
      <c r="J106" s="71"/>
      <c r="K106" s="205" t="s">
        <v>315</v>
      </c>
      <c r="L106" s="1" t="s">
        <v>315</v>
      </c>
      <c r="M106" s="72"/>
      <c r="N106" s="14"/>
      <c r="O106" s="81"/>
      <c r="P106" s="6" t="e">
        <f>VLOOKUP(Tabela131617181920[[#This Row],[DT]],Aprovados!A:A,1,0)</f>
        <v>#N/A</v>
      </c>
      <c r="Q106" s="81"/>
      <c r="R106" s="81"/>
      <c r="S106" s="81"/>
      <c r="T106" s="72"/>
      <c r="U106" s="1" t="s">
        <v>315</v>
      </c>
      <c r="V106" s="256"/>
      <c r="W106" s="232"/>
      <c r="X106" s="304"/>
    </row>
    <row r="107" spans="1:24" ht="15.75">
      <c r="A107" s="67"/>
      <c r="B107" s="7"/>
      <c r="C107" s="67"/>
      <c r="D107" s="67"/>
      <c r="E107" s="67"/>
      <c r="F107" s="71"/>
      <c r="G107" s="72"/>
      <c r="H107" s="72"/>
      <c r="I107" s="256"/>
      <c r="J107" s="71"/>
      <c r="K107" s="205" t="s">
        <v>315</v>
      </c>
      <c r="L107" s="1" t="s">
        <v>315</v>
      </c>
      <c r="M107" s="72"/>
      <c r="N107" s="14"/>
      <c r="O107" s="81"/>
      <c r="P107" s="6" t="e">
        <f>VLOOKUP(Tabela131617181920[[#This Row],[DT]],Aprovados!A:A,1,0)</f>
        <v>#N/A</v>
      </c>
      <c r="Q107" s="81"/>
      <c r="R107" s="81"/>
      <c r="S107" s="81"/>
      <c r="T107" s="72"/>
      <c r="U107" s="1" t="s">
        <v>315</v>
      </c>
      <c r="V107" s="256"/>
      <c r="W107" s="232"/>
      <c r="X107" s="304"/>
    </row>
    <row r="108" spans="1:24" ht="15.75">
      <c r="A108" s="67"/>
      <c r="B108" s="7"/>
      <c r="C108" s="67"/>
      <c r="D108" s="67"/>
      <c r="E108" s="67"/>
      <c r="F108" s="71"/>
      <c r="G108" s="72"/>
      <c r="H108" s="72"/>
      <c r="I108" s="256"/>
      <c r="J108" s="71"/>
      <c r="K108" s="205" t="s">
        <v>315</v>
      </c>
      <c r="L108" s="1" t="s">
        <v>315</v>
      </c>
      <c r="M108" s="72"/>
      <c r="N108" s="14"/>
      <c r="O108" s="81"/>
      <c r="P108" s="6" t="e">
        <f>VLOOKUP(Tabela131617181920[[#This Row],[DT]],Aprovados!A:A,1,0)</f>
        <v>#N/A</v>
      </c>
      <c r="Q108" s="81"/>
      <c r="R108" s="81"/>
      <c r="S108" s="81"/>
      <c r="T108" s="72"/>
      <c r="U108" s="1" t="s">
        <v>315</v>
      </c>
      <c r="V108" s="256"/>
      <c r="W108" s="232"/>
      <c r="X108" s="304"/>
    </row>
    <row r="109" spans="1:24" ht="15.75">
      <c r="A109" s="67"/>
      <c r="B109" s="7"/>
      <c r="C109" s="67"/>
      <c r="D109" s="67"/>
      <c r="E109" s="67"/>
      <c r="F109" s="71"/>
      <c r="G109" s="72"/>
      <c r="H109" s="72"/>
      <c r="I109" s="256"/>
      <c r="J109" s="71"/>
      <c r="K109" s="205" t="s">
        <v>315</v>
      </c>
      <c r="L109" s="1" t="s">
        <v>315</v>
      </c>
      <c r="M109" s="72"/>
      <c r="N109" s="14"/>
      <c r="O109" s="81"/>
      <c r="P109" s="6" t="e">
        <f>VLOOKUP(Tabela131617181920[[#This Row],[DT]],Aprovados!A:A,1,0)</f>
        <v>#N/A</v>
      </c>
      <c r="Q109" s="81"/>
      <c r="R109" s="81"/>
      <c r="S109" s="81"/>
      <c r="T109" s="72"/>
      <c r="U109" s="1" t="s">
        <v>315</v>
      </c>
      <c r="V109" s="256"/>
      <c r="W109" s="232"/>
      <c r="X109" s="304"/>
    </row>
    <row r="110" spans="1:24" ht="15.75">
      <c r="A110" s="67"/>
      <c r="B110" s="7"/>
      <c r="C110" s="67"/>
      <c r="D110" s="67"/>
      <c r="E110" s="67"/>
      <c r="F110" s="71"/>
      <c r="G110" s="72"/>
      <c r="H110" s="72"/>
      <c r="I110" s="256"/>
      <c r="J110" s="71"/>
      <c r="K110" s="205" t="s">
        <v>315</v>
      </c>
      <c r="L110" s="1" t="s">
        <v>315</v>
      </c>
      <c r="M110" s="72"/>
      <c r="N110" s="14"/>
      <c r="O110" s="81"/>
      <c r="P110" s="6" t="e">
        <f>VLOOKUP(Tabela131617181920[[#This Row],[DT]],Aprovados!A:A,1,0)</f>
        <v>#N/A</v>
      </c>
      <c r="Q110" s="81"/>
      <c r="R110" s="81"/>
      <c r="S110" s="81"/>
      <c r="T110" s="72"/>
      <c r="U110" s="1" t="s">
        <v>315</v>
      </c>
      <c r="V110" s="256"/>
      <c r="W110" s="232"/>
      <c r="X110" s="304"/>
    </row>
    <row r="111" spans="1:24" ht="15.75">
      <c r="A111" s="67"/>
      <c r="B111" s="7"/>
      <c r="C111" s="67"/>
      <c r="D111" s="67"/>
      <c r="E111" s="67"/>
      <c r="F111" s="71"/>
      <c r="G111" s="72"/>
      <c r="H111" s="72"/>
      <c r="I111" s="256"/>
      <c r="J111" s="71"/>
      <c r="K111" s="205" t="s">
        <v>315</v>
      </c>
      <c r="L111" s="1" t="s">
        <v>315</v>
      </c>
      <c r="M111" s="72"/>
      <c r="N111" s="14"/>
      <c r="O111" s="81"/>
      <c r="P111" s="6" t="e">
        <f>VLOOKUP(Tabela131617181920[[#This Row],[DT]],Aprovados!A:A,1,0)</f>
        <v>#N/A</v>
      </c>
      <c r="Q111" s="81"/>
      <c r="R111" s="81"/>
      <c r="S111" s="81"/>
      <c r="T111" s="72"/>
      <c r="U111" s="1" t="s">
        <v>315</v>
      </c>
      <c r="V111" s="256"/>
      <c r="W111" s="232"/>
      <c r="X111" s="304"/>
    </row>
    <row r="112" spans="1:24" ht="15.75">
      <c r="A112" s="67"/>
      <c r="B112" s="7"/>
      <c r="C112" s="67"/>
      <c r="D112" s="67"/>
      <c r="E112" s="67"/>
      <c r="F112" s="71"/>
      <c r="G112" s="72"/>
      <c r="H112" s="72"/>
      <c r="I112" s="256"/>
      <c r="J112" s="71"/>
      <c r="K112" s="205" t="s">
        <v>315</v>
      </c>
      <c r="L112" s="1" t="s">
        <v>315</v>
      </c>
      <c r="M112" s="72"/>
      <c r="N112" s="14"/>
      <c r="O112" s="81"/>
      <c r="P112" s="6" t="e">
        <f>VLOOKUP(Tabela131617181920[[#This Row],[DT]],Aprovados!A:A,1,0)</f>
        <v>#N/A</v>
      </c>
      <c r="Q112" s="81"/>
      <c r="R112" s="81"/>
      <c r="S112" s="81"/>
      <c r="T112" s="72"/>
      <c r="U112" s="1" t="s">
        <v>315</v>
      </c>
      <c r="V112" s="256"/>
      <c r="W112" s="232"/>
      <c r="X112" s="304"/>
    </row>
    <row r="113" spans="1:24" ht="15.75">
      <c r="A113" s="67"/>
      <c r="B113" s="7"/>
      <c r="C113" s="67"/>
      <c r="D113" s="67"/>
      <c r="E113" s="67"/>
      <c r="F113" s="71"/>
      <c r="G113" s="72"/>
      <c r="H113" s="72"/>
      <c r="I113" s="256"/>
      <c r="J113" s="71"/>
      <c r="K113" s="205" t="s">
        <v>315</v>
      </c>
      <c r="L113" s="1" t="s">
        <v>315</v>
      </c>
      <c r="M113" s="72"/>
      <c r="N113" s="14"/>
      <c r="O113" s="81"/>
      <c r="P113" s="6" t="e">
        <f>VLOOKUP(Tabela131617181920[[#This Row],[DT]],Aprovados!A:A,1,0)</f>
        <v>#N/A</v>
      </c>
      <c r="Q113" s="81"/>
      <c r="R113" s="81"/>
      <c r="S113" s="81"/>
      <c r="T113" s="72"/>
      <c r="U113" s="1" t="s">
        <v>315</v>
      </c>
      <c r="V113" s="256"/>
      <c r="W113" s="232"/>
      <c r="X113" s="304"/>
    </row>
    <row r="114" spans="1:24" ht="15.75">
      <c r="A114" s="67"/>
      <c r="B114" s="7"/>
      <c r="C114" s="67"/>
      <c r="D114" s="67"/>
      <c r="E114" s="67"/>
      <c r="F114" s="71"/>
      <c r="G114" s="72"/>
      <c r="H114" s="72"/>
      <c r="I114" s="256"/>
      <c r="J114" s="71"/>
      <c r="K114" s="205" t="s">
        <v>315</v>
      </c>
      <c r="L114" s="1" t="s">
        <v>315</v>
      </c>
      <c r="M114" s="72"/>
      <c r="N114" s="14"/>
      <c r="O114" s="81"/>
      <c r="P114" s="6" t="e">
        <f>VLOOKUP(Tabela131617181920[[#This Row],[DT]],Aprovados!A:A,1,0)</f>
        <v>#N/A</v>
      </c>
      <c r="Q114" s="81"/>
      <c r="R114" s="81"/>
      <c r="S114" s="81"/>
      <c r="T114" s="72"/>
      <c r="U114" s="1" t="s">
        <v>315</v>
      </c>
      <c r="V114" s="256"/>
      <c r="W114" s="232"/>
      <c r="X114" s="304"/>
    </row>
    <row r="115" spans="1:24" ht="15.75">
      <c r="A115" s="67"/>
      <c r="B115" s="7"/>
      <c r="C115" s="6"/>
      <c r="D115" s="6"/>
      <c r="E115" s="6"/>
      <c r="F115" s="1"/>
      <c r="G115" s="9"/>
      <c r="H115" s="9"/>
      <c r="I115" s="11"/>
      <c r="J115" s="1"/>
      <c r="K115" s="205" t="s">
        <v>315</v>
      </c>
      <c r="L115" s="1" t="s">
        <v>315</v>
      </c>
      <c r="M115" s="9"/>
      <c r="N115" s="14"/>
      <c r="O115" s="16"/>
      <c r="P115" s="6" t="e">
        <f>VLOOKUP(Tabela131617181920[[#This Row],[DT]],Aprovados!A:A,1,0)</f>
        <v>#N/A</v>
      </c>
      <c r="Q115" s="16"/>
      <c r="R115" s="16"/>
      <c r="S115" s="16"/>
      <c r="T115" s="9"/>
      <c r="U115" s="1" t="s">
        <v>315</v>
      </c>
      <c r="V115" s="11"/>
      <c r="W115" s="232"/>
      <c r="X115" s="304"/>
    </row>
    <row r="116" spans="1:24" ht="15.75">
      <c r="A116" s="67"/>
      <c r="B116" s="7"/>
      <c r="C116" s="6"/>
      <c r="D116" s="6"/>
      <c r="E116" s="6"/>
      <c r="F116" s="1"/>
      <c r="G116" s="9"/>
      <c r="H116" s="9"/>
      <c r="I116" s="11"/>
      <c r="J116" s="1"/>
      <c r="K116" s="205" t="s">
        <v>315</v>
      </c>
      <c r="L116" s="1" t="s">
        <v>315</v>
      </c>
      <c r="M116" s="9"/>
      <c r="N116" s="14"/>
      <c r="O116" s="16"/>
      <c r="P116" s="6" t="e">
        <f>VLOOKUP(Tabela131617181920[[#This Row],[DT]],Aprovados!A:A,1,0)</f>
        <v>#N/A</v>
      </c>
      <c r="Q116" s="16"/>
      <c r="R116" s="16"/>
      <c r="S116" s="16"/>
      <c r="T116" s="9"/>
      <c r="U116" s="1" t="s">
        <v>315</v>
      </c>
      <c r="V116" s="11"/>
      <c r="W116" s="232"/>
      <c r="X116" s="304"/>
    </row>
    <row r="117" spans="1:24" ht="15.75">
      <c r="A117" s="67"/>
      <c r="B117" s="7"/>
      <c r="C117" s="6"/>
      <c r="D117" s="6"/>
      <c r="E117" s="6"/>
      <c r="F117" s="9"/>
      <c r="G117" s="9"/>
      <c r="H117" s="9"/>
      <c r="I117" s="11"/>
      <c r="J117" s="1"/>
      <c r="K117" s="205" t="s">
        <v>315</v>
      </c>
      <c r="L117" s="1" t="s">
        <v>315</v>
      </c>
      <c r="M117" s="9"/>
      <c r="N117" s="14"/>
      <c r="O117" s="16"/>
      <c r="P117" s="6" t="e">
        <f>VLOOKUP(Tabela131617181920[[#This Row],[DT]],Aprovados!A:A,1,0)</f>
        <v>#N/A</v>
      </c>
      <c r="Q117" s="16"/>
      <c r="R117" s="16"/>
      <c r="S117" s="16"/>
      <c r="T117" s="9"/>
      <c r="U117" s="1" t="s">
        <v>315</v>
      </c>
      <c r="V117" s="11"/>
      <c r="W117" s="232"/>
      <c r="X117" s="304"/>
    </row>
    <row r="118" spans="1:24" ht="15.75">
      <c r="A118" s="67"/>
      <c r="B118" s="7"/>
      <c r="C118" s="6"/>
      <c r="D118" s="6"/>
      <c r="E118" s="6"/>
      <c r="F118" s="1"/>
      <c r="G118" s="9"/>
      <c r="H118" s="9"/>
      <c r="I118" s="11"/>
      <c r="J118" s="1"/>
      <c r="K118" s="205" t="s">
        <v>315</v>
      </c>
      <c r="L118" s="1" t="s">
        <v>315</v>
      </c>
      <c r="M118" s="9"/>
      <c r="N118" s="14"/>
      <c r="O118" s="16"/>
      <c r="P118" s="6" t="e">
        <f>VLOOKUP(Tabela131617181920[[#This Row],[DT]],Aprovados!A:A,1,0)</f>
        <v>#N/A</v>
      </c>
      <c r="Q118" s="16"/>
      <c r="R118" s="16"/>
      <c r="S118" s="16"/>
      <c r="T118" s="9"/>
      <c r="U118" s="1" t="s">
        <v>315</v>
      </c>
      <c r="V118" s="11"/>
      <c r="W118" s="232"/>
      <c r="X118" s="304"/>
    </row>
    <row r="119" spans="1:24" ht="15.75">
      <c r="A119" s="67"/>
      <c r="B119" s="7"/>
      <c r="C119" s="6"/>
      <c r="D119" s="6"/>
      <c r="E119" s="6"/>
      <c r="F119" s="1"/>
      <c r="G119" s="9"/>
      <c r="H119" s="9"/>
      <c r="I119" s="11"/>
      <c r="J119" s="1"/>
      <c r="K119" s="205" t="s">
        <v>315</v>
      </c>
      <c r="L119" s="1" t="s">
        <v>315</v>
      </c>
      <c r="M119" s="9"/>
      <c r="N119" s="14"/>
      <c r="O119" s="16"/>
      <c r="P119" s="6" t="e">
        <f>VLOOKUP(Tabela131617181920[[#This Row],[DT]],Aprovados!A:A,1,0)</f>
        <v>#N/A</v>
      </c>
      <c r="Q119" s="16"/>
      <c r="R119" s="16"/>
      <c r="S119" s="16"/>
      <c r="T119" s="9"/>
      <c r="U119" s="1" t="s">
        <v>315</v>
      </c>
      <c r="V119" s="11"/>
      <c r="W119" s="232"/>
      <c r="X119" s="304"/>
    </row>
    <row r="120" spans="1:24" ht="15.75">
      <c r="A120" s="67"/>
      <c r="B120" s="7"/>
      <c r="C120" s="6"/>
      <c r="D120" s="6"/>
      <c r="E120" s="6"/>
      <c r="F120" s="1"/>
      <c r="G120" s="9"/>
      <c r="H120" s="9"/>
      <c r="I120" s="11"/>
      <c r="J120" s="1"/>
      <c r="K120" s="205" t="s">
        <v>315</v>
      </c>
      <c r="L120" s="1" t="s">
        <v>315</v>
      </c>
      <c r="M120" s="9"/>
      <c r="N120" s="14"/>
      <c r="O120" s="16"/>
      <c r="P120" s="6" t="e">
        <f>VLOOKUP(Tabela131617181920[[#This Row],[DT]],Aprovados!A:A,1,0)</f>
        <v>#N/A</v>
      </c>
      <c r="Q120" s="16"/>
      <c r="R120" s="16"/>
      <c r="S120" s="16"/>
      <c r="T120" s="9"/>
      <c r="U120" s="1" t="s">
        <v>315</v>
      </c>
      <c r="V120" s="11"/>
      <c r="W120" s="232"/>
      <c r="X120" s="304"/>
    </row>
    <row r="121" spans="1:24" ht="15.75">
      <c r="A121" s="6"/>
      <c r="B121" s="7"/>
      <c r="C121" s="6"/>
      <c r="D121" s="6"/>
      <c r="E121" s="6"/>
      <c r="F121" s="1"/>
      <c r="G121" s="9"/>
      <c r="H121" s="9"/>
      <c r="I121" s="11"/>
      <c r="J121" s="1"/>
      <c r="K121" s="205" t="s">
        <v>315</v>
      </c>
      <c r="L121" s="1" t="s">
        <v>315</v>
      </c>
      <c r="M121" s="9"/>
      <c r="N121" s="14"/>
      <c r="O121" s="16"/>
      <c r="P121" s="6" t="e">
        <f>VLOOKUP(Tabela131617181920[[#This Row],[DT]],Aprovados!A:A,1,0)</f>
        <v>#N/A</v>
      </c>
      <c r="Q121" s="16"/>
      <c r="R121" s="16"/>
      <c r="S121" s="16"/>
      <c r="T121" s="9"/>
      <c r="U121" s="1" t="s">
        <v>315</v>
      </c>
      <c r="V121" s="11"/>
      <c r="W121" s="232"/>
      <c r="X121" s="304"/>
    </row>
    <row r="122" spans="1:24" ht="15.75">
      <c r="A122" s="67"/>
      <c r="B122" s="7"/>
      <c r="C122" s="6"/>
      <c r="D122" s="6"/>
      <c r="E122" s="6"/>
      <c r="F122" s="1"/>
      <c r="G122" s="9"/>
      <c r="H122" s="9"/>
      <c r="I122" s="11"/>
      <c r="J122" s="1"/>
      <c r="K122" s="205" t="s">
        <v>315</v>
      </c>
      <c r="L122" s="1" t="s">
        <v>315</v>
      </c>
      <c r="M122" s="9"/>
      <c r="N122" s="14"/>
      <c r="O122" s="16"/>
      <c r="P122" s="6" t="e">
        <f>VLOOKUP(Tabela131617181920[[#This Row],[DT]],Aprovados!A:A,1,0)</f>
        <v>#N/A</v>
      </c>
      <c r="Q122" s="16"/>
      <c r="R122" s="16"/>
      <c r="S122" s="16"/>
      <c r="T122" s="9"/>
      <c r="U122" s="1" t="s">
        <v>315</v>
      </c>
      <c r="V122" s="11"/>
      <c r="W122" s="232"/>
      <c r="X122" s="304"/>
    </row>
    <row r="123" spans="1:24" ht="15.75">
      <c r="A123" s="67"/>
      <c r="B123" s="7"/>
      <c r="C123" s="6"/>
      <c r="D123" s="6"/>
      <c r="E123" s="6"/>
      <c r="F123" s="1"/>
      <c r="G123" s="9"/>
      <c r="H123" s="9"/>
      <c r="I123" s="11"/>
      <c r="J123" s="1"/>
      <c r="K123" s="205" t="s">
        <v>315</v>
      </c>
      <c r="L123" s="1" t="s">
        <v>315</v>
      </c>
      <c r="M123" s="9"/>
      <c r="N123" s="14"/>
      <c r="O123" s="16"/>
      <c r="P123" s="6" t="e">
        <f>VLOOKUP(Tabela131617181920[[#This Row],[DT]],Aprovados!A:A,1,0)</f>
        <v>#N/A</v>
      </c>
      <c r="Q123" s="16"/>
      <c r="R123" s="16"/>
      <c r="S123" s="16"/>
      <c r="T123" s="9"/>
      <c r="U123" s="1" t="s">
        <v>315</v>
      </c>
      <c r="V123" s="11"/>
      <c r="W123" s="232"/>
      <c r="X123" s="304"/>
    </row>
    <row r="124" spans="1:24" ht="15.75">
      <c r="A124" s="67"/>
      <c r="B124" s="7"/>
      <c r="C124" s="258"/>
      <c r="D124" s="6"/>
      <c r="E124" s="6"/>
      <c r="F124" s="1"/>
      <c r="G124" s="9"/>
      <c r="H124" s="9"/>
      <c r="I124" s="11"/>
      <c r="J124" s="1"/>
      <c r="K124" s="205" t="s">
        <v>315</v>
      </c>
      <c r="L124" s="1" t="s">
        <v>315</v>
      </c>
      <c r="M124" s="9"/>
      <c r="N124" s="14"/>
      <c r="O124" s="16"/>
      <c r="P124" s="6" t="e">
        <f>VLOOKUP(Tabela131617181920[[#This Row],[DT]],Aprovados!A:A,1,0)</f>
        <v>#N/A</v>
      </c>
      <c r="Q124" s="16"/>
      <c r="R124" s="16"/>
      <c r="S124" s="16"/>
      <c r="T124" s="9"/>
      <c r="U124" s="1" t="s">
        <v>315</v>
      </c>
      <c r="V124" s="11"/>
      <c r="W124" s="232"/>
      <c r="X124" s="304"/>
    </row>
    <row r="125" spans="1:24" ht="15.75">
      <c r="A125" s="67"/>
      <c r="B125" s="7"/>
      <c r="C125" s="6"/>
      <c r="D125" s="6"/>
      <c r="E125" s="6"/>
      <c r="F125" s="1"/>
      <c r="G125" s="9"/>
      <c r="H125" s="9"/>
      <c r="I125" s="11"/>
      <c r="J125" s="1"/>
      <c r="K125" s="205" t="s">
        <v>315</v>
      </c>
      <c r="L125" s="1" t="s">
        <v>315</v>
      </c>
      <c r="M125" s="9"/>
      <c r="N125" s="14"/>
      <c r="O125" s="16"/>
      <c r="P125" s="6" t="e">
        <f>VLOOKUP(Tabela131617181920[[#This Row],[DT]],Aprovados!A:A,1,0)</f>
        <v>#N/A</v>
      </c>
      <c r="Q125" s="16"/>
      <c r="R125" s="16"/>
      <c r="S125" s="16"/>
      <c r="T125" s="9"/>
      <c r="U125" s="1" t="s">
        <v>315</v>
      </c>
      <c r="V125" s="11"/>
      <c r="W125" s="232"/>
      <c r="X125" s="304"/>
    </row>
    <row r="126" spans="1:24" ht="15.75">
      <c r="A126" s="67"/>
      <c r="B126" s="7"/>
      <c r="C126" s="258"/>
      <c r="D126" s="6"/>
      <c r="E126" s="6"/>
      <c r="F126" s="1"/>
      <c r="G126" s="9"/>
      <c r="H126" s="9"/>
      <c r="I126" s="11"/>
      <c r="J126" s="1"/>
      <c r="K126" s="205" t="s">
        <v>315</v>
      </c>
      <c r="L126" s="1" t="s">
        <v>315</v>
      </c>
      <c r="M126" s="9"/>
      <c r="N126" s="14"/>
      <c r="O126" s="16"/>
      <c r="P126" s="6" t="e">
        <f>VLOOKUP(Tabela131617181920[[#This Row],[DT]],Aprovados!A:A,1,0)</f>
        <v>#N/A</v>
      </c>
      <c r="Q126" s="16"/>
      <c r="R126" s="16"/>
      <c r="S126" s="16"/>
      <c r="T126" s="9"/>
      <c r="U126" s="1" t="s">
        <v>315</v>
      </c>
      <c r="V126" s="11"/>
      <c r="W126" s="232"/>
      <c r="X126" s="304"/>
    </row>
    <row r="127" spans="1:24" ht="15.75">
      <c r="A127" s="67"/>
      <c r="B127" s="7"/>
      <c r="C127" s="6"/>
      <c r="D127" s="6"/>
      <c r="E127" s="6"/>
      <c r="F127" s="1"/>
      <c r="G127" s="9"/>
      <c r="H127" s="9"/>
      <c r="I127" s="11"/>
      <c r="J127" s="1"/>
      <c r="K127" s="205" t="s">
        <v>315</v>
      </c>
      <c r="L127" s="1" t="s">
        <v>315</v>
      </c>
      <c r="M127" s="9"/>
      <c r="N127" s="14"/>
      <c r="O127" s="16"/>
      <c r="P127" s="6" t="e">
        <f>VLOOKUP(Tabela131617181920[[#This Row],[DT]],Aprovados!A:A,1,0)</f>
        <v>#N/A</v>
      </c>
      <c r="Q127" s="16"/>
      <c r="R127" s="16"/>
      <c r="S127" s="16"/>
      <c r="T127" s="9"/>
      <c r="U127" s="1" t="s">
        <v>315</v>
      </c>
      <c r="V127" s="11"/>
      <c r="W127" s="232"/>
      <c r="X127" s="304"/>
    </row>
    <row r="128" spans="1:24" ht="15.75">
      <c r="A128" s="67"/>
      <c r="B128" s="7"/>
      <c r="C128" s="258"/>
      <c r="D128" s="6"/>
      <c r="E128" s="6"/>
      <c r="F128" s="1"/>
      <c r="G128" s="9"/>
      <c r="H128" s="9"/>
      <c r="I128" s="11"/>
      <c r="J128" s="1"/>
      <c r="K128" s="205" t="s">
        <v>315</v>
      </c>
      <c r="L128" s="1" t="s">
        <v>315</v>
      </c>
      <c r="M128" s="9"/>
      <c r="N128" s="14"/>
      <c r="O128" s="16"/>
      <c r="P128" s="6" t="e">
        <f>VLOOKUP(Tabela131617181920[[#This Row],[DT]],Aprovados!A:A,1,0)</f>
        <v>#N/A</v>
      </c>
      <c r="Q128" s="16"/>
      <c r="R128" s="16"/>
      <c r="S128" s="16"/>
      <c r="T128" s="9"/>
      <c r="U128" s="1" t="s">
        <v>315</v>
      </c>
      <c r="V128" s="11"/>
      <c r="W128" s="232"/>
      <c r="X128" s="304"/>
    </row>
    <row r="129" spans="1:24" ht="15.75">
      <c r="A129" s="67"/>
      <c r="B129" s="7"/>
      <c r="C129" s="6"/>
      <c r="D129" s="6"/>
      <c r="E129" s="6"/>
      <c r="F129" s="1"/>
      <c r="G129" s="9"/>
      <c r="H129" s="9"/>
      <c r="I129" s="11"/>
      <c r="J129" s="1"/>
      <c r="K129" s="205" t="s">
        <v>315</v>
      </c>
      <c r="L129" s="1" t="s">
        <v>315</v>
      </c>
      <c r="M129" s="9"/>
      <c r="N129" s="14"/>
      <c r="O129" s="16"/>
      <c r="P129" s="6" t="e">
        <f>VLOOKUP(Tabela131617181920[[#This Row],[DT]],Aprovados!A:A,1,0)</f>
        <v>#N/A</v>
      </c>
      <c r="Q129" s="16"/>
      <c r="R129" s="16"/>
      <c r="S129" s="16"/>
      <c r="T129" s="9"/>
      <c r="U129" s="1" t="s">
        <v>315</v>
      </c>
      <c r="V129" s="11"/>
      <c r="W129" s="232"/>
      <c r="X129" s="304"/>
    </row>
    <row r="130" spans="1:24" ht="15.75">
      <c r="A130" s="67"/>
      <c r="B130" s="7"/>
      <c r="C130" s="258"/>
      <c r="D130" s="6"/>
      <c r="E130" s="6"/>
      <c r="F130" s="1"/>
      <c r="G130" s="9"/>
      <c r="H130" s="9"/>
      <c r="I130" s="11"/>
      <c r="J130" s="1"/>
      <c r="K130" s="205" t="s">
        <v>315</v>
      </c>
      <c r="L130" s="1" t="s">
        <v>315</v>
      </c>
      <c r="M130" s="9"/>
      <c r="N130" s="14"/>
      <c r="O130" s="16"/>
      <c r="P130" s="6" t="e">
        <f>VLOOKUP(Tabela131617181920[[#This Row],[DT]],Aprovados!A:A,1,0)</f>
        <v>#N/A</v>
      </c>
      <c r="Q130" s="16"/>
      <c r="R130" s="16"/>
      <c r="S130" s="16"/>
      <c r="T130" s="9"/>
      <c r="U130" s="1" t="s">
        <v>315</v>
      </c>
      <c r="V130" s="11"/>
      <c r="W130" s="232"/>
      <c r="X130" s="304"/>
    </row>
    <row r="131" spans="1:24" ht="15.75">
      <c r="A131" s="67"/>
      <c r="B131" s="7"/>
      <c r="C131" s="6"/>
      <c r="D131" s="6"/>
      <c r="E131" s="6"/>
      <c r="F131" s="1"/>
      <c r="G131" s="9"/>
      <c r="H131" s="9"/>
      <c r="I131" s="11"/>
      <c r="J131" s="1"/>
      <c r="K131" s="205" t="s">
        <v>315</v>
      </c>
      <c r="L131" s="1" t="s">
        <v>315</v>
      </c>
      <c r="M131" s="9"/>
      <c r="N131" s="14"/>
      <c r="O131" s="16"/>
      <c r="P131" s="6" t="s">
        <v>532</v>
      </c>
      <c r="Q131" s="16"/>
      <c r="R131" s="16"/>
      <c r="S131" s="16"/>
      <c r="T131" s="9"/>
      <c r="U131" s="1" t="s">
        <v>315</v>
      </c>
      <c r="V131" s="11"/>
      <c r="W131" s="232"/>
      <c r="X131" s="304"/>
    </row>
    <row r="132" spans="1:24" ht="15.75">
      <c r="A132" s="67"/>
      <c r="B132" s="7"/>
      <c r="C132" s="6"/>
      <c r="D132" s="6"/>
      <c r="E132" s="6"/>
      <c r="F132" s="1"/>
      <c r="G132" s="9"/>
      <c r="H132" s="9"/>
      <c r="I132" s="11"/>
      <c r="J132" s="1"/>
      <c r="K132" s="205" t="s">
        <v>315</v>
      </c>
      <c r="L132" s="1" t="s">
        <v>315</v>
      </c>
      <c r="M132" s="9"/>
      <c r="N132" s="14"/>
      <c r="O132" s="16"/>
      <c r="P132" s="6" t="e">
        <f>VLOOKUP(Tabela131617181920[[#This Row],[DT]],Aprovados!A:A,1,0)</f>
        <v>#N/A</v>
      </c>
      <c r="Q132" s="16"/>
      <c r="R132" s="16"/>
      <c r="S132" s="16"/>
      <c r="T132" s="9"/>
      <c r="U132" s="1" t="s">
        <v>315</v>
      </c>
      <c r="V132" s="11"/>
      <c r="W132" s="232"/>
      <c r="X132" s="304"/>
    </row>
    <row r="133" spans="1:24" ht="15.75">
      <c r="A133" s="67"/>
      <c r="B133" s="7"/>
      <c r="C133" s="6"/>
      <c r="D133" s="6"/>
      <c r="E133" s="6"/>
      <c r="F133" s="1"/>
      <c r="G133" s="9"/>
      <c r="H133" s="9"/>
      <c r="I133" s="11"/>
      <c r="J133" s="1"/>
      <c r="K133" s="205" t="s">
        <v>315</v>
      </c>
      <c r="L133" s="1" t="s">
        <v>315</v>
      </c>
      <c r="M133" s="9"/>
      <c r="N133" s="14"/>
      <c r="O133" s="16"/>
      <c r="P133" s="6" t="e">
        <f>VLOOKUP(Tabela131617181920[[#This Row],[DT]],Aprovados!A:A,1,0)</f>
        <v>#N/A</v>
      </c>
      <c r="Q133" s="16"/>
      <c r="R133" s="16"/>
      <c r="S133" s="16"/>
      <c r="T133" s="9"/>
      <c r="U133" s="1" t="s">
        <v>315</v>
      </c>
      <c r="V133" s="11"/>
      <c r="W133" s="232"/>
      <c r="X133" s="304"/>
    </row>
    <row r="134" spans="1:24" ht="15.75">
      <c r="A134" s="67"/>
      <c r="B134" s="7"/>
      <c r="C134" s="6"/>
      <c r="D134" s="6"/>
      <c r="E134" s="6"/>
      <c r="F134" s="1"/>
      <c r="G134" s="9"/>
      <c r="H134" s="9"/>
      <c r="I134" s="11"/>
      <c r="J134" s="1"/>
      <c r="K134" s="205" t="s">
        <v>315</v>
      </c>
      <c r="L134" s="1" t="s">
        <v>315</v>
      </c>
      <c r="M134" s="9"/>
      <c r="N134" s="14"/>
      <c r="O134" s="16"/>
      <c r="P134" s="6" t="e">
        <f>VLOOKUP(Tabela131617181920[[#This Row],[DT]],Aprovados!A:A,1,0)</f>
        <v>#N/A</v>
      </c>
      <c r="Q134" s="16"/>
      <c r="R134" s="16"/>
      <c r="S134" s="16"/>
      <c r="T134" s="9"/>
      <c r="U134" s="1" t="s">
        <v>315</v>
      </c>
      <c r="V134" s="256"/>
      <c r="W134" s="232"/>
      <c r="X134" s="304"/>
    </row>
    <row r="135" spans="1:24" ht="15.75">
      <c r="A135" s="67"/>
      <c r="B135" s="7"/>
      <c r="C135" s="6"/>
      <c r="D135" s="6"/>
      <c r="E135" s="6"/>
      <c r="F135" s="1"/>
      <c r="G135" s="9"/>
      <c r="H135" s="9"/>
      <c r="I135" s="11"/>
      <c r="J135" s="1"/>
      <c r="K135" s="205" t="s">
        <v>315</v>
      </c>
      <c r="L135" s="1" t="s">
        <v>315</v>
      </c>
      <c r="M135" s="9"/>
      <c r="N135" s="14"/>
      <c r="O135" s="16"/>
      <c r="P135" s="6" t="e">
        <f>VLOOKUP(Tabela131617181920[[#This Row],[DT]],Aprovados!A:A,1,0)</f>
        <v>#N/A</v>
      </c>
      <c r="Q135" s="16"/>
      <c r="R135" s="16"/>
      <c r="S135" s="16"/>
      <c r="T135" s="9"/>
      <c r="U135" s="1" t="s">
        <v>315</v>
      </c>
      <c r="V135" s="11"/>
      <c r="W135" s="232"/>
      <c r="X135" s="304"/>
    </row>
    <row r="136" spans="1:24" ht="15.75">
      <c r="A136" s="67"/>
      <c r="B136" s="7"/>
      <c r="C136" s="6"/>
      <c r="D136" s="6"/>
      <c r="E136" s="6"/>
      <c r="F136" s="1"/>
      <c r="G136" s="9"/>
      <c r="H136" s="9"/>
      <c r="I136" s="11"/>
      <c r="J136" s="1"/>
      <c r="K136" s="205" t="s">
        <v>315</v>
      </c>
      <c r="L136" s="1" t="s">
        <v>315</v>
      </c>
      <c r="M136" s="9"/>
      <c r="N136" s="14"/>
      <c r="O136" s="16"/>
      <c r="P136" s="6" t="e">
        <f>VLOOKUP(Tabela131617181920[[#This Row],[DT]],Aprovados!A:A,1,0)</f>
        <v>#N/A</v>
      </c>
      <c r="Q136" s="16"/>
      <c r="R136" s="16"/>
      <c r="S136" s="16"/>
      <c r="T136" s="9"/>
      <c r="U136" s="1" t="s">
        <v>315</v>
      </c>
      <c r="V136" s="11"/>
      <c r="W136" s="232"/>
      <c r="X136" s="304"/>
    </row>
    <row r="137" spans="1:24" ht="15.75">
      <c r="A137" s="67"/>
      <c r="B137" s="7"/>
      <c r="C137" s="258"/>
      <c r="D137" s="6"/>
      <c r="E137" s="6"/>
      <c r="F137" s="1"/>
      <c r="G137" s="9"/>
      <c r="H137" s="9"/>
      <c r="I137" s="11"/>
      <c r="J137" s="1"/>
      <c r="K137" s="205" t="s">
        <v>315</v>
      </c>
      <c r="L137" s="1" t="s">
        <v>315</v>
      </c>
      <c r="M137" s="9"/>
      <c r="N137" s="14"/>
      <c r="O137" s="16"/>
      <c r="P137" s="6" t="e">
        <f>VLOOKUP(Tabela131617181920[[#This Row],[DT]],Aprovados!A:A,1,0)</f>
        <v>#N/A</v>
      </c>
      <c r="Q137" s="16"/>
      <c r="R137" s="16"/>
      <c r="S137" s="16"/>
      <c r="T137" s="9"/>
      <c r="U137" s="1" t="s">
        <v>315</v>
      </c>
      <c r="V137" s="11"/>
      <c r="W137" s="232"/>
      <c r="X137" s="304"/>
    </row>
    <row r="138" spans="1:24" ht="15.75">
      <c r="A138" s="67"/>
      <c r="B138" s="7"/>
      <c r="C138" s="6"/>
      <c r="D138" s="6"/>
      <c r="E138" s="6"/>
      <c r="F138" s="1"/>
      <c r="G138" s="9"/>
      <c r="H138" s="9"/>
      <c r="I138" s="11"/>
      <c r="J138" s="1"/>
      <c r="K138" s="205" t="s">
        <v>315</v>
      </c>
      <c r="L138" s="1" t="s">
        <v>315</v>
      </c>
      <c r="M138" s="9"/>
      <c r="N138" s="14"/>
      <c r="O138" s="16"/>
      <c r="P138" s="6" t="e">
        <f>VLOOKUP(Tabela131617181920[[#This Row],[DT]],Aprovados!A:A,1,0)</f>
        <v>#N/A</v>
      </c>
      <c r="Q138" s="16"/>
      <c r="R138" s="16"/>
      <c r="S138" s="16"/>
      <c r="T138" s="9"/>
      <c r="U138" s="1" t="s">
        <v>315</v>
      </c>
      <c r="V138" s="11"/>
      <c r="W138" s="232"/>
      <c r="X138" s="304"/>
    </row>
    <row r="139" spans="1:24" ht="15.75">
      <c r="A139" s="67"/>
      <c r="B139" s="7"/>
      <c r="C139" s="6"/>
      <c r="D139" s="6"/>
      <c r="E139" s="6"/>
      <c r="F139" s="1"/>
      <c r="G139" s="9"/>
      <c r="H139" s="9"/>
      <c r="I139" s="11"/>
      <c r="J139" s="1"/>
      <c r="K139" s="205" t="s">
        <v>315</v>
      </c>
      <c r="L139" s="1" t="s">
        <v>315</v>
      </c>
      <c r="M139" s="9"/>
      <c r="N139" s="14"/>
      <c r="O139" s="16"/>
      <c r="P139" s="6" t="e">
        <f>VLOOKUP(Tabela131617181920[[#This Row],[DT]],Aprovados!A:A,1,0)</f>
        <v>#N/A</v>
      </c>
      <c r="Q139" s="16"/>
      <c r="R139" s="16"/>
      <c r="S139" s="16"/>
      <c r="T139" s="9"/>
      <c r="U139" s="1" t="s">
        <v>315</v>
      </c>
      <c r="V139" s="11"/>
      <c r="W139" s="232"/>
      <c r="X139" s="304"/>
    </row>
    <row r="140" spans="1:24" ht="15.75">
      <c r="A140" s="67"/>
      <c r="B140" s="7"/>
      <c r="C140" s="6"/>
      <c r="D140" s="6"/>
      <c r="E140" s="6"/>
      <c r="F140" s="1"/>
      <c r="G140" s="9"/>
      <c r="H140" s="9"/>
      <c r="I140" s="11"/>
      <c r="J140" s="1"/>
      <c r="K140" s="205" t="s">
        <v>315</v>
      </c>
      <c r="L140" s="1" t="s">
        <v>315</v>
      </c>
      <c r="M140" s="9"/>
      <c r="N140" s="14"/>
      <c r="O140" s="16"/>
      <c r="P140" s="6" t="e">
        <f>VLOOKUP(Tabela131617181920[[#This Row],[DT]],Aprovados!A:A,1,0)</f>
        <v>#N/A</v>
      </c>
      <c r="Q140" s="16"/>
      <c r="R140" s="16"/>
      <c r="S140" s="16"/>
      <c r="T140" s="9"/>
      <c r="U140" s="1" t="s">
        <v>315</v>
      </c>
      <c r="V140" s="11"/>
      <c r="W140" s="232"/>
      <c r="X140" s="304"/>
    </row>
    <row r="141" spans="1:24" ht="15.75">
      <c r="A141" s="67"/>
      <c r="B141" s="7"/>
      <c r="C141" s="1"/>
      <c r="D141" s="6"/>
      <c r="E141" s="6"/>
      <c r="F141" s="1"/>
      <c r="G141" s="9"/>
      <c r="H141" s="9"/>
      <c r="I141" s="11"/>
      <c r="J141" s="1"/>
      <c r="K141" s="205" t="s">
        <v>315</v>
      </c>
      <c r="L141" s="1" t="s">
        <v>315</v>
      </c>
      <c r="M141" s="9"/>
      <c r="N141" s="14"/>
      <c r="O141" s="16"/>
      <c r="P141" s="6" t="e">
        <f>VLOOKUP(Tabela131617181920[[#This Row],[DT]],Aprovados!A:A,1,0)</f>
        <v>#N/A</v>
      </c>
      <c r="Q141" s="16"/>
      <c r="R141" s="16"/>
      <c r="S141" s="16"/>
      <c r="T141" s="9"/>
      <c r="U141" s="1" t="s">
        <v>315</v>
      </c>
      <c r="V141" s="11"/>
      <c r="W141" s="232"/>
      <c r="X141" s="304"/>
    </row>
    <row r="142" spans="1:24" ht="15.75">
      <c r="A142" s="67"/>
      <c r="B142" s="7"/>
      <c r="C142" s="6"/>
      <c r="D142" s="6"/>
      <c r="E142" s="6"/>
      <c r="F142" s="1"/>
      <c r="G142" s="9"/>
      <c r="H142" s="9"/>
      <c r="I142" s="11"/>
      <c r="J142" s="1"/>
      <c r="K142" s="205" t="s">
        <v>315</v>
      </c>
      <c r="L142" s="1" t="s">
        <v>315</v>
      </c>
      <c r="M142" s="9"/>
      <c r="N142" s="14"/>
      <c r="O142" s="16"/>
      <c r="P142" s="6" t="e">
        <f>VLOOKUP(Tabela131617181920[[#This Row],[DT]],Aprovados!A:A,1,0)</f>
        <v>#N/A</v>
      </c>
      <c r="Q142" s="16"/>
      <c r="R142" s="16"/>
      <c r="S142" s="16"/>
      <c r="T142" s="9"/>
      <c r="U142" s="1" t="s">
        <v>315</v>
      </c>
      <c r="V142" s="11"/>
      <c r="W142" s="232"/>
      <c r="X142" s="304"/>
    </row>
    <row r="143" spans="1:24" ht="15.75">
      <c r="A143" s="67"/>
      <c r="B143" s="7"/>
      <c r="C143" s="6"/>
      <c r="D143" s="6"/>
      <c r="E143" s="6"/>
      <c r="F143" s="1"/>
      <c r="G143" s="9"/>
      <c r="H143" s="9"/>
      <c r="I143" s="11"/>
      <c r="J143" s="1"/>
      <c r="K143" s="205" t="s">
        <v>315</v>
      </c>
      <c r="L143" s="1" t="s">
        <v>315</v>
      </c>
      <c r="M143" s="9"/>
      <c r="N143" s="14"/>
      <c r="O143" s="16"/>
      <c r="P143" s="6" t="e">
        <f>VLOOKUP(Tabela131617181920[[#This Row],[DT]],Aprovados!A:A,1,0)</f>
        <v>#N/A</v>
      </c>
      <c r="Q143" s="16"/>
      <c r="R143" s="16"/>
      <c r="S143" s="16"/>
      <c r="T143" s="9"/>
      <c r="U143" s="1" t="s">
        <v>315</v>
      </c>
      <c r="V143" s="11"/>
      <c r="W143" s="232"/>
      <c r="X143" s="304"/>
    </row>
    <row r="144" spans="1:24" ht="15.75">
      <c r="A144" s="67"/>
      <c r="B144" s="7"/>
      <c r="C144" s="6"/>
      <c r="D144" s="6"/>
      <c r="E144" s="6"/>
      <c r="F144" s="1"/>
      <c r="G144" s="9"/>
      <c r="H144" s="9"/>
      <c r="I144" s="11"/>
      <c r="J144" s="1"/>
      <c r="K144" s="205" t="s">
        <v>315</v>
      </c>
      <c r="L144" s="1" t="s">
        <v>315</v>
      </c>
      <c r="M144" s="9"/>
      <c r="N144" s="14"/>
      <c r="O144" s="16"/>
      <c r="P144" s="6" t="e">
        <f>VLOOKUP(Tabela131617181920[[#This Row],[DT]],Aprovados!A:A,1,0)</f>
        <v>#N/A</v>
      </c>
      <c r="Q144" s="16"/>
      <c r="R144" s="16"/>
      <c r="S144" s="16"/>
      <c r="T144" s="9"/>
      <c r="U144" s="1" t="s">
        <v>315</v>
      </c>
      <c r="V144" s="11"/>
      <c r="W144" s="232"/>
      <c r="X144" s="304"/>
    </row>
    <row r="145" spans="1:24" ht="15.75">
      <c r="A145" s="67"/>
      <c r="B145" s="7"/>
      <c r="C145" s="6"/>
      <c r="D145" s="6"/>
      <c r="E145" s="6"/>
      <c r="F145" s="1"/>
      <c r="G145" s="9"/>
      <c r="H145" s="9"/>
      <c r="I145" s="11"/>
      <c r="J145" s="1"/>
      <c r="K145" s="205" t="s">
        <v>315</v>
      </c>
      <c r="L145" s="1" t="s">
        <v>315</v>
      </c>
      <c r="M145" s="9"/>
      <c r="N145" s="14"/>
      <c r="O145" s="16"/>
      <c r="P145" s="6" t="e">
        <f>VLOOKUP(Tabela131617181920[[#This Row],[DT]],Aprovados!A:A,1,0)</f>
        <v>#N/A</v>
      </c>
      <c r="Q145" s="16"/>
      <c r="R145" s="16"/>
      <c r="S145" s="16"/>
      <c r="T145" s="9"/>
      <c r="U145" s="1" t="s">
        <v>315</v>
      </c>
      <c r="V145" s="11"/>
      <c r="W145" s="232"/>
      <c r="X145" s="304"/>
    </row>
    <row r="146" spans="1:24" ht="15.75">
      <c r="A146" s="67"/>
      <c r="B146" s="7"/>
      <c r="C146" s="6"/>
      <c r="D146" s="6"/>
      <c r="E146" s="6"/>
      <c r="F146" s="1"/>
      <c r="G146" s="9"/>
      <c r="H146" s="9"/>
      <c r="I146" s="11"/>
      <c r="J146" s="1"/>
      <c r="K146" s="205" t="s">
        <v>315</v>
      </c>
      <c r="L146" s="1" t="s">
        <v>315</v>
      </c>
      <c r="M146" s="9"/>
      <c r="N146" s="14"/>
      <c r="O146" s="16"/>
      <c r="P146" s="6" t="e">
        <f>VLOOKUP(Tabela131617181920[[#This Row],[DT]],Aprovados!A:A,1,0)</f>
        <v>#N/A</v>
      </c>
      <c r="Q146" s="16"/>
      <c r="R146" s="16"/>
      <c r="S146" s="16"/>
      <c r="T146" s="9"/>
      <c r="U146" s="1" t="s">
        <v>315</v>
      </c>
      <c r="V146" s="11"/>
      <c r="W146" s="232"/>
      <c r="X146" s="304"/>
    </row>
    <row r="147" spans="1:24" ht="15.75">
      <c r="A147" s="67"/>
      <c r="B147" s="7"/>
      <c r="C147" s="6"/>
      <c r="D147" s="6"/>
      <c r="E147" s="6"/>
      <c r="F147" s="1"/>
      <c r="G147" s="9"/>
      <c r="H147" s="9"/>
      <c r="I147" s="11"/>
      <c r="J147" s="1"/>
      <c r="K147" s="205" t="s">
        <v>315</v>
      </c>
      <c r="L147" s="1" t="s">
        <v>315</v>
      </c>
      <c r="M147" s="9"/>
      <c r="N147" s="14"/>
      <c r="O147" s="16"/>
      <c r="P147" s="6" t="e">
        <f>VLOOKUP(Tabela131617181920[[#This Row],[DT]],Aprovados!A:A,1,0)</f>
        <v>#N/A</v>
      </c>
      <c r="Q147" s="16"/>
      <c r="R147" s="16"/>
      <c r="S147" s="16"/>
      <c r="T147" s="9"/>
      <c r="U147" s="1" t="s">
        <v>315</v>
      </c>
      <c r="V147" s="11"/>
      <c r="W147" s="232"/>
      <c r="X147" s="304"/>
    </row>
    <row r="148" spans="1:24" ht="15.75">
      <c r="A148" s="67"/>
      <c r="B148" s="7"/>
      <c r="C148" s="6"/>
      <c r="D148" s="6"/>
      <c r="E148" s="6"/>
      <c r="F148" s="1"/>
      <c r="G148" s="9"/>
      <c r="H148" s="9"/>
      <c r="I148" s="11"/>
      <c r="J148" s="1"/>
      <c r="K148" s="205" t="s">
        <v>315</v>
      </c>
      <c r="L148" s="1" t="s">
        <v>315</v>
      </c>
      <c r="M148" s="9"/>
      <c r="N148" s="14"/>
      <c r="O148" s="16"/>
      <c r="P148" s="6" t="e">
        <f>VLOOKUP(Tabela131617181920[[#This Row],[DT]],Aprovados!A:A,1,0)</f>
        <v>#N/A</v>
      </c>
      <c r="Q148" s="16"/>
      <c r="R148" s="16"/>
      <c r="S148" s="16"/>
      <c r="T148" s="9"/>
      <c r="U148" s="1" t="s">
        <v>315</v>
      </c>
      <c r="V148" s="11"/>
      <c r="W148" s="232"/>
      <c r="X148" s="304"/>
    </row>
    <row r="149" spans="1:24" ht="15.75">
      <c r="A149" s="6"/>
      <c r="B149" s="7"/>
      <c r="C149" s="6"/>
      <c r="D149" s="6"/>
      <c r="E149" s="6"/>
      <c r="F149" s="1"/>
      <c r="G149" s="9"/>
      <c r="H149" s="9"/>
      <c r="I149" s="11"/>
      <c r="J149" s="1"/>
      <c r="K149" s="205" t="s">
        <v>315</v>
      </c>
      <c r="L149" s="1" t="s">
        <v>315</v>
      </c>
      <c r="M149" s="9"/>
      <c r="N149" s="14"/>
      <c r="O149" s="16"/>
      <c r="P149" s="6" t="e">
        <f>VLOOKUP(Tabela131617181920[[#This Row],[DT]],Aprovados!A:A,1,0)</f>
        <v>#N/A</v>
      </c>
      <c r="Q149" s="16"/>
      <c r="R149" s="16"/>
      <c r="S149" s="16"/>
      <c r="T149" s="9"/>
      <c r="U149" s="1" t="s">
        <v>315</v>
      </c>
      <c r="V149" s="11"/>
      <c r="W149" s="232"/>
      <c r="X149" s="304"/>
    </row>
    <row r="150" spans="1:24" ht="15.75">
      <c r="A150" s="6"/>
      <c r="B150" s="7"/>
      <c r="C150" s="6"/>
      <c r="D150" s="6"/>
      <c r="E150" s="6"/>
      <c r="F150" s="1"/>
      <c r="G150" s="9"/>
      <c r="H150" s="9"/>
      <c r="I150" s="11"/>
      <c r="J150" s="1"/>
      <c r="K150" s="205" t="s">
        <v>315</v>
      </c>
      <c r="L150" s="1" t="s">
        <v>315</v>
      </c>
      <c r="M150" s="9"/>
      <c r="N150" s="14"/>
      <c r="O150" s="16"/>
      <c r="P150" s="6" t="e">
        <f>VLOOKUP(Tabela131617181920[[#This Row],[DT]],Aprovados!A:A,1,0)</f>
        <v>#N/A</v>
      </c>
      <c r="Q150" s="16"/>
      <c r="R150" s="16"/>
      <c r="S150" s="16"/>
      <c r="T150" s="9"/>
      <c r="U150" s="1" t="s">
        <v>315</v>
      </c>
      <c r="V150" s="11"/>
      <c r="W150" s="232"/>
      <c r="X150" s="304"/>
    </row>
    <row r="151" spans="1:24" ht="15.75">
      <c r="A151" s="6"/>
      <c r="B151" s="7"/>
      <c r="C151" s="6"/>
      <c r="D151" s="6"/>
      <c r="E151" s="6"/>
      <c r="F151" s="1"/>
      <c r="G151" s="9"/>
      <c r="H151" s="9"/>
      <c r="I151" s="11"/>
      <c r="J151" s="1"/>
      <c r="K151" s="205" t="s">
        <v>315</v>
      </c>
      <c r="L151" s="1" t="s">
        <v>315</v>
      </c>
      <c r="M151" s="9"/>
      <c r="N151" s="14"/>
      <c r="O151" s="16"/>
      <c r="P151" s="6" t="e">
        <f>VLOOKUP(Tabela131617181920[[#This Row],[DT]],Aprovados!A:A,1,0)</f>
        <v>#N/A</v>
      </c>
      <c r="Q151" s="16"/>
      <c r="R151" s="16"/>
      <c r="S151" s="16"/>
      <c r="T151" s="9"/>
      <c r="U151" s="1" t="s">
        <v>315</v>
      </c>
      <c r="V151" s="11"/>
      <c r="W151" s="232"/>
      <c r="X151" s="304"/>
    </row>
    <row r="152" spans="1:24" ht="15.75">
      <c r="A152" s="6"/>
      <c r="B152" s="7"/>
      <c r="C152" s="6"/>
      <c r="D152" s="6"/>
      <c r="E152" s="6"/>
      <c r="F152" s="1"/>
      <c r="G152" s="9"/>
      <c r="H152" s="9"/>
      <c r="I152" s="11"/>
      <c r="J152" s="1"/>
      <c r="K152" s="205" t="s">
        <v>315</v>
      </c>
      <c r="L152" s="1" t="s">
        <v>315</v>
      </c>
      <c r="M152" s="9"/>
      <c r="N152" s="14"/>
      <c r="O152" s="16"/>
      <c r="P152" s="6" t="e">
        <f>VLOOKUP(Tabela131617181920[[#This Row],[DT]],Aprovados!A:A,1,0)</f>
        <v>#N/A</v>
      </c>
      <c r="Q152" s="16"/>
      <c r="R152" s="16"/>
      <c r="S152" s="16"/>
      <c r="T152" s="9"/>
      <c r="U152" s="1" t="s">
        <v>315</v>
      </c>
      <c r="V152" s="11"/>
      <c r="W152" s="232"/>
      <c r="X152" s="304"/>
    </row>
    <row r="153" spans="1:24" ht="15.75">
      <c r="A153" s="6"/>
      <c r="B153" s="7"/>
      <c r="C153" s="6"/>
      <c r="D153" s="6"/>
      <c r="E153" s="6"/>
      <c r="F153" s="1"/>
      <c r="G153" s="9"/>
      <c r="H153" s="9"/>
      <c r="I153" s="11"/>
      <c r="J153" s="1"/>
      <c r="K153" s="205" t="s">
        <v>315</v>
      </c>
      <c r="L153" s="1" t="s">
        <v>315</v>
      </c>
      <c r="M153" s="9"/>
      <c r="N153" s="14"/>
      <c r="O153" s="16"/>
      <c r="P153" s="6" t="e">
        <f>VLOOKUP(Tabela131617181920[[#This Row],[DT]],Aprovados!A:A,1,0)</f>
        <v>#N/A</v>
      </c>
      <c r="Q153" s="16"/>
      <c r="R153" s="16"/>
      <c r="S153" s="16"/>
      <c r="T153" s="9"/>
      <c r="U153" s="1" t="s">
        <v>315</v>
      </c>
      <c r="V153" s="11"/>
      <c r="W153" s="232"/>
      <c r="X153" s="304"/>
    </row>
    <row r="154" spans="1:24" ht="15.75">
      <c r="A154" s="6"/>
      <c r="B154" s="7"/>
      <c r="C154" s="6"/>
      <c r="D154" s="6"/>
      <c r="E154" s="6"/>
      <c r="F154" s="1"/>
      <c r="G154" s="9"/>
      <c r="H154" s="9"/>
      <c r="I154" s="11"/>
      <c r="J154" s="1"/>
      <c r="K154" s="205" t="s">
        <v>315</v>
      </c>
      <c r="L154" s="1" t="s">
        <v>315</v>
      </c>
      <c r="M154" s="9"/>
      <c r="N154" s="14"/>
      <c r="O154" s="16"/>
      <c r="P154" s="6" t="e">
        <f>VLOOKUP(Tabela131617181920[[#This Row],[DT]],Aprovados!A:A,1,0)</f>
        <v>#N/A</v>
      </c>
      <c r="Q154" s="16"/>
      <c r="R154" s="16"/>
      <c r="S154" s="16"/>
      <c r="T154" s="9"/>
      <c r="U154" s="1" t="s">
        <v>315</v>
      </c>
      <c r="V154" s="11"/>
      <c r="W154" s="232"/>
      <c r="X154" s="304"/>
    </row>
    <row r="155" spans="1:24" ht="15.75">
      <c r="A155" s="6"/>
      <c r="B155" s="7"/>
      <c r="C155" s="6"/>
      <c r="D155" s="6"/>
      <c r="E155" s="6"/>
      <c r="F155" s="1"/>
      <c r="G155" s="9"/>
      <c r="H155" s="9"/>
      <c r="I155" s="11"/>
      <c r="J155" s="1"/>
      <c r="K155" s="205" t="s">
        <v>315</v>
      </c>
      <c r="L155" s="1" t="s">
        <v>315</v>
      </c>
      <c r="M155" s="9"/>
      <c r="N155" s="14"/>
      <c r="O155" s="16"/>
      <c r="P155" s="6" t="e">
        <f>VLOOKUP(Tabela131617181920[[#This Row],[DT]],Aprovados!A:A,1,0)</f>
        <v>#N/A</v>
      </c>
      <c r="Q155" s="16"/>
      <c r="R155" s="16"/>
      <c r="S155" s="16"/>
      <c r="T155" s="9"/>
      <c r="U155" s="1" t="s">
        <v>315</v>
      </c>
      <c r="V155" s="11"/>
      <c r="W155" s="232"/>
      <c r="X155" s="304"/>
    </row>
    <row r="156" spans="1:24" ht="15.75">
      <c r="A156" s="6"/>
      <c r="B156" s="7"/>
      <c r="C156" s="6"/>
      <c r="D156" s="6"/>
      <c r="E156" s="6"/>
      <c r="F156" s="1"/>
      <c r="G156" s="9"/>
      <c r="H156" s="9"/>
      <c r="I156" s="11"/>
      <c r="J156" s="1"/>
      <c r="K156" s="205" t="s">
        <v>315</v>
      </c>
      <c r="L156" s="1" t="s">
        <v>315</v>
      </c>
      <c r="M156" s="9"/>
      <c r="N156" s="14"/>
      <c r="O156" s="16"/>
      <c r="P156" s="6" t="e">
        <f>VLOOKUP(Tabela131617181920[[#This Row],[DT]],Aprovados!A:A,1,0)</f>
        <v>#N/A</v>
      </c>
      <c r="Q156" s="16"/>
      <c r="R156" s="16"/>
      <c r="S156" s="16"/>
      <c r="T156" s="9"/>
      <c r="U156" s="1" t="s">
        <v>315</v>
      </c>
      <c r="V156" s="11"/>
      <c r="W156" s="232"/>
      <c r="X156" s="304"/>
    </row>
    <row r="157" spans="1:24" ht="15.75">
      <c r="A157" s="6"/>
      <c r="B157" s="7"/>
      <c r="C157" s="6"/>
      <c r="D157" s="6"/>
      <c r="E157" s="6"/>
      <c r="F157" s="1"/>
      <c r="G157" s="9"/>
      <c r="H157" s="9"/>
      <c r="I157" s="11"/>
      <c r="J157" s="1"/>
      <c r="K157" s="205" t="s">
        <v>315</v>
      </c>
      <c r="L157" s="1" t="s">
        <v>315</v>
      </c>
      <c r="M157" s="9"/>
      <c r="N157" s="14"/>
      <c r="O157" s="16"/>
      <c r="P157" s="6" t="e">
        <f>VLOOKUP(Tabela131617181920[[#This Row],[DT]],Aprovados!A:A,1,0)</f>
        <v>#N/A</v>
      </c>
      <c r="Q157" s="16"/>
      <c r="R157" s="16"/>
      <c r="S157" s="16"/>
      <c r="T157" s="9"/>
      <c r="U157" s="1" t="s">
        <v>315</v>
      </c>
      <c r="V157" s="11"/>
      <c r="W157" s="232"/>
      <c r="X157" s="304"/>
    </row>
    <row r="158" spans="1:24" ht="15.75">
      <c r="A158" s="6"/>
      <c r="B158" s="7"/>
      <c r="C158" s="6"/>
      <c r="D158" s="6"/>
      <c r="E158" s="6"/>
      <c r="F158" s="1"/>
      <c r="G158" s="9"/>
      <c r="H158" s="9"/>
      <c r="I158" s="11"/>
      <c r="J158" s="1"/>
      <c r="K158" s="205" t="s">
        <v>315</v>
      </c>
      <c r="L158" s="1" t="s">
        <v>315</v>
      </c>
      <c r="M158" s="9"/>
      <c r="N158" s="14"/>
      <c r="O158" s="16"/>
      <c r="P158" s="6" t="e">
        <f>VLOOKUP(Tabela131617181920[[#This Row],[DT]],Aprovados!A:A,1,0)</f>
        <v>#N/A</v>
      </c>
      <c r="Q158" s="16"/>
      <c r="R158" s="16"/>
      <c r="S158" s="16"/>
      <c r="T158" s="9"/>
      <c r="U158" s="1" t="s">
        <v>315</v>
      </c>
      <c r="V158" s="11"/>
      <c r="W158" s="232"/>
      <c r="X158" s="304"/>
    </row>
    <row r="159" spans="1:24" ht="15.75">
      <c r="A159" s="6"/>
      <c r="B159" s="7"/>
      <c r="C159" s="6"/>
      <c r="D159" s="6"/>
      <c r="E159" s="6"/>
      <c r="F159" s="1"/>
      <c r="G159" s="9"/>
      <c r="H159" s="9"/>
      <c r="I159" s="11"/>
      <c r="J159" s="1"/>
      <c r="K159" s="205" t="s">
        <v>315</v>
      </c>
      <c r="L159" s="1" t="s">
        <v>315</v>
      </c>
      <c r="M159" s="9"/>
      <c r="N159" s="14"/>
      <c r="O159" s="16"/>
      <c r="P159" s="6" t="e">
        <f>VLOOKUP(Tabela131617181920[[#This Row],[DT]],Aprovados!A:A,1,0)</f>
        <v>#N/A</v>
      </c>
      <c r="Q159" s="16"/>
      <c r="R159" s="16"/>
      <c r="S159" s="16"/>
      <c r="T159" s="9"/>
      <c r="U159" s="1" t="s">
        <v>315</v>
      </c>
      <c r="V159" s="11"/>
      <c r="W159" s="232"/>
      <c r="X159" s="304"/>
    </row>
    <row r="160" spans="1:24" ht="15.75">
      <c r="A160" s="6"/>
      <c r="B160" s="7"/>
      <c r="C160" s="6"/>
      <c r="D160" s="6"/>
      <c r="E160" s="6"/>
      <c r="F160" s="1"/>
      <c r="G160" s="9"/>
      <c r="H160" s="9"/>
      <c r="I160" s="11"/>
      <c r="J160" s="1"/>
      <c r="K160" s="205" t="s">
        <v>315</v>
      </c>
      <c r="L160" s="1" t="s">
        <v>315</v>
      </c>
      <c r="M160" s="9"/>
      <c r="N160" s="14"/>
      <c r="O160" s="16"/>
      <c r="P160" s="6" t="e">
        <f>VLOOKUP(Tabela131617181920[[#This Row],[DT]],Aprovados!A:A,1,0)</f>
        <v>#N/A</v>
      </c>
      <c r="Q160" s="16"/>
      <c r="R160" s="16"/>
      <c r="S160" s="16"/>
      <c r="T160" s="9"/>
      <c r="U160" s="1" t="s">
        <v>315</v>
      </c>
      <c r="V160" s="11"/>
      <c r="W160" s="232"/>
      <c r="X160" s="304"/>
    </row>
    <row r="161" spans="1:24" ht="15.75">
      <c r="A161" s="6"/>
      <c r="B161" s="7"/>
      <c r="C161" s="6"/>
      <c r="D161" s="6"/>
      <c r="E161" s="6"/>
      <c r="F161" s="1"/>
      <c r="G161" s="9"/>
      <c r="H161" s="9"/>
      <c r="I161" s="11"/>
      <c r="J161" s="1"/>
      <c r="K161" s="205" t="s">
        <v>315</v>
      </c>
      <c r="L161" s="1" t="s">
        <v>315</v>
      </c>
      <c r="M161" s="9"/>
      <c r="N161" s="14"/>
      <c r="O161" s="16"/>
      <c r="P161" s="6" t="e">
        <f>VLOOKUP(Tabela131617181920[[#This Row],[DT]],Aprovados!A:A,1,0)</f>
        <v>#N/A</v>
      </c>
      <c r="Q161" s="16"/>
      <c r="R161" s="16"/>
      <c r="S161" s="16"/>
      <c r="T161" s="9"/>
      <c r="U161" s="1" t="s">
        <v>315</v>
      </c>
      <c r="V161" s="11"/>
      <c r="W161" s="232"/>
      <c r="X161" s="304"/>
    </row>
    <row r="162" spans="1:24" ht="15.75">
      <c r="A162" s="6"/>
      <c r="B162" s="7"/>
      <c r="C162" s="6"/>
      <c r="D162" s="6"/>
      <c r="E162" s="6"/>
      <c r="F162" s="1"/>
      <c r="G162" s="9"/>
      <c r="H162" s="9"/>
      <c r="I162" s="11"/>
      <c r="J162" s="1"/>
      <c r="K162" s="205" t="s">
        <v>315</v>
      </c>
      <c r="L162" s="1" t="s">
        <v>315</v>
      </c>
      <c r="M162" s="9"/>
      <c r="N162" s="14"/>
      <c r="O162" s="16"/>
      <c r="P162" s="6" t="e">
        <f>VLOOKUP(Tabela131617181920[[#This Row],[DT]],Aprovados!A:A,1,0)</f>
        <v>#N/A</v>
      </c>
      <c r="Q162" s="16"/>
      <c r="R162" s="16"/>
      <c r="S162" s="16"/>
      <c r="T162" s="9"/>
      <c r="U162" s="1" t="s">
        <v>315</v>
      </c>
      <c r="V162" s="11"/>
      <c r="W162" s="232"/>
      <c r="X162" s="304"/>
    </row>
    <row r="163" spans="1:24" ht="15.75">
      <c r="A163" s="6"/>
      <c r="B163" s="7"/>
      <c r="C163" s="6"/>
      <c r="D163" s="6"/>
      <c r="E163" s="6"/>
      <c r="F163" s="1"/>
      <c r="G163" s="9"/>
      <c r="H163" s="9"/>
      <c r="I163" s="11"/>
      <c r="J163" s="1"/>
      <c r="K163" s="205" t="s">
        <v>315</v>
      </c>
      <c r="L163" s="1" t="s">
        <v>315</v>
      </c>
      <c r="M163" s="9"/>
      <c r="N163" s="14"/>
      <c r="O163" s="16"/>
      <c r="P163" s="6" t="e">
        <f>VLOOKUP(Tabela131617181920[[#This Row],[DT]],Aprovados!A:A,1,0)</f>
        <v>#N/A</v>
      </c>
      <c r="Q163" s="16"/>
      <c r="R163" s="16"/>
      <c r="S163" s="16"/>
      <c r="T163" s="9"/>
      <c r="U163" s="1" t="s">
        <v>315</v>
      </c>
      <c r="V163" s="11"/>
      <c r="W163" s="232"/>
      <c r="X163" s="304"/>
    </row>
    <row r="164" spans="1:24" ht="15.75">
      <c r="A164" s="6"/>
      <c r="B164" s="7"/>
      <c r="C164" s="6"/>
      <c r="D164" s="6"/>
      <c r="E164" s="6"/>
      <c r="F164" s="1"/>
      <c r="G164" s="9"/>
      <c r="H164" s="9"/>
      <c r="I164" s="11"/>
      <c r="J164" s="1"/>
      <c r="K164" s="205" t="s">
        <v>315</v>
      </c>
      <c r="L164" s="1" t="s">
        <v>315</v>
      </c>
      <c r="M164" s="9"/>
      <c r="N164" s="14"/>
      <c r="O164" s="16"/>
      <c r="P164" s="6" t="e">
        <f>VLOOKUP(Tabela131617181920[[#This Row],[DT]],Aprovados!A:A,1,0)</f>
        <v>#N/A</v>
      </c>
      <c r="Q164" s="16"/>
      <c r="R164" s="16"/>
      <c r="S164" s="16"/>
      <c r="T164" s="9"/>
      <c r="U164" s="1" t="s">
        <v>315</v>
      </c>
      <c r="V164" s="11"/>
      <c r="W164" s="232"/>
      <c r="X164" s="304"/>
    </row>
    <row r="165" spans="1:24" ht="15.75">
      <c r="A165" s="6"/>
      <c r="B165" s="7"/>
      <c r="C165" s="6"/>
      <c r="D165" s="6"/>
      <c r="E165" s="6"/>
      <c r="F165" s="1"/>
      <c r="G165" s="9"/>
      <c r="H165" s="9"/>
      <c r="I165" s="11"/>
      <c r="J165" s="1"/>
      <c r="K165" s="205" t="s">
        <v>315</v>
      </c>
      <c r="L165" s="1" t="s">
        <v>315</v>
      </c>
      <c r="M165" s="9"/>
      <c r="N165" s="14"/>
      <c r="O165" s="16"/>
      <c r="P165" s="6" t="e">
        <f>VLOOKUP(Tabela131617181920[[#This Row],[DT]],Aprovados!A:A,1,0)</f>
        <v>#N/A</v>
      </c>
      <c r="Q165" s="16"/>
      <c r="R165" s="16"/>
      <c r="S165" s="16"/>
      <c r="T165" s="9"/>
      <c r="U165" s="1" t="s">
        <v>315</v>
      </c>
      <c r="V165" s="11"/>
      <c r="W165" s="232"/>
      <c r="X165" s="304"/>
    </row>
    <row r="166" spans="1:24" ht="15.75">
      <c r="A166" s="6"/>
      <c r="B166" s="7"/>
      <c r="C166" s="6"/>
      <c r="D166" s="6"/>
      <c r="E166" s="6"/>
      <c r="F166" s="1"/>
      <c r="G166" s="9"/>
      <c r="H166" s="9"/>
      <c r="I166" s="11"/>
      <c r="J166" s="1"/>
      <c r="K166" s="205" t="s">
        <v>315</v>
      </c>
      <c r="L166" s="1" t="s">
        <v>315</v>
      </c>
      <c r="M166" s="9"/>
      <c r="N166" s="14"/>
      <c r="O166" s="16"/>
      <c r="P166" s="6" t="e">
        <f>VLOOKUP(Tabela131617181920[[#This Row],[DT]],Aprovados!A:A,1,0)</f>
        <v>#N/A</v>
      </c>
      <c r="Q166" s="16"/>
      <c r="R166" s="16"/>
      <c r="S166" s="16"/>
      <c r="T166" s="9"/>
      <c r="U166" s="1" t="s">
        <v>315</v>
      </c>
      <c r="V166" s="11"/>
      <c r="W166" s="232"/>
      <c r="X166" s="304"/>
    </row>
    <row r="167" spans="1:24" ht="15.75">
      <c r="A167" s="6"/>
      <c r="B167" s="7"/>
      <c r="C167" s="6"/>
      <c r="D167" s="6"/>
      <c r="E167" s="6"/>
      <c r="F167" s="1"/>
      <c r="G167" s="9"/>
      <c r="H167" s="9"/>
      <c r="I167" s="11"/>
      <c r="J167" s="1"/>
      <c r="K167" s="205" t="s">
        <v>315</v>
      </c>
      <c r="L167" s="1" t="s">
        <v>315</v>
      </c>
      <c r="M167" s="9"/>
      <c r="N167" s="14"/>
      <c r="O167" s="16"/>
      <c r="P167" s="6" t="e">
        <f>VLOOKUP(Tabela131617181920[[#This Row],[DT]],Aprovados!A:A,1,0)</f>
        <v>#N/A</v>
      </c>
      <c r="Q167" s="16"/>
      <c r="R167" s="16"/>
      <c r="S167" s="16"/>
      <c r="T167" s="9"/>
      <c r="U167" s="1" t="s">
        <v>315</v>
      </c>
      <c r="V167" s="11"/>
      <c r="W167" s="232"/>
      <c r="X167" s="304"/>
    </row>
    <row r="168" spans="1:24" ht="15.75">
      <c r="A168" s="6"/>
      <c r="B168" s="7"/>
      <c r="C168" s="6"/>
      <c r="D168" s="6"/>
      <c r="E168" s="6"/>
      <c r="F168" s="1"/>
      <c r="G168" s="9"/>
      <c r="H168" s="9"/>
      <c r="I168" s="11"/>
      <c r="J168" s="1"/>
      <c r="K168" s="205" t="s">
        <v>315</v>
      </c>
      <c r="L168" s="1" t="s">
        <v>315</v>
      </c>
      <c r="M168" s="9"/>
      <c r="N168" s="14"/>
      <c r="O168" s="16"/>
      <c r="P168" s="6" t="e">
        <f>VLOOKUP(Tabela131617181920[[#This Row],[DT]],Aprovados!A:A,1,0)</f>
        <v>#N/A</v>
      </c>
      <c r="Q168" s="16"/>
      <c r="R168" s="16"/>
      <c r="S168" s="16"/>
      <c r="T168" s="9"/>
      <c r="U168" s="1" t="s">
        <v>315</v>
      </c>
      <c r="V168" s="11"/>
      <c r="W168" s="232"/>
      <c r="X168" s="304"/>
    </row>
    <row r="169" spans="1:24" ht="15.75">
      <c r="A169" s="6"/>
      <c r="B169" s="68"/>
      <c r="C169" s="6"/>
      <c r="D169" s="6"/>
      <c r="E169" s="6"/>
      <c r="F169" s="1"/>
      <c r="G169" s="9"/>
      <c r="H169" s="9"/>
      <c r="I169" s="11"/>
      <c r="J169" s="1"/>
      <c r="K169" s="205" t="s">
        <v>315</v>
      </c>
      <c r="L169" s="1" t="s">
        <v>315</v>
      </c>
      <c r="M169" s="9"/>
      <c r="N169" s="14"/>
      <c r="O169" s="16"/>
      <c r="P169" s="6" t="e">
        <f>VLOOKUP(Tabela131617181920[[#This Row],[DT]],Aprovados!A:A,1,0)</f>
        <v>#N/A</v>
      </c>
      <c r="Q169" s="16"/>
      <c r="R169" s="16"/>
      <c r="S169" s="16"/>
      <c r="T169" s="9"/>
      <c r="U169" s="1" t="s">
        <v>315</v>
      </c>
      <c r="V169" s="11"/>
      <c r="W169" s="232"/>
      <c r="X169" s="304"/>
    </row>
    <row r="170" spans="1:24" ht="15.75">
      <c r="A170" s="6"/>
      <c r="B170" s="68"/>
      <c r="C170" s="6"/>
      <c r="D170" s="6"/>
      <c r="E170" s="6"/>
      <c r="F170" s="1"/>
      <c r="G170" s="9"/>
      <c r="H170" s="9"/>
      <c r="I170" s="11"/>
      <c r="J170" s="1"/>
      <c r="K170" s="205" t="s">
        <v>315</v>
      </c>
      <c r="L170" s="1" t="s">
        <v>315</v>
      </c>
      <c r="M170" s="9"/>
      <c r="N170" s="14"/>
      <c r="O170" s="16"/>
      <c r="P170" s="6" t="e">
        <f>VLOOKUP(Tabela131617181920[[#This Row],[DT]],Aprovados!A:A,1,0)</f>
        <v>#N/A</v>
      </c>
      <c r="Q170" s="16"/>
      <c r="R170" s="16"/>
      <c r="S170" s="16"/>
      <c r="T170" s="9"/>
      <c r="U170" s="1" t="s">
        <v>315</v>
      </c>
      <c r="V170" s="11"/>
      <c r="W170" s="232"/>
      <c r="X170" s="304"/>
    </row>
    <row r="171" spans="1:24" ht="15.75">
      <c r="A171" s="6"/>
      <c r="B171" s="68"/>
      <c r="C171" s="6"/>
      <c r="D171" s="6"/>
      <c r="E171" s="6"/>
      <c r="F171" s="1"/>
      <c r="G171" s="9"/>
      <c r="H171" s="9"/>
      <c r="I171" s="11"/>
      <c r="J171" s="1"/>
      <c r="K171" s="205" t="s">
        <v>315</v>
      </c>
      <c r="L171" s="1" t="s">
        <v>315</v>
      </c>
      <c r="M171" s="9"/>
      <c r="N171" s="14"/>
      <c r="O171" s="16"/>
      <c r="P171" s="6" t="e">
        <f>VLOOKUP(Tabela131617181920[[#This Row],[DT]],Aprovados!A:A,1,0)</f>
        <v>#N/A</v>
      </c>
      <c r="Q171" s="16"/>
      <c r="R171" s="16"/>
      <c r="S171" s="16"/>
      <c r="T171" s="9"/>
      <c r="U171" s="1" t="s">
        <v>315</v>
      </c>
      <c r="V171" s="11"/>
      <c r="W171" s="232"/>
      <c r="X171" s="304"/>
    </row>
    <row r="172" spans="1:24" ht="15.75">
      <c r="A172" s="6"/>
      <c r="B172" s="68"/>
      <c r="C172" s="6"/>
      <c r="D172" s="6"/>
      <c r="E172" s="6"/>
      <c r="F172" s="1"/>
      <c r="G172" s="9"/>
      <c r="H172" s="9"/>
      <c r="I172" s="11"/>
      <c r="J172" s="1"/>
      <c r="K172" s="205" t="s">
        <v>315</v>
      </c>
      <c r="L172" s="1" t="s">
        <v>315</v>
      </c>
      <c r="M172" s="9"/>
      <c r="N172" s="14"/>
      <c r="O172" s="16"/>
      <c r="P172" s="6" t="e">
        <f>VLOOKUP(Tabela131617181920[[#This Row],[DT]],Aprovados!A:A,1,0)</f>
        <v>#N/A</v>
      </c>
      <c r="Q172" s="16"/>
      <c r="R172" s="16"/>
      <c r="S172" s="16"/>
      <c r="T172" s="9"/>
      <c r="U172" s="1" t="s">
        <v>315</v>
      </c>
      <c r="V172" s="11"/>
      <c r="W172" s="232"/>
      <c r="X172" s="304"/>
    </row>
    <row r="173" spans="1:24" ht="15.75">
      <c r="A173" s="6"/>
      <c r="B173" s="68"/>
      <c r="C173" s="6"/>
      <c r="D173" s="6"/>
      <c r="E173" s="6"/>
      <c r="F173" s="1"/>
      <c r="G173" s="9"/>
      <c r="H173" s="9"/>
      <c r="I173" s="11"/>
      <c r="J173" s="1"/>
      <c r="K173" s="205" t="s">
        <v>315</v>
      </c>
      <c r="L173" s="1" t="s">
        <v>315</v>
      </c>
      <c r="M173" s="9"/>
      <c r="N173" s="14"/>
      <c r="O173" s="16"/>
      <c r="P173" s="6" t="e">
        <f>VLOOKUP(Tabela131617181920[[#This Row],[DT]],Aprovados!A:A,1,0)</f>
        <v>#N/A</v>
      </c>
      <c r="Q173" s="16"/>
      <c r="R173" s="16"/>
      <c r="S173" s="16"/>
      <c r="T173" s="9"/>
      <c r="U173" s="1" t="s">
        <v>315</v>
      </c>
      <c r="V173" s="11"/>
      <c r="W173" s="232"/>
      <c r="X173" s="304"/>
    </row>
    <row r="174" spans="1:24" ht="15.75">
      <c r="A174" s="6"/>
      <c r="B174" s="68"/>
      <c r="C174" s="6"/>
      <c r="D174" s="6"/>
      <c r="E174" s="6"/>
      <c r="F174" s="1"/>
      <c r="G174" s="9"/>
      <c r="H174" s="9"/>
      <c r="I174" s="11"/>
      <c r="J174" s="1"/>
      <c r="K174" s="205" t="s">
        <v>315</v>
      </c>
      <c r="L174" s="1" t="s">
        <v>315</v>
      </c>
      <c r="M174" s="9"/>
      <c r="N174" s="14"/>
      <c r="O174" s="16"/>
      <c r="P174" s="6" t="e">
        <f>VLOOKUP(Tabela131617181920[[#This Row],[DT]],Aprovados!A:A,1,0)</f>
        <v>#N/A</v>
      </c>
      <c r="Q174" s="16"/>
      <c r="R174" s="16"/>
      <c r="S174" s="16"/>
      <c r="T174" s="9"/>
      <c r="U174" s="1" t="s">
        <v>315</v>
      </c>
      <c r="V174" s="11"/>
      <c r="W174" s="232"/>
      <c r="X174" s="304"/>
    </row>
    <row r="175" spans="1:24" ht="15.75">
      <c r="A175" s="6"/>
      <c r="B175" s="68"/>
      <c r="C175" s="6"/>
      <c r="D175" s="6"/>
      <c r="E175" s="6"/>
      <c r="F175" s="1"/>
      <c r="G175" s="9"/>
      <c r="H175" s="9"/>
      <c r="I175" s="11"/>
      <c r="J175" s="1"/>
      <c r="K175" s="205" t="s">
        <v>315</v>
      </c>
      <c r="L175" s="1" t="s">
        <v>315</v>
      </c>
      <c r="M175" s="9"/>
      <c r="N175" s="14"/>
      <c r="O175" s="16"/>
      <c r="P175" s="6" t="e">
        <f>VLOOKUP(Tabela131617181920[[#This Row],[DT]],Aprovados!A:A,1,0)</f>
        <v>#N/A</v>
      </c>
      <c r="Q175" s="16"/>
      <c r="R175" s="16"/>
      <c r="S175" s="16"/>
      <c r="T175" s="9"/>
      <c r="U175" s="1" t="s">
        <v>315</v>
      </c>
      <c r="V175" s="11"/>
      <c r="W175" s="232"/>
      <c r="X175" s="304"/>
    </row>
    <row r="176" spans="1:24" ht="15.75">
      <c r="A176" s="6"/>
      <c r="B176" s="68"/>
      <c r="C176" s="6"/>
      <c r="D176" s="6"/>
      <c r="E176" s="6"/>
      <c r="F176" s="1"/>
      <c r="G176" s="9"/>
      <c r="H176" s="9"/>
      <c r="I176" s="11"/>
      <c r="J176" s="1"/>
      <c r="K176" s="205" t="s">
        <v>315</v>
      </c>
      <c r="L176" s="1" t="s">
        <v>315</v>
      </c>
      <c r="M176" s="9"/>
      <c r="N176" s="14"/>
      <c r="O176" s="16"/>
      <c r="P176" s="6" t="e">
        <f>VLOOKUP(Tabela131617181920[[#This Row],[DT]],Aprovados!A:A,1,0)</f>
        <v>#N/A</v>
      </c>
      <c r="Q176" s="16"/>
      <c r="R176" s="16"/>
      <c r="S176" s="16"/>
      <c r="T176" s="9"/>
      <c r="U176" s="1" t="s">
        <v>315</v>
      </c>
      <c r="V176" s="11"/>
      <c r="W176" s="232"/>
      <c r="X176" s="304"/>
    </row>
    <row r="177" spans="1:24" ht="15.75">
      <c r="A177" s="6"/>
      <c r="B177" s="68"/>
      <c r="C177" s="6"/>
      <c r="D177" s="6"/>
      <c r="E177" s="6"/>
      <c r="F177" s="1"/>
      <c r="G177" s="9"/>
      <c r="H177" s="9"/>
      <c r="I177" s="11"/>
      <c r="J177" s="1"/>
      <c r="K177" s="205" t="s">
        <v>315</v>
      </c>
      <c r="L177" s="1" t="s">
        <v>315</v>
      </c>
      <c r="M177" s="9"/>
      <c r="N177" s="14"/>
      <c r="O177" s="16"/>
      <c r="P177" s="6" t="e">
        <f>VLOOKUP(Tabela131617181920[[#This Row],[DT]],Aprovados!A:A,1,0)</f>
        <v>#N/A</v>
      </c>
      <c r="Q177" s="16"/>
      <c r="R177" s="16"/>
      <c r="S177" s="16"/>
      <c r="T177" s="9"/>
      <c r="U177" s="1" t="s">
        <v>315</v>
      </c>
      <c r="V177" s="11"/>
      <c r="W177" s="232"/>
      <c r="X177" s="304"/>
    </row>
    <row r="178" spans="1:24" ht="15.75">
      <c r="A178" s="6"/>
      <c r="B178" s="68"/>
      <c r="C178" s="6"/>
      <c r="D178" s="6"/>
      <c r="E178" s="6"/>
      <c r="F178" s="1"/>
      <c r="G178" s="9"/>
      <c r="H178" s="9"/>
      <c r="I178" s="11"/>
      <c r="J178" s="1"/>
      <c r="K178" s="205" t="s">
        <v>315</v>
      </c>
      <c r="L178" s="1" t="s">
        <v>315</v>
      </c>
      <c r="M178" s="9"/>
      <c r="N178" s="14"/>
      <c r="O178" s="16"/>
      <c r="P178" s="6" t="e">
        <f>VLOOKUP(Tabela131617181920[[#This Row],[DT]],Aprovados!A:A,1,0)</f>
        <v>#N/A</v>
      </c>
      <c r="Q178" s="16"/>
      <c r="R178" s="16"/>
      <c r="S178" s="16"/>
      <c r="T178" s="9"/>
      <c r="U178" s="1" t="s">
        <v>315</v>
      </c>
      <c r="V178" s="11"/>
      <c r="W178" s="232"/>
      <c r="X178" s="304"/>
    </row>
    <row r="179" spans="1:24" ht="15.75">
      <c r="A179" s="6"/>
      <c r="B179" s="7"/>
      <c r="C179" s="6"/>
      <c r="D179" s="6"/>
      <c r="E179" s="6"/>
      <c r="F179" s="1"/>
      <c r="G179" s="9"/>
      <c r="H179" s="9"/>
      <c r="I179" s="11"/>
      <c r="J179" s="1"/>
      <c r="K179" s="205" t="s">
        <v>315</v>
      </c>
      <c r="L179" s="1" t="s">
        <v>315</v>
      </c>
      <c r="M179" s="9"/>
      <c r="N179" s="14"/>
      <c r="O179" s="16"/>
      <c r="P179" s="6" t="e">
        <f>VLOOKUP(Tabela131617181920[[#This Row],[DT]],Aprovados!A:A,1,0)</f>
        <v>#N/A</v>
      </c>
      <c r="Q179" s="16"/>
      <c r="R179" s="16"/>
      <c r="S179" s="16"/>
      <c r="T179" s="9"/>
      <c r="U179" s="1" t="s">
        <v>315</v>
      </c>
      <c r="V179" s="11"/>
      <c r="W179" s="232"/>
      <c r="X179" s="304"/>
    </row>
    <row r="180" spans="1:24" ht="15.75">
      <c r="A180" s="6"/>
      <c r="B180" s="7"/>
      <c r="C180" s="6"/>
      <c r="D180" s="6"/>
      <c r="E180" s="6"/>
      <c r="F180" s="1"/>
      <c r="G180" s="9"/>
      <c r="H180" s="9"/>
      <c r="I180" s="11"/>
      <c r="J180" s="1"/>
      <c r="K180" s="205" t="s">
        <v>315</v>
      </c>
      <c r="L180" s="1" t="s">
        <v>315</v>
      </c>
      <c r="M180" s="9"/>
      <c r="N180" s="14"/>
      <c r="O180" s="16"/>
      <c r="P180" s="6" t="e">
        <f>VLOOKUP(Tabela131617181920[[#This Row],[DT]],Aprovados!A:A,1,0)</f>
        <v>#N/A</v>
      </c>
      <c r="Q180" s="16"/>
      <c r="R180" s="16"/>
      <c r="S180" s="16"/>
      <c r="T180" s="9"/>
      <c r="U180" s="1" t="s">
        <v>315</v>
      </c>
      <c r="V180" s="11"/>
      <c r="W180" s="232"/>
      <c r="X180" s="304"/>
    </row>
    <row r="181" spans="1:24" ht="15.75">
      <c r="A181" s="6"/>
      <c r="B181" s="7"/>
      <c r="C181" s="6"/>
      <c r="D181" s="6"/>
      <c r="E181" s="6"/>
      <c r="F181" s="1"/>
      <c r="G181" s="9"/>
      <c r="H181" s="9"/>
      <c r="I181" s="11"/>
      <c r="J181" s="1"/>
      <c r="K181" s="205" t="s">
        <v>315</v>
      </c>
      <c r="L181" s="1" t="s">
        <v>315</v>
      </c>
      <c r="M181" s="9"/>
      <c r="N181" s="14"/>
      <c r="O181" s="16"/>
      <c r="P181" s="6" t="e">
        <f>VLOOKUP(Tabela131617181920[[#This Row],[DT]],Aprovados!A:A,1,0)</f>
        <v>#N/A</v>
      </c>
      <c r="Q181" s="16"/>
      <c r="R181" s="16"/>
      <c r="S181" s="16"/>
      <c r="T181" s="9"/>
      <c r="U181" s="1" t="s">
        <v>315</v>
      </c>
      <c r="V181" s="11"/>
      <c r="W181" s="232"/>
      <c r="X181" s="304"/>
    </row>
    <row r="182" spans="1:24" ht="15.75">
      <c r="A182" s="6"/>
      <c r="B182" s="7"/>
      <c r="C182" s="6"/>
      <c r="D182" s="6"/>
      <c r="E182" s="6"/>
      <c r="F182" s="1"/>
      <c r="G182" s="9"/>
      <c r="H182" s="9"/>
      <c r="I182" s="11"/>
      <c r="J182" s="1"/>
      <c r="K182" s="205" t="s">
        <v>315</v>
      </c>
      <c r="L182" s="1" t="s">
        <v>315</v>
      </c>
      <c r="M182" s="9"/>
      <c r="N182" s="14"/>
      <c r="O182" s="16"/>
      <c r="P182" s="6" t="e">
        <f>VLOOKUP(Tabela131617181920[[#This Row],[DT]],Aprovados!A:A,1,0)</f>
        <v>#N/A</v>
      </c>
      <c r="Q182" s="16"/>
      <c r="R182" s="16"/>
      <c r="S182" s="16"/>
      <c r="T182" s="9"/>
      <c r="U182" s="1" t="s">
        <v>315</v>
      </c>
      <c r="V182" s="11"/>
      <c r="W182" s="232"/>
      <c r="X182" s="304"/>
    </row>
    <row r="183" spans="1:24" ht="15.75">
      <c r="A183" s="6"/>
      <c r="B183" s="7"/>
      <c r="C183" s="6"/>
      <c r="D183" s="6"/>
      <c r="E183" s="6"/>
      <c r="F183" s="1"/>
      <c r="G183" s="9"/>
      <c r="H183" s="9"/>
      <c r="I183" s="11"/>
      <c r="J183" s="1"/>
      <c r="K183" s="205" t="s">
        <v>315</v>
      </c>
      <c r="L183" s="1" t="s">
        <v>315</v>
      </c>
      <c r="M183" s="9"/>
      <c r="N183" s="14"/>
      <c r="O183" s="16"/>
      <c r="P183" s="6" t="e">
        <f>VLOOKUP(Tabela131617181920[[#This Row],[DT]],Aprovados!A:A,1,0)</f>
        <v>#N/A</v>
      </c>
      <c r="Q183" s="16"/>
      <c r="R183" s="16"/>
      <c r="S183" s="16"/>
      <c r="T183" s="9"/>
      <c r="U183" s="1" t="s">
        <v>315</v>
      </c>
      <c r="V183" s="11"/>
      <c r="W183" s="232"/>
      <c r="X183" s="304"/>
    </row>
    <row r="184" spans="1:24" ht="15.75">
      <c r="A184" s="6"/>
      <c r="B184" s="7"/>
      <c r="C184" s="6"/>
      <c r="D184" s="6"/>
      <c r="E184" s="6"/>
      <c r="F184" s="1"/>
      <c r="G184" s="9"/>
      <c r="H184" s="9"/>
      <c r="I184" s="11"/>
      <c r="J184" s="1"/>
      <c r="K184" s="205" t="s">
        <v>315</v>
      </c>
      <c r="L184" s="1" t="s">
        <v>315</v>
      </c>
      <c r="M184" s="9"/>
      <c r="N184" s="14"/>
      <c r="O184" s="16"/>
      <c r="P184" s="6" t="e">
        <f>VLOOKUP(Tabela131617181920[[#This Row],[DT]],Aprovados!A:A,1,0)</f>
        <v>#N/A</v>
      </c>
      <c r="Q184" s="16"/>
      <c r="R184" s="16"/>
      <c r="S184" s="16"/>
      <c r="T184" s="9"/>
      <c r="U184" s="1" t="s">
        <v>315</v>
      </c>
      <c r="V184" s="11"/>
      <c r="W184" s="232"/>
      <c r="X184" s="304"/>
    </row>
    <row r="185" spans="1:24" ht="15.75">
      <c r="A185" s="6"/>
      <c r="B185" s="7"/>
      <c r="C185" s="6"/>
      <c r="D185" s="6"/>
      <c r="E185" s="6"/>
      <c r="F185" s="1"/>
      <c r="G185" s="9"/>
      <c r="H185" s="9"/>
      <c r="I185" s="11"/>
      <c r="J185" s="1"/>
      <c r="K185" s="205" t="s">
        <v>315</v>
      </c>
      <c r="L185" s="1" t="s">
        <v>315</v>
      </c>
      <c r="M185" s="9"/>
      <c r="N185" s="14"/>
      <c r="O185" s="16"/>
      <c r="P185" s="6" t="e">
        <f>VLOOKUP(Tabela131617181920[[#This Row],[DT]],Aprovados!A:A,1,0)</f>
        <v>#N/A</v>
      </c>
      <c r="Q185" s="16"/>
      <c r="R185" s="16"/>
      <c r="S185" s="16"/>
      <c r="T185" s="9"/>
      <c r="U185" s="1" t="s">
        <v>315</v>
      </c>
      <c r="V185" s="11"/>
      <c r="W185" s="232"/>
      <c r="X185" s="304"/>
    </row>
    <row r="186" spans="1:24" ht="15.75">
      <c r="A186" s="6"/>
      <c r="B186" s="7"/>
      <c r="C186" s="6"/>
      <c r="D186" s="6"/>
      <c r="E186" s="6"/>
      <c r="F186" s="1"/>
      <c r="G186" s="9"/>
      <c r="H186" s="9"/>
      <c r="I186" s="11"/>
      <c r="J186" s="1"/>
      <c r="K186" s="205" t="s">
        <v>315</v>
      </c>
      <c r="L186" s="1" t="s">
        <v>315</v>
      </c>
      <c r="M186" s="9"/>
      <c r="N186" s="14"/>
      <c r="O186" s="16"/>
      <c r="P186" s="6" t="e">
        <f>VLOOKUP(Tabela131617181920[[#This Row],[DT]],Aprovados!A:A,1,0)</f>
        <v>#N/A</v>
      </c>
      <c r="Q186" s="16"/>
      <c r="R186" s="16"/>
      <c r="S186" s="16"/>
      <c r="T186" s="9"/>
      <c r="U186" s="1" t="s">
        <v>315</v>
      </c>
      <c r="V186" s="11"/>
      <c r="W186" s="232"/>
      <c r="X186" s="304"/>
    </row>
    <row r="187" spans="1:24" ht="15.75">
      <c r="A187" s="6"/>
      <c r="B187" s="7"/>
      <c r="C187" s="6"/>
      <c r="D187" s="6"/>
      <c r="E187" s="6"/>
      <c r="F187" s="1"/>
      <c r="G187" s="9"/>
      <c r="H187" s="9"/>
      <c r="I187" s="11"/>
      <c r="J187" s="1"/>
      <c r="K187" s="205" t="s">
        <v>315</v>
      </c>
      <c r="L187" s="1" t="s">
        <v>315</v>
      </c>
      <c r="M187" s="9"/>
      <c r="N187" s="14"/>
      <c r="O187" s="16"/>
      <c r="P187" s="6" t="e">
        <f>VLOOKUP(Tabela131617181920[[#This Row],[DT]],Aprovados!A:A,1,0)</f>
        <v>#N/A</v>
      </c>
      <c r="Q187" s="16"/>
      <c r="R187" s="16"/>
      <c r="S187" s="16"/>
      <c r="T187" s="9"/>
      <c r="U187" s="1" t="s">
        <v>315</v>
      </c>
      <c r="V187" s="11"/>
      <c r="W187" s="232"/>
      <c r="X187" s="304"/>
    </row>
    <row r="188" spans="1:24" ht="15.75">
      <c r="A188" s="6"/>
      <c r="B188" s="7"/>
      <c r="C188" s="6"/>
      <c r="D188" s="6"/>
      <c r="E188" s="6"/>
      <c r="F188" s="1"/>
      <c r="G188" s="9"/>
      <c r="H188" s="9"/>
      <c r="I188" s="11"/>
      <c r="J188" s="1"/>
      <c r="K188" s="205" t="s">
        <v>315</v>
      </c>
      <c r="L188" s="1" t="s">
        <v>315</v>
      </c>
      <c r="M188" s="9"/>
      <c r="N188" s="14"/>
      <c r="O188" s="16"/>
      <c r="P188" s="6" t="e">
        <f>VLOOKUP(Tabela131617181920[[#This Row],[DT]],Aprovados!A:A,1,0)</f>
        <v>#N/A</v>
      </c>
      <c r="Q188" s="16"/>
      <c r="R188" s="16"/>
      <c r="S188" s="16"/>
      <c r="T188" s="9"/>
      <c r="U188" s="1" t="s">
        <v>315</v>
      </c>
      <c r="V188" s="11"/>
      <c r="W188" s="232"/>
      <c r="X188" s="304"/>
    </row>
    <row r="189" spans="1:24" ht="15.75">
      <c r="A189" s="6"/>
      <c r="B189" s="7"/>
      <c r="C189" s="6"/>
      <c r="D189" s="6"/>
      <c r="E189" s="6"/>
      <c r="F189" s="1"/>
      <c r="G189" s="9"/>
      <c r="H189" s="9"/>
      <c r="I189" s="11"/>
      <c r="J189" s="1"/>
      <c r="K189" s="205" t="s">
        <v>315</v>
      </c>
      <c r="L189" s="1" t="s">
        <v>315</v>
      </c>
      <c r="M189" s="9"/>
      <c r="N189" s="14"/>
      <c r="O189" s="16"/>
      <c r="P189" s="6" t="e">
        <f>VLOOKUP(Tabela131617181920[[#This Row],[DT]],Aprovados!A:A,1,0)</f>
        <v>#N/A</v>
      </c>
      <c r="Q189" s="16"/>
      <c r="R189" s="16"/>
      <c r="S189" s="16"/>
      <c r="T189" s="9"/>
      <c r="U189" s="1" t="s">
        <v>315</v>
      </c>
      <c r="V189" s="11"/>
      <c r="W189" s="232"/>
      <c r="X189" s="304"/>
    </row>
    <row r="190" spans="1:24" ht="15.75">
      <c r="A190" s="6"/>
      <c r="B190" s="7"/>
      <c r="C190" s="6"/>
      <c r="D190" s="6"/>
      <c r="E190" s="6"/>
      <c r="F190" s="1"/>
      <c r="G190" s="9"/>
      <c r="H190" s="9"/>
      <c r="I190" s="11"/>
      <c r="J190" s="1"/>
      <c r="K190" s="205" t="s">
        <v>315</v>
      </c>
      <c r="L190" s="1" t="s">
        <v>315</v>
      </c>
      <c r="M190" s="9"/>
      <c r="N190" s="14"/>
      <c r="O190" s="16"/>
      <c r="P190" s="6" t="e">
        <f>VLOOKUP(Tabela131617181920[[#This Row],[DT]],Aprovados!A:A,1,0)</f>
        <v>#N/A</v>
      </c>
      <c r="Q190" s="16"/>
      <c r="R190" s="16"/>
      <c r="S190" s="16"/>
      <c r="T190" s="9"/>
      <c r="U190" s="1" t="s">
        <v>315</v>
      </c>
      <c r="V190" s="11"/>
      <c r="W190" s="232"/>
      <c r="X190" s="304"/>
    </row>
    <row r="191" spans="1:24" ht="15.75">
      <c r="A191" s="6"/>
      <c r="B191" s="7"/>
      <c r="C191" s="6"/>
      <c r="D191" s="6"/>
      <c r="E191" s="6"/>
      <c r="F191" s="1"/>
      <c r="G191" s="9"/>
      <c r="H191" s="9"/>
      <c r="I191" s="11"/>
      <c r="J191" s="1"/>
      <c r="K191" s="205" t="s">
        <v>315</v>
      </c>
      <c r="L191" s="1" t="s">
        <v>315</v>
      </c>
      <c r="M191" s="9"/>
      <c r="N191" s="14"/>
      <c r="O191" s="16"/>
      <c r="P191" s="6" t="e">
        <f>VLOOKUP(Tabela131617181920[[#This Row],[DT]],Aprovados!A:A,1,0)</f>
        <v>#N/A</v>
      </c>
      <c r="Q191" s="16"/>
      <c r="R191" s="16"/>
      <c r="S191" s="16"/>
      <c r="T191" s="9"/>
      <c r="U191" s="1" t="s">
        <v>315</v>
      </c>
      <c r="V191" s="11"/>
      <c r="W191" s="232"/>
      <c r="X191" s="304"/>
    </row>
    <row r="192" spans="1:24" ht="15.75">
      <c r="A192" s="6"/>
      <c r="B192" s="7"/>
      <c r="C192" s="6"/>
      <c r="D192" s="6"/>
      <c r="E192" s="6"/>
      <c r="F192" s="1"/>
      <c r="G192" s="9"/>
      <c r="H192" s="9"/>
      <c r="I192" s="11"/>
      <c r="J192" s="1"/>
      <c r="K192" s="205" t="s">
        <v>315</v>
      </c>
      <c r="L192" s="1" t="s">
        <v>315</v>
      </c>
      <c r="M192" s="9"/>
      <c r="N192" s="14"/>
      <c r="O192" s="16"/>
      <c r="P192" s="6" t="e">
        <f>VLOOKUP(Tabela131617181920[[#This Row],[DT]],Aprovados!A:A,1,0)</f>
        <v>#N/A</v>
      </c>
      <c r="Q192" s="16"/>
      <c r="R192" s="16"/>
      <c r="S192" s="16"/>
      <c r="T192" s="9"/>
      <c r="U192" s="1" t="s">
        <v>315</v>
      </c>
      <c r="V192" s="11"/>
      <c r="W192" s="232"/>
      <c r="X192" s="304"/>
    </row>
    <row r="193" spans="1:24" ht="15.75">
      <c r="A193" s="6"/>
      <c r="B193" s="7"/>
      <c r="C193" s="6"/>
      <c r="D193" s="6"/>
      <c r="E193" s="6"/>
      <c r="F193" s="1"/>
      <c r="G193" s="9"/>
      <c r="H193" s="9"/>
      <c r="I193" s="11"/>
      <c r="J193" s="1"/>
      <c r="K193" s="205" t="s">
        <v>315</v>
      </c>
      <c r="L193" s="1" t="s">
        <v>315</v>
      </c>
      <c r="M193" s="9"/>
      <c r="N193" s="14"/>
      <c r="O193" s="16"/>
      <c r="P193" s="6" t="e">
        <f>VLOOKUP(Tabela131617181920[[#This Row],[DT]],Aprovados!A:A,1,0)</f>
        <v>#N/A</v>
      </c>
      <c r="Q193" s="16"/>
      <c r="R193" s="16"/>
      <c r="S193" s="16"/>
      <c r="T193" s="9"/>
      <c r="U193" s="1" t="s">
        <v>315</v>
      </c>
      <c r="V193" s="11"/>
      <c r="W193" s="232"/>
      <c r="X193" s="304"/>
    </row>
    <row r="194" spans="1:24" ht="15.75">
      <c r="A194" s="6"/>
      <c r="B194" s="7"/>
      <c r="C194" s="6"/>
      <c r="D194" s="6"/>
      <c r="E194" s="6"/>
      <c r="F194" s="1"/>
      <c r="G194" s="9"/>
      <c r="H194" s="9"/>
      <c r="I194" s="11"/>
      <c r="J194" s="1"/>
      <c r="K194" s="205" t="s">
        <v>315</v>
      </c>
      <c r="L194" s="1" t="s">
        <v>315</v>
      </c>
      <c r="M194" s="9"/>
      <c r="N194" s="14"/>
      <c r="O194" s="16"/>
      <c r="P194" s="6" t="e">
        <f>VLOOKUP(Tabela131617181920[[#This Row],[DT]],Aprovados!A:A,1,0)</f>
        <v>#N/A</v>
      </c>
      <c r="Q194" s="16"/>
      <c r="R194" s="16"/>
      <c r="S194" s="16"/>
      <c r="T194" s="9"/>
      <c r="U194" s="1" t="s">
        <v>315</v>
      </c>
      <c r="V194" s="11"/>
      <c r="W194" s="232"/>
      <c r="X194" s="304"/>
    </row>
    <row r="195" spans="1:24" ht="15.75">
      <c r="A195" s="6"/>
      <c r="B195" s="7"/>
      <c r="C195" s="6"/>
      <c r="D195" s="6"/>
      <c r="E195" s="6"/>
      <c r="F195" s="1"/>
      <c r="G195" s="9"/>
      <c r="H195" s="9"/>
      <c r="I195" s="11"/>
      <c r="J195" s="1"/>
      <c r="K195" s="205" t="s">
        <v>315</v>
      </c>
      <c r="L195" s="1" t="s">
        <v>315</v>
      </c>
      <c r="M195" s="9"/>
      <c r="N195" s="14"/>
      <c r="O195" s="16"/>
      <c r="P195" s="6" t="e">
        <f>VLOOKUP(Tabela131617181920[[#This Row],[DT]],Aprovados!A:A,1,0)</f>
        <v>#N/A</v>
      </c>
      <c r="Q195" s="16"/>
      <c r="R195" s="16"/>
      <c r="S195" s="16"/>
      <c r="T195" s="9"/>
      <c r="U195" s="1" t="s">
        <v>315</v>
      </c>
      <c r="V195" s="11"/>
      <c r="W195" s="232"/>
      <c r="X195" s="304"/>
    </row>
    <row r="196" spans="1:24" ht="15.75">
      <c r="K196" s="205"/>
      <c r="L196" s="1" t="s">
        <v>315</v>
      </c>
      <c r="P196" s="16"/>
      <c r="U196" s="1" t="s">
        <v>315</v>
      </c>
      <c r="W196" s="232"/>
      <c r="X196" s="304"/>
    </row>
    <row r="197" spans="1:24">
      <c r="L197" s="1" t="s">
        <v>315</v>
      </c>
      <c r="P197" s="16"/>
      <c r="U197" s="1" t="s">
        <v>315</v>
      </c>
      <c r="X197" s="304"/>
    </row>
    <row r="198" spans="1:24">
      <c r="L198" s="1" t="s">
        <v>315</v>
      </c>
      <c r="P198" s="16"/>
      <c r="U198" s="1" t="s">
        <v>315</v>
      </c>
      <c r="X198" s="304"/>
    </row>
    <row r="199" spans="1:24">
      <c r="L199" s="1" t="s">
        <v>315</v>
      </c>
      <c r="P199" s="16"/>
      <c r="U199" s="1" t="s">
        <v>315</v>
      </c>
      <c r="X199" s="304"/>
    </row>
    <row r="200" spans="1:24">
      <c r="L200" s="1" t="s">
        <v>315</v>
      </c>
      <c r="P200" s="16"/>
      <c r="U200" s="1" t="s">
        <v>315</v>
      </c>
      <c r="X200" s="304"/>
    </row>
    <row r="201" spans="1:24">
      <c r="L201" s="1" t="s">
        <v>315</v>
      </c>
      <c r="P201" s="16"/>
      <c r="U201" s="1" t="s">
        <v>315</v>
      </c>
      <c r="X201" s="304"/>
    </row>
    <row r="202" spans="1:24">
      <c r="L202" s="1" t="s">
        <v>315</v>
      </c>
      <c r="P202" s="16"/>
      <c r="U202" s="1" t="s">
        <v>315</v>
      </c>
      <c r="X202" s="304"/>
    </row>
    <row r="203" spans="1:24">
      <c r="L203" s="1" t="s">
        <v>315</v>
      </c>
      <c r="P203" s="16"/>
      <c r="U203" s="1" t="s">
        <v>315</v>
      </c>
      <c r="X203" s="304"/>
    </row>
    <row r="204" spans="1:24">
      <c r="L204" s="1" t="s">
        <v>315</v>
      </c>
      <c r="P204" s="16"/>
      <c r="U204" s="1" t="s">
        <v>315</v>
      </c>
      <c r="X204" s="304"/>
    </row>
    <row r="205" spans="1:24">
      <c r="L205" s="1" t="s">
        <v>315</v>
      </c>
      <c r="P205" s="16"/>
      <c r="U205" s="1" t="s">
        <v>315</v>
      </c>
      <c r="X205" s="304"/>
    </row>
    <row r="206" spans="1:24">
      <c r="A206" s="6"/>
      <c r="B206" s="7"/>
      <c r="C206" s="6"/>
      <c r="D206" s="6"/>
      <c r="E206" s="6"/>
      <c r="F206" s="1"/>
      <c r="G206" s="9"/>
      <c r="H206" s="9"/>
      <c r="I206" s="11"/>
      <c r="J206" s="1"/>
      <c r="K206" s="1"/>
      <c r="L206" s="1" t="s">
        <v>315</v>
      </c>
      <c r="M206" s="9"/>
      <c r="N206" s="14"/>
      <c r="O206" s="16"/>
      <c r="P206" s="16"/>
      <c r="Q206" s="16"/>
      <c r="R206" s="16"/>
      <c r="S206" s="16"/>
      <c r="T206" s="9"/>
      <c r="U206" s="1" t="s">
        <v>315</v>
      </c>
      <c r="V206" s="11"/>
      <c r="X206" s="304"/>
    </row>
    <row r="207" spans="1:24">
      <c r="A207" s="6"/>
      <c r="B207" s="7"/>
      <c r="C207" s="6"/>
      <c r="D207" s="6"/>
      <c r="E207" s="6"/>
      <c r="F207" s="1"/>
      <c r="G207" s="9"/>
      <c r="H207" s="9"/>
      <c r="I207" s="11"/>
      <c r="J207" s="1"/>
      <c r="K207" s="1"/>
      <c r="L207" s="1" t="s">
        <v>315</v>
      </c>
      <c r="M207" s="9"/>
      <c r="N207" s="14"/>
      <c r="O207" s="16"/>
      <c r="P207" s="16"/>
      <c r="Q207" s="16"/>
      <c r="R207" s="16"/>
      <c r="S207" s="16"/>
      <c r="T207" s="9"/>
      <c r="U207" s="1" t="s">
        <v>315</v>
      </c>
      <c r="V207" s="11"/>
      <c r="W207" s="232"/>
      <c r="X207" s="304"/>
    </row>
    <row r="208" spans="1:24">
      <c r="A208" s="6"/>
      <c r="B208" s="7"/>
      <c r="C208" s="6"/>
      <c r="D208" s="6"/>
      <c r="E208" s="6"/>
      <c r="F208" s="1"/>
      <c r="G208" s="9"/>
      <c r="H208" s="9"/>
      <c r="I208" s="11"/>
      <c r="J208" s="1"/>
      <c r="K208" s="1"/>
      <c r="L208" s="1" t="s">
        <v>315</v>
      </c>
      <c r="M208" s="9"/>
      <c r="N208" s="14"/>
      <c r="O208" s="16"/>
      <c r="P208" s="16"/>
      <c r="Q208" s="16"/>
      <c r="R208" s="16"/>
      <c r="S208" s="16"/>
      <c r="T208" s="9"/>
      <c r="U208" s="1" t="s">
        <v>315</v>
      </c>
      <c r="V208" s="11"/>
      <c r="W208" s="232"/>
      <c r="X208" s="304"/>
    </row>
    <row r="209" spans="1:24">
      <c r="A209" s="6"/>
      <c r="B209" s="7"/>
      <c r="C209" s="6"/>
      <c r="D209" s="6"/>
      <c r="E209" s="6"/>
      <c r="F209" s="1"/>
      <c r="G209" s="9"/>
      <c r="H209" s="9"/>
      <c r="I209" s="11"/>
      <c r="J209" s="1"/>
      <c r="K209" s="1"/>
      <c r="L209" s="1" t="s">
        <v>315</v>
      </c>
      <c r="M209" s="9"/>
      <c r="N209" s="14"/>
      <c r="O209" s="16"/>
      <c r="P209" s="16"/>
      <c r="Q209" s="16"/>
      <c r="R209" s="16"/>
      <c r="S209" s="16"/>
      <c r="T209" s="9"/>
      <c r="U209" s="1" t="s">
        <v>315</v>
      </c>
      <c r="V209" s="11"/>
      <c r="W209" s="232"/>
      <c r="X209" s="304"/>
    </row>
    <row r="210" spans="1:24">
      <c r="A210" s="6"/>
      <c r="B210" s="7"/>
      <c r="C210" s="6"/>
      <c r="D210" s="6"/>
      <c r="E210" s="6"/>
      <c r="F210" s="1"/>
      <c r="G210" s="9"/>
      <c r="H210" s="9"/>
      <c r="I210" s="11"/>
      <c r="J210" s="1"/>
      <c r="K210" s="1"/>
      <c r="L210" s="1" t="s">
        <v>315</v>
      </c>
      <c r="M210" s="9"/>
      <c r="N210" s="14"/>
      <c r="O210" s="16"/>
      <c r="P210" s="16"/>
      <c r="Q210" s="16"/>
      <c r="R210" s="16"/>
      <c r="S210" s="16"/>
      <c r="T210" s="9"/>
      <c r="U210" s="1" t="s">
        <v>315</v>
      </c>
      <c r="V210" s="11"/>
      <c r="W210" s="232"/>
      <c r="X210" s="304"/>
    </row>
    <row r="211" spans="1:24">
      <c r="A211" s="6"/>
      <c r="B211" s="7"/>
      <c r="C211" s="6"/>
      <c r="D211" s="6"/>
      <c r="E211" s="6"/>
      <c r="F211" s="1"/>
      <c r="G211" s="9"/>
      <c r="H211" s="9"/>
      <c r="I211" s="11"/>
      <c r="J211" s="1"/>
      <c r="K211" s="1"/>
      <c r="L211" s="1" t="s">
        <v>315</v>
      </c>
      <c r="M211" s="9"/>
      <c r="N211" s="14"/>
      <c r="O211" s="16"/>
      <c r="P211" s="16"/>
      <c r="Q211" s="16"/>
      <c r="R211" s="16"/>
      <c r="S211" s="16"/>
      <c r="T211" s="9"/>
      <c r="U211" s="1" t="s">
        <v>315</v>
      </c>
      <c r="V211" s="11"/>
      <c r="W211" s="232"/>
      <c r="X211" s="304"/>
    </row>
    <row r="212" spans="1:24">
      <c r="A212" s="6"/>
      <c r="B212" s="7"/>
      <c r="C212" s="6"/>
      <c r="D212" s="6"/>
      <c r="E212" s="6"/>
      <c r="F212" s="1"/>
      <c r="G212" s="9"/>
      <c r="H212" s="9"/>
      <c r="I212" s="11"/>
      <c r="J212" s="1"/>
      <c r="K212" s="1"/>
      <c r="L212" s="1" t="s">
        <v>315</v>
      </c>
      <c r="M212" s="9"/>
      <c r="N212" s="14"/>
      <c r="O212" s="16"/>
      <c r="P212" s="16"/>
      <c r="Q212" s="16"/>
      <c r="R212" s="16"/>
      <c r="S212" s="16"/>
      <c r="T212" s="9"/>
      <c r="U212" s="1" t="s">
        <v>315</v>
      </c>
      <c r="V212" s="11"/>
      <c r="W212" s="232"/>
      <c r="X212" s="304"/>
    </row>
    <row r="213" spans="1:24">
      <c r="A213" s="6"/>
      <c r="B213" s="7"/>
      <c r="C213" s="6"/>
      <c r="D213" s="6"/>
      <c r="E213" s="6"/>
      <c r="F213" s="1"/>
      <c r="G213" s="9"/>
      <c r="H213" s="9"/>
      <c r="I213" s="11"/>
      <c r="J213" s="1"/>
      <c r="K213" s="1"/>
      <c r="L213" s="1" t="s">
        <v>315</v>
      </c>
      <c r="M213" s="9"/>
      <c r="N213" s="14"/>
      <c r="O213" s="16"/>
      <c r="P213" s="16"/>
      <c r="Q213" s="16"/>
      <c r="R213" s="16"/>
      <c r="S213" s="16"/>
      <c r="T213" s="9"/>
      <c r="U213" s="1" t="s">
        <v>315</v>
      </c>
      <c r="V213" s="11"/>
      <c r="W213" s="232"/>
      <c r="X213" s="304"/>
    </row>
    <row r="214" spans="1:24">
      <c r="A214" s="6"/>
      <c r="B214" s="7"/>
      <c r="C214" s="6"/>
      <c r="D214" s="6"/>
      <c r="E214" s="6"/>
      <c r="F214" s="1"/>
      <c r="G214" s="9"/>
      <c r="H214" s="9"/>
      <c r="I214" s="11"/>
      <c r="J214" s="1"/>
      <c r="K214" s="1"/>
      <c r="L214" s="1" t="s">
        <v>315</v>
      </c>
      <c r="M214" s="9"/>
      <c r="N214" s="14"/>
      <c r="O214" s="16"/>
      <c r="P214" s="16"/>
      <c r="Q214" s="16"/>
      <c r="R214" s="16"/>
      <c r="S214" s="16"/>
      <c r="T214" s="9"/>
      <c r="U214" s="1" t="s">
        <v>315</v>
      </c>
      <c r="V214" s="11"/>
      <c r="W214" s="232"/>
      <c r="X214" s="304"/>
    </row>
    <row r="215" spans="1:24">
      <c r="A215" s="6"/>
      <c r="B215" s="7"/>
      <c r="C215" s="6"/>
      <c r="D215" s="6"/>
      <c r="E215" s="6"/>
      <c r="F215" s="1"/>
      <c r="G215" s="9"/>
      <c r="H215" s="9"/>
      <c r="I215" s="11"/>
      <c r="J215" s="1"/>
      <c r="K215" s="1"/>
      <c r="L215" s="1" t="s">
        <v>315</v>
      </c>
      <c r="M215" s="9"/>
      <c r="N215" s="14"/>
      <c r="O215" s="16"/>
      <c r="P215" s="16"/>
      <c r="Q215" s="16"/>
      <c r="R215" s="16"/>
      <c r="S215" s="16"/>
      <c r="T215" s="9"/>
      <c r="U215" s="1" t="s">
        <v>315</v>
      </c>
      <c r="V215" s="11"/>
      <c r="W215" s="232"/>
      <c r="X215" s="304"/>
    </row>
    <row r="216" spans="1:24">
      <c r="A216" s="6"/>
      <c r="B216" s="7"/>
      <c r="C216" s="6"/>
      <c r="D216" s="6"/>
      <c r="E216" s="6"/>
      <c r="F216" s="1"/>
      <c r="G216" s="9"/>
      <c r="H216" s="9"/>
      <c r="I216" s="11"/>
      <c r="J216" s="1"/>
      <c r="K216" s="1"/>
      <c r="L216" s="1" t="s">
        <v>315</v>
      </c>
      <c r="M216" s="9"/>
      <c r="N216" s="14"/>
      <c r="O216" s="16"/>
      <c r="P216" s="16"/>
      <c r="Q216" s="16"/>
      <c r="R216" s="16"/>
      <c r="S216" s="16"/>
      <c r="T216" s="9"/>
      <c r="U216" s="1" t="s">
        <v>315</v>
      </c>
      <c r="V216" s="11"/>
      <c r="W216" s="232"/>
      <c r="X216" s="304"/>
    </row>
    <row r="217" spans="1:24">
      <c r="A217" s="6"/>
      <c r="B217" s="7"/>
      <c r="C217" s="6"/>
      <c r="D217" s="6"/>
      <c r="E217" s="6"/>
      <c r="F217" s="1"/>
      <c r="G217" s="9"/>
      <c r="H217" s="9"/>
      <c r="I217" s="11"/>
      <c r="J217" s="1"/>
      <c r="K217" s="1"/>
      <c r="L217" s="1" t="s">
        <v>315</v>
      </c>
      <c r="M217" s="9"/>
      <c r="N217" s="14"/>
      <c r="O217" s="16"/>
      <c r="P217" s="16"/>
      <c r="Q217" s="16"/>
      <c r="R217" s="16"/>
      <c r="S217" s="16"/>
      <c r="T217" s="9"/>
      <c r="U217" s="1" t="s">
        <v>315</v>
      </c>
      <c r="V217" s="11"/>
      <c r="W217" s="232"/>
      <c r="X217" s="304"/>
    </row>
    <row r="218" spans="1:24">
      <c r="A218" s="6"/>
      <c r="B218" s="7"/>
      <c r="C218" s="6"/>
      <c r="D218" s="6"/>
      <c r="E218" s="6"/>
      <c r="F218" s="1"/>
      <c r="G218" s="9"/>
      <c r="H218" s="9"/>
      <c r="I218" s="11"/>
      <c r="J218" s="1"/>
      <c r="K218" s="1"/>
      <c r="L218" s="1" t="s">
        <v>315</v>
      </c>
      <c r="M218" s="9"/>
      <c r="N218" s="14"/>
      <c r="O218" s="16"/>
      <c r="P218" s="16"/>
      <c r="Q218" s="16"/>
      <c r="R218" s="16"/>
      <c r="S218" s="16"/>
      <c r="T218" s="9"/>
      <c r="U218" s="1" t="s">
        <v>315</v>
      </c>
      <c r="V218" s="11"/>
      <c r="W218" s="232"/>
      <c r="X218" s="304"/>
    </row>
    <row r="219" spans="1:24">
      <c r="A219" s="6"/>
      <c r="B219" s="7"/>
      <c r="C219" s="6"/>
      <c r="D219" s="6"/>
      <c r="E219" s="6"/>
      <c r="F219" s="1"/>
      <c r="G219" s="9"/>
      <c r="H219" s="9"/>
      <c r="I219" s="11"/>
      <c r="J219" s="1"/>
      <c r="K219" s="1"/>
      <c r="L219" s="1" t="s">
        <v>315</v>
      </c>
      <c r="M219" s="9"/>
      <c r="N219" s="14"/>
      <c r="O219" s="16"/>
      <c r="P219" s="16"/>
      <c r="Q219" s="16"/>
      <c r="R219" s="16"/>
      <c r="S219" s="16"/>
      <c r="T219" s="9"/>
      <c r="U219" s="1" t="s">
        <v>315</v>
      </c>
      <c r="V219" s="11"/>
      <c r="W219" s="232"/>
      <c r="X219" s="304"/>
    </row>
    <row r="220" spans="1:24">
      <c r="A220" s="6"/>
      <c r="B220" s="7"/>
      <c r="C220" s="6"/>
      <c r="D220" s="6"/>
      <c r="E220" s="6"/>
      <c r="F220" s="1"/>
      <c r="G220" s="9"/>
      <c r="H220" s="9"/>
      <c r="I220" s="11"/>
      <c r="J220" s="1"/>
      <c r="K220" s="1"/>
      <c r="L220" s="1" t="s">
        <v>315</v>
      </c>
      <c r="M220" s="9"/>
      <c r="N220" s="14"/>
      <c r="O220" s="16"/>
      <c r="P220" s="16"/>
      <c r="Q220" s="16"/>
      <c r="R220" s="16"/>
      <c r="S220" s="16"/>
      <c r="T220" s="9"/>
      <c r="U220" s="1" t="s">
        <v>315</v>
      </c>
      <c r="V220" s="11"/>
      <c r="W220" s="232"/>
      <c r="X220" s="304"/>
    </row>
    <row r="221" spans="1:24">
      <c r="A221" s="6"/>
      <c r="B221" s="7"/>
      <c r="C221" s="6"/>
      <c r="D221" s="6"/>
      <c r="E221" s="6"/>
      <c r="F221" s="1"/>
      <c r="G221" s="9"/>
      <c r="H221" s="9"/>
      <c r="I221" s="11"/>
      <c r="J221" s="1"/>
      <c r="K221" s="1"/>
      <c r="L221" s="1" t="s">
        <v>315</v>
      </c>
      <c r="M221" s="9"/>
      <c r="N221" s="14"/>
      <c r="O221" s="16"/>
      <c r="P221" s="16"/>
      <c r="Q221" s="16"/>
      <c r="R221" s="16"/>
      <c r="S221" s="16"/>
      <c r="T221" s="9"/>
      <c r="U221" s="1" t="s">
        <v>315</v>
      </c>
      <c r="V221" s="11"/>
      <c r="W221" s="232"/>
      <c r="X221" s="304"/>
    </row>
    <row r="222" spans="1:24">
      <c r="A222" s="6"/>
      <c r="B222" s="276"/>
      <c r="C222" s="260"/>
      <c r="D222" s="6"/>
      <c r="E222" s="6"/>
      <c r="F222" s="1"/>
      <c r="G222" s="9"/>
      <c r="H222" s="9"/>
      <c r="I222" s="11"/>
      <c r="J222" s="1"/>
      <c r="K222" s="1"/>
      <c r="L222" s="1" t="s">
        <v>315</v>
      </c>
      <c r="M222" s="9"/>
      <c r="N222" s="14"/>
      <c r="O222" s="16"/>
      <c r="P222" s="16"/>
      <c r="Q222" s="16"/>
      <c r="R222" s="16"/>
      <c r="S222" s="16"/>
      <c r="T222" s="9"/>
      <c r="U222" s="1" t="s">
        <v>315</v>
      </c>
      <c r="V222" s="11"/>
      <c r="W222" s="232"/>
      <c r="X222" s="304"/>
    </row>
    <row r="223" spans="1:24">
      <c r="A223" s="6"/>
      <c r="B223" s="7"/>
      <c r="C223" s="6"/>
      <c r="D223" s="6"/>
      <c r="E223" s="6"/>
      <c r="F223" s="1"/>
      <c r="G223" s="9"/>
      <c r="H223" s="9"/>
      <c r="I223" s="11"/>
      <c r="J223" s="1"/>
      <c r="K223" s="1"/>
      <c r="L223" s="1" t="s">
        <v>315</v>
      </c>
      <c r="M223" s="9"/>
      <c r="N223" s="14"/>
      <c r="O223" s="16"/>
      <c r="P223" s="16"/>
      <c r="Q223" s="16"/>
      <c r="R223" s="16"/>
      <c r="S223" s="16"/>
      <c r="T223" s="9"/>
      <c r="U223" s="1" t="s">
        <v>315</v>
      </c>
      <c r="V223" s="11"/>
      <c r="W223" s="232"/>
      <c r="X223" s="304"/>
    </row>
    <row r="224" spans="1:24">
      <c r="A224" s="6"/>
      <c r="B224" s="7"/>
      <c r="C224" s="6"/>
      <c r="D224" s="6"/>
      <c r="E224" s="6"/>
      <c r="F224" s="1"/>
      <c r="G224" s="9"/>
      <c r="H224" s="9"/>
      <c r="I224" s="11"/>
      <c r="J224" s="1"/>
      <c r="K224" s="1"/>
      <c r="L224" s="1" t="s">
        <v>315</v>
      </c>
      <c r="M224" s="9"/>
      <c r="N224" s="14"/>
      <c r="O224" s="16"/>
      <c r="P224" s="16"/>
      <c r="Q224" s="16"/>
      <c r="R224" s="16"/>
      <c r="S224" s="16"/>
      <c r="T224" s="9"/>
      <c r="U224" s="1" t="s">
        <v>315</v>
      </c>
      <c r="V224" s="11"/>
      <c r="W224" s="232"/>
      <c r="X224" s="304"/>
    </row>
    <row r="225" spans="1:24">
      <c r="A225" s="6"/>
      <c r="B225" s="7"/>
      <c r="C225" s="6"/>
      <c r="D225" s="6"/>
      <c r="E225" s="6"/>
      <c r="F225" s="1"/>
      <c r="G225" s="9"/>
      <c r="H225" s="9"/>
      <c r="I225" s="11"/>
      <c r="J225" s="1"/>
      <c r="K225" s="1"/>
      <c r="L225" s="1" t="s">
        <v>315</v>
      </c>
      <c r="M225" s="9"/>
      <c r="N225" s="14"/>
      <c r="O225" s="16"/>
      <c r="P225" s="16"/>
      <c r="Q225" s="16"/>
      <c r="R225" s="16"/>
      <c r="S225" s="16"/>
      <c r="T225" s="9"/>
      <c r="U225" s="1" t="s">
        <v>315</v>
      </c>
      <c r="V225" s="11"/>
      <c r="W225" s="232"/>
      <c r="X225" s="304"/>
    </row>
    <row r="226" spans="1:24">
      <c r="A226" s="6"/>
      <c r="B226" s="7"/>
      <c r="C226" s="6"/>
      <c r="D226" s="6"/>
      <c r="E226" s="6"/>
      <c r="F226" s="1"/>
      <c r="G226" s="9"/>
      <c r="H226" s="9"/>
      <c r="I226" s="11"/>
      <c r="J226" s="1"/>
      <c r="K226" s="1"/>
      <c r="L226" s="1" t="s">
        <v>315</v>
      </c>
      <c r="M226" s="9"/>
      <c r="N226" s="14"/>
      <c r="O226" s="16"/>
      <c r="P226" s="16"/>
      <c r="Q226" s="16"/>
      <c r="R226" s="16"/>
      <c r="S226" s="16"/>
      <c r="T226" s="9"/>
      <c r="U226" s="1" t="s">
        <v>315</v>
      </c>
      <c r="V226" s="11"/>
      <c r="W226" s="232"/>
      <c r="X226" s="304"/>
    </row>
    <row r="227" spans="1:24">
      <c r="A227" s="6"/>
      <c r="B227" s="7"/>
      <c r="C227" s="6"/>
      <c r="D227" s="6"/>
      <c r="E227" s="6"/>
      <c r="F227" s="1"/>
      <c r="G227" s="9"/>
      <c r="H227" s="9"/>
      <c r="I227" s="11"/>
      <c r="J227" s="1"/>
      <c r="K227" s="1"/>
      <c r="L227" s="1" t="s">
        <v>315</v>
      </c>
      <c r="M227" s="9"/>
      <c r="N227" s="14"/>
      <c r="O227" s="16"/>
      <c r="P227" s="16"/>
      <c r="Q227" s="16"/>
      <c r="R227" s="16"/>
      <c r="S227" s="16"/>
      <c r="T227" s="9"/>
      <c r="U227" s="1" t="s">
        <v>315</v>
      </c>
      <c r="V227" s="11"/>
      <c r="W227" s="232"/>
      <c r="X227" s="304"/>
    </row>
    <row r="228" spans="1:24">
      <c r="A228" s="6"/>
      <c r="B228" s="7"/>
      <c r="C228" s="59"/>
      <c r="D228" s="6"/>
      <c r="E228" s="6"/>
      <c r="F228" s="1"/>
      <c r="G228" s="9"/>
      <c r="H228" s="9"/>
      <c r="I228" s="11"/>
      <c r="J228" s="1"/>
      <c r="K228" s="1"/>
      <c r="L228" s="1" t="s">
        <v>315</v>
      </c>
      <c r="M228" s="9"/>
      <c r="N228" s="14"/>
      <c r="O228" s="16"/>
      <c r="P228" s="16"/>
      <c r="Q228" s="16"/>
      <c r="R228" s="16"/>
      <c r="S228" s="16"/>
      <c r="T228" s="9"/>
      <c r="U228" s="1" t="s">
        <v>315</v>
      </c>
      <c r="V228" s="11"/>
      <c r="W228" s="232"/>
      <c r="X228" s="304"/>
    </row>
    <row r="229" spans="1:24">
      <c r="A229" s="6"/>
      <c r="B229" s="7"/>
      <c r="C229" s="6"/>
      <c r="D229" s="6"/>
      <c r="E229" s="6"/>
      <c r="F229" s="1"/>
      <c r="G229" s="9"/>
      <c r="H229" s="9"/>
      <c r="I229" s="11"/>
      <c r="J229" s="1"/>
      <c r="K229" s="1"/>
      <c r="L229" s="1" t="s">
        <v>315</v>
      </c>
      <c r="M229" s="9"/>
      <c r="N229" s="14"/>
      <c r="O229" s="16"/>
      <c r="P229" s="16"/>
      <c r="Q229" s="16"/>
      <c r="R229" s="16"/>
      <c r="S229" s="16"/>
      <c r="T229" s="9"/>
      <c r="U229" s="1" t="s">
        <v>315</v>
      </c>
      <c r="V229" s="11"/>
      <c r="W229" s="232"/>
      <c r="X229" s="304"/>
    </row>
    <row r="230" spans="1:24">
      <c r="A230" s="6"/>
      <c r="B230" s="7"/>
      <c r="C230" s="6"/>
      <c r="D230" s="6"/>
      <c r="E230" s="6"/>
      <c r="F230" s="1"/>
      <c r="G230" s="9"/>
      <c r="H230" s="9"/>
      <c r="I230" s="11"/>
      <c r="J230" s="1"/>
      <c r="K230" s="1"/>
      <c r="L230" s="1" t="s">
        <v>315</v>
      </c>
      <c r="M230" s="9"/>
      <c r="N230" s="14"/>
      <c r="O230" s="16"/>
      <c r="P230" s="16"/>
      <c r="Q230" s="16"/>
      <c r="R230" s="16"/>
      <c r="S230" s="16"/>
      <c r="T230" s="9"/>
      <c r="U230" s="1" t="s">
        <v>315</v>
      </c>
      <c r="V230" s="11"/>
      <c r="W230" s="232"/>
      <c r="X230" s="304"/>
    </row>
    <row r="231" spans="1:24">
      <c r="A231" s="6"/>
      <c r="B231" s="7"/>
      <c r="C231" s="6"/>
      <c r="D231" s="6"/>
      <c r="E231" s="6"/>
      <c r="F231" s="1"/>
      <c r="G231" s="9"/>
      <c r="H231" s="9"/>
      <c r="I231" s="11"/>
      <c r="J231" s="1"/>
      <c r="K231" s="1"/>
      <c r="L231" s="1" t="s">
        <v>315</v>
      </c>
      <c r="M231" s="9"/>
      <c r="N231" s="14"/>
      <c r="O231" s="16"/>
      <c r="P231" s="16"/>
      <c r="Q231" s="16"/>
      <c r="R231" s="16"/>
      <c r="S231" s="16"/>
      <c r="T231" s="9"/>
      <c r="U231" s="1" t="s">
        <v>315</v>
      </c>
      <c r="V231" s="11"/>
      <c r="W231" s="232"/>
      <c r="X231" s="304"/>
    </row>
    <row r="232" spans="1:24">
      <c r="A232" s="6"/>
      <c r="B232" s="7"/>
      <c r="C232" s="59"/>
      <c r="D232" s="6"/>
      <c r="E232" s="6"/>
      <c r="F232" s="1"/>
      <c r="G232" s="9"/>
      <c r="H232" s="9"/>
      <c r="I232" s="11"/>
      <c r="J232" s="1"/>
      <c r="K232" s="1"/>
      <c r="L232" s="1" t="s">
        <v>315</v>
      </c>
      <c r="M232" s="9"/>
      <c r="N232" s="14"/>
      <c r="O232" s="16"/>
      <c r="P232" s="16"/>
      <c r="Q232" s="16"/>
      <c r="R232" s="16"/>
      <c r="S232" s="16"/>
      <c r="T232" s="9"/>
      <c r="U232" s="1" t="s">
        <v>315</v>
      </c>
      <c r="V232" s="11"/>
      <c r="W232" s="232"/>
      <c r="X232" s="304"/>
    </row>
    <row r="233" spans="1:24">
      <c r="A233" s="6"/>
      <c r="B233" s="7"/>
      <c r="C233" s="6"/>
      <c r="D233" s="6"/>
      <c r="E233" s="6"/>
      <c r="F233" s="1"/>
      <c r="G233" s="9"/>
      <c r="H233" s="9"/>
      <c r="I233" s="11"/>
      <c r="J233" s="1"/>
      <c r="K233" s="1"/>
      <c r="L233" s="1" t="s">
        <v>315</v>
      </c>
      <c r="M233" s="9"/>
      <c r="N233" s="14"/>
      <c r="O233" s="16"/>
      <c r="P233" s="16"/>
      <c r="Q233" s="16"/>
      <c r="R233" s="16"/>
      <c r="S233" s="16"/>
      <c r="T233" s="9"/>
      <c r="U233" s="1" t="s">
        <v>315</v>
      </c>
      <c r="V233" s="11"/>
      <c r="W233" s="232"/>
      <c r="X233" s="304"/>
    </row>
    <row r="234" spans="1:24">
      <c r="A234" s="6"/>
      <c r="B234" s="7"/>
      <c r="C234" s="6"/>
      <c r="D234" s="6"/>
      <c r="E234" s="6"/>
      <c r="F234" s="1"/>
      <c r="G234" s="9"/>
      <c r="H234" s="9"/>
      <c r="I234" s="11"/>
      <c r="J234" s="1"/>
      <c r="K234" s="1"/>
      <c r="L234" s="1" t="s">
        <v>315</v>
      </c>
      <c r="M234" s="9"/>
      <c r="N234" s="14"/>
      <c r="O234" s="16"/>
      <c r="P234" s="16"/>
      <c r="Q234" s="16"/>
      <c r="R234" s="16"/>
      <c r="S234" s="16"/>
      <c r="T234" s="9"/>
      <c r="U234" s="1" t="s">
        <v>315</v>
      </c>
      <c r="V234" s="11"/>
      <c r="W234" s="232"/>
      <c r="X234" s="304"/>
    </row>
    <row r="235" spans="1:24">
      <c r="A235" s="6"/>
      <c r="B235" s="7"/>
      <c r="C235" s="6"/>
      <c r="D235" s="6"/>
      <c r="E235" s="6"/>
      <c r="F235" s="1"/>
      <c r="G235" s="9"/>
      <c r="H235" s="9"/>
      <c r="I235" s="11"/>
      <c r="J235" s="1"/>
      <c r="K235" s="1"/>
      <c r="L235" s="1" t="s">
        <v>315</v>
      </c>
      <c r="M235" s="9"/>
      <c r="N235" s="14"/>
      <c r="O235" s="16"/>
      <c r="P235" s="16"/>
      <c r="Q235" s="16"/>
      <c r="R235" s="16"/>
      <c r="S235" s="16"/>
      <c r="T235" s="9"/>
      <c r="U235" s="1" t="s">
        <v>315</v>
      </c>
      <c r="V235" s="11"/>
      <c r="W235" s="232"/>
      <c r="X235" s="304"/>
    </row>
    <row r="236" spans="1:24">
      <c r="A236" s="6"/>
      <c r="B236" s="7"/>
      <c r="C236" s="6"/>
      <c r="D236" s="6"/>
      <c r="E236" s="6"/>
      <c r="F236" s="1"/>
      <c r="G236" s="9"/>
      <c r="H236" s="9"/>
      <c r="I236" s="11"/>
      <c r="J236" s="1"/>
      <c r="K236" s="1"/>
      <c r="L236" s="1" t="s">
        <v>315</v>
      </c>
      <c r="M236" s="9"/>
      <c r="N236" s="14"/>
      <c r="O236" s="16"/>
      <c r="P236" s="16"/>
      <c r="Q236" s="16"/>
      <c r="R236" s="16"/>
      <c r="S236" s="16"/>
      <c r="T236" s="9"/>
      <c r="U236" s="1" t="s">
        <v>315</v>
      </c>
      <c r="V236" s="11"/>
      <c r="W236" s="232"/>
      <c r="X236" s="304"/>
    </row>
    <row r="237" spans="1:24">
      <c r="A237" s="6"/>
      <c r="B237" s="7"/>
      <c r="C237" s="6"/>
      <c r="D237" s="6"/>
      <c r="E237" s="6"/>
      <c r="F237" s="1"/>
      <c r="G237" s="9"/>
      <c r="H237" s="9"/>
      <c r="I237" s="11"/>
      <c r="J237" s="1"/>
      <c r="K237" s="1"/>
      <c r="L237" s="1" t="s">
        <v>315</v>
      </c>
      <c r="M237" s="9"/>
      <c r="N237" s="14"/>
      <c r="O237" s="16"/>
      <c r="P237" s="16"/>
      <c r="Q237" s="16"/>
      <c r="R237" s="16"/>
      <c r="S237" s="16"/>
      <c r="T237" s="9"/>
      <c r="U237" s="1" t="s">
        <v>315</v>
      </c>
      <c r="V237" s="11"/>
      <c r="W237" s="232"/>
      <c r="X237" s="304"/>
    </row>
    <row r="238" spans="1:24">
      <c r="A238" s="6"/>
      <c r="B238" s="7"/>
      <c r="C238" s="6"/>
      <c r="D238" s="6"/>
      <c r="E238" s="6"/>
      <c r="F238" s="1"/>
      <c r="G238" s="9"/>
      <c r="H238" s="9"/>
      <c r="I238" s="11"/>
      <c r="J238" s="1"/>
      <c r="K238" s="1"/>
      <c r="L238" s="1" t="s">
        <v>315</v>
      </c>
      <c r="M238" s="9"/>
      <c r="N238" s="14"/>
      <c r="O238" s="16"/>
      <c r="P238" s="16"/>
      <c r="Q238" s="16"/>
      <c r="R238" s="16"/>
      <c r="S238" s="16"/>
      <c r="T238" s="9"/>
      <c r="U238" s="1" t="s">
        <v>315</v>
      </c>
      <c r="V238" s="11"/>
      <c r="W238" s="232"/>
      <c r="X238" s="304"/>
    </row>
    <row r="239" spans="1:24">
      <c r="A239" s="6"/>
      <c r="B239" s="7"/>
      <c r="C239" s="6"/>
      <c r="D239" s="6"/>
      <c r="E239" s="6"/>
      <c r="F239" s="1"/>
      <c r="G239" s="9"/>
      <c r="H239" s="9"/>
      <c r="I239" s="11"/>
      <c r="J239" s="1"/>
      <c r="K239" s="1"/>
      <c r="L239" s="1" t="s">
        <v>315</v>
      </c>
      <c r="M239" s="9"/>
      <c r="N239" s="14"/>
      <c r="O239" s="16"/>
      <c r="P239" s="16"/>
      <c r="Q239" s="16"/>
      <c r="R239" s="16"/>
      <c r="S239" s="16"/>
      <c r="T239" s="9"/>
      <c r="U239" s="1" t="s">
        <v>315</v>
      </c>
      <c r="V239" s="11"/>
      <c r="W239" s="232"/>
      <c r="X239" s="304"/>
    </row>
    <row r="240" spans="1:24">
      <c r="A240" s="6"/>
      <c r="B240" s="7"/>
      <c r="C240" s="6"/>
      <c r="D240" s="6"/>
      <c r="E240" s="6"/>
      <c r="F240" s="1"/>
      <c r="G240" s="9"/>
      <c r="H240" s="9"/>
      <c r="I240" s="11"/>
      <c r="J240" s="1"/>
      <c r="K240" s="1"/>
      <c r="L240" s="1" t="s">
        <v>315</v>
      </c>
      <c r="M240" s="9"/>
      <c r="N240" s="14"/>
      <c r="O240" s="16"/>
      <c r="P240" s="16"/>
      <c r="Q240" s="16"/>
      <c r="R240" s="16"/>
      <c r="S240" s="16"/>
      <c r="T240" s="9"/>
      <c r="U240" s="1" t="s">
        <v>315</v>
      </c>
      <c r="V240" s="11"/>
      <c r="W240" s="232"/>
      <c r="X240" s="304"/>
    </row>
    <row r="241" spans="1:24">
      <c r="A241" s="6"/>
      <c r="B241" s="7"/>
      <c r="C241" s="6"/>
      <c r="D241" s="6"/>
      <c r="E241" s="6"/>
      <c r="F241" s="1"/>
      <c r="G241" s="9"/>
      <c r="H241" s="9"/>
      <c r="I241" s="11"/>
      <c r="J241" s="1"/>
      <c r="K241" s="1"/>
      <c r="L241" s="1" t="s">
        <v>315</v>
      </c>
      <c r="M241" s="9"/>
      <c r="N241" s="14"/>
      <c r="O241" s="16"/>
      <c r="P241" s="16"/>
      <c r="Q241" s="16"/>
      <c r="R241" s="16"/>
      <c r="S241" s="16"/>
      <c r="T241" s="9"/>
      <c r="U241" s="1" t="s">
        <v>315</v>
      </c>
      <c r="V241" s="11"/>
      <c r="W241" s="232"/>
      <c r="X241" s="304"/>
    </row>
    <row r="242" spans="1:24">
      <c r="A242" s="6"/>
      <c r="B242" s="7"/>
      <c r="C242" s="6"/>
      <c r="D242" s="6"/>
      <c r="E242" s="6"/>
      <c r="F242" s="1"/>
      <c r="G242" s="9"/>
      <c r="H242" s="9"/>
      <c r="I242" s="11"/>
      <c r="J242" s="1"/>
      <c r="K242" s="1"/>
      <c r="L242" s="1" t="s">
        <v>315</v>
      </c>
      <c r="M242" s="9"/>
      <c r="N242" s="14"/>
      <c r="O242" s="16"/>
      <c r="P242" s="16"/>
      <c r="Q242" s="16"/>
      <c r="R242" s="16"/>
      <c r="S242" s="16"/>
      <c r="T242" s="9"/>
      <c r="U242" s="1" t="s">
        <v>315</v>
      </c>
      <c r="V242" s="11"/>
      <c r="W242" s="232"/>
      <c r="X242" s="304"/>
    </row>
    <row r="243" spans="1:24">
      <c r="A243" s="6"/>
      <c r="B243" s="7"/>
      <c r="C243" s="6"/>
      <c r="D243" s="6"/>
      <c r="E243" s="6"/>
      <c r="F243" s="1"/>
      <c r="G243" s="9"/>
      <c r="H243" s="9"/>
      <c r="I243" s="11"/>
      <c r="J243" s="1"/>
      <c r="K243" s="1"/>
      <c r="L243" s="1" t="s">
        <v>315</v>
      </c>
      <c r="M243" s="9"/>
      <c r="N243" s="14"/>
      <c r="O243" s="16"/>
      <c r="P243" s="16"/>
      <c r="Q243" s="16"/>
      <c r="R243" s="16"/>
      <c r="S243" s="16"/>
      <c r="T243" s="9"/>
      <c r="U243" s="1" t="s">
        <v>315</v>
      </c>
      <c r="V243" s="11"/>
      <c r="W243" s="232"/>
      <c r="X243" s="304"/>
    </row>
    <row r="244" spans="1:24">
      <c r="A244" s="6"/>
      <c r="B244" s="7"/>
      <c r="C244" s="59"/>
      <c r="D244" s="6"/>
      <c r="E244" s="6"/>
      <c r="F244" s="1"/>
      <c r="G244" s="9"/>
      <c r="H244" s="9"/>
      <c r="I244" s="11"/>
      <c r="J244" s="1"/>
      <c r="K244" s="1"/>
      <c r="L244" s="1" t="s">
        <v>315</v>
      </c>
      <c r="M244" s="9"/>
      <c r="N244" s="14"/>
      <c r="O244" s="16"/>
      <c r="P244" s="16"/>
      <c r="Q244" s="16"/>
      <c r="R244" s="16"/>
      <c r="S244" s="16"/>
      <c r="T244" s="9"/>
      <c r="U244" s="1" t="s">
        <v>315</v>
      </c>
      <c r="V244" s="11"/>
      <c r="W244" s="232"/>
      <c r="X244" s="304"/>
    </row>
    <row r="245" spans="1:24">
      <c r="A245" s="6"/>
      <c r="B245" s="7"/>
      <c r="C245" s="6"/>
      <c r="D245" s="6"/>
      <c r="E245" s="6"/>
      <c r="F245" s="1"/>
      <c r="G245" s="9"/>
      <c r="H245" s="9"/>
      <c r="I245" s="11"/>
      <c r="J245" s="1"/>
      <c r="K245" s="1"/>
      <c r="L245" s="1" t="s">
        <v>315</v>
      </c>
      <c r="M245" s="9"/>
      <c r="N245" s="14"/>
      <c r="O245" s="16"/>
      <c r="P245" s="16"/>
      <c r="Q245" s="16"/>
      <c r="R245" s="16"/>
      <c r="S245" s="16"/>
      <c r="T245" s="9"/>
      <c r="U245" s="1" t="s">
        <v>315</v>
      </c>
      <c r="V245" s="11"/>
      <c r="W245" s="232"/>
      <c r="X245" s="304"/>
    </row>
    <row r="246" spans="1:24">
      <c r="A246" s="6"/>
      <c r="B246" s="7"/>
      <c r="C246" s="6"/>
      <c r="D246" s="6"/>
      <c r="E246" s="6"/>
      <c r="F246" s="1"/>
      <c r="G246" s="9"/>
      <c r="H246" s="9"/>
      <c r="I246" s="11"/>
      <c r="J246" s="1"/>
      <c r="K246" s="1"/>
      <c r="L246" s="1" t="s">
        <v>315</v>
      </c>
      <c r="M246" s="9"/>
      <c r="N246" s="14"/>
      <c r="O246" s="16"/>
      <c r="P246" s="16"/>
      <c r="Q246" s="16"/>
      <c r="R246" s="16"/>
      <c r="S246" s="16"/>
      <c r="T246" s="9"/>
      <c r="U246" s="1" t="s">
        <v>315</v>
      </c>
      <c r="V246" s="11"/>
      <c r="W246" s="232"/>
      <c r="X246" s="304"/>
    </row>
    <row r="247" spans="1:24">
      <c r="A247" s="6"/>
      <c r="B247" s="7"/>
      <c r="C247" s="6"/>
      <c r="D247" s="6"/>
      <c r="E247" s="6"/>
      <c r="F247" s="1"/>
      <c r="G247" s="9"/>
      <c r="H247" s="9"/>
      <c r="I247" s="11"/>
      <c r="J247" s="1"/>
      <c r="K247" s="1"/>
      <c r="L247" s="1" t="s">
        <v>315</v>
      </c>
      <c r="M247" s="9"/>
      <c r="N247" s="14"/>
      <c r="O247" s="16"/>
      <c r="P247" s="16"/>
      <c r="Q247" s="16"/>
      <c r="R247" s="16"/>
      <c r="S247" s="16"/>
      <c r="T247" s="9"/>
      <c r="U247" s="1" t="s">
        <v>315</v>
      </c>
      <c r="V247" s="11"/>
      <c r="W247" s="232"/>
      <c r="X247" s="304"/>
    </row>
    <row r="248" spans="1:24">
      <c r="A248" s="6"/>
      <c r="B248" s="7"/>
      <c r="C248" s="6"/>
      <c r="D248" s="6"/>
      <c r="E248" s="6"/>
      <c r="F248" s="1"/>
      <c r="G248" s="9"/>
      <c r="H248" s="9"/>
      <c r="I248" s="11"/>
      <c r="J248" s="1"/>
      <c r="K248" s="1"/>
      <c r="L248" s="1" t="s">
        <v>315</v>
      </c>
      <c r="M248" s="9"/>
      <c r="N248" s="14"/>
      <c r="O248" s="16"/>
      <c r="P248" s="16"/>
      <c r="Q248" s="16"/>
      <c r="R248" s="16"/>
      <c r="S248" s="16"/>
      <c r="T248" s="9"/>
      <c r="U248" s="1" t="s">
        <v>315</v>
      </c>
      <c r="V248" s="11"/>
      <c r="W248" s="232"/>
      <c r="X248" s="304"/>
    </row>
    <row r="249" spans="1:24">
      <c r="A249" s="6"/>
      <c r="B249" s="7"/>
      <c r="C249" s="6"/>
      <c r="D249" s="6"/>
      <c r="E249" s="6"/>
      <c r="F249" s="1"/>
      <c r="G249" s="9"/>
      <c r="H249" s="9"/>
      <c r="I249" s="11"/>
      <c r="J249" s="1"/>
      <c r="K249" s="1"/>
      <c r="L249" s="1" t="s">
        <v>315</v>
      </c>
      <c r="M249" s="9"/>
      <c r="N249" s="14"/>
      <c r="O249" s="16"/>
      <c r="P249" s="16"/>
      <c r="Q249" s="16"/>
      <c r="R249" s="16"/>
      <c r="S249" s="16"/>
      <c r="T249" s="9"/>
      <c r="U249" s="1" t="s">
        <v>315</v>
      </c>
      <c r="V249" s="11"/>
      <c r="W249" s="232"/>
      <c r="X249" s="304"/>
    </row>
    <row r="250" spans="1:24">
      <c r="A250" s="6"/>
      <c r="B250" s="7"/>
      <c r="C250" s="6"/>
      <c r="D250" s="6"/>
      <c r="E250" s="6"/>
      <c r="F250" s="1"/>
      <c r="G250" s="9"/>
      <c r="H250" s="9"/>
      <c r="I250" s="11"/>
      <c r="J250" s="1"/>
      <c r="K250" s="1"/>
      <c r="L250" s="1" t="s">
        <v>315</v>
      </c>
      <c r="M250" s="9"/>
      <c r="N250" s="14"/>
      <c r="O250" s="16"/>
      <c r="P250" s="16"/>
      <c r="Q250" s="16"/>
      <c r="R250" s="16"/>
      <c r="S250" s="16"/>
      <c r="T250" s="9"/>
      <c r="U250" s="1" t="s">
        <v>315</v>
      </c>
      <c r="V250" s="11"/>
      <c r="W250" s="232"/>
      <c r="X250" s="304"/>
    </row>
    <row r="251" spans="1:24">
      <c r="A251" s="6"/>
      <c r="B251" s="7"/>
      <c r="C251" s="6"/>
      <c r="D251" s="6"/>
      <c r="E251" s="6"/>
      <c r="F251" s="1"/>
      <c r="G251" s="9"/>
      <c r="H251" s="9"/>
      <c r="I251" s="11"/>
      <c r="J251" s="1"/>
      <c r="K251" s="1"/>
      <c r="L251" s="1" t="s">
        <v>315</v>
      </c>
      <c r="M251" s="9"/>
      <c r="N251" s="14"/>
      <c r="O251" s="16"/>
      <c r="P251" s="16"/>
      <c r="Q251" s="16"/>
      <c r="R251" s="16"/>
      <c r="S251" s="16"/>
      <c r="T251" s="9"/>
      <c r="U251" s="1" t="s">
        <v>315</v>
      </c>
      <c r="V251" s="11"/>
      <c r="W251" s="232"/>
      <c r="X251" s="304"/>
    </row>
    <row r="252" spans="1:24">
      <c r="A252" s="6"/>
      <c r="B252" s="7"/>
      <c r="C252" s="6"/>
      <c r="D252" s="6"/>
      <c r="E252" s="6"/>
      <c r="F252" s="1"/>
      <c r="G252" s="9"/>
      <c r="H252" s="9"/>
      <c r="I252" s="11"/>
      <c r="J252" s="1"/>
      <c r="K252" s="1"/>
      <c r="L252" s="1" t="s">
        <v>315</v>
      </c>
      <c r="M252" s="9"/>
      <c r="N252" s="14"/>
      <c r="O252" s="16"/>
      <c r="P252" s="16"/>
      <c r="Q252" s="16"/>
      <c r="R252" s="16"/>
      <c r="S252" s="16"/>
      <c r="T252" s="9"/>
      <c r="U252" s="1" t="s">
        <v>315</v>
      </c>
      <c r="V252" s="11"/>
      <c r="W252" s="232"/>
      <c r="X252" s="304"/>
    </row>
    <row r="253" spans="1:24">
      <c r="A253" s="6"/>
      <c r="B253" s="7"/>
      <c r="C253" s="6"/>
      <c r="D253" s="6"/>
      <c r="E253" s="6"/>
      <c r="F253" s="1"/>
      <c r="G253" s="9"/>
      <c r="H253" s="9"/>
      <c r="I253" s="11"/>
      <c r="J253" s="1"/>
      <c r="K253" s="1"/>
      <c r="L253" s="1" t="s">
        <v>315</v>
      </c>
      <c r="M253" s="9"/>
      <c r="N253" s="14"/>
      <c r="O253" s="16"/>
      <c r="P253" s="16"/>
      <c r="Q253" s="16"/>
      <c r="R253" s="16"/>
      <c r="S253" s="16"/>
      <c r="T253" s="9"/>
      <c r="U253" s="1" t="s">
        <v>315</v>
      </c>
      <c r="V253" s="11"/>
      <c r="W253" s="232"/>
      <c r="X253" s="304"/>
    </row>
    <row r="254" spans="1:24">
      <c r="A254" s="6"/>
      <c r="B254" s="7"/>
      <c r="C254" s="6"/>
      <c r="D254" s="6"/>
      <c r="E254" s="6"/>
      <c r="F254" s="1"/>
      <c r="G254" s="9"/>
      <c r="H254" s="9"/>
      <c r="I254" s="11"/>
      <c r="J254" s="1"/>
      <c r="K254" s="1"/>
      <c r="L254" s="1" t="s">
        <v>315</v>
      </c>
      <c r="M254" s="9"/>
      <c r="N254" s="14">
        <f>Tabela131617181920[[#This Row],[Valor_recibo]]</f>
        <v>0</v>
      </c>
      <c r="O254" s="16"/>
      <c r="P254" s="16"/>
      <c r="Q254" s="16"/>
      <c r="R254" s="16"/>
      <c r="S254" s="16"/>
      <c r="T254" s="9"/>
      <c r="U254" s="1" t="s">
        <v>315</v>
      </c>
      <c r="V254" s="11"/>
      <c r="W254" s="232"/>
      <c r="X254" s="304"/>
    </row>
    <row r="255" spans="1:24">
      <c r="A255" s="6"/>
      <c r="B255" s="7"/>
      <c r="C255" s="6"/>
      <c r="D255" s="6"/>
      <c r="E255" s="6"/>
      <c r="F255" s="1"/>
      <c r="G255" s="9"/>
      <c r="H255" s="9"/>
      <c r="I255" s="11"/>
      <c r="J255" s="1"/>
      <c r="K255" s="1"/>
      <c r="L255" s="1" t="s">
        <v>315</v>
      </c>
      <c r="M255" s="9"/>
      <c r="N255" s="14">
        <f>Tabela131617181920[[#This Row],[Valor_recibo]]</f>
        <v>0</v>
      </c>
      <c r="O255" s="16"/>
      <c r="P255" s="16"/>
      <c r="Q255" s="16"/>
      <c r="R255" s="16"/>
      <c r="S255" s="16"/>
      <c r="T255" s="9"/>
      <c r="U255" s="1" t="s">
        <v>315</v>
      </c>
      <c r="V255" s="11"/>
      <c r="W255" s="232"/>
      <c r="X255" s="304"/>
    </row>
    <row r="256" spans="1:24">
      <c r="A256" s="6"/>
      <c r="B256" s="7"/>
      <c r="C256" s="59"/>
      <c r="D256" s="6"/>
      <c r="E256" s="6"/>
      <c r="F256" s="1"/>
      <c r="G256" s="9"/>
      <c r="H256" s="9"/>
      <c r="I256" s="11"/>
      <c r="J256" s="1"/>
      <c r="K256" s="1"/>
      <c r="L256" s="1" t="s">
        <v>315</v>
      </c>
      <c r="M256" s="9"/>
      <c r="N256" s="14">
        <f>Tabela131617181920[[#This Row],[Valor_recibo]]</f>
        <v>0</v>
      </c>
      <c r="O256" s="16"/>
      <c r="P256" s="16"/>
      <c r="Q256" s="16"/>
      <c r="R256" s="16"/>
      <c r="S256" s="16"/>
      <c r="T256" s="9"/>
      <c r="U256" s="1" t="s">
        <v>315</v>
      </c>
      <c r="V256" s="11"/>
      <c r="W256" s="232"/>
      <c r="X256" s="304"/>
    </row>
    <row r="257" spans="1:24">
      <c r="A257" s="6"/>
      <c r="B257" s="7"/>
      <c r="C257" s="6"/>
      <c r="D257" s="6"/>
      <c r="E257" s="6"/>
      <c r="F257" s="1"/>
      <c r="G257" s="9"/>
      <c r="H257" s="9"/>
      <c r="I257" s="11"/>
      <c r="J257" s="1"/>
      <c r="K257" s="1"/>
      <c r="L257" s="1" t="s">
        <v>315</v>
      </c>
      <c r="M257" s="9"/>
      <c r="N257" s="14">
        <f>Tabela131617181920[[#This Row],[Valor_recibo]]</f>
        <v>0</v>
      </c>
      <c r="O257" s="16"/>
      <c r="P257" s="16"/>
      <c r="Q257" s="16"/>
      <c r="R257" s="16"/>
      <c r="S257" s="16"/>
      <c r="T257" s="9"/>
      <c r="U257" s="1" t="s">
        <v>315</v>
      </c>
      <c r="V257" s="11"/>
      <c r="W257" s="232"/>
      <c r="X257" s="304"/>
    </row>
    <row r="258" spans="1:24">
      <c r="A258" s="6"/>
      <c r="B258" s="7"/>
      <c r="C258" s="6"/>
      <c r="D258" s="6"/>
      <c r="E258" s="6"/>
      <c r="F258" s="1"/>
      <c r="G258" s="9"/>
      <c r="H258" s="9"/>
      <c r="I258" s="11"/>
      <c r="J258" s="1"/>
      <c r="K258" s="1"/>
      <c r="L258" s="1" t="s">
        <v>315</v>
      </c>
      <c r="M258" s="9"/>
      <c r="N258" s="14">
        <f>Tabela131617181920[[#This Row],[Valor_recibo]]</f>
        <v>0</v>
      </c>
      <c r="O258" s="16"/>
      <c r="P258" s="16"/>
      <c r="Q258" s="16"/>
      <c r="R258" s="16"/>
      <c r="S258" s="16"/>
      <c r="T258" s="9"/>
      <c r="U258" s="1" t="s">
        <v>315</v>
      </c>
      <c r="V258" s="11"/>
      <c r="W258" s="232"/>
      <c r="X258" s="304"/>
    </row>
    <row r="259" spans="1:24">
      <c r="A259" s="6"/>
      <c r="B259" s="7"/>
      <c r="C259" s="6"/>
      <c r="D259" s="6"/>
      <c r="E259" s="6"/>
      <c r="F259" s="1"/>
      <c r="G259" s="9"/>
      <c r="H259" s="9"/>
      <c r="I259" s="11"/>
      <c r="J259" s="1"/>
      <c r="K259" s="1"/>
      <c r="L259" s="1" t="s">
        <v>315</v>
      </c>
      <c r="M259" s="9"/>
      <c r="N259" s="14">
        <f>Tabela131617181920[[#This Row],[Valor_recibo]]</f>
        <v>0</v>
      </c>
      <c r="O259" s="16"/>
      <c r="P259" s="16"/>
      <c r="Q259" s="16"/>
      <c r="R259" s="16"/>
      <c r="S259" s="16"/>
      <c r="T259" s="9"/>
      <c r="U259" s="1" t="s">
        <v>315</v>
      </c>
      <c r="V259" s="11"/>
      <c r="W259" s="232"/>
      <c r="X259" s="304"/>
    </row>
    <row r="260" spans="1:24">
      <c r="A260" s="6"/>
      <c r="B260" s="7"/>
      <c r="C260" s="6"/>
      <c r="D260" s="6"/>
      <c r="E260" s="6"/>
      <c r="F260" s="1"/>
      <c r="G260" s="9"/>
      <c r="H260" s="9"/>
      <c r="I260" s="11"/>
      <c r="J260" s="1"/>
      <c r="K260" s="1"/>
      <c r="L260" s="1" t="s">
        <v>315</v>
      </c>
      <c r="M260" s="9"/>
      <c r="N260" s="14">
        <f>Tabela131617181920[[#This Row],[Valor_recibo]]</f>
        <v>0</v>
      </c>
      <c r="O260" s="16"/>
      <c r="P260" s="16"/>
      <c r="Q260" s="16"/>
      <c r="R260" s="16"/>
      <c r="S260" s="16"/>
      <c r="T260" s="9"/>
      <c r="U260" s="1" t="s">
        <v>315</v>
      </c>
      <c r="V260" s="11"/>
      <c r="W260" s="232"/>
      <c r="X260" s="304"/>
    </row>
    <row r="261" spans="1:24">
      <c r="A261" s="6"/>
      <c r="B261" s="7"/>
      <c r="C261" s="59"/>
      <c r="D261" s="6"/>
      <c r="E261" s="6"/>
      <c r="F261" s="1"/>
      <c r="G261" s="9"/>
      <c r="H261" s="9"/>
      <c r="I261" s="11"/>
      <c r="J261" s="1"/>
      <c r="K261" s="1"/>
      <c r="L261" s="1" t="s">
        <v>315</v>
      </c>
      <c r="M261" s="9"/>
      <c r="N261" s="14">
        <f>Tabela131617181920[[#This Row],[Valor_recibo]]</f>
        <v>0</v>
      </c>
      <c r="O261" s="16"/>
      <c r="P261" s="16"/>
      <c r="Q261" s="16"/>
      <c r="R261" s="16"/>
      <c r="S261" s="16"/>
      <c r="T261" s="9"/>
      <c r="U261" s="1" t="s">
        <v>315</v>
      </c>
      <c r="V261" s="11"/>
      <c r="W261" s="232"/>
      <c r="X261" s="304"/>
    </row>
    <row r="262" spans="1:24">
      <c r="A262" s="6"/>
      <c r="B262" s="7"/>
      <c r="C262" s="6"/>
      <c r="D262" s="6"/>
      <c r="E262" s="6"/>
      <c r="F262" s="1"/>
      <c r="G262" s="9"/>
      <c r="H262" s="9"/>
      <c r="I262" s="11"/>
      <c r="J262" s="1"/>
      <c r="K262" s="1"/>
      <c r="L262" s="1" t="s">
        <v>315</v>
      </c>
      <c r="M262" s="9"/>
      <c r="N262" s="14">
        <f>Tabela131617181920[[#This Row],[Valor_recibo]]</f>
        <v>0</v>
      </c>
      <c r="O262" s="16"/>
      <c r="P262" s="16"/>
      <c r="Q262" s="16"/>
      <c r="R262" s="16"/>
      <c r="S262" s="16"/>
      <c r="T262" s="9"/>
      <c r="U262" s="1" t="s">
        <v>315</v>
      </c>
      <c r="V262" s="11"/>
      <c r="W262" s="232"/>
      <c r="X262" s="304"/>
    </row>
    <row r="263" spans="1:24">
      <c r="A263" s="6"/>
      <c r="B263" s="7"/>
      <c r="C263" s="6"/>
      <c r="D263" s="6"/>
      <c r="E263" s="6"/>
      <c r="F263" s="1"/>
      <c r="G263" s="9"/>
      <c r="H263" s="9"/>
      <c r="I263" s="11"/>
      <c r="J263" s="1"/>
      <c r="K263" s="1"/>
      <c r="L263" s="1" t="s">
        <v>315</v>
      </c>
      <c r="M263" s="9"/>
      <c r="N263" s="14">
        <f>Tabela131617181920[[#This Row],[Valor_recibo]]</f>
        <v>0</v>
      </c>
      <c r="O263" s="16"/>
      <c r="P263" s="16"/>
      <c r="Q263" s="16"/>
      <c r="R263" s="16"/>
      <c r="S263" s="16"/>
      <c r="T263" s="9"/>
      <c r="U263" s="1" t="s">
        <v>315</v>
      </c>
      <c r="V263" s="11"/>
      <c r="W263" s="232"/>
      <c r="X263" s="304"/>
    </row>
    <row r="264" spans="1:24">
      <c r="A264" s="6"/>
      <c r="B264" s="7"/>
      <c r="C264" s="6"/>
      <c r="D264" s="6"/>
      <c r="E264" s="6"/>
      <c r="F264" s="1"/>
      <c r="G264" s="9"/>
      <c r="H264" s="9"/>
      <c r="I264" s="11"/>
      <c r="J264" s="1"/>
      <c r="K264" s="1"/>
      <c r="L264" s="1" t="s">
        <v>315</v>
      </c>
      <c r="M264" s="9"/>
      <c r="N264" s="14">
        <f>Tabela131617181920[[#This Row],[Valor_recibo]]</f>
        <v>0</v>
      </c>
      <c r="O264" s="16"/>
      <c r="P264" s="16"/>
      <c r="Q264" s="16"/>
      <c r="R264" s="16"/>
      <c r="S264" s="16"/>
      <c r="T264" s="9"/>
      <c r="U264" s="1" t="s">
        <v>315</v>
      </c>
      <c r="V264" s="11"/>
      <c r="W264" s="232"/>
      <c r="X264" s="304"/>
    </row>
    <row r="265" spans="1:24">
      <c r="A265" s="6"/>
      <c r="B265" s="7"/>
      <c r="C265" s="6"/>
      <c r="D265" s="6"/>
      <c r="E265" s="6"/>
      <c r="F265" s="1"/>
      <c r="G265" s="9"/>
      <c r="H265" s="9"/>
      <c r="I265" s="11"/>
      <c r="J265" s="1"/>
      <c r="K265" s="1"/>
      <c r="L265" s="1" t="s">
        <v>315</v>
      </c>
      <c r="M265" s="9"/>
      <c r="N265" s="14">
        <f>Tabela131617181920[[#This Row],[Valor_recibo]]</f>
        <v>0</v>
      </c>
      <c r="O265" s="16"/>
      <c r="P265" s="16"/>
      <c r="Q265" s="16"/>
      <c r="R265" s="16"/>
      <c r="S265" s="16"/>
      <c r="T265" s="9"/>
      <c r="U265" s="1" t="s">
        <v>315</v>
      </c>
      <c r="V265" s="11"/>
      <c r="W265" s="232"/>
      <c r="X265" s="304"/>
    </row>
    <row r="266" spans="1:24">
      <c r="A266" s="6"/>
      <c r="B266" s="7"/>
      <c r="C266" s="6"/>
      <c r="D266" s="6"/>
      <c r="E266" s="6"/>
      <c r="F266" s="1"/>
      <c r="G266" s="9"/>
      <c r="H266" s="9"/>
      <c r="I266" s="11"/>
      <c r="J266" s="1"/>
      <c r="K266" s="1"/>
      <c r="L266" s="1" t="s">
        <v>315</v>
      </c>
      <c r="M266" s="9"/>
      <c r="N266" s="14">
        <f>Tabela131617181920[[#This Row],[Valor_recibo]]</f>
        <v>0</v>
      </c>
      <c r="O266" s="16"/>
      <c r="P266" s="16"/>
      <c r="Q266" s="16"/>
      <c r="R266" s="16"/>
      <c r="S266" s="16"/>
      <c r="T266" s="9"/>
      <c r="U266" s="1" t="s">
        <v>315</v>
      </c>
      <c r="V266" s="11"/>
      <c r="W266" s="232"/>
      <c r="X266" s="304"/>
    </row>
    <row r="267" spans="1:24">
      <c r="A267" s="6"/>
      <c r="B267" s="7"/>
      <c r="C267" s="6"/>
      <c r="D267" s="6"/>
      <c r="E267" s="6"/>
      <c r="F267" s="1"/>
      <c r="G267" s="9"/>
      <c r="H267" s="9"/>
      <c r="I267" s="11"/>
      <c r="J267" s="1"/>
      <c r="K267" s="1"/>
      <c r="L267" s="1" t="s">
        <v>315</v>
      </c>
      <c r="M267" s="9"/>
      <c r="N267" s="14">
        <f>Tabela131617181920[[#This Row],[Valor_recibo]]</f>
        <v>0</v>
      </c>
      <c r="O267" s="16"/>
      <c r="P267" s="16"/>
      <c r="Q267" s="16"/>
      <c r="R267" s="16"/>
      <c r="S267" s="16"/>
      <c r="T267" s="9"/>
      <c r="U267" s="1" t="s">
        <v>315</v>
      </c>
      <c r="V267" s="11"/>
      <c r="W267" s="232"/>
      <c r="X267" s="304"/>
    </row>
    <row r="268" spans="1:24">
      <c r="A268" s="6"/>
      <c r="B268" s="7"/>
      <c r="C268" s="6"/>
      <c r="D268" s="6"/>
      <c r="E268" s="6"/>
      <c r="F268" s="1"/>
      <c r="G268" s="9"/>
      <c r="H268" s="9"/>
      <c r="I268" s="11"/>
      <c r="J268" s="1"/>
      <c r="K268" s="1"/>
      <c r="L268" s="1" t="s">
        <v>315</v>
      </c>
      <c r="M268" s="9"/>
      <c r="N268" s="14">
        <f>Tabela131617181920[[#This Row],[Valor_recibo]]</f>
        <v>0</v>
      </c>
      <c r="O268" s="16"/>
      <c r="P268" s="16"/>
      <c r="Q268" s="16"/>
      <c r="R268" s="16"/>
      <c r="S268" s="16"/>
      <c r="T268" s="9"/>
      <c r="U268" s="1" t="s">
        <v>315</v>
      </c>
      <c r="V268" s="11"/>
      <c r="W268" s="232"/>
      <c r="X268" s="304"/>
    </row>
    <row r="269" spans="1:24">
      <c r="A269" s="6"/>
      <c r="B269" s="7"/>
      <c r="C269" s="6"/>
      <c r="D269" s="6"/>
      <c r="E269" s="6"/>
      <c r="F269" s="1"/>
      <c r="G269" s="9"/>
      <c r="H269" s="9"/>
      <c r="I269" s="11"/>
      <c r="J269" s="1"/>
      <c r="K269" s="1"/>
      <c r="L269" s="1" t="s">
        <v>315</v>
      </c>
      <c r="M269" s="9"/>
      <c r="N269" s="14">
        <f>Tabela131617181920[[#This Row],[Valor_recibo]]</f>
        <v>0</v>
      </c>
      <c r="O269" s="16"/>
      <c r="P269" s="16"/>
      <c r="Q269" s="16"/>
      <c r="R269" s="16"/>
      <c r="S269" s="16"/>
      <c r="T269" s="9"/>
      <c r="U269" s="1" t="s">
        <v>315</v>
      </c>
      <c r="V269" s="11"/>
      <c r="W269" s="232"/>
      <c r="X269" s="304"/>
    </row>
    <row r="270" spans="1:24">
      <c r="A270" s="6"/>
      <c r="B270" s="7"/>
      <c r="C270" s="6"/>
      <c r="D270" s="6"/>
      <c r="E270" s="6"/>
      <c r="F270" s="1"/>
      <c r="G270" s="9"/>
      <c r="H270" s="9"/>
      <c r="I270" s="11"/>
      <c r="J270" s="1"/>
      <c r="K270" s="1"/>
      <c r="L270" s="1" t="s">
        <v>315</v>
      </c>
      <c r="M270" s="9"/>
      <c r="N270" s="14">
        <f>Tabela131617181920[[#This Row],[Valor_recibo]]</f>
        <v>0</v>
      </c>
      <c r="O270" s="16"/>
      <c r="P270" s="16"/>
      <c r="Q270" s="16"/>
      <c r="R270" s="16"/>
      <c r="S270" s="16"/>
      <c r="T270" s="9"/>
      <c r="U270" s="1" t="s">
        <v>315</v>
      </c>
      <c r="V270" s="11"/>
      <c r="W270" s="232"/>
      <c r="X270" s="304"/>
    </row>
    <row r="271" spans="1:24">
      <c r="A271" s="6"/>
      <c r="B271" s="7"/>
      <c r="C271" s="6"/>
      <c r="D271" s="6"/>
      <c r="E271" s="6"/>
      <c r="F271" s="1"/>
      <c r="G271" s="9"/>
      <c r="H271" s="9"/>
      <c r="I271" s="11"/>
      <c r="J271" s="1"/>
      <c r="K271" s="1"/>
      <c r="L271" s="1" t="s">
        <v>315</v>
      </c>
      <c r="M271" s="9"/>
      <c r="N271" s="14">
        <f>Tabela131617181920[[#This Row],[Valor_recibo]]</f>
        <v>0</v>
      </c>
      <c r="O271" s="16"/>
      <c r="P271" s="16"/>
      <c r="Q271" s="16"/>
      <c r="R271" s="16"/>
      <c r="S271" s="16"/>
      <c r="T271" s="9"/>
      <c r="U271" s="1" t="s">
        <v>315</v>
      </c>
      <c r="V271" s="11"/>
      <c r="W271" s="232"/>
      <c r="X271" s="304"/>
    </row>
    <row r="272" spans="1:24">
      <c r="A272" s="6"/>
      <c r="B272" s="7"/>
      <c r="C272" s="6"/>
      <c r="D272" s="6"/>
      <c r="E272" s="6"/>
      <c r="F272" s="1"/>
      <c r="G272" s="9"/>
      <c r="H272" s="9"/>
      <c r="I272" s="11"/>
      <c r="J272" s="1"/>
      <c r="K272" s="1"/>
      <c r="L272" s="1" t="s">
        <v>315</v>
      </c>
      <c r="M272" s="9"/>
      <c r="N272" s="14">
        <f>Tabela131617181920[[#This Row],[Valor_recibo]]</f>
        <v>0</v>
      </c>
      <c r="O272" s="16"/>
      <c r="P272" s="16"/>
      <c r="Q272" s="16"/>
      <c r="R272" s="16"/>
      <c r="S272" s="16"/>
      <c r="T272" s="9"/>
      <c r="U272" s="1" t="s">
        <v>315</v>
      </c>
      <c r="V272" s="11"/>
      <c r="W272" s="232"/>
      <c r="X272" s="304"/>
    </row>
    <row r="273" spans="1:24">
      <c r="A273" s="6"/>
      <c r="B273" s="7"/>
      <c r="C273" s="6"/>
      <c r="D273" s="6"/>
      <c r="E273" s="6"/>
      <c r="F273" s="1"/>
      <c r="G273" s="9"/>
      <c r="H273" s="9"/>
      <c r="I273" s="11"/>
      <c r="J273" s="1"/>
      <c r="K273" s="1"/>
      <c r="L273" s="1" t="s">
        <v>315</v>
      </c>
      <c r="M273" s="9"/>
      <c r="N273" s="14">
        <f>Tabela131617181920[[#This Row],[Valor_recibo]]</f>
        <v>0</v>
      </c>
      <c r="O273" s="16"/>
      <c r="P273" s="16"/>
      <c r="Q273" s="16"/>
      <c r="R273" s="16"/>
      <c r="S273" s="16"/>
      <c r="T273" s="9"/>
      <c r="U273" s="1" t="s">
        <v>315</v>
      </c>
      <c r="V273" s="11"/>
      <c r="W273" s="232"/>
      <c r="X273" s="304"/>
    </row>
    <row r="274" spans="1:24">
      <c r="A274" s="6"/>
      <c r="B274" s="7"/>
      <c r="C274" s="6"/>
      <c r="D274" s="6"/>
      <c r="E274" s="6"/>
      <c r="F274" s="1"/>
      <c r="G274" s="9"/>
      <c r="H274" s="9"/>
      <c r="I274" s="11"/>
      <c r="J274" s="1"/>
      <c r="K274" s="1"/>
      <c r="L274" s="1" t="s">
        <v>315</v>
      </c>
      <c r="M274" s="9"/>
      <c r="N274" s="14">
        <f>Tabela131617181920[[#This Row],[Valor_recibo]]</f>
        <v>0</v>
      </c>
      <c r="O274" s="16"/>
      <c r="P274" s="16"/>
      <c r="Q274" s="16"/>
      <c r="R274" s="16"/>
      <c r="S274" s="16"/>
      <c r="T274" s="9"/>
      <c r="U274" s="1" t="s">
        <v>315</v>
      </c>
      <c r="V274" s="11"/>
      <c r="W274" s="232"/>
      <c r="X274" s="304"/>
    </row>
    <row r="275" spans="1:24">
      <c r="A275" s="6"/>
      <c r="B275" s="7"/>
      <c r="C275" s="6"/>
      <c r="D275" s="6"/>
      <c r="E275" s="6"/>
      <c r="F275" s="1"/>
      <c r="G275" s="9"/>
      <c r="H275" s="9"/>
      <c r="I275" s="11"/>
      <c r="J275" s="1"/>
      <c r="K275" s="1"/>
      <c r="L275" s="1" t="s">
        <v>315</v>
      </c>
      <c r="M275" s="9"/>
      <c r="N275" s="14">
        <f>Tabela131617181920[[#This Row],[Valor_recibo]]</f>
        <v>0</v>
      </c>
      <c r="O275" s="16"/>
      <c r="P275" s="16"/>
      <c r="Q275" s="16"/>
      <c r="R275" s="16"/>
      <c r="S275" s="16"/>
      <c r="T275" s="9"/>
      <c r="U275" s="1" t="s">
        <v>315</v>
      </c>
      <c r="V275" s="11"/>
      <c r="W275" s="232"/>
      <c r="X275" s="304"/>
    </row>
    <row r="276" spans="1:24">
      <c r="A276" s="6"/>
      <c r="B276" s="7"/>
      <c r="C276" s="6"/>
      <c r="D276" s="6"/>
      <c r="E276" s="6"/>
      <c r="F276" s="1"/>
      <c r="G276" s="9"/>
      <c r="H276" s="9"/>
      <c r="I276" s="11"/>
      <c r="J276" s="1"/>
      <c r="K276" s="1"/>
      <c r="L276" s="1" t="s">
        <v>315</v>
      </c>
      <c r="M276" s="9"/>
      <c r="N276" s="14">
        <f>Tabela131617181920[[#This Row],[Valor_recibo]]</f>
        <v>0</v>
      </c>
      <c r="O276" s="16"/>
      <c r="P276" s="16"/>
      <c r="Q276" s="16"/>
      <c r="R276" s="16"/>
      <c r="S276" s="16"/>
      <c r="T276" s="9"/>
      <c r="U276" s="1" t="s">
        <v>315</v>
      </c>
      <c r="V276" s="11"/>
      <c r="W276" s="232"/>
      <c r="X276" s="304"/>
    </row>
    <row r="277" spans="1:24">
      <c r="A277" s="6"/>
      <c r="B277" s="7"/>
      <c r="C277" s="6"/>
      <c r="D277" s="6"/>
      <c r="E277" s="6"/>
      <c r="F277" s="1"/>
      <c r="G277" s="9"/>
      <c r="H277" s="9"/>
      <c r="I277" s="11"/>
      <c r="J277" s="1"/>
      <c r="K277" s="1"/>
      <c r="L277" s="1" t="s">
        <v>315</v>
      </c>
      <c r="M277" s="9"/>
      <c r="N277" s="14">
        <f>Tabela131617181920[[#This Row],[Valor_recibo]]</f>
        <v>0</v>
      </c>
      <c r="O277" s="16"/>
      <c r="P277" s="16"/>
      <c r="Q277" s="16"/>
      <c r="R277" s="16"/>
      <c r="S277" s="16"/>
      <c r="T277" s="9"/>
      <c r="U277" s="1" t="s">
        <v>315</v>
      </c>
      <c r="V277" s="11"/>
      <c r="W277" s="232"/>
      <c r="X277" s="304"/>
    </row>
    <row r="278" spans="1:24">
      <c r="A278" s="6"/>
      <c r="B278" s="7"/>
      <c r="C278" s="6"/>
      <c r="D278" s="6"/>
      <c r="E278" s="6"/>
      <c r="F278" s="1"/>
      <c r="G278" s="9"/>
      <c r="H278" s="9"/>
      <c r="I278" s="11"/>
      <c r="J278" s="1"/>
      <c r="K278" s="1"/>
      <c r="L278" s="1" t="s">
        <v>315</v>
      </c>
      <c r="M278" s="9"/>
      <c r="N278" s="14">
        <f>Tabela131617181920[[#This Row],[Valor_recibo]]</f>
        <v>0</v>
      </c>
      <c r="O278" s="16"/>
      <c r="P278" s="16"/>
      <c r="Q278" s="16"/>
      <c r="R278" s="16"/>
      <c r="S278" s="16"/>
      <c r="T278" s="9"/>
      <c r="U278" s="1" t="s">
        <v>315</v>
      </c>
      <c r="V278" s="11"/>
      <c r="W278" s="232"/>
      <c r="X278" s="304"/>
    </row>
    <row r="279" spans="1:24">
      <c r="A279" s="6"/>
      <c r="B279" s="7"/>
      <c r="C279" s="6"/>
      <c r="D279" s="6"/>
      <c r="E279" s="6"/>
      <c r="F279" s="1"/>
      <c r="G279" s="9"/>
      <c r="H279" s="9"/>
      <c r="I279" s="11"/>
      <c r="J279" s="1"/>
      <c r="K279" s="1"/>
      <c r="L279" s="1" t="s">
        <v>315</v>
      </c>
      <c r="M279" s="9"/>
      <c r="N279" s="14">
        <f>Tabela131617181920[[#This Row],[Valor_recibo]]</f>
        <v>0</v>
      </c>
      <c r="O279" s="16"/>
      <c r="P279" s="16"/>
      <c r="Q279" s="16"/>
      <c r="R279" s="16"/>
      <c r="S279" s="16"/>
      <c r="T279" s="9"/>
      <c r="U279" s="1" t="s">
        <v>315</v>
      </c>
      <c r="V279" s="11"/>
      <c r="W279" s="232"/>
      <c r="X279" s="304"/>
    </row>
    <row r="280" spans="1:24">
      <c r="A280" s="6"/>
      <c r="B280" s="7"/>
      <c r="C280" s="6"/>
      <c r="D280" s="6"/>
      <c r="E280" s="6"/>
      <c r="F280" s="1"/>
      <c r="G280" s="9"/>
      <c r="H280" s="9"/>
      <c r="I280" s="11"/>
      <c r="J280" s="1"/>
      <c r="K280" s="1"/>
      <c r="L280" s="1" t="s">
        <v>315</v>
      </c>
      <c r="M280" s="9"/>
      <c r="N280" s="14">
        <f>Tabela131617181920[[#This Row],[Valor_recibo]]</f>
        <v>0</v>
      </c>
      <c r="O280" s="16"/>
      <c r="P280" s="16"/>
      <c r="Q280" s="16"/>
      <c r="R280" s="16"/>
      <c r="S280" s="16"/>
      <c r="T280" s="9"/>
      <c r="U280" s="1" t="s">
        <v>315</v>
      </c>
      <c r="V280" s="11"/>
      <c r="W280" s="232"/>
      <c r="X280" s="304"/>
    </row>
    <row r="281" spans="1:24">
      <c r="A281" s="6"/>
      <c r="B281" s="7"/>
      <c r="C281" s="6"/>
      <c r="D281" s="6"/>
      <c r="E281" s="6"/>
      <c r="F281" s="1"/>
      <c r="G281" s="9"/>
      <c r="H281" s="9"/>
      <c r="I281" s="11"/>
      <c r="J281" s="1"/>
      <c r="K281" s="1"/>
      <c r="L281" s="1" t="s">
        <v>315</v>
      </c>
      <c r="M281" s="9"/>
      <c r="N281" s="14">
        <f>Tabela131617181920[[#This Row],[Valor_recibo]]</f>
        <v>0</v>
      </c>
      <c r="O281" s="16"/>
      <c r="P281" s="16"/>
      <c r="Q281" s="16"/>
      <c r="R281" s="16"/>
      <c r="S281" s="16"/>
      <c r="T281" s="9"/>
      <c r="U281" s="1" t="s">
        <v>315</v>
      </c>
      <c r="V281" s="11"/>
      <c r="W281" s="232"/>
      <c r="X281" s="304"/>
    </row>
    <row r="282" spans="1:24">
      <c r="A282" s="6"/>
      <c r="B282" s="7"/>
      <c r="C282" s="6"/>
      <c r="D282" s="6"/>
      <c r="E282" s="6"/>
      <c r="F282" s="1"/>
      <c r="G282" s="9"/>
      <c r="H282" s="9"/>
      <c r="I282" s="11"/>
      <c r="J282" s="1"/>
      <c r="K282" s="1"/>
      <c r="L282" s="1" t="s">
        <v>315</v>
      </c>
      <c r="M282" s="9"/>
      <c r="N282" s="14">
        <f>Tabela131617181920[[#This Row],[Valor_recibo]]</f>
        <v>0</v>
      </c>
      <c r="O282" s="16"/>
      <c r="P282" s="16"/>
      <c r="Q282" s="16"/>
      <c r="R282" s="16"/>
      <c r="S282" s="16"/>
      <c r="T282" s="9"/>
      <c r="U282" s="1" t="s">
        <v>315</v>
      </c>
      <c r="V282" s="11"/>
      <c r="W282" s="232"/>
      <c r="X282" s="304"/>
    </row>
    <row r="283" spans="1:24">
      <c r="A283" s="6"/>
      <c r="B283" s="7"/>
      <c r="C283" s="6"/>
      <c r="D283" s="6"/>
      <c r="E283" s="6"/>
      <c r="F283" s="1"/>
      <c r="G283" s="9"/>
      <c r="H283" s="9"/>
      <c r="I283" s="11"/>
      <c r="J283" s="1"/>
      <c r="K283" s="1"/>
      <c r="L283" s="1" t="s">
        <v>315</v>
      </c>
      <c r="M283" s="9"/>
      <c r="N283" s="14">
        <f>Tabela131617181920[[#This Row],[Valor_recibo]]</f>
        <v>0</v>
      </c>
      <c r="O283" s="16"/>
      <c r="P283" s="16"/>
      <c r="Q283" s="16"/>
      <c r="R283" s="16"/>
      <c r="S283" s="16"/>
      <c r="T283" s="9"/>
      <c r="U283" s="1" t="s">
        <v>315</v>
      </c>
      <c r="V283" s="11"/>
      <c r="W283" s="232"/>
      <c r="X283" s="304"/>
    </row>
    <row r="284" spans="1:24">
      <c r="A284" s="6"/>
      <c r="B284" s="7"/>
      <c r="C284" s="6"/>
      <c r="D284" s="6"/>
      <c r="E284" s="6"/>
      <c r="F284" s="1"/>
      <c r="G284" s="9"/>
      <c r="H284" s="9"/>
      <c r="I284" s="11"/>
      <c r="J284" s="1"/>
      <c r="K284" s="1"/>
      <c r="L284" s="1" t="s">
        <v>315</v>
      </c>
      <c r="M284" s="9"/>
      <c r="N284" s="14">
        <f>Tabela131617181920[[#This Row],[Valor_recibo]]</f>
        <v>0</v>
      </c>
      <c r="O284" s="16"/>
      <c r="P284" s="16"/>
      <c r="Q284" s="16"/>
      <c r="R284" s="16"/>
      <c r="S284" s="16"/>
      <c r="T284" s="9"/>
      <c r="U284" s="1" t="s">
        <v>315</v>
      </c>
      <c r="V284" s="11"/>
      <c r="W284" s="232"/>
      <c r="X284" s="304"/>
    </row>
    <row r="285" spans="1:24">
      <c r="A285" s="6"/>
      <c r="B285" s="7"/>
      <c r="C285" s="6"/>
      <c r="D285" s="6"/>
      <c r="E285" s="6"/>
      <c r="F285" s="1"/>
      <c r="G285" s="9"/>
      <c r="H285" s="9"/>
      <c r="I285" s="11"/>
      <c r="J285" s="1"/>
      <c r="K285" s="1"/>
      <c r="L285" s="1" t="s">
        <v>315</v>
      </c>
      <c r="M285" s="9"/>
      <c r="N285" s="14">
        <f>Tabela131617181920[[#This Row],[Valor_recibo]]</f>
        <v>0</v>
      </c>
      <c r="O285" s="16"/>
      <c r="P285" s="16"/>
      <c r="Q285" s="16"/>
      <c r="R285" s="16"/>
      <c r="S285" s="16"/>
      <c r="T285" s="9"/>
      <c r="U285" s="1" t="s">
        <v>315</v>
      </c>
      <c r="V285" s="11"/>
      <c r="W285" s="232"/>
      <c r="X285" s="304"/>
    </row>
    <row r="286" spans="1:24">
      <c r="A286" s="6"/>
      <c r="B286" s="7"/>
      <c r="C286" s="6"/>
      <c r="D286" s="6"/>
      <c r="E286" s="6"/>
      <c r="F286" s="1"/>
      <c r="G286" s="9"/>
      <c r="H286" s="9"/>
      <c r="I286" s="11"/>
      <c r="J286" s="1"/>
      <c r="K286" s="1"/>
      <c r="L286" s="1" t="s">
        <v>315</v>
      </c>
      <c r="M286" s="9"/>
      <c r="N286" s="14">
        <f>Tabela131617181920[[#This Row],[Valor_recibo]]</f>
        <v>0</v>
      </c>
      <c r="O286" s="16"/>
      <c r="P286" s="16"/>
      <c r="Q286" s="16"/>
      <c r="R286" s="16"/>
      <c r="S286" s="16"/>
      <c r="T286" s="9"/>
      <c r="U286" s="1" t="s">
        <v>315</v>
      </c>
      <c r="V286" s="11"/>
      <c r="W286" s="232"/>
      <c r="X286" s="304"/>
    </row>
    <row r="287" spans="1:24">
      <c r="A287" s="6"/>
      <c r="B287" s="7"/>
      <c r="C287" s="6"/>
      <c r="D287" s="6"/>
      <c r="E287" s="6"/>
      <c r="F287" s="1"/>
      <c r="G287" s="9"/>
      <c r="H287" s="9"/>
      <c r="I287" s="11"/>
      <c r="J287" s="1"/>
      <c r="K287" s="1"/>
      <c r="L287" s="1" t="s">
        <v>315</v>
      </c>
      <c r="M287" s="9"/>
      <c r="N287" s="14">
        <f>Tabela131617181920[[#This Row],[Valor_recibo]]</f>
        <v>0</v>
      </c>
      <c r="O287" s="16"/>
      <c r="P287" s="16"/>
      <c r="Q287" s="16"/>
      <c r="R287" s="16"/>
      <c r="S287" s="16"/>
      <c r="T287" s="9"/>
      <c r="U287" s="1" t="s">
        <v>315</v>
      </c>
      <c r="V287" s="11"/>
      <c r="W287" s="232"/>
      <c r="X287" s="304"/>
    </row>
    <row r="288" spans="1:24">
      <c r="A288" s="6"/>
      <c r="B288" s="7"/>
      <c r="C288" s="6"/>
      <c r="D288" s="6"/>
      <c r="E288" s="6"/>
      <c r="F288" s="1"/>
      <c r="G288" s="9"/>
      <c r="H288" s="9"/>
      <c r="I288" s="11"/>
      <c r="J288" s="1"/>
      <c r="K288" s="1"/>
      <c r="L288" s="1" t="s">
        <v>315</v>
      </c>
      <c r="M288" s="9"/>
      <c r="N288" s="14">
        <f>Tabela131617181920[[#This Row],[Valor_recibo]]</f>
        <v>0</v>
      </c>
      <c r="O288" s="16"/>
      <c r="P288" s="16"/>
      <c r="Q288" s="16"/>
      <c r="R288" s="16"/>
      <c r="S288" s="16"/>
      <c r="T288" s="9"/>
      <c r="U288" s="1" t="s">
        <v>315</v>
      </c>
      <c r="V288" s="11"/>
      <c r="W288" s="232"/>
      <c r="X288" s="304"/>
    </row>
    <row r="289" spans="1:24">
      <c r="A289" s="6"/>
      <c r="B289" s="7"/>
      <c r="C289" s="6"/>
      <c r="D289" s="6"/>
      <c r="E289" s="6"/>
      <c r="F289" s="1"/>
      <c r="G289" s="9"/>
      <c r="H289" s="9"/>
      <c r="I289" s="11"/>
      <c r="J289" s="1"/>
      <c r="K289" s="1"/>
      <c r="L289" s="1" t="s">
        <v>315</v>
      </c>
      <c r="M289" s="9"/>
      <c r="N289" s="14">
        <f>Tabela131617181920[[#This Row],[Valor_recibo]]</f>
        <v>0</v>
      </c>
      <c r="O289" s="16"/>
      <c r="P289" s="16"/>
      <c r="Q289" s="16"/>
      <c r="R289" s="16"/>
      <c r="S289" s="16"/>
      <c r="T289" s="9"/>
      <c r="U289" s="1" t="s">
        <v>315</v>
      </c>
      <c r="V289" s="11"/>
      <c r="W289" s="232"/>
      <c r="X289" s="304"/>
    </row>
    <row r="290" spans="1:24">
      <c r="A290" s="6"/>
      <c r="B290" s="7"/>
      <c r="C290" s="6"/>
      <c r="D290" s="6"/>
      <c r="E290" s="6"/>
      <c r="F290" s="1"/>
      <c r="G290" s="9"/>
      <c r="H290" s="9"/>
      <c r="I290" s="11"/>
      <c r="J290" s="1"/>
      <c r="K290" s="1"/>
      <c r="L290" s="1" t="s">
        <v>315</v>
      </c>
      <c r="M290" s="9"/>
      <c r="N290" s="14">
        <f>Tabela131617181920[[#This Row],[Valor_recibo]]</f>
        <v>0</v>
      </c>
      <c r="O290" s="16"/>
      <c r="P290" s="16"/>
      <c r="Q290" s="16"/>
      <c r="R290" s="16"/>
      <c r="S290" s="16"/>
      <c r="T290" s="9"/>
      <c r="U290" s="1" t="s">
        <v>315</v>
      </c>
      <c r="V290" s="11"/>
      <c r="W290" s="232"/>
      <c r="X290" s="304"/>
    </row>
    <row r="291" spans="1:24">
      <c r="A291" s="6"/>
      <c r="B291" s="7"/>
      <c r="C291" s="6"/>
      <c r="D291" s="6"/>
      <c r="E291" s="6"/>
      <c r="F291" s="1"/>
      <c r="G291" s="9"/>
      <c r="H291" s="9"/>
      <c r="I291" s="11"/>
      <c r="J291" s="1"/>
      <c r="K291" s="1"/>
      <c r="L291" s="1" t="s">
        <v>315</v>
      </c>
      <c r="M291" s="9"/>
      <c r="N291" s="14">
        <f>Tabela131617181920[[#This Row],[Valor_recibo]]</f>
        <v>0</v>
      </c>
      <c r="O291" s="16"/>
      <c r="P291" s="16"/>
      <c r="Q291" s="16"/>
      <c r="R291" s="16"/>
      <c r="S291" s="16"/>
      <c r="T291" s="9"/>
      <c r="U291" s="1" t="s">
        <v>315</v>
      </c>
      <c r="V291" s="11"/>
      <c r="W291" s="232"/>
      <c r="X291" s="304"/>
    </row>
    <row r="292" spans="1:24">
      <c r="A292" s="6"/>
      <c r="B292" s="7"/>
      <c r="C292" s="6"/>
      <c r="D292" s="6"/>
      <c r="E292" s="6"/>
      <c r="F292" s="1"/>
      <c r="G292" s="9"/>
      <c r="H292" s="9"/>
      <c r="I292" s="11"/>
      <c r="J292" s="1"/>
      <c r="K292" s="1"/>
      <c r="L292" s="1" t="s">
        <v>315</v>
      </c>
      <c r="M292" s="9"/>
      <c r="N292" s="14">
        <f>Tabela131617181920[[#This Row],[Valor_recibo]]</f>
        <v>0</v>
      </c>
      <c r="O292" s="16"/>
      <c r="P292" s="16"/>
      <c r="Q292" s="16"/>
      <c r="R292" s="16"/>
      <c r="S292" s="16"/>
      <c r="T292" s="9"/>
      <c r="U292" s="1" t="s">
        <v>315</v>
      </c>
      <c r="V292" s="11"/>
      <c r="W292" s="232"/>
      <c r="X292" s="304"/>
    </row>
    <row r="293" spans="1:24">
      <c r="A293" s="6"/>
      <c r="B293" s="7"/>
      <c r="C293" s="6"/>
      <c r="D293" s="6"/>
      <c r="E293" s="6"/>
      <c r="F293" s="1"/>
      <c r="G293" s="9"/>
      <c r="H293" s="9"/>
      <c r="I293" s="11"/>
      <c r="J293" s="1"/>
      <c r="K293" s="1"/>
      <c r="L293" s="1" t="s">
        <v>315</v>
      </c>
      <c r="M293" s="9"/>
      <c r="N293" s="14">
        <f>Tabela131617181920[[#This Row],[Valor_recibo]]</f>
        <v>0</v>
      </c>
      <c r="O293" s="16"/>
      <c r="P293" s="16"/>
      <c r="Q293" s="16"/>
      <c r="R293" s="16"/>
      <c r="S293" s="16"/>
      <c r="T293" s="9"/>
      <c r="U293" s="1" t="s">
        <v>315</v>
      </c>
      <c r="V293" s="11"/>
      <c r="W293" s="232"/>
      <c r="X293" s="304"/>
    </row>
    <row r="294" spans="1:24">
      <c r="A294" s="6"/>
      <c r="B294" s="7"/>
      <c r="C294" s="6"/>
      <c r="D294" s="6"/>
      <c r="E294" s="6"/>
      <c r="F294" s="1"/>
      <c r="G294" s="9"/>
      <c r="H294" s="9"/>
      <c r="I294" s="11"/>
      <c r="J294" s="1"/>
      <c r="K294" s="1"/>
      <c r="L294" s="1" t="s">
        <v>315</v>
      </c>
      <c r="M294" s="9"/>
      <c r="N294" s="14">
        <f>Tabela131617181920[[#This Row],[Valor_recibo]]</f>
        <v>0</v>
      </c>
      <c r="O294" s="16"/>
      <c r="P294" s="16"/>
      <c r="Q294" s="16"/>
      <c r="R294" s="16"/>
      <c r="S294" s="16"/>
      <c r="T294" s="9"/>
      <c r="U294" s="1" t="s">
        <v>315</v>
      </c>
      <c r="V294" s="11"/>
      <c r="W294" s="232"/>
      <c r="X294" s="304"/>
    </row>
    <row r="295" spans="1:24">
      <c r="A295" s="6"/>
      <c r="B295" s="7"/>
      <c r="C295" s="6"/>
      <c r="D295" s="6"/>
      <c r="E295" s="6"/>
      <c r="F295" s="1"/>
      <c r="G295" s="9"/>
      <c r="H295" s="9"/>
      <c r="I295" s="11"/>
      <c r="J295" s="1"/>
      <c r="K295" s="1"/>
      <c r="L295" s="1" t="s">
        <v>315</v>
      </c>
      <c r="M295" s="9"/>
      <c r="N295" s="14">
        <f>Tabela131617181920[[#This Row],[Valor_recibo]]</f>
        <v>0</v>
      </c>
      <c r="O295" s="16"/>
      <c r="P295" s="16"/>
      <c r="Q295" s="16"/>
      <c r="R295" s="16"/>
      <c r="S295" s="16"/>
      <c r="T295" s="9"/>
      <c r="U295" s="1" t="s">
        <v>315</v>
      </c>
      <c r="V295" s="11"/>
      <c r="W295" s="232"/>
      <c r="X295" s="304"/>
    </row>
    <row r="296" spans="1:24">
      <c r="A296" s="6"/>
      <c r="B296" s="7"/>
      <c r="C296" s="6"/>
      <c r="D296" s="6"/>
      <c r="E296" s="6"/>
      <c r="F296" s="1"/>
      <c r="G296" s="9"/>
      <c r="H296" s="9"/>
      <c r="I296" s="11"/>
      <c r="J296" s="1"/>
      <c r="K296" s="1"/>
      <c r="L296" s="1" t="s">
        <v>315</v>
      </c>
      <c r="M296" s="9"/>
      <c r="N296" s="14">
        <f>Tabela131617181920[[#This Row],[Valor_recibo]]</f>
        <v>0</v>
      </c>
      <c r="O296" s="16"/>
      <c r="P296" s="16"/>
      <c r="Q296" s="16"/>
      <c r="R296" s="16"/>
      <c r="S296" s="16"/>
      <c r="T296" s="9"/>
      <c r="U296" s="1" t="s">
        <v>315</v>
      </c>
      <c r="V296" s="11"/>
      <c r="W296" s="232"/>
      <c r="X296" s="304"/>
    </row>
    <row r="297" spans="1:24">
      <c r="A297" s="6"/>
      <c r="B297" s="7"/>
      <c r="C297" s="6"/>
      <c r="D297" s="6"/>
      <c r="E297" s="6"/>
      <c r="F297" s="1"/>
      <c r="G297" s="9"/>
      <c r="H297" s="9"/>
      <c r="I297" s="11"/>
      <c r="J297" s="1"/>
      <c r="K297" s="1"/>
      <c r="L297" s="1" t="s">
        <v>315</v>
      </c>
      <c r="M297" s="9"/>
      <c r="N297" s="14">
        <f>Tabela131617181920[[#This Row],[Valor_recibo]]</f>
        <v>0</v>
      </c>
      <c r="O297" s="16"/>
      <c r="P297" s="16"/>
      <c r="Q297" s="16"/>
      <c r="R297" s="16"/>
      <c r="S297" s="16"/>
      <c r="T297" s="9"/>
      <c r="U297" s="1" t="s">
        <v>315</v>
      </c>
      <c r="V297" s="11"/>
      <c r="W297" s="232"/>
      <c r="X297" s="304"/>
    </row>
    <row r="298" spans="1:24">
      <c r="A298" s="6"/>
      <c r="B298" s="7"/>
      <c r="C298" s="6"/>
      <c r="D298" s="6"/>
      <c r="E298" s="6"/>
      <c r="F298" s="1"/>
      <c r="G298" s="9"/>
      <c r="H298" s="9"/>
      <c r="I298" s="11"/>
      <c r="J298" s="1"/>
      <c r="K298" s="1"/>
      <c r="L298" s="1" t="s">
        <v>315</v>
      </c>
      <c r="M298" s="9"/>
      <c r="N298" s="14">
        <f>Tabela131617181920[[#This Row],[Valor_recibo]]</f>
        <v>0</v>
      </c>
      <c r="O298" s="16"/>
      <c r="P298" s="16"/>
      <c r="Q298" s="16"/>
      <c r="R298" s="16"/>
      <c r="S298" s="16"/>
      <c r="T298" s="9"/>
      <c r="U298" s="1" t="s">
        <v>315</v>
      </c>
      <c r="V298" s="11"/>
      <c r="W298" s="232"/>
      <c r="X298" s="304"/>
    </row>
    <row r="299" spans="1:24">
      <c r="A299" s="6"/>
      <c r="B299" s="7"/>
      <c r="C299" s="6"/>
      <c r="D299" s="6"/>
      <c r="E299" s="6"/>
      <c r="F299" s="1"/>
      <c r="G299" s="9"/>
      <c r="H299" s="9"/>
      <c r="I299" s="11"/>
      <c r="J299" s="1"/>
      <c r="K299" s="1"/>
      <c r="L299" s="1" t="s">
        <v>315</v>
      </c>
      <c r="M299" s="9"/>
      <c r="N299" s="14">
        <f>Tabela131617181920[[#This Row],[Valor_recibo]]</f>
        <v>0</v>
      </c>
      <c r="O299" s="16"/>
      <c r="P299" s="16"/>
      <c r="Q299" s="16"/>
      <c r="R299" s="16"/>
      <c r="S299" s="16"/>
      <c r="T299" s="9"/>
      <c r="U299" s="1" t="s">
        <v>315</v>
      </c>
      <c r="V299" s="11"/>
      <c r="W299" s="232"/>
      <c r="X299" s="304"/>
    </row>
    <row r="300" spans="1:24">
      <c r="A300" s="6"/>
      <c r="B300" s="7"/>
      <c r="C300" s="6"/>
      <c r="D300" s="6"/>
      <c r="E300" s="6"/>
      <c r="F300" s="1"/>
      <c r="G300" s="9"/>
      <c r="H300" s="9"/>
      <c r="I300" s="11"/>
      <c r="J300" s="1"/>
      <c r="K300" s="1"/>
      <c r="L300" s="1" t="s">
        <v>315</v>
      </c>
      <c r="M300" s="9"/>
      <c r="N300" s="14">
        <f>Tabela131617181920[[#This Row],[Valor_recibo]]</f>
        <v>0</v>
      </c>
      <c r="O300" s="16"/>
      <c r="P300" s="16"/>
      <c r="Q300" s="16"/>
      <c r="R300" s="16"/>
      <c r="S300" s="16"/>
      <c r="T300" s="9"/>
      <c r="U300" s="1" t="s">
        <v>315</v>
      </c>
      <c r="V300" s="11"/>
      <c r="W300" s="232"/>
      <c r="X300" s="304"/>
    </row>
    <row r="301" spans="1:24">
      <c r="A301" s="6"/>
      <c r="B301" s="7"/>
      <c r="C301" s="6"/>
      <c r="D301" s="6"/>
      <c r="E301" s="6"/>
      <c r="F301" s="1"/>
      <c r="G301" s="9"/>
      <c r="H301" s="9"/>
      <c r="I301" s="11"/>
      <c r="J301" s="1"/>
      <c r="K301" s="1"/>
      <c r="L301" s="1" t="s">
        <v>315</v>
      </c>
      <c r="M301" s="9"/>
      <c r="N301" s="14">
        <f>Tabela131617181920[[#This Row],[Valor_recibo]]</f>
        <v>0</v>
      </c>
      <c r="O301" s="16"/>
      <c r="P301" s="16"/>
      <c r="Q301" s="16"/>
      <c r="R301" s="16"/>
      <c r="S301" s="16"/>
      <c r="T301" s="9"/>
      <c r="U301" s="1" t="s">
        <v>315</v>
      </c>
      <c r="V301" s="11"/>
      <c r="W301" s="232"/>
      <c r="X301" s="304"/>
    </row>
    <row r="302" spans="1:24">
      <c r="A302" s="6"/>
      <c r="B302" s="7"/>
      <c r="C302" s="6"/>
      <c r="D302" s="6"/>
      <c r="E302" s="6"/>
      <c r="F302" s="1"/>
      <c r="G302" s="9"/>
      <c r="H302" s="9"/>
      <c r="I302" s="11"/>
      <c r="J302" s="1"/>
      <c r="K302" s="1"/>
      <c r="L302" s="1" t="s">
        <v>315</v>
      </c>
      <c r="M302" s="9"/>
      <c r="N302" s="14">
        <f>Tabela131617181920[[#This Row],[Valor_recibo]]</f>
        <v>0</v>
      </c>
      <c r="O302" s="16"/>
      <c r="P302" s="16"/>
      <c r="Q302" s="16"/>
      <c r="R302" s="16"/>
      <c r="S302" s="16"/>
      <c r="T302" s="9"/>
      <c r="U302" s="1" t="s">
        <v>315</v>
      </c>
      <c r="V302" s="11"/>
      <c r="W302" s="232"/>
      <c r="X302" s="304"/>
    </row>
    <row r="303" spans="1:24">
      <c r="A303" s="6"/>
      <c r="B303" s="7"/>
      <c r="C303" s="6"/>
      <c r="D303" s="6"/>
      <c r="E303" s="6"/>
      <c r="F303" s="1"/>
      <c r="G303" s="9"/>
      <c r="H303" s="9"/>
      <c r="I303" s="11"/>
      <c r="J303" s="1"/>
      <c r="K303" s="1"/>
      <c r="L303" s="1" t="s">
        <v>315</v>
      </c>
      <c r="M303" s="9"/>
      <c r="N303" s="14">
        <f>Tabela131617181920[[#This Row],[Valor_recibo]]</f>
        <v>0</v>
      </c>
      <c r="O303" s="16"/>
      <c r="P303" s="16"/>
      <c r="Q303" s="16"/>
      <c r="R303" s="16"/>
      <c r="S303" s="16"/>
      <c r="T303" s="9"/>
      <c r="U303" s="1" t="s">
        <v>315</v>
      </c>
      <c r="V303" s="11"/>
      <c r="W303" s="232"/>
      <c r="X303" s="304"/>
    </row>
    <row r="304" spans="1:24">
      <c r="A304" s="6"/>
      <c r="B304" s="7"/>
      <c r="C304" s="6"/>
      <c r="D304" s="6"/>
      <c r="E304" s="6"/>
      <c r="F304" s="1"/>
      <c r="G304" s="9"/>
      <c r="H304" s="9"/>
      <c r="I304" s="11"/>
      <c r="J304" s="1"/>
      <c r="K304" s="1"/>
      <c r="L304" s="1" t="s">
        <v>315</v>
      </c>
      <c r="M304" s="9"/>
      <c r="N304" s="14">
        <f>Tabela131617181920[[#This Row],[Valor_recibo]]</f>
        <v>0</v>
      </c>
      <c r="O304" s="16"/>
      <c r="P304" s="16"/>
      <c r="Q304" s="16"/>
      <c r="R304" s="16"/>
      <c r="S304" s="16"/>
      <c r="T304" s="9"/>
      <c r="U304" s="1" t="s">
        <v>315</v>
      </c>
      <c r="V304" s="11"/>
      <c r="W304" s="232"/>
      <c r="X304" s="304"/>
    </row>
    <row r="305" spans="1:24">
      <c r="A305" s="6"/>
      <c r="B305" s="7"/>
      <c r="C305" s="6"/>
      <c r="D305" s="6"/>
      <c r="E305" s="6"/>
      <c r="F305" s="1"/>
      <c r="G305" s="9"/>
      <c r="H305" s="9"/>
      <c r="I305" s="11"/>
      <c r="J305" s="1"/>
      <c r="K305" s="1"/>
      <c r="L305" s="1" t="s">
        <v>315</v>
      </c>
      <c r="M305" s="9"/>
      <c r="N305" s="14">
        <f>Tabela131617181920[[#This Row],[Valor_recibo]]</f>
        <v>0</v>
      </c>
      <c r="O305" s="16"/>
      <c r="P305" s="16"/>
      <c r="Q305" s="16"/>
      <c r="R305" s="16"/>
      <c r="S305" s="16"/>
      <c r="T305" s="9"/>
      <c r="U305" s="1" t="s">
        <v>315</v>
      </c>
      <c r="V305" s="11"/>
      <c r="W305" s="232"/>
      <c r="X305" s="304"/>
    </row>
    <row r="306" spans="1:24">
      <c r="A306" s="6"/>
      <c r="B306" s="7"/>
      <c r="C306" s="6"/>
      <c r="D306" s="6"/>
      <c r="E306" s="6"/>
      <c r="F306" s="1"/>
      <c r="G306" s="9"/>
      <c r="H306" s="9"/>
      <c r="I306" s="11"/>
      <c r="J306" s="1"/>
      <c r="K306" s="1"/>
      <c r="L306" s="1" t="s">
        <v>315</v>
      </c>
      <c r="M306" s="9"/>
      <c r="N306" s="14">
        <f>Tabela131617181920[[#This Row],[Valor_recibo]]</f>
        <v>0</v>
      </c>
      <c r="O306" s="16"/>
      <c r="P306" s="16"/>
      <c r="Q306" s="16"/>
      <c r="R306" s="16"/>
      <c r="S306" s="16"/>
      <c r="T306" s="9"/>
      <c r="U306" s="1" t="s">
        <v>315</v>
      </c>
      <c r="V306" s="11"/>
      <c r="W306" s="232"/>
      <c r="X306" s="304"/>
    </row>
    <row r="307" spans="1:24">
      <c r="A307" s="6"/>
      <c r="B307" s="7"/>
      <c r="C307" s="6"/>
      <c r="D307" s="6"/>
      <c r="E307" s="6"/>
      <c r="F307" s="1"/>
      <c r="G307" s="9"/>
      <c r="H307" s="9"/>
      <c r="I307" s="11"/>
      <c r="J307" s="1"/>
      <c r="K307" s="1"/>
      <c r="L307" s="1" t="s">
        <v>315</v>
      </c>
      <c r="M307" s="9"/>
      <c r="N307" s="14">
        <f>Tabela131617181920[[#This Row],[Valor_recibo]]</f>
        <v>0</v>
      </c>
      <c r="O307" s="16"/>
      <c r="P307" s="16"/>
      <c r="Q307" s="16"/>
      <c r="R307" s="16"/>
      <c r="S307" s="16"/>
      <c r="T307" s="9"/>
      <c r="U307" s="1" t="s">
        <v>315</v>
      </c>
      <c r="V307" s="11"/>
      <c r="W307" s="232"/>
      <c r="X307" s="304"/>
    </row>
    <row r="308" spans="1:24">
      <c r="A308" s="6"/>
      <c r="B308" s="7"/>
      <c r="C308" s="6"/>
      <c r="D308" s="6"/>
      <c r="E308" s="6"/>
      <c r="F308" s="1"/>
      <c r="G308" s="9"/>
      <c r="H308" s="9"/>
      <c r="I308" s="11"/>
      <c r="J308" s="1"/>
      <c r="K308" s="1"/>
      <c r="L308" s="1" t="s">
        <v>315</v>
      </c>
      <c r="M308" s="9"/>
      <c r="N308" s="14">
        <f>Tabela131617181920[[#This Row],[Valor_recibo]]</f>
        <v>0</v>
      </c>
      <c r="O308" s="16"/>
      <c r="P308" s="16"/>
      <c r="Q308" s="16"/>
      <c r="R308" s="16"/>
      <c r="S308" s="16"/>
      <c r="T308" s="9"/>
      <c r="U308" s="1" t="s">
        <v>315</v>
      </c>
      <c r="V308" s="11"/>
      <c r="W308" s="232"/>
      <c r="X308" s="304"/>
    </row>
    <row r="309" spans="1:24">
      <c r="A309" s="6"/>
      <c r="B309" s="7"/>
      <c r="C309" s="6"/>
      <c r="D309" s="6"/>
      <c r="E309" s="6"/>
      <c r="F309" s="1"/>
      <c r="G309" s="9"/>
      <c r="H309" s="9"/>
      <c r="I309" s="11"/>
      <c r="J309" s="1"/>
      <c r="K309" s="1"/>
      <c r="L309" s="1" t="s">
        <v>315</v>
      </c>
      <c r="M309" s="9"/>
      <c r="N309" s="14">
        <f>Tabela131617181920[[#This Row],[Valor_recibo]]</f>
        <v>0</v>
      </c>
      <c r="O309" s="16"/>
      <c r="P309" s="16"/>
      <c r="Q309" s="16"/>
      <c r="R309" s="16"/>
      <c r="S309" s="16"/>
      <c r="T309" s="9"/>
      <c r="U309" s="1" t="s">
        <v>315</v>
      </c>
      <c r="V309" s="11"/>
      <c r="W309" s="232"/>
      <c r="X309" s="304"/>
    </row>
    <row r="310" spans="1:24">
      <c r="A310" s="6"/>
      <c r="B310" s="7"/>
      <c r="C310" s="6"/>
      <c r="D310" s="6"/>
      <c r="E310" s="6"/>
      <c r="F310" s="1"/>
      <c r="G310" s="9"/>
      <c r="H310" s="9"/>
      <c r="I310" s="11"/>
      <c r="J310" s="1"/>
      <c r="K310" s="1"/>
      <c r="L310" s="1" t="s">
        <v>315</v>
      </c>
      <c r="M310" s="9"/>
      <c r="N310" s="14">
        <f>Tabela131617181920[[#This Row],[Valor_recibo]]</f>
        <v>0</v>
      </c>
      <c r="O310" s="16"/>
      <c r="P310" s="16"/>
      <c r="Q310" s="16"/>
      <c r="R310" s="16"/>
      <c r="S310" s="16"/>
      <c r="T310" s="9"/>
      <c r="U310" s="1" t="s">
        <v>315</v>
      </c>
      <c r="V310" s="11"/>
      <c r="W310" s="232"/>
      <c r="X310" s="304"/>
    </row>
    <row r="311" spans="1:24">
      <c r="A311" s="6"/>
      <c r="B311" s="7"/>
      <c r="C311" s="6"/>
      <c r="D311" s="6"/>
      <c r="E311" s="6"/>
      <c r="F311" s="1"/>
      <c r="G311" s="9"/>
      <c r="H311" s="9"/>
      <c r="I311" s="11"/>
      <c r="J311" s="1"/>
      <c r="K311" s="1"/>
      <c r="L311" s="1" t="s">
        <v>315</v>
      </c>
      <c r="M311" s="9"/>
      <c r="N311" s="14">
        <f>Tabela131617181920[[#This Row],[Valor_recibo]]</f>
        <v>0</v>
      </c>
      <c r="O311" s="16"/>
      <c r="P311" s="16"/>
      <c r="Q311" s="16"/>
      <c r="R311" s="16"/>
      <c r="S311" s="16"/>
      <c r="T311" s="9"/>
      <c r="U311" s="1" t="s">
        <v>315</v>
      </c>
      <c r="V311" s="11"/>
      <c r="W311" s="232"/>
      <c r="X311" s="304"/>
    </row>
    <row r="312" spans="1:24">
      <c r="A312" s="6"/>
      <c r="B312" s="7"/>
      <c r="C312" s="6"/>
      <c r="D312" s="6"/>
      <c r="E312" s="6"/>
      <c r="F312" s="1"/>
      <c r="G312" s="9"/>
      <c r="H312" s="9"/>
      <c r="I312" s="11"/>
      <c r="J312" s="1"/>
      <c r="K312" s="1"/>
      <c r="L312" s="1" t="s">
        <v>315</v>
      </c>
      <c r="M312" s="9"/>
      <c r="N312" s="14">
        <f>Tabela131617181920[[#This Row],[Valor_recibo]]</f>
        <v>0</v>
      </c>
      <c r="O312" s="16"/>
      <c r="P312" s="16"/>
      <c r="Q312" s="16"/>
      <c r="R312" s="16"/>
      <c r="S312" s="16"/>
      <c r="T312" s="9"/>
      <c r="U312" s="1" t="s">
        <v>315</v>
      </c>
      <c r="V312" s="11"/>
      <c r="W312" s="232"/>
      <c r="X312" s="304"/>
    </row>
    <row r="313" spans="1:24">
      <c r="A313" s="6"/>
      <c r="B313" s="7"/>
      <c r="C313" s="6"/>
      <c r="D313" s="6"/>
      <c r="E313" s="6"/>
      <c r="F313" s="1"/>
      <c r="G313" s="9"/>
      <c r="H313" s="9"/>
      <c r="I313" s="11"/>
      <c r="J313" s="1"/>
      <c r="K313" s="1"/>
      <c r="L313" s="1" t="s">
        <v>315</v>
      </c>
      <c r="M313" s="9"/>
      <c r="N313" s="14">
        <f>Tabela131617181920[[#This Row],[Valor_recibo]]</f>
        <v>0</v>
      </c>
      <c r="O313" s="16"/>
      <c r="P313" s="16"/>
      <c r="Q313" s="16"/>
      <c r="R313" s="16"/>
      <c r="S313" s="16"/>
      <c r="T313" s="9"/>
      <c r="U313" s="1" t="s">
        <v>315</v>
      </c>
      <c r="V313" s="11"/>
      <c r="W313" s="232"/>
      <c r="X313" s="304"/>
    </row>
    <row r="314" spans="1:24">
      <c r="A314" s="6"/>
      <c r="B314" s="7"/>
      <c r="C314" s="6"/>
      <c r="D314" s="6"/>
      <c r="E314" s="6"/>
      <c r="F314" s="1"/>
      <c r="G314" s="9"/>
      <c r="H314" s="9"/>
      <c r="I314" s="11"/>
      <c r="J314" s="1"/>
      <c r="K314" s="1"/>
      <c r="L314" s="1" t="s">
        <v>315</v>
      </c>
      <c r="M314" s="9"/>
      <c r="N314" s="14">
        <f>Tabela131617181920[[#This Row],[Valor_recibo]]</f>
        <v>0</v>
      </c>
      <c r="O314" s="16"/>
      <c r="P314" s="16"/>
      <c r="Q314" s="16"/>
      <c r="R314" s="16"/>
      <c r="S314" s="16"/>
      <c r="T314" s="9"/>
      <c r="U314" s="1" t="s">
        <v>315</v>
      </c>
      <c r="V314" s="11"/>
      <c r="W314" s="232"/>
      <c r="X314" s="304"/>
    </row>
    <row r="315" spans="1:24">
      <c r="A315" s="6"/>
      <c r="B315" s="7"/>
      <c r="C315" s="6"/>
      <c r="D315" s="6"/>
      <c r="E315" s="6"/>
      <c r="F315" s="1"/>
      <c r="G315" s="9"/>
      <c r="H315" s="9"/>
      <c r="I315" s="11"/>
      <c r="J315" s="1"/>
      <c r="K315" s="1"/>
      <c r="L315" s="1" t="s">
        <v>315</v>
      </c>
      <c r="M315" s="9"/>
      <c r="N315" s="14">
        <f>Tabela131617181920[[#This Row],[Valor_recibo]]</f>
        <v>0</v>
      </c>
      <c r="O315" s="16"/>
      <c r="P315" s="16"/>
      <c r="Q315" s="16"/>
      <c r="R315" s="16"/>
      <c r="S315" s="16"/>
      <c r="T315" s="9"/>
      <c r="U315" s="1" t="s">
        <v>315</v>
      </c>
      <c r="V315" s="11"/>
      <c r="W315" s="232"/>
      <c r="X315" s="304"/>
    </row>
    <row r="316" spans="1:24">
      <c r="A316" s="6"/>
      <c r="B316" s="7"/>
      <c r="C316" s="6"/>
      <c r="D316" s="6"/>
      <c r="E316" s="6"/>
      <c r="F316" s="1"/>
      <c r="G316" s="9"/>
      <c r="H316" s="9"/>
      <c r="I316" s="11"/>
      <c r="J316" s="1"/>
      <c r="K316" s="1"/>
      <c r="L316" s="1" t="s">
        <v>315</v>
      </c>
      <c r="M316" s="9"/>
      <c r="N316" s="14">
        <f>Tabela131617181920[[#This Row],[Valor_recibo]]</f>
        <v>0</v>
      </c>
      <c r="O316" s="16"/>
      <c r="P316" s="16"/>
      <c r="Q316" s="16"/>
      <c r="R316" s="16"/>
      <c r="S316" s="16"/>
      <c r="T316" s="9"/>
      <c r="U316" s="1" t="s">
        <v>315</v>
      </c>
      <c r="V316" s="11"/>
      <c r="W316" s="232"/>
      <c r="X316" s="304"/>
    </row>
    <row r="317" spans="1:24">
      <c r="A317" s="6"/>
      <c r="B317" s="7"/>
      <c r="C317" s="6"/>
      <c r="D317" s="6"/>
      <c r="E317" s="6"/>
      <c r="F317" s="1"/>
      <c r="G317" s="9"/>
      <c r="H317" s="9"/>
      <c r="I317" s="11"/>
      <c r="J317" s="1"/>
      <c r="K317" s="1"/>
      <c r="L317" s="1" t="s">
        <v>315</v>
      </c>
      <c r="M317" s="9"/>
      <c r="N317" s="14">
        <f>Tabela131617181920[[#This Row],[Valor_recibo]]</f>
        <v>0</v>
      </c>
      <c r="O317" s="16"/>
      <c r="P317" s="16"/>
      <c r="Q317" s="16"/>
      <c r="R317" s="16"/>
      <c r="S317" s="16"/>
      <c r="T317" s="9"/>
      <c r="U317" s="1" t="s">
        <v>315</v>
      </c>
      <c r="V317" s="11"/>
      <c r="W317" s="232"/>
      <c r="X317" s="304"/>
    </row>
    <row r="318" spans="1:24">
      <c r="A318" s="6"/>
      <c r="B318" s="7"/>
      <c r="C318" s="6"/>
      <c r="D318" s="6"/>
      <c r="E318" s="6"/>
      <c r="F318" s="1"/>
      <c r="G318" s="9"/>
      <c r="H318" s="9"/>
      <c r="I318" s="11"/>
      <c r="J318" s="1"/>
      <c r="K318" s="1"/>
      <c r="L318" s="1" t="s">
        <v>315</v>
      </c>
      <c r="M318" s="9"/>
      <c r="N318" s="14">
        <f>Tabela131617181920[[#This Row],[Valor_recibo]]</f>
        <v>0</v>
      </c>
      <c r="O318" s="16"/>
      <c r="P318" s="16"/>
      <c r="Q318" s="16"/>
      <c r="R318" s="16"/>
      <c r="S318" s="16"/>
      <c r="T318" s="9"/>
      <c r="U318" s="1" t="s">
        <v>315</v>
      </c>
      <c r="V318" s="11"/>
      <c r="W318" s="232"/>
      <c r="X318" s="304"/>
    </row>
    <row r="319" spans="1:24">
      <c r="A319" s="6"/>
      <c r="B319" s="7"/>
      <c r="C319" s="6"/>
      <c r="D319" s="6"/>
      <c r="E319" s="6"/>
      <c r="F319" s="1"/>
      <c r="G319" s="9"/>
      <c r="H319" s="9"/>
      <c r="I319" s="11"/>
      <c r="J319" s="1"/>
      <c r="K319" s="1"/>
      <c r="L319" s="1" t="s">
        <v>315</v>
      </c>
      <c r="M319" s="9"/>
      <c r="N319" s="14">
        <f>Tabela131617181920[[#This Row],[Valor_recibo]]</f>
        <v>0</v>
      </c>
      <c r="O319" s="16"/>
      <c r="P319" s="16"/>
      <c r="Q319" s="16"/>
      <c r="R319" s="16"/>
      <c r="S319" s="16"/>
      <c r="T319" s="9"/>
      <c r="U319" s="1" t="s">
        <v>315</v>
      </c>
      <c r="V319" s="11"/>
      <c r="W319" s="232"/>
      <c r="X319" s="304"/>
    </row>
    <row r="320" spans="1:24">
      <c r="A320" s="6"/>
      <c r="B320" s="7"/>
      <c r="C320" s="6"/>
      <c r="D320" s="6"/>
      <c r="E320" s="6"/>
      <c r="F320" s="1"/>
      <c r="G320" s="9"/>
      <c r="H320" s="9"/>
      <c r="I320" s="11"/>
      <c r="J320" s="1"/>
      <c r="K320" s="1"/>
      <c r="L320" s="1" t="s">
        <v>315</v>
      </c>
      <c r="M320" s="9"/>
      <c r="N320" s="14">
        <f>Tabela131617181920[[#This Row],[Valor_recibo]]</f>
        <v>0</v>
      </c>
      <c r="O320" s="16"/>
      <c r="P320" s="16"/>
      <c r="Q320" s="16"/>
      <c r="R320" s="16"/>
      <c r="S320" s="16"/>
      <c r="T320" s="9"/>
      <c r="U320" s="1" t="s">
        <v>315</v>
      </c>
      <c r="V320" s="11"/>
      <c r="W320" s="232"/>
      <c r="X320" s="304"/>
    </row>
    <row r="321" spans="1:24">
      <c r="A321" s="6"/>
      <c r="B321" s="7"/>
      <c r="C321" s="6"/>
      <c r="D321" s="6"/>
      <c r="E321" s="6"/>
      <c r="F321" s="1"/>
      <c r="G321" s="9"/>
      <c r="H321" s="9"/>
      <c r="I321" s="11"/>
      <c r="J321" s="1"/>
      <c r="K321" s="1"/>
      <c r="L321" s="1" t="s">
        <v>315</v>
      </c>
      <c r="M321" s="9"/>
      <c r="N321" s="14">
        <f>Tabela131617181920[[#This Row],[Valor_recibo]]</f>
        <v>0</v>
      </c>
      <c r="O321" s="16"/>
      <c r="P321" s="16"/>
      <c r="Q321" s="16"/>
      <c r="R321" s="16"/>
      <c r="S321" s="16"/>
      <c r="T321" s="9"/>
      <c r="U321" s="1" t="s">
        <v>315</v>
      </c>
      <c r="V321" s="11"/>
      <c r="W321" s="232"/>
      <c r="X321" s="304"/>
    </row>
    <row r="322" spans="1:24">
      <c r="A322" s="6"/>
      <c r="B322" s="7"/>
      <c r="C322" s="6"/>
      <c r="D322" s="6"/>
      <c r="E322" s="6"/>
      <c r="F322" s="1"/>
      <c r="G322" s="9"/>
      <c r="H322" s="9"/>
      <c r="I322" s="11"/>
      <c r="J322" s="1"/>
      <c r="K322" s="1"/>
      <c r="L322" s="1" t="s">
        <v>315</v>
      </c>
      <c r="M322" s="9"/>
      <c r="N322" s="14">
        <f>Tabela131617181920[[#This Row],[Valor_recibo]]</f>
        <v>0</v>
      </c>
      <c r="O322" s="16"/>
      <c r="P322" s="16"/>
      <c r="Q322" s="16"/>
      <c r="R322" s="16"/>
      <c r="S322" s="16"/>
      <c r="T322" s="9"/>
      <c r="U322" s="1" t="s">
        <v>315</v>
      </c>
      <c r="V322" s="11"/>
      <c r="W322" s="232"/>
      <c r="X322" s="304"/>
    </row>
    <row r="323" spans="1:24">
      <c r="A323" s="6"/>
      <c r="B323" s="7"/>
      <c r="C323" s="6"/>
      <c r="D323" s="6"/>
      <c r="E323" s="6"/>
      <c r="F323" s="1"/>
      <c r="G323" s="9"/>
      <c r="H323" s="9"/>
      <c r="I323" s="11"/>
      <c r="J323" s="1"/>
      <c r="K323" s="1"/>
      <c r="L323" s="1" t="s">
        <v>315</v>
      </c>
      <c r="M323" s="9"/>
      <c r="N323" s="14">
        <f>Tabela131617181920[[#This Row],[Valor_recibo]]</f>
        <v>0</v>
      </c>
      <c r="O323" s="16"/>
      <c r="P323" s="16"/>
      <c r="Q323" s="16"/>
      <c r="R323" s="16"/>
      <c r="S323" s="16"/>
      <c r="T323" s="9"/>
      <c r="U323" s="1" t="s">
        <v>315</v>
      </c>
      <c r="V323" s="11"/>
      <c r="W323" s="232"/>
      <c r="X323" s="304"/>
    </row>
    <row r="324" spans="1:24">
      <c r="A324" s="6"/>
      <c r="B324" s="7"/>
      <c r="C324" s="6"/>
      <c r="D324" s="6"/>
      <c r="E324" s="6"/>
      <c r="F324" s="1"/>
      <c r="G324" s="9"/>
      <c r="H324" s="9"/>
      <c r="I324" s="11"/>
      <c r="J324" s="1"/>
      <c r="K324" s="1"/>
      <c r="L324" s="1" t="s">
        <v>315</v>
      </c>
      <c r="M324" s="9"/>
      <c r="N324" s="14">
        <f>Tabela131617181920[[#This Row],[Valor_recibo]]</f>
        <v>0</v>
      </c>
      <c r="O324" s="16"/>
      <c r="P324" s="16"/>
      <c r="Q324" s="16"/>
      <c r="R324" s="16"/>
      <c r="S324" s="16"/>
      <c r="T324" s="9"/>
      <c r="U324" s="1" t="s">
        <v>315</v>
      </c>
      <c r="V324" s="11"/>
      <c r="W324" s="232"/>
      <c r="X324" s="304"/>
    </row>
    <row r="325" spans="1:24">
      <c r="A325" s="6"/>
      <c r="B325" s="7"/>
      <c r="C325" s="6"/>
      <c r="D325" s="6"/>
      <c r="E325" s="6"/>
      <c r="F325" s="1"/>
      <c r="G325" s="9"/>
      <c r="H325" s="9"/>
      <c r="I325" s="11"/>
      <c r="J325" s="1"/>
      <c r="K325" s="1"/>
      <c r="L325" s="1" t="s">
        <v>315</v>
      </c>
      <c r="M325" s="9"/>
      <c r="N325" s="14">
        <f>Tabela131617181920[[#This Row],[Valor_recibo]]</f>
        <v>0</v>
      </c>
      <c r="O325" s="16"/>
      <c r="P325" s="16"/>
      <c r="Q325" s="16"/>
      <c r="R325" s="16"/>
      <c r="S325" s="16"/>
      <c r="T325" s="9"/>
      <c r="U325" s="1" t="s">
        <v>315</v>
      </c>
      <c r="V325" s="11"/>
      <c r="W325" s="232"/>
      <c r="X325" s="304"/>
    </row>
    <row r="326" spans="1:24">
      <c r="A326" s="6"/>
      <c r="B326" s="7"/>
      <c r="C326" s="6"/>
      <c r="D326" s="6"/>
      <c r="E326" s="6"/>
      <c r="F326" s="1"/>
      <c r="G326" s="9"/>
      <c r="H326" s="9"/>
      <c r="I326" s="11"/>
      <c r="J326" s="1"/>
      <c r="K326" s="1"/>
      <c r="L326" s="1" t="s">
        <v>315</v>
      </c>
      <c r="M326" s="9"/>
      <c r="N326" s="14">
        <f>Tabela131617181920[[#This Row],[Valor_recibo]]</f>
        <v>0</v>
      </c>
      <c r="O326" s="16"/>
      <c r="P326" s="16"/>
      <c r="Q326" s="16"/>
      <c r="R326" s="16"/>
      <c r="S326" s="16"/>
      <c r="T326" s="9"/>
      <c r="U326" s="1" t="s">
        <v>315</v>
      </c>
      <c r="V326" s="11"/>
      <c r="W326" s="232"/>
      <c r="X326" s="304"/>
    </row>
    <row r="327" spans="1:24">
      <c r="A327" s="6"/>
      <c r="B327" s="7"/>
      <c r="C327" s="6"/>
      <c r="D327" s="6"/>
      <c r="E327" s="6"/>
      <c r="F327" s="1"/>
      <c r="G327" s="9"/>
      <c r="H327" s="9"/>
      <c r="I327" s="11"/>
      <c r="J327" s="1"/>
      <c r="K327" s="1"/>
      <c r="L327" s="1" t="s">
        <v>315</v>
      </c>
      <c r="M327" s="9"/>
      <c r="N327" s="14">
        <f>Tabela131617181920[[#This Row],[Valor_recibo]]</f>
        <v>0</v>
      </c>
      <c r="O327" s="16"/>
      <c r="P327" s="16"/>
      <c r="Q327" s="16"/>
      <c r="R327" s="16"/>
      <c r="S327" s="16"/>
      <c r="T327" s="9"/>
      <c r="U327" s="1" t="s">
        <v>315</v>
      </c>
      <c r="V327" s="11"/>
      <c r="W327" s="232"/>
      <c r="X327" s="304"/>
    </row>
    <row r="328" spans="1:24">
      <c r="A328" s="6"/>
      <c r="B328" s="7"/>
      <c r="C328" s="6"/>
      <c r="D328" s="6"/>
      <c r="E328" s="6"/>
      <c r="F328" s="1"/>
      <c r="G328" s="9"/>
      <c r="H328" s="9"/>
      <c r="I328" s="11"/>
      <c r="J328" s="1"/>
      <c r="K328" s="1"/>
      <c r="L328" s="1" t="s">
        <v>315</v>
      </c>
      <c r="M328" s="9"/>
      <c r="N328" s="14">
        <f>Tabela131617181920[[#This Row],[Valor_recibo]]</f>
        <v>0</v>
      </c>
      <c r="O328" s="16"/>
      <c r="P328" s="16"/>
      <c r="Q328" s="16"/>
      <c r="R328" s="16"/>
      <c r="S328" s="16"/>
      <c r="T328" s="9"/>
      <c r="U328" s="1" t="s">
        <v>315</v>
      </c>
      <c r="V328" s="11"/>
      <c r="W328" s="232"/>
      <c r="X328" s="304"/>
    </row>
    <row r="329" spans="1:24">
      <c r="A329" s="6"/>
      <c r="B329" s="7"/>
      <c r="C329" s="6"/>
      <c r="D329" s="6"/>
      <c r="E329" s="6"/>
      <c r="F329" s="1"/>
      <c r="G329" s="9"/>
      <c r="H329" s="9"/>
      <c r="I329" s="11"/>
      <c r="J329" s="1"/>
      <c r="K329" s="1"/>
      <c r="L329" s="1" t="s">
        <v>315</v>
      </c>
      <c r="M329" s="9"/>
      <c r="N329" s="14">
        <f>Tabela131617181920[[#This Row],[Valor_recibo]]</f>
        <v>0</v>
      </c>
      <c r="O329" s="16"/>
      <c r="P329" s="16"/>
      <c r="Q329" s="16"/>
      <c r="R329" s="16"/>
      <c r="S329" s="16"/>
      <c r="T329" s="9"/>
      <c r="U329" s="1" t="s">
        <v>315</v>
      </c>
      <c r="V329" s="11"/>
      <c r="W329" s="232"/>
      <c r="X329" s="304"/>
    </row>
    <row r="330" spans="1:24">
      <c r="A330" s="6"/>
      <c r="B330" s="7"/>
      <c r="C330" s="6"/>
      <c r="D330" s="6"/>
      <c r="E330" s="6"/>
      <c r="F330" s="1"/>
      <c r="G330" s="9"/>
      <c r="H330" s="9"/>
      <c r="I330" s="11"/>
      <c r="J330" s="1"/>
      <c r="K330" s="1"/>
      <c r="L330" s="1" t="s">
        <v>315</v>
      </c>
      <c r="M330" s="9"/>
      <c r="N330" s="14">
        <f>Tabela131617181920[[#This Row],[Valor_recibo]]</f>
        <v>0</v>
      </c>
      <c r="O330" s="16"/>
      <c r="P330" s="16"/>
      <c r="Q330" s="16"/>
      <c r="R330" s="16"/>
      <c r="S330" s="16"/>
      <c r="T330" s="9"/>
      <c r="U330" s="1" t="s">
        <v>315</v>
      </c>
      <c r="V330" s="11"/>
      <c r="W330" s="232"/>
      <c r="X330" s="304"/>
    </row>
    <row r="331" spans="1:24">
      <c r="A331" s="6"/>
      <c r="B331" s="7"/>
      <c r="C331" s="6"/>
      <c r="D331" s="6"/>
      <c r="E331" s="6"/>
      <c r="F331" s="1"/>
      <c r="G331" s="9"/>
      <c r="H331" s="9"/>
      <c r="I331" s="11"/>
      <c r="J331" s="1"/>
      <c r="K331" s="1"/>
      <c r="L331" s="1" t="s">
        <v>315</v>
      </c>
      <c r="M331" s="9"/>
      <c r="N331" s="14">
        <f>Tabela131617181920[[#This Row],[Valor_recibo]]</f>
        <v>0</v>
      </c>
      <c r="O331" s="16"/>
      <c r="P331" s="16"/>
      <c r="Q331" s="16"/>
      <c r="R331" s="16"/>
      <c r="S331" s="16"/>
      <c r="T331" s="9"/>
      <c r="U331" s="1" t="s">
        <v>315</v>
      </c>
      <c r="V331" s="11"/>
      <c r="W331" s="232"/>
      <c r="X331" s="304"/>
    </row>
    <row r="332" spans="1:24">
      <c r="A332" s="6"/>
      <c r="B332" s="7"/>
      <c r="C332" s="6"/>
      <c r="D332" s="6"/>
      <c r="E332" s="6"/>
      <c r="F332" s="1"/>
      <c r="G332" s="9"/>
      <c r="H332" s="9"/>
      <c r="I332" s="11"/>
      <c r="J332" s="1"/>
      <c r="K332" s="1"/>
      <c r="L332" s="1" t="s">
        <v>315</v>
      </c>
      <c r="M332" s="9"/>
      <c r="N332" s="14">
        <f>Tabela131617181920[[#This Row],[Valor_recibo]]</f>
        <v>0</v>
      </c>
      <c r="O332" s="16"/>
      <c r="P332" s="16"/>
      <c r="Q332" s="16"/>
      <c r="R332" s="16"/>
      <c r="S332" s="16"/>
      <c r="T332" s="9"/>
      <c r="U332" s="1" t="s">
        <v>315</v>
      </c>
      <c r="V332" s="11"/>
      <c r="W332" s="232"/>
      <c r="X332" s="304"/>
    </row>
    <row r="333" spans="1:24">
      <c r="A333" s="6"/>
      <c r="B333" s="7"/>
      <c r="C333" s="6"/>
      <c r="D333" s="6"/>
      <c r="E333" s="6"/>
      <c r="F333" s="1"/>
      <c r="G333" s="9"/>
      <c r="H333" s="9"/>
      <c r="I333" s="11"/>
      <c r="J333" s="1"/>
      <c r="K333" s="1"/>
      <c r="L333" s="1" t="s">
        <v>315</v>
      </c>
      <c r="M333" s="9"/>
      <c r="N333" s="14">
        <f>Tabela131617181920[[#This Row],[Valor_recibo]]</f>
        <v>0</v>
      </c>
      <c r="O333" s="16"/>
      <c r="P333" s="16"/>
      <c r="Q333" s="16"/>
      <c r="R333" s="16"/>
      <c r="S333" s="16"/>
      <c r="T333" s="9"/>
      <c r="U333" s="1" t="s">
        <v>315</v>
      </c>
      <c r="V333" s="11"/>
      <c r="W333" s="232"/>
      <c r="X333" s="304"/>
    </row>
    <row r="334" spans="1:24">
      <c r="A334" s="6"/>
      <c r="B334" s="7"/>
      <c r="C334" s="6"/>
      <c r="D334" s="6"/>
      <c r="E334" s="6"/>
      <c r="F334" s="1"/>
      <c r="G334" s="9"/>
      <c r="H334" s="9"/>
      <c r="I334" s="11"/>
      <c r="J334" s="1"/>
      <c r="K334" s="1"/>
      <c r="L334" s="1" t="s">
        <v>315</v>
      </c>
      <c r="M334" s="9"/>
      <c r="N334" s="14">
        <f>Tabela131617181920[[#This Row],[Valor_recibo]]</f>
        <v>0</v>
      </c>
      <c r="O334" s="16"/>
      <c r="P334" s="16"/>
      <c r="Q334" s="16"/>
      <c r="R334" s="16"/>
      <c r="S334" s="16"/>
      <c r="T334" s="9"/>
      <c r="U334" s="1" t="s">
        <v>315</v>
      </c>
      <c r="V334" s="11"/>
      <c r="W334" s="232"/>
      <c r="X334" s="304"/>
    </row>
    <row r="335" spans="1:24">
      <c r="A335" s="6"/>
      <c r="B335" s="7"/>
      <c r="C335" s="6"/>
      <c r="D335" s="6"/>
      <c r="E335" s="6"/>
      <c r="F335" s="1"/>
      <c r="G335" s="9"/>
      <c r="H335" s="9"/>
      <c r="I335" s="11"/>
      <c r="J335" s="1"/>
      <c r="K335" s="1"/>
      <c r="L335" s="1" t="s">
        <v>315</v>
      </c>
      <c r="M335" s="9"/>
      <c r="N335" s="14">
        <f>Tabela131617181920[[#This Row],[Valor_recibo]]</f>
        <v>0</v>
      </c>
      <c r="O335" s="16"/>
      <c r="P335" s="16"/>
      <c r="Q335" s="16"/>
      <c r="R335" s="16"/>
      <c r="S335" s="16"/>
      <c r="T335" s="9"/>
      <c r="U335" s="1" t="s">
        <v>315</v>
      </c>
      <c r="V335" s="11"/>
      <c r="W335" s="232"/>
      <c r="X335" s="304"/>
    </row>
    <row r="336" spans="1:24">
      <c r="A336" s="6"/>
      <c r="B336" s="7"/>
      <c r="C336" s="6"/>
      <c r="D336" s="6"/>
      <c r="E336" s="6"/>
      <c r="F336" s="1"/>
      <c r="G336" s="9"/>
      <c r="H336" s="9"/>
      <c r="I336" s="11"/>
      <c r="J336" s="1"/>
      <c r="K336" s="1"/>
      <c r="L336" s="1" t="s">
        <v>315</v>
      </c>
      <c r="M336" s="9"/>
      <c r="N336" s="14">
        <f>Tabela131617181920[[#This Row],[Valor_recibo]]</f>
        <v>0</v>
      </c>
      <c r="O336" s="16"/>
      <c r="P336" s="16"/>
      <c r="Q336" s="16"/>
      <c r="R336" s="16"/>
      <c r="S336" s="16"/>
      <c r="T336" s="9"/>
      <c r="U336" s="1" t="s">
        <v>315</v>
      </c>
      <c r="V336" s="11"/>
      <c r="W336" s="232"/>
      <c r="X336" s="304"/>
    </row>
    <row r="337" spans="1:24">
      <c r="A337" s="6"/>
      <c r="B337" s="7"/>
      <c r="C337" s="6"/>
      <c r="D337" s="6"/>
      <c r="E337" s="6"/>
      <c r="F337" s="1"/>
      <c r="G337" s="9"/>
      <c r="H337" s="9"/>
      <c r="I337" s="11"/>
      <c r="J337" s="1"/>
      <c r="K337" s="1"/>
      <c r="L337" s="1" t="s">
        <v>315</v>
      </c>
      <c r="M337" s="9"/>
      <c r="N337" s="14">
        <f>Tabela131617181920[[#This Row],[Valor_recibo]]</f>
        <v>0</v>
      </c>
      <c r="O337" s="16"/>
      <c r="P337" s="16"/>
      <c r="Q337" s="16"/>
      <c r="R337" s="16"/>
      <c r="S337" s="16"/>
      <c r="T337" s="9"/>
      <c r="U337" s="1" t="s">
        <v>315</v>
      </c>
      <c r="V337" s="11"/>
      <c r="W337" s="232"/>
      <c r="X337" s="304"/>
    </row>
    <row r="338" spans="1:24">
      <c r="A338" s="6"/>
      <c r="B338" s="7"/>
      <c r="C338" s="6"/>
      <c r="D338" s="6"/>
      <c r="E338" s="6"/>
      <c r="F338" s="1"/>
      <c r="G338" s="9"/>
      <c r="H338" s="9"/>
      <c r="I338" s="11"/>
      <c r="J338" s="1"/>
      <c r="K338" s="1"/>
      <c r="L338" s="1" t="s">
        <v>315</v>
      </c>
      <c r="M338" s="9"/>
      <c r="N338" s="14">
        <f>Tabela131617181920[[#This Row],[Valor_recibo]]</f>
        <v>0</v>
      </c>
      <c r="O338" s="16"/>
      <c r="P338" s="16"/>
      <c r="Q338" s="16"/>
      <c r="R338" s="16"/>
      <c r="S338" s="16"/>
      <c r="T338" s="9"/>
      <c r="U338" s="1" t="s">
        <v>315</v>
      </c>
      <c r="V338" s="11"/>
      <c r="W338" s="232"/>
      <c r="X338" s="304"/>
    </row>
    <row r="339" spans="1:24">
      <c r="A339" s="6"/>
      <c r="B339" s="7"/>
      <c r="C339" s="6"/>
      <c r="D339" s="6"/>
      <c r="E339" s="6"/>
      <c r="F339" s="1"/>
      <c r="G339" s="9"/>
      <c r="H339" s="9"/>
      <c r="I339" s="11"/>
      <c r="J339" s="1"/>
      <c r="K339" s="1"/>
      <c r="L339" s="1" t="s">
        <v>315</v>
      </c>
      <c r="M339" s="9"/>
      <c r="N339" s="14">
        <f>Tabela131617181920[[#This Row],[Valor_recibo]]</f>
        <v>0</v>
      </c>
      <c r="O339" s="16"/>
      <c r="P339" s="16"/>
      <c r="Q339" s="16"/>
      <c r="R339" s="16"/>
      <c r="S339" s="16"/>
      <c r="T339" s="9"/>
      <c r="U339" s="1" t="s">
        <v>315</v>
      </c>
      <c r="V339" s="11"/>
      <c r="W339" s="232"/>
      <c r="X339" s="304"/>
    </row>
    <row r="340" spans="1:24">
      <c r="A340" s="6"/>
      <c r="B340" s="7"/>
      <c r="C340" s="6"/>
      <c r="D340" s="6"/>
      <c r="E340" s="6"/>
      <c r="F340" s="1"/>
      <c r="G340" s="9"/>
      <c r="H340" s="9"/>
      <c r="I340" s="11"/>
      <c r="J340" s="1"/>
      <c r="K340" s="1"/>
      <c r="L340" s="1" t="s">
        <v>315</v>
      </c>
      <c r="M340" s="9"/>
      <c r="N340" s="14">
        <f>Tabela131617181920[[#This Row],[Valor_recibo]]</f>
        <v>0</v>
      </c>
      <c r="O340" s="16"/>
      <c r="P340" s="16"/>
      <c r="Q340" s="16"/>
      <c r="R340" s="16"/>
      <c r="S340" s="16"/>
      <c r="T340" s="9"/>
      <c r="U340" s="1" t="s">
        <v>315</v>
      </c>
      <c r="V340" s="11"/>
      <c r="W340" s="232"/>
      <c r="X340" s="304"/>
    </row>
    <row r="341" spans="1:24">
      <c r="A341" s="6"/>
      <c r="B341" s="7"/>
      <c r="C341" s="6"/>
      <c r="D341" s="6"/>
      <c r="E341" s="6"/>
      <c r="F341" s="1"/>
      <c r="G341" s="9"/>
      <c r="H341" s="9"/>
      <c r="I341" s="11"/>
      <c r="J341" s="1"/>
      <c r="K341" s="1"/>
      <c r="L341" s="1" t="s">
        <v>315</v>
      </c>
      <c r="M341" s="9"/>
      <c r="N341" s="14">
        <f>Tabela131617181920[[#This Row],[Valor_recibo]]</f>
        <v>0</v>
      </c>
      <c r="O341" s="16"/>
      <c r="P341" s="16"/>
      <c r="Q341" s="16"/>
      <c r="R341" s="16"/>
      <c r="S341" s="16"/>
      <c r="T341" s="9"/>
      <c r="U341" s="1" t="s">
        <v>315</v>
      </c>
      <c r="V341" s="11"/>
      <c r="W341" s="232"/>
      <c r="X341" s="304"/>
    </row>
    <row r="342" spans="1:24">
      <c r="A342" s="6"/>
      <c r="B342" s="7"/>
      <c r="C342" s="6"/>
      <c r="D342" s="6"/>
      <c r="E342" s="6"/>
      <c r="F342" s="1"/>
      <c r="G342" s="9"/>
      <c r="H342" s="9"/>
      <c r="I342" s="11"/>
      <c r="J342" s="1"/>
      <c r="K342" s="1"/>
      <c r="L342" s="1" t="s">
        <v>315</v>
      </c>
      <c r="M342" s="9"/>
      <c r="N342" s="14">
        <f>Tabela131617181920[[#This Row],[Valor_recibo]]</f>
        <v>0</v>
      </c>
      <c r="O342" s="16"/>
      <c r="P342" s="16"/>
      <c r="Q342" s="16"/>
      <c r="R342" s="16"/>
      <c r="S342" s="16"/>
      <c r="T342" s="9"/>
      <c r="U342" s="1" t="s">
        <v>315</v>
      </c>
      <c r="V342" s="11"/>
      <c r="W342" s="232"/>
      <c r="X342" s="304"/>
    </row>
    <row r="343" spans="1:24">
      <c r="A343" s="6"/>
      <c r="B343" s="7"/>
      <c r="C343" s="6"/>
      <c r="D343" s="6"/>
      <c r="E343" s="6"/>
      <c r="F343" s="1"/>
      <c r="G343" s="9"/>
      <c r="H343" s="9"/>
      <c r="I343" s="11"/>
      <c r="J343" s="1"/>
      <c r="K343" s="1"/>
      <c r="L343" s="1" t="s">
        <v>315</v>
      </c>
      <c r="M343" s="9"/>
      <c r="N343" s="14">
        <f>Tabela131617181920[[#This Row],[Valor_recibo]]</f>
        <v>0</v>
      </c>
      <c r="O343" s="16"/>
      <c r="P343" s="16"/>
      <c r="Q343" s="16"/>
      <c r="R343" s="16"/>
      <c r="S343" s="16"/>
      <c r="T343" s="9"/>
      <c r="U343" s="1" t="s">
        <v>315</v>
      </c>
      <c r="V343" s="11"/>
      <c r="W343" s="232"/>
      <c r="X343" s="304"/>
    </row>
    <row r="344" spans="1:24">
      <c r="A344" s="6"/>
      <c r="B344" s="7"/>
      <c r="C344" s="6"/>
      <c r="D344" s="6"/>
      <c r="E344" s="6"/>
      <c r="F344" s="1"/>
      <c r="G344" s="9"/>
      <c r="H344" s="9"/>
      <c r="I344" s="11"/>
      <c r="J344" s="1"/>
      <c r="K344" s="1"/>
      <c r="L344" s="1" t="s">
        <v>315</v>
      </c>
      <c r="M344" s="9"/>
      <c r="N344" s="14">
        <f>Tabela131617181920[[#This Row],[Valor_recibo]]</f>
        <v>0</v>
      </c>
      <c r="O344" s="16"/>
      <c r="P344" s="16"/>
      <c r="Q344" s="16"/>
      <c r="R344" s="16"/>
      <c r="S344" s="16"/>
      <c r="T344" s="9"/>
      <c r="U344" s="1" t="s">
        <v>315</v>
      </c>
      <c r="V344" s="11"/>
      <c r="W344" s="232"/>
      <c r="X344" s="304"/>
    </row>
    <row r="345" spans="1:24">
      <c r="A345" s="6"/>
      <c r="B345" s="7"/>
      <c r="C345" s="6"/>
      <c r="D345" s="6"/>
      <c r="E345" s="6"/>
      <c r="F345" s="1"/>
      <c r="G345" s="9"/>
      <c r="H345" s="9"/>
      <c r="I345" s="11"/>
      <c r="J345" s="1"/>
      <c r="K345" s="1"/>
      <c r="L345" s="1" t="s">
        <v>315</v>
      </c>
      <c r="M345" s="9"/>
      <c r="N345" s="14">
        <f>Tabela131617181920[[#This Row],[Valor_recibo]]</f>
        <v>0</v>
      </c>
      <c r="O345" s="16"/>
      <c r="P345" s="16"/>
      <c r="Q345" s="16"/>
      <c r="R345" s="16"/>
      <c r="S345" s="16"/>
      <c r="T345" s="9"/>
      <c r="U345" s="1" t="s">
        <v>315</v>
      </c>
      <c r="V345" s="11"/>
      <c r="W345" s="232"/>
      <c r="X345" s="304"/>
    </row>
    <row r="346" spans="1:24">
      <c r="A346" s="6"/>
      <c r="B346" s="7"/>
      <c r="C346" s="6"/>
      <c r="D346" s="6"/>
      <c r="E346" s="6"/>
      <c r="F346" s="1"/>
      <c r="G346" s="9"/>
      <c r="H346" s="9"/>
      <c r="I346" s="11"/>
      <c r="J346" s="1"/>
      <c r="K346" s="1"/>
      <c r="L346" s="1" t="s">
        <v>315</v>
      </c>
      <c r="M346" s="9"/>
      <c r="N346" s="14">
        <f>Tabela131617181920[[#This Row],[Valor_recibo]]</f>
        <v>0</v>
      </c>
      <c r="O346" s="16"/>
      <c r="P346" s="16"/>
      <c r="Q346" s="16"/>
      <c r="R346" s="16"/>
      <c r="S346" s="16"/>
      <c r="T346" s="9"/>
      <c r="U346" s="1" t="s">
        <v>315</v>
      </c>
      <c r="V346" s="11"/>
      <c r="W346" s="232"/>
      <c r="X346" s="304"/>
    </row>
    <row r="347" spans="1:24">
      <c r="A347" s="6"/>
      <c r="B347" s="7"/>
      <c r="C347" s="6"/>
      <c r="D347" s="6"/>
      <c r="E347" s="6"/>
      <c r="F347" s="1"/>
      <c r="G347" s="9"/>
      <c r="H347" s="9"/>
      <c r="I347" s="11"/>
      <c r="J347" s="1"/>
      <c r="K347" s="1"/>
      <c r="L347" s="1" t="s">
        <v>315</v>
      </c>
      <c r="M347" s="9"/>
      <c r="N347" s="14">
        <f>Tabela131617181920[[#This Row],[Valor_recibo]]</f>
        <v>0</v>
      </c>
      <c r="O347" s="16"/>
      <c r="P347" s="16"/>
      <c r="Q347" s="16"/>
      <c r="R347" s="16"/>
      <c r="S347" s="16"/>
      <c r="T347" s="9"/>
      <c r="U347" s="1" t="s">
        <v>315</v>
      </c>
      <c r="V347" s="11"/>
      <c r="W347" s="232"/>
      <c r="X347" s="304"/>
    </row>
    <row r="348" spans="1:24">
      <c r="A348" s="6"/>
      <c r="B348" s="7"/>
      <c r="C348" s="6"/>
      <c r="D348" s="6"/>
      <c r="E348" s="6"/>
      <c r="F348" s="1"/>
      <c r="G348" s="9"/>
      <c r="H348" s="9"/>
      <c r="I348" s="11"/>
      <c r="J348" s="1"/>
      <c r="K348" s="1"/>
      <c r="L348" s="1" t="s">
        <v>315</v>
      </c>
      <c r="M348" s="9"/>
      <c r="N348" s="14">
        <f>Tabela131617181920[[#This Row],[Valor_recibo]]</f>
        <v>0</v>
      </c>
      <c r="O348" s="16"/>
      <c r="P348" s="16"/>
      <c r="Q348" s="16"/>
      <c r="R348" s="16"/>
      <c r="S348" s="16"/>
      <c r="T348" s="9"/>
      <c r="U348" s="1" t="s">
        <v>315</v>
      </c>
      <c r="V348" s="11"/>
      <c r="W348" s="232"/>
      <c r="X348" s="304"/>
    </row>
    <row r="349" spans="1:24">
      <c r="A349" s="6"/>
      <c r="B349" s="7"/>
      <c r="C349" s="6"/>
      <c r="D349" s="6"/>
      <c r="E349" s="6"/>
      <c r="F349" s="1"/>
      <c r="G349" s="9"/>
      <c r="H349" s="9"/>
      <c r="I349" s="11"/>
      <c r="J349" s="1"/>
      <c r="K349" s="1"/>
      <c r="L349" s="1" t="s">
        <v>315</v>
      </c>
      <c r="M349" s="9"/>
      <c r="N349" s="14">
        <f>Tabela131617181920[[#This Row],[Valor_recibo]]</f>
        <v>0</v>
      </c>
      <c r="O349" s="16"/>
      <c r="P349" s="16"/>
      <c r="Q349" s="16"/>
      <c r="R349" s="16"/>
      <c r="S349" s="16"/>
      <c r="T349" s="9"/>
      <c r="U349" s="1" t="s">
        <v>315</v>
      </c>
      <c r="V349" s="11"/>
      <c r="W349" s="232"/>
      <c r="X349" s="304"/>
    </row>
    <row r="350" spans="1:24">
      <c r="A350" s="6"/>
      <c r="B350" s="7"/>
      <c r="C350" s="6"/>
      <c r="D350" s="6"/>
      <c r="E350" s="6"/>
      <c r="F350" s="1"/>
      <c r="G350" s="9"/>
      <c r="H350" s="9"/>
      <c r="I350" s="11"/>
      <c r="J350" s="1"/>
      <c r="K350" s="1"/>
      <c r="L350" s="1" t="s">
        <v>315</v>
      </c>
      <c r="M350" s="9"/>
      <c r="N350" s="14">
        <f>Tabela131617181920[[#This Row],[Valor_recibo]]</f>
        <v>0</v>
      </c>
      <c r="O350" s="16"/>
      <c r="P350" s="16"/>
      <c r="Q350" s="16"/>
      <c r="R350" s="16"/>
      <c r="S350" s="16"/>
      <c r="T350" s="9"/>
      <c r="U350" s="1" t="s">
        <v>315</v>
      </c>
      <c r="V350" s="11"/>
      <c r="W350" s="232"/>
      <c r="X350" s="304"/>
    </row>
    <row r="351" spans="1:24">
      <c r="A351" s="6"/>
      <c r="B351" s="7"/>
      <c r="C351" s="6"/>
      <c r="D351" s="6"/>
      <c r="E351" s="6"/>
      <c r="F351" s="1"/>
      <c r="G351" s="9"/>
      <c r="H351" s="9"/>
      <c r="I351" s="11"/>
      <c r="J351" s="1"/>
      <c r="K351" s="1"/>
      <c r="L351" s="1" t="s">
        <v>315</v>
      </c>
      <c r="M351" s="9"/>
      <c r="N351" s="14">
        <f>Tabela131617181920[[#This Row],[Valor_recibo]]</f>
        <v>0</v>
      </c>
      <c r="O351" s="16"/>
      <c r="P351" s="16"/>
      <c r="Q351" s="16"/>
      <c r="R351" s="16"/>
      <c r="S351" s="16"/>
      <c r="T351" s="9"/>
      <c r="U351" s="1" t="s">
        <v>315</v>
      </c>
      <c r="V351" s="11"/>
      <c r="W351" s="232"/>
      <c r="X351" s="304"/>
    </row>
    <row r="352" spans="1:24">
      <c r="A352" s="6"/>
      <c r="B352" s="7"/>
      <c r="C352" s="6"/>
      <c r="D352" s="6"/>
      <c r="E352" s="6"/>
      <c r="F352" s="1"/>
      <c r="G352" s="9"/>
      <c r="H352" s="9"/>
      <c r="I352" s="11"/>
      <c r="J352" s="1"/>
      <c r="K352" s="1"/>
      <c r="L352" s="1" t="s">
        <v>315</v>
      </c>
      <c r="M352" s="9"/>
      <c r="N352" s="14">
        <f>Tabela131617181920[[#This Row],[Valor_recibo]]</f>
        <v>0</v>
      </c>
      <c r="O352" s="16"/>
      <c r="P352" s="16"/>
      <c r="Q352" s="16"/>
      <c r="R352" s="16"/>
      <c r="S352" s="16"/>
      <c r="T352" s="9"/>
      <c r="U352" s="1" t="s">
        <v>315</v>
      </c>
      <c r="V352" s="11"/>
      <c r="W352" s="232"/>
      <c r="X352" s="304"/>
    </row>
    <row r="353" spans="1:24">
      <c r="A353" s="6"/>
      <c r="B353" s="7"/>
      <c r="C353" s="6"/>
      <c r="D353" s="6"/>
      <c r="E353" s="6"/>
      <c r="F353" s="1"/>
      <c r="G353" s="9"/>
      <c r="H353" s="9"/>
      <c r="I353" s="11"/>
      <c r="J353" s="1"/>
      <c r="K353" s="1"/>
      <c r="L353" s="1" t="s">
        <v>315</v>
      </c>
      <c r="M353" s="9"/>
      <c r="N353" s="14">
        <f>Tabela131617181920[[#This Row],[Valor_recibo]]</f>
        <v>0</v>
      </c>
      <c r="O353" s="16"/>
      <c r="P353" s="16"/>
      <c r="Q353" s="16"/>
      <c r="R353" s="16"/>
      <c r="S353" s="16"/>
      <c r="T353" s="9"/>
      <c r="U353" s="1" t="s">
        <v>315</v>
      </c>
      <c r="V353" s="11"/>
      <c r="W353" s="232"/>
      <c r="X353" s="304"/>
    </row>
    <row r="354" spans="1:24">
      <c r="A354" s="6"/>
      <c r="B354" s="7"/>
      <c r="C354" s="6"/>
      <c r="D354" s="6"/>
      <c r="E354" s="6"/>
      <c r="F354" s="1"/>
      <c r="G354" s="9"/>
      <c r="H354" s="9"/>
      <c r="I354" s="11"/>
      <c r="J354" s="1"/>
      <c r="K354" s="1"/>
      <c r="L354" s="1" t="s">
        <v>315</v>
      </c>
      <c r="M354" s="9"/>
      <c r="N354" s="14">
        <f>Tabela131617181920[[#This Row],[Valor_recibo]]</f>
        <v>0</v>
      </c>
      <c r="O354" s="16"/>
      <c r="P354" s="16"/>
      <c r="Q354" s="16"/>
      <c r="R354" s="16"/>
      <c r="S354" s="16"/>
      <c r="T354" s="9"/>
      <c r="U354" s="1" t="s">
        <v>315</v>
      </c>
      <c r="V354" s="11"/>
      <c r="W354" s="232"/>
      <c r="X354" s="304"/>
    </row>
    <row r="355" spans="1:24">
      <c r="A355" s="6"/>
      <c r="B355" s="7"/>
      <c r="C355" s="6"/>
      <c r="D355" s="6"/>
      <c r="E355" s="6"/>
      <c r="F355" s="1"/>
      <c r="G355" s="9"/>
      <c r="H355" s="9"/>
      <c r="I355" s="11"/>
      <c r="J355" s="1"/>
      <c r="K355" s="1"/>
      <c r="L355" s="1" t="s">
        <v>315</v>
      </c>
      <c r="M355" s="9"/>
      <c r="N355" s="14">
        <f>Tabela131617181920[[#This Row],[Valor_recibo]]</f>
        <v>0</v>
      </c>
      <c r="O355" s="16"/>
      <c r="P355" s="16"/>
      <c r="Q355" s="16"/>
      <c r="R355" s="16"/>
      <c r="S355" s="16"/>
      <c r="T355" s="9"/>
      <c r="U355" s="1" t="s">
        <v>315</v>
      </c>
      <c r="V355" s="11"/>
      <c r="W355" s="232"/>
      <c r="X355" s="304"/>
    </row>
    <row r="356" spans="1:24">
      <c r="A356" s="6"/>
      <c r="B356" s="7"/>
      <c r="C356" s="6"/>
      <c r="D356" s="6"/>
      <c r="E356" s="6"/>
      <c r="F356" s="1"/>
      <c r="G356" s="9"/>
      <c r="H356" s="9"/>
      <c r="I356" s="11"/>
      <c r="J356" s="1"/>
      <c r="K356" s="1"/>
      <c r="L356" s="1" t="s">
        <v>315</v>
      </c>
      <c r="M356" s="9"/>
      <c r="N356" s="14">
        <f>Tabela131617181920[[#This Row],[Valor_recibo]]</f>
        <v>0</v>
      </c>
      <c r="O356" s="16"/>
      <c r="P356" s="16"/>
      <c r="Q356" s="16"/>
      <c r="R356" s="16"/>
      <c r="S356" s="16"/>
      <c r="T356" s="9"/>
      <c r="U356" s="1" t="s">
        <v>315</v>
      </c>
      <c r="V356" s="11"/>
      <c r="W356" s="232"/>
      <c r="X356" s="304"/>
    </row>
    <row r="357" spans="1:24">
      <c r="A357" s="6"/>
      <c r="B357" s="7"/>
      <c r="C357" s="6"/>
      <c r="D357" s="6"/>
      <c r="E357" s="6"/>
      <c r="F357" s="1"/>
      <c r="G357" s="9"/>
      <c r="H357" s="9"/>
      <c r="I357" s="11"/>
      <c r="J357" s="1"/>
      <c r="K357" s="1"/>
      <c r="L357" s="1" t="s">
        <v>315</v>
      </c>
      <c r="M357" s="9"/>
      <c r="N357" s="14">
        <f>Tabela131617181920[[#This Row],[Valor_recibo]]</f>
        <v>0</v>
      </c>
      <c r="O357" s="16"/>
      <c r="P357" s="16"/>
      <c r="Q357" s="16"/>
      <c r="R357" s="16"/>
      <c r="S357" s="16"/>
      <c r="T357" s="9"/>
      <c r="U357" s="1" t="s">
        <v>315</v>
      </c>
      <c r="V357" s="11"/>
      <c r="W357" s="232"/>
      <c r="X357" s="304"/>
    </row>
    <row r="358" spans="1:24">
      <c r="A358" s="6"/>
      <c r="B358" s="7"/>
      <c r="C358" s="6"/>
      <c r="D358" s="6"/>
      <c r="E358" s="6"/>
      <c r="F358" s="1"/>
      <c r="G358" s="9"/>
      <c r="H358" s="9"/>
      <c r="I358" s="11"/>
      <c r="J358" s="1"/>
      <c r="K358" s="1"/>
      <c r="L358" s="1" t="s">
        <v>315</v>
      </c>
      <c r="M358" s="9"/>
      <c r="N358" s="14">
        <f>Tabela131617181920[[#This Row],[Valor_recibo]]</f>
        <v>0</v>
      </c>
      <c r="O358" s="16"/>
      <c r="P358" s="16"/>
      <c r="Q358" s="16"/>
      <c r="R358" s="16"/>
      <c r="S358" s="16"/>
      <c r="T358" s="9"/>
      <c r="U358" s="1" t="s">
        <v>315</v>
      </c>
      <c r="V358" s="11"/>
      <c r="W358" s="232"/>
      <c r="X358" s="304"/>
    </row>
    <row r="359" spans="1:24">
      <c r="A359" s="6"/>
      <c r="B359" s="7"/>
      <c r="C359" s="6"/>
      <c r="D359" s="6"/>
      <c r="E359" s="6"/>
      <c r="F359" s="1"/>
      <c r="G359" s="9"/>
      <c r="H359" s="9"/>
      <c r="I359" s="11"/>
      <c r="J359" s="1"/>
      <c r="K359" s="1"/>
      <c r="L359" s="1" t="s">
        <v>315</v>
      </c>
      <c r="M359" s="9"/>
      <c r="N359" s="14">
        <f>Tabela131617181920[[#This Row],[Valor_recibo]]</f>
        <v>0</v>
      </c>
      <c r="O359" s="16"/>
      <c r="P359" s="16"/>
      <c r="Q359" s="16"/>
      <c r="R359" s="16"/>
      <c r="S359" s="16"/>
      <c r="T359" s="9"/>
      <c r="U359" s="1" t="s">
        <v>315</v>
      </c>
      <c r="V359" s="11"/>
      <c r="W359" s="232"/>
      <c r="X359" s="304"/>
    </row>
    <row r="360" spans="1:24">
      <c r="A360" s="6"/>
      <c r="B360" s="7"/>
      <c r="C360" s="6"/>
      <c r="D360" s="6"/>
      <c r="E360" s="6"/>
      <c r="F360" s="1"/>
      <c r="G360" s="9"/>
      <c r="H360" s="9"/>
      <c r="I360" s="11"/>
      <c r="J360" s="1"/>
      <c r="K360" s="1"/>
      <c r="L360" s="1" t="s">
        <v>315</v>
      </c>
      <c r="M360" s="9"/>
      <c r="N360" s="14">
        <f>Tabela131617181920[[#This Row],[Valor_recibo]]</f>
        <v>0</v>
      </c>
      <c r="O360" s="16"/>
      <c r="P360" s="16"/>
      <c r="Q360" s="16"/>
      <c r="R360" s="16"/>
      <c r="S360" s="16"/>
      <c r="T360" s="9"/>
      <c r="U360" s="1" t="s">
        <v>315</v>
      </c>
      <c r="V360" s="11"/>
      <c r="W360" s="232"/>
      <c r="X360" s="304"/>
    </row>
    <row r="361" spans="1:24">
      <c r="A361" s="6"/>
      <c r="B361" s="7"/>
      <c r="C361" s="6"/>
      <c r="D361" s="6"/>
      <c r="E361" s="6"/>
      <c r="F361" s="1"/>
      <c r="G361" s="9"/>
      <c r="H361" s="9"/>
      <c r="I361" s="11"/>
      <c r="J361" s="1"/>
      <c r="K361" s="1"/>
      <c r="L361" s="1" t="s">
        <v>315</v>
      </c>
      <c r="M361" s="9"/>
      <c r="N361" s="14">
        <f>Tabela131617181920[[#This Row],[Valor_recibo]]</f>
        <v>0</v>
      </c>
      <c r="O361" s="16"/>
      <c r="P361" s="16"/>
      <c r="Q361" s="16"/>
      <c r="R361" s="16"/>
      <c r="S361" s="16"/>
      <c r="T361" s="9"/>
      <c r="U361" s="1" t="s">
        <v>315</v>
      </c>
      <c r="V361" s="11"/>
      <c r="W361" s="232"/>
      <c r="X361" s="304"/>
    </row>
    <row r="362" spans="1:24">
      <c r="A362" s="6"/>
      <c r="B362" s="7"/>
      <c r="C362" s="6"/>
      <c r="D362" s="6"/>
      <c r="E362" s="6"/>
      <c r="F362" s="1"/>
      <c r="G362" s="9"/>
      <c r="H362" s="9"/>
      <c r="I362" s="11"/>
      <c r="J362" s="1"/>
      <c r="K362" s="1"/>
      <c r="L362" s="1" t="s">
        <v>315</v>
      </c>
      <c r="M362" s="9"/>
      <c r="N362" s="14">
        <f>Tabela131617181920[[#This Row],[Valor_recibo]]</f>
        <v>0</v>
      </c>
      <c r="O362" s="16"/>
      <c r="P362" s="16"/>
      <c r="Q362" s="16"/>
      <c r="R362" s="16"/>
      <c r="S362" s="16"/>
      <c r="T362" s="9"/>
      <c r="U362" s="1" t="s">
        <v>315</v>
      </c>
      <c r="V362" s="11"/>
      <c r="W362" s="232"/>
      <c r="X362" s="304"/>
    </row>
    <row r="363" spans="1:24">
      <c r="A363" s="6"/>
      <c r="B363" s="7"/>
      <c r="C363" s="6"/>
      <c r="D363" s="6"/>
      <c r="E363" s="6"/>
      <c r="F363" s="1"/>
      <c r="G363" s="9"/>
      <c r="H363" s="9"/>
      <c r="I363" s="11"/>
      <c r="J363" s="1"/>
      <c r="K363" s="1"/>
      <c r="L363" s="1" t="s">
        <v>315</v>
      </c>
      <c r="M363" s="9"/>
      <c r="N363" s="14">
        <f>Tabela131617181920[[#This Row],[Valor_recibo]]</f>
        <v>0</v>
      </c>
      <c r="O363" s="16"/>
      <c r="P363" s="16"/>
      <c r="Q363" s="16"/>
      <c r="R363" s="16"/>
      <c r="S363" s="16"/>
      <c r="T363" s="9"/>
      <c r="U363" s="1" t="s">
        <v>315</v>
      </c>
      <c r="V363" s="11"/>
      <c r="W363" s="232"/>
      <c r="X363" s="304"/>
    </row>
    <row r="364" spans="1:24">
      <c r="A364" s="6"/>
      <c r="B364" s="7"/>
      <c r="C364" s="6"/>
      <c r="D364" s="6"/>
      <c r="E364" s="6"/>
      <c r="F364" s="1"/>
      <c r="G364" s="9"/>
      <c r="H364" s="9"/>
      <c r="I364" s="11"/>
      <c r="J364" s="1"/>
      <c r="K364" s="1"/>
      <c r="L364" s="1" t="s">
        <v>315</v>
      </c>
      <c r="M364" s="9"/>
      <c r="N364" s="14">
        <f>Tabela131617181920[[#This Row],[Valor_recibo]]</f>
        <v>0</v>
      </c>
      <c r="O364" s="16"/>
      <c r="P364" s="16"/>
      <c r="Q364" s="16"/>
      <c r="R364" s="16"/>
      <c r="S364" s="16"/>
      <c r="T364" s="9"/>
      <c r="U364" s="1" t="s">
        <v>315</v>
      </c>
      <c r="V364" s="11"/>
      <c r="W364" s="232"/>
      <c r="X364" s="304"/>
    </row>
    <row r="365" spans="1:24">
      <c r="A365" s="6"/>
      <c r="B365" s="7"/>
      <c r="C365" s="6"/>
      <c r="D365" s="6"/>
      <c r="E365" s="6"/>
      <c r="F365" s="1"/>
      <c r="G365" s="9"/>
      <c r="H365" s="9"/>
      <c r="I365" s="11"/>
      <c r="J365" s="1"/>
      <c r="K365" s="1"/>
      <c r="L365" s="1" t="s">
        <v>315</v>
      </c>
      <c r="M365" s="9"/>
      <c r="N365" s="14">
        <f>Tabela131617181920[[#This Row],[Valor_recibo]]</f>
        <v>0</v>
      </c>
      <c r="O365" s="16"/>
      <c r="P365" s="16"/>
      <c r="Q365" s="16"/>
      <c r="R365" s="16"/>
      <c r="S365" s="16"/>
      <c r="T365" s="9"/>
      <c r="U365" s="1" t="s">
        <v>315</v>
      </c>
      <c r="V365" s="11"/>
      <c r="W365" s="232"/>
      <c r="X365" s="304"/>
    </row>
    <row r="366" spans="1:24">
      <c r="A366" s="6"/>
      <c r="B366" s="7"/>
      <c r="C366" s="6"/>
      <c r="D366" s="6"/>
      <c r="E366" s="6"/>
      <c r="F366" s="1"/>
      <c r="G366" s="9"/>
      <c r="H366" s="9"/>
      <c r="I366" s="11"/>
      <c r="J366" s="1"/>
      <c r="K366" s="1"/>
      <c r="L366" s="1" t="s">
        <v>315</v>
      </c>
      <c r="M366" s="9"/>
      <c r="N366" s="14">
        <f>Tabela131617181920[[#This Row],[Valor_recibo]]</f>
        <v>0</v>
      </c>
      <c r="O366" s="16"/>
      <c r="P366" s="16"/>
      <c r="Q366" s="16"/>
      <c r="R366" s="16"/>
      <c r="S366" s="16"/>
      <c r="T366" s="9"/>
      <c r="U366" s="1" t="s">
        <v>315</v>
      </c>
      <c r="V366" s="11"/>
      <c r="W366" s="232"/>
      <c r="X366" s="304"/>
    </row>
    <row r="367" spans="1:24">
      <c r="A367" s="6"/>
      <c r="B367" s="7"/>
      <c r="C367" s="6"/>
      <c r="D367" s="6"/>
      <c r="E367" s="6"/>
      <c r="F367" s="1"/>
      <c r="G367" s="9"/>
      <c r="H367" s="9"/>
      <c r="I367" s="11"/>
      <c r="J367" s="1"/>
      <c r="K367" s="1"/>
      <c r="L367" s="1" t="s">
        <v>315</v>
      </c>
      <c r="M367" s="9"/>
      <c r="N367" s="14">
        <f>Tabela131617181920[[#This Row],[Valor_recibo]]</f>
        <v>0</v>
      </c>
      <c r="O367" s="16"/>
      <c r="P367" s="16"/>
      <c r="Q367" s="16"/>
      <c r="R367" s="16"/>
      <c r="S367" s="16"/>
      <c r="T367" s="9"/>
      <c r="U367" s="1" t="s">
        <v>315</v>
      </c>
      <c r="V367" s="11"/>
      <c r="W367" s="232"/>
      <c r="X367" s="304"/>
    </row>
    <row r="368" spans="1:24">
      <c r="A368" s="6"/>
      <c r="B368" s="7"/>
      <c r="C368" s="6"/>
      <c r="D368" s="6"/>
      <c r="E368" s="6"/>
      <c r="F368" s="1"/>
      <c r="G368" s="9"/>
      <c r="H368" s="9"/>
      <c r="I368" s="11"/>
      <c r="J368" s="1"/>
      <c r="K368" s="1"/>
      <c r="L368" s="1" t="s">
        <v>315</v>
      </c>
      <c r="M368" s="9"/>
      <c r="N368" s="14">
        <f>Tabela131617181920[[#This Row],[Valor_recibo]]</f>
        <v>0</v>
      </c>
      <c r="O368" s="16"/>
      <c r="P368" s="16"/>
      <c r="Q368" s="16"/>
      <c r="R368" s="16"/>
      <c r="S368" s="16"/>
      <c r="T368" s="9"/>
      <c r="U368" s="1" t="s">
        <v>315</v>
      </c>
      <c r="V368" s="11"/>
      <c r="W368" s="232"/>
      <c r="X368" s="304"/>
    </row>
    <row r="369" spans="1:24">
      <c r="A369" s="6"/>
      <c r="B369" s="7"/>
      <c r="C369" s="6"/>
      <c r="D369" s="6"/>
      <c r="E369" s="6"/>
      <c r="F369" s="1"/>
      <c r="G369" s="9"/>
      <c r="H369" s="9"/>
      <c r="I369" s="11"/>
      <c r="J369" s="1"/>
      <c r="K369" s="1"/>
      <c r="L369" s="1" t="s">
        <v>315</v>
      </c>
      <c r="M369" s="9"/>
      <c r="N369" s="14">
        <f>Tabela131617181920[[#This Row],[Valor_recibo]]</f>
        <v>0</v>
      </c>
      <c r="O369" s="16"/>
      <c r="P369" s="16"/>
      <c r="Q369" s="16"/>
      <c r="R369" s="16"/>
      <c r="S369" s="16"/>
      <c r="T369" s="9"/>
      <c r="U369" s="1" t="s">
        <v>315</v>
      </c>
      <c r="V369" s="11"/>
      <c r="W369" s="232"/>
      <c r="X369" s="304"/>
    </row>
    <row r="370" spans="1:24">
      <c r="A370" s="6"/>
      <c r="B370" s="7"/>
      <c r="C370" s="6"/>
      <c r="D370" s="6"/>
      <c r="E370" s="6"/>
      <c r="F370" s="1"/>
      <c r="G370" s="9"/>
      <c r="H370" s="9"/>
      <c r="I370" s="11"/>
      <c r="J370" s="1"/>
      <c r="K370" s="1"/>
      <c r="L370" s="1" t="s">
        <v>315</v>
      </c>
      <c r="M370" s="9"/>
      <c r="N370" s="14">
        <f>Tabela131617181920[[#This Row],[Valor_recibo]]</f>
        <v>0</v>
      </c>
      <c r="O370" s="16"/>
      <c r="P370" s="16"/>
      <c r="Q370" s="16"/>
      <c r="R370" s="16"/>
      <c r="S370" s="16"/>
      <c r="T370" s="9"/>
      <c r="U370" s="1" t="s">
        <v>315</v>
      </c>
      <c r="V370" s="11"/>
      <c r="W370" s="232"/>
      <c r="X370" s="304"/>
    </row>
    <row r="371" spans="1:24">
      <c r="A371" s="6"/>
      <c r="B371" s="7"/>
      <c r="C371" s="6"/>
      <c r="D371" s="6"/>
      <c r="E371" s="6"/>
      <c r="F371" s="1"/>
      <c r="G371" s="9"/>
      <c r="H371" s="9"/>
      <c r="I371" s="11"/>
      <c r="J371" s="1"/>
      <c r="K371" s="1"/>
      <c r="L371" s="1" t="s">
        <v>315</v>
      </c>
      <c r="M371" s="9"/>
      <c r="N371" s="14">
        <f>Tabela131617181920[[#This Row],[Valor_recibo]]</f>
        <v>0</v>
      </c>
      <c r="O371" s="16"/>
      <c r="P371" s="16"/>
      <c r="Q371" s="16"/>
      <c r="R371" s="16"/>
      <c r="S371" s="16"/>
      <c r="T371" s="9"/>
      <c r="U371" s="1" t="s">
        <v>315</v>
      </c>
      <c r="V371" s="11"/>
      <c r="W371" s="232"/>
      <c r="X371" s="304"/>
    </row>
    <row r="372" spans="1:24">
      <c r="A372" s="6"/>
      <c r="B372" s="7"/>
      <c r="C372" s="6"/>
      <c r="D372" s="6"/>
      <c r="E372" s="6"/>
      <c r="F372" s="1"/>
      <c r="G372" s="9"/>
      <c r="H372" s="9"/>
      <c r="I372" s="11"/>
      <c r="J372" s="1"/>
      <c r="K372" s="1"/>
      <c r="L372" s="1" t="s">
        <v>315</v>
      </c>
      <c r="M372" s="9"/>
      <c r="N372" s="14">
        <f>Tabela131617181920[[#This Row],[Valor_recibo]]</f>
        <v>0</v>
      </c>
      <c r="O372" s="16"/>
      <c r="P372" s="16"/>
      <c r="Q372" s="16"/>
      <c r="R372" s="16"/>
      <c r="S372" s="16"/>
      <c r="T372" s="9"/>
      <c r="U372" s="1" t="s">
        <v>315</v>
      </c>
      <c r="V372" s="11"/>
      <c r="W372" s="232"/>
      <c r="X372" s="304"/>
    </row>
    <row r="373" spans="1:24">
      <c r="A373" s="6"/>
      <c r="B373" s="7"/>
      <c r="C373" s="6"/>
      <c r="D373" s="6"/>
      <c r="E373" s="6"/>
      <c r="F373" s="1"/>
      <c r="G373" s="9"/>
      <c r="H373" s="9"/>
      <c r="I373" s="11"/>
      <c r="J373" s="1"/>
      <c r="K373" s="1"/>
      <c r="L373" s="1" t="s">
        <v>315</v>
      </c>
      <c r="M373" s="9"/>
      <c r="N373" s="14">
        <f>Tabela131617181920[[#This Row],[Valor_recibo]]</f>
        <v>0</v>
      </c>
      <c r="O373" s="16"/>
      <c r="P373" s="16"/>
      <c r="Q373" s="16"/>
      <c r="R373" s="16"/>
      <c r="S373" s="16"/>
      <c r="T373" s="9"/>
      <c r="U373" s="1" t="s">
        <v>315</v>
      </c>
      <c r="V373" s="11"/>
      <c r="W373" s="232"/>
      <c r="X373" s="304"/>
    </row>
    <row r="374" spans="1:24">
      <c r="A374" s="6"/>
      <c r="B374" s="7"/>
      <c r="C374" s="6"/>
      <c r="D374" s="6"/>
      <c r="E374" s="6"/>
      <c r="F374" s="1"/>
      <c r="G374" s="9"/>
      <c r="H374" s="9"/>
      <c r="I374" s="11"/>
      <c r="J374" s="1"/>
      <c r="K374" s="1"/>
      <c r="L374" s="1" t="s">
        <v>315</v>
      </c>
      <c r="M374" s="9"/>
      <c r="N374" s="14">
        <f>Tabela131617181920[[#This Row],[Valor_recibo]]</f>
        <v>0</v>
      </c>
      <c r="O374" s="16"/>
      <c r="P374" s="16"/>
      <c r="Q374" s="16"/>
      <c r="R374" s="16"/>
      <c r="S374" s="16"/>
      <c r="T374" s="9"/>
      <c r="U374" s="1" t="s">
        <v>315</v>
      </c>
      <c r="V374" s="11"/>
      <c r="W374" s="232"/>
      <c r="X374" s="304"/>
    </row>
    <row r="375" spans="1:24">
      <c r="A375" s="6"/>
      <c r="B375" s="7"/>
      <c r="C375" s="6"/>
      <c r="D375" s="6"/>
      <c r="E375" s="6"/>
      <c r="F375" s="1"/>
      <c r="G375" s="9"/>
      <c r="H375" s="9"/>
      <c r="I375" s="11"/>
      <c r="J375" s="1"/>
      <c r="K375" s="1"/>
      <c r="L375" s="1" t="s">
        <v>315</v>
      </c>
      <c r="M375" s="9"/>
      <c r="N375" s="14">
        <f>Tabela131617181920[[#This Row],[Valor_recibo]]</f>
        <v>0</v>
      </c>
      <c r="O375" s="16"/>
      <c r="P375" s="16"/>
      <c r="Q375" s="16"/>
      <c r="R375" s="16"/>
      <c r="S375" s="16"/>
      <c r="T375" s="9"/>
      <c r="U375" s="1" t="s">
        <v>315</v>
      </c>
      <c r="V375" s="11"/>
      <c r="W375" s="232"/>
      <c r="X375" s="304"/>
    </row>
    <row r="376" spans="1:24">
      <c r="A376" s="6"/>
      <c r="B376" s="7"/>
      <c r="C376" s="6"/>
      <c r="D376" s="6"/>
      <c r="E376" s="6"/>
      <c r="F376" s="1"/>
      <c r="G376" s="9"/>
      <c r="H376" s="9"/>
      <c r="I376" s="11"/>
      <c r="J376" s="1"/>
      <c r="K376" s="1"/>
      <c r="L376" s="1" t="s">
        <v>315</v>
      </c>
      <c r="M376" s="9"/>
      <c r="N376" s="14">
        <f>Tabela131617181920[[#This Row],[Valor_recibo]]</f>
        <v>0</v>
      </c>
      <c r="O376" s="16"/>
      <c r="P376" s="16"/>
      <c r="Q376" s="16"/>
      <c r="R376" s="16"/>
      <c r="S376" s="16"/>
      <c r="T376" s="9"/>
      <c r="U376" s="1" t="s">
        <v>315</v>
      </c>
      <c r="V376" s="11"/>
      <c r="W376" s="232"/>
      <c r="X376" s="304"/>
    </row>
    <row r="377" spans="1:24">
      <c r="A377" s="6"/>
      <c r="B377" s="7"/>
      <c r="C377" s="6"/>
      <c r="D377" s="6"/>
      <c r="E377" s="6"/>
      <c r="F377" s="1"/>
      <c r="G377" s="9"/>
      <c r="H377" s="9"/>
      <c r="I377" s="11"/>
      <c r="J377" s="1"/>
      <c r="K377" s="1"/>
      <c r="L377" s="1" t="s">
        <v>315</v>
      </c>
      <c r="M377" s="9"/>
      <c r="N377" s="14">
        <f>Tabela131617181920[[#This Row],[Valor_recibo]]</f>
        <v>0</v>
      </c>
      <c r="O377" s="16"/>
      <c r="P377" s="16"/>
      <c r="Q377" s="16"/>
      <c r="R377" s="16"/>
      <c r="S377" s="16"/>
      <c r="T377" s="9"/>
      <c r="U377" s="1" t="s">
        <v>315</v>
      </c>
      <c r="V377" s="11"/>
      <c r="W377" s="232"/>
      <c r="X377" s="304"/>
    </row>
    <row r="378" spans="1:24">
      <c r="A378" s="6"/>
      <c r="B378" s="7"/>
      <c r="C378" s="6"/>
      <c r="D378" s="6"/>
      <c r="E378" s="6"/>
      <c r="F378" s="1"/>
      <c r="G378" s="9"/>
      <c r="H378" s="9"/>
      <c r="I378" s="11"/>
      <c r="J378" s="1"/>
      <c r="K378" s="1"/>
      <c r="L378" s="1" t="s">
        <v>315</v>
      </c>
      <c r="M378" s="9"/>
      <c r="N378" s="14">
        <f>Tabela131617181920[[#This Row],[Valor_recibo]]</f>
        <v>0</v>
      </c>
      <c r="O378" s="16"/>
      <c r="P378" s="16"/>
      <c r="Q378" s="16"/>
      <c r="R378" s="16"/>
      <c r="S378" s="16"/>
      <c r="T378" s="9"/>
      <c r="U378" s="1" t="s">
        <v>315</v>
      </c>
      <c r="V378" s="11"/>
      <c r="W378" s="232"/>
      <c r="X378" s="304"/>
    </row>
    <row r="379" spans="1:24">
      <c r="A379" s="6"/>
      <c r="B379" s="7"/>
      <c r="C379" s="6"/>
      <c r="D379" s="6"/>
      <c r="E379" s="6"/>
      <c r="F379" s="1"/>
      <c r="G379" s="9"/>
      <c r="H379" s="9"/>
      <c r="I379" s="11"/>
      <c r="J379" s="1"/>
      <c r="K379" s="1"/>
      <c r="L379" s="1" t="s">
        <v>315</v>
      </c>
      <c r="M379" s="9"/>
      <c r="N379" s="14">
        <f>Tabela131617181920[[#This Row],[Valor_recibo]]</f>
        <v>0</v>
      </c>
      <c r="O379" s="16"/>
      <c r="P379" s="16"/>
      <c r="Q379" s="16"/>
      <c r="R379" s="16"/>
      <c r="S379" s="16"/>
      <c r="T379" s="9"/>
      <c r="U379" s="1" t="s">
        <v>315</v>
      </c>
      <c r="V379" s="11"/>
      <c r="W379" s="232"/>
      <c r="X379" s="304"/>
    </row>
    <row r="380" spans="1:24">
      <c r="A380" s="6"/>
      <c r="B380" s="7"/>
      <c r="C380" s="6"/>
      <c r="D380" s="6"/>
      <c r="E380" s="6"/>
      <c r="F380" s="1"/>
      <c r="G380" s="9"/>
      <c r="H380" s="9"/>
      <c r="I380" s="11"/>
      <c r="J380" s="1"/>
      <c r="K380" s="1"/>
      <c r="L380" s="1" t="s">
        <v>315</v>
      </c>
      <c r="M380" s="9"/>
      <c r="N380" s="14">
        <f>Tabela131617181920[[#This Row],[Valor_recibo]]</f>
        <v>0</v>
      </c>
      <c r="O380" s="16"/>
      <c r="P380" s="16"/>
      <c r="Q380" s="16"/>
      <c r="R380" s="16"/>
      <c r="S380" s="16"/>
      <c r="T380" s="9"/>
      <c r="U380" s="1" t="s">
        <v>315</v>
      </c>
      <c r="V380" s="11"/>
      <c r="W380" s="232"/>
      <c r="X380" s="304"/>
    </row>
    <row r="381" spans="1:24">
      <c r="A381" s="6"/>
      <c r="B381" s="7"/>
      <c r="C381" s="6"/>
      <c r="D381" s="6"/>
      <c r="E381" s="6"/>
      <c r="F381" s="1"/>
      <c r="G381" s="9"/>
      <c r="H381" s="9"/>
      <c r="I381" s="11"/>
      <c r="J381" s="1"/>
      <c r="K381" s="1"/>
      <c r="L381" s="1" t="s">
        <v>315</v>
      </c>
      <c r="M381" s="9"/>
      <c r="N381" s="14">
        <f>Tabela131617181920[[#This Row],[Valor_recibo]]</f>
        <v>0</v>
      </c>
      <c r="O381" s="16"/>
      <c r="P381" s="16"/>
      <c r="Q381" s="16"/>
      <c r="R381" s="16"/>
      <c r="S381" s="16"/>
      <c r="T381" s="9"/>
      <c r="U381" s="1" t="s">
        <v>315</v>
      </c>
      <c r="V381" s="11"/>
      <c r="W381" s="232"/>
      <c r="X381" s="304"/>
    </row>
    <row r="382" spans="1:24">
      <c r="A382" s="6"/>
      <c r="B382" s="7"/>
      <c r="C382" s="6"/>
      <c r="D382" s="6"/>
      <c r="E382" s="6"/>
      <c r="F382" s="1"/>
      <c r="G382" s="9"/>
      <c r="H382" s="9"/>
      <c r="I382" s="11"/>
      <c r="J382" s="1"/>
      <c r="K382" s="1"/>
      <c r="L382" s="1" t="s">
        <v>315</v>
      </c>
      <c r="M382" s="9"/>
      <c r="N382" s="14">
        <f>Tabela131617181920[[#This Row],[Valor_recibo]]</f>
        <v>0</v>
      </c>
      <c r="O382" s="16"/>
      <c r="P382" s="16"/>
      <c r="Q382" s="16"/>
      <c r="R382" s="16"/>
      <c r="S382" s="16"/>
      <c r="T382" s="9"/>
      <c r="U382" s="1" t="s">
        <v>315</v>
      </c>
      <c r="V382" s="11"/>
      <c r="W382" s="232"/>
      <c r="X382" s="304"/>
    </row>
    <row r="383" spans="1:24">
      <c r="A383" s="6"/>
      <c r="B383" s="7"/>
      <c r="C383" s="6"/>
      <c r="D383" s="6"/>
      <c r="E383" s="6"/>
      <c r="F383" s="1"/>
      <c r="G383" s="9"/>
      <c r="H383" s="9"/>
      <c r="I383" s="11"/>
      <c r="J383" s="1"/>
      <c r="K383" s="1"/>
      <c r="L383" s="1" t="s">
        <v>315</v>
      </c>
      <c r="M383" s="9"/>
      <c r="N383" s="14">
        <f>Tabela131617181920[[#This Row],[Valor_recibo]]</f>
        <v>0</v>
      </c>
      <c r="O383" s="16"/>
      <c r="P383" s="16"/>
      <c r="Q383" s="16"/>
      <c r="R383" s="16"/>
      <c r="S383" s="16"/>
      <c r="T383" s="9"/>
      <c r="U383" s="1" t="s">
        <v>315</v>
      </c>
      <c r="V383" s="11"/>
      <c r="W383" s="232"/>
      <c r="X383" s="304"/>
    </row>
    <row r="384" spans="1:24">
      <c r="A384" s="6"/>
      <c r="B384" s="7"/>
      <c r="C384" s="6"/>
      <c r="D384" s="6"/>
      <c r="E384" s="6"/>
      <c r="F384" s="1"/>
      <c r="G384" s="9"/>
      <c r="H384" s="9"/>
      <c r="I384" s="11"/>
      <c r="J384" s="1"/>
      <c r="K384" s="1"/>
      <c r="L384" s="1" t="s">
        <v>315</v>
      </c>
      <c r="M384" s="9"/>
      <c r="N384" s="14">
        <f>Tabela131617181920[[#This Row],[Valor_recibo]]</f>
        <v>0</v>
      </c>
      <c r="O384" s="16"/>
      <c r="P384" s="16"/>
      <c r="Q384" s="16"/>
      <c r="R384" s="16"/>
      <c r="S384" s="16"/>
      <c r="T384" s="9"/>
      <c r="U384" s="1" t="s">
        <v>315</v>
      </c>
      <c r="V384" s="11"/>
      <c r="W384" s="232"/>
      <c r="X384" s="304"/>
    </row>
    <row r="385" spans="1:24">
      <c r="A385" s="6"/>
      <c r="B385" s="7"/>
      <c r="C385" s="6"/>
      <c r="D385" s="6"/>
      <c r="E385" s="6"/>
      <c r="F385" s="1"/>
      <c r="G385" s="9"/>
      <c r="H385" s="9"/>
      <c r="I385" s="11"/>
      <c r="J385" s="1"/>
      <c r="K385" s="1"/>
      <c r="L385" s="1" t="s">
        <v>315</v>
      </c>
      <c r="M385" s="9"/>
      <c r="N385" s="14">
        <f>Tabela131617181920[[#This Row],[Valor_recibo]]</f>
        <v>0</v>
      </c>
      <c r="O385" s="16"/>
      <c r="P385" s="16"/>
      <c r="Q385" s="16"/>
      <c r="R385" s="16"/>
      <c r="S385" s="16"/>
      <c r="T385" s="9"/>
      <c r="U385" s="1" t="s">
        <v>315</v>
      </c>
      <c r="V385" s="11"/>
      <c r="W385" s="232"/>
      <c r="X385" s="304"/>
    </row>
    <row r="386" spans="1:24">
      <c r="A386" s="6"/>
      <c r="B386" s="7"/>
      <c r="C386" s="6"/>
      <c r="D386" s="6"/>
      <c r="E386" s="6"/>
      <c r="F386" s="1"/>
      <c r="G386" s="9"/>
      <c r="H386" s="9"/>
      <c r="I386" s="11"/>
      <c r="J386" s="1"/>
      <c r="K386" s="1"/>
      <c r="L386" s="1" t="s">
        <v>315</v>
      </c>
      <c r="M386" s="9"/>
      <c r="N386" s="14">
        <f>Tabela131617181920[[#This Row],[Valor_recibo]]</f>
        <v>0</v>
      </c>
      <c r="O386" s="16"/>
      <c r="P386" s="16"/>
      <c r="Q386" s="16"/>
      <c r="R386" s="16"/>
      <c r="S386" s="16"/>
      <c r="T386" s="9"/>
      <c r="U386" s="1" t="s">
        <v>315</v>
      </c>
      <c r="V386" s="11"/>
      <c r="W386" s="232"/>
      <c r="X386" s="304"/>
    </row>
    <row r="387" spans="1:24">
      <c r="A387" s="6"/>
      <c r="B387" s="7"/>
      <c r="C387" s="6"/>
      <c r="D387" s="6"/>
      <c r="E387" s="6"/>
      <c r="F387" s="1"/>
      <c r="G387" s="9"/>
      <c r="H387" s="9"/>
      <c r="I387" s="11"/>
      <c r="J387" s="1"/>
      <c r="K387" s="1"/>
      <c r="L387" s="1" t="s">
        <v>315</v>
      </c>
      <c r="M387" s="9"/>
      <c r="N387" s="14">
        <f>Tabela131617181920[[#This Row],[Valor_recibo]]</f>
        <v>0</v>
      </c>
      <c r="O387" s="16"/>
      <c r="P387" s="16"/>
      <c r="Q387" s="16"/>
      <c r="R387" s="16"/>
      <c r="S387" s="16"/>
      <c r="T387" s="9"/>
      <c r="U387" s="1" t="s">
        <v>315</v>
      </c>
      <c r="V387" s="11"/>
      <c r="W387" s="232"/>
      <c r="X387" s="304"/>
    </row>
    <row r="388" spans="1:24">
      <c r="A388" s="6"/>
      <c r="B388" s="7"/>
      <c r="C388" s="6"/>
      <c r="D388" s="6"/>
      <c r="E388" s="6"/>
      <c r="F388" s="1"/>
      <c r="G388" s="9"/>
      <c r="H388" s="9"/>
      <c r="I388" s="11"/>
      <c r="J388" s="1"/>
      <c r="K388" s="1"/>
      <c r="L388" s="1" t="s">
        <v>315</v>
      </c>
      <c r="M388" s="9"/>
      <c r="N388" s="14">
        <f>Tabela131617181920[[#This Row],[Valor_recibo]]</f>
        <v>0</v>
      </c>
      <c r="O388" s="16"/>
      <c r="P388" s="16"/>
      <c r="Q388" s="16"/>
      <c r="R388" s="16"/>
      <c r="S388" s="16"/>
      <c r="T388" s="9"/>
      <c r="U388" s="1" t="s">
        <v>315</v>
      </c>
      <c r="V388" s="11"/>
      <c r="W388" s="232"/>
      <c r="X388" s="304"/>
    </row>
    <row r="389" spans="1:24">
      <c r="A389" s="6"/>
      <c r="B389" s="7"/>
      <c r="C389" s="6"/>
      <c r="D389" s="6"/>
      <c r="E389" s="6"/>
      <c r="F389" s="1"/>
      <c r="G389" s="9"/>
      <c r="H389" s="9"/>
      <c r="I389" s="11"/>
      <c r="J389" s="1"/>
      <c r="K389" s="1"/>
      <c r="L389" s="1" t="s">
        <v>315</v>
      </c>
      <c r="M389" s="9"/>
      <c r="N389" s="14">
        <f>Tabela131617181920[[#This Row],[Valor_recibo]]</f>
        <v>0</v>
      </c>
      <c r="O389" s="16"/>
      <c r="P389" s="16"/>
      <c r="Q389" s="16"/>
      <c r="R389" s="16"/>
      <c r="S389" s="16"/>
      <c r="T389" s="9"/>
      <c r="U389" s="1" t="s">
        <v>315</v>
      </c>
      <c r="V389" s="11"/>
      <c r="W389" s="232"/>
      <c r="X389" s="304"/>
    </row>
    <row r="390" spans="1:24">
      <c r="A390" s="6"/>
      <c r="B390" s="7"/>
      <c r="C390" s="6"/>
      <c r="D390" s="6"/>
      <c r="E390" s="6"/>
      <c r="F390" s="1"/>
      <c r="G390" s="9"/>
      <c r="H390" s="9"/>
      <c r="I390" s="11"/>
      <c r="J390" s="1"/>
      <c r="K390" s="1"/>
      <c r="L390" s="1" t="s">
        <v>315</v>
      </c>
      <c r="M390" s="9"/>
      <c r="N390" s="14">
        <f>Tabela131617181920[[#This Row],[Valor_recibo]]</f>
        <v>0</v>
      </c>
      <c r="O390" s="16"/>
      <c r="P390" s="16"/>
      <c r="Q390" s="16"/>
      <c r="R390" s="16"/>
      <c r="S390" s="16"/>
      <c r="T390" s="9"/>
      <c r="U390" s="1" t="s">
        <v>315</v>
      </c>
      <c r="V390" s="11"/>
      <c r="W390" s="232"/>
      <c r="X390" s="304"/>
    </row>
    <row r="391" spans="1:24">
      <c r="A391" s="6"/>
      <c r="B391" s="7"/>
      <c r="C391" s="6"/>
      <c r="D391" s="6"/>
      <c r="E391" s="6"/>
      <c r="F391" s="1"/>
      <c r="G391" s="9"/>
      <c r="H391" s="9"/>
      <c r="I391" s="11"/>
      <c r="J391" s="1"/>
      <c r="K391" s="1"/>
      <c r="L391" s="1" t="s">
        <v>315</v>
      </c>
      <c r="M391" s="9"/>
      <c r="N391" s="14">
        <f>Tabela131617181920[[#This Row],[Valor_recibo]]</f>
        <v>0</v>
      </c>
      <c r="O391" s="16"/>
      <c r="P391" s="16"/>
      <c r="Q391" s="16"/>
      <c r="R391" s="16"/>
      <c r="S391" s="16"/>
      <c r="T391" s="9"/>
      <c r="U391" s="1" t="s">
        <v>315</v>
      </c>
      <c r="V391" s="11"/>
      <c r="W391" s="232"/>
      <c r="X391" s="304"/>
    </row>
    <row r="392" spans="1:24">
      <c r="A392" s="6"/>
      <c r="B392" s="7"/>
      <c r="C392" s="6"/>
      <c r="D392" s="6"/>
      <c r="E392" s="6"/>
      <c r="F392" s="1"/>
      <c r="G392" s="9"/>
      <c r="H392" s="9"/>
      <c r="I392" s="11"/>
      <c r="J392" s="1"/>
      <c r="K392" s="1"/>
      <c r="L392" s="1" t="s">
        <v>315</v>
      </c>
      <c r="M392" s="9"/>
      <c r="N392" s="14">
        <f>Tabela131617181920[[#This Row],[Valor_recibo]]</f>
        <v>0</v>
      </c>
      <c r="O392" s="16"/>
      <c r="P392" s="16"/>
      <c r="Q392" s="16"/>
      <c r="R392" s="16"/>
      <c r="S392" s="16"/>
      <c r="T392" s="9"/>
      <c r="U392" s="1" t="s">
        <v>315</v>
      </c>
      <c r="V392" s="11"/>
      <c r="W392" s="232"/>
      <c r="X392" s="304"/>
    </row>
    <row r="393" spans="1:24">
      <c r="A393" s="6"/>
      <c r="B393" s="7"/>
      <c r="C393" s="6"/>
      <c r="D393" s="6"/>
      <c r="E393" s="6"/>
      <c r="F393" s="1"/>
      <c r="G393" s="9"/>
      <c r="H393" s="9"/>
      <c r="I393" s="11"/>
      <c r="J393" s="1"/>
      <c r="K393" s="1"/>
      <c r="L393" s="1" t="s">
        <v>315</v>
      </c>
      <c r="M393" s="9"/>
      <c r="N393" s="14">
        <f>Tabela131617181920[[#This Row],[Valor_recibo]]</f>
        <v>0</v>
      </c>
      <c r="O393" s="16"/>
      <c r="P393" s="16"/>
      <c r="Q393" s="16"/>
      <c r="R393" s="16"/>
      <c r="S393" s="16"/>
      <c r="T393" s="9"/>
      <c r="U393" s="1" t="s">
        <v>315</v>
      </c>
      <c r="V393" s="11"/>
      <c r="W393" s="232"/>
      <c r="X393" s="304"/>
    </row>
    <row r="394" spans="1:24">
      <c r="A394" s="6"/>
      <c r="B394" s="7"/>
      <c r="C394" s="6"/>
      <c r="D394" s="6"/>
      <c r="E394" s="6"/>
      <c r="F394" s="1"/>
      <c r="G394" s="9"/>
      <c r="H394" s="9"/>
      <c r="I394" s="11"/>
      <c r="J394" s="1"/>
      <c r="K394" s="1"/>
      <c r="L394" s="1" t="s">
        <v>315</v>
      </c>
      <c r="M394" s="9"/>
      <c r="N394" s="14">
        <f>Tabela131617181920[[#This Row],[Valor_recibo]]</f>
        <v>0</v>
      </c>
      <c r="O394" s="16"/>
      <c r="P394" s="16"/>
      <c r="Q394" s="16"/>
      <c r="R394" s="16"/>
      <c r="S394" s="16"/>
      <c r="T394" s="9"/>
      <c r="U394" s="1" t="s">
        <v>315</v>
      </c>
      <c r="V394" s="11"/>
      <c r="W394" s="232"/>
      <c r="X394" s="304"/>
    </row>
    <row r="395" spans="1:24">
      <c r="A395" s="6"/>
      <c r="B395" s="7"/>
      <c r="C395" s="6"/>
      <c r="D395" s="6"/>
      <c r="E395" s="6"/>
      <c r="F395" s="1"/>
      <c r="G395" s="9"/>
      <c r="H395" s="9"/>
      <c r="I395" s="11"/>
      <c r="J395" s="1"/>
      <c r="K395" s="1"/>
      <c r="L395" s="1" t="s">
        <v>315</v>
      </c>
      <c r="M395" s="9"/>
      <c r="N395" s="14">
        <f>Tabela131617181920[[#This Row],[Valor_recibo]]</f>
        <v>0</v>
      </c>
      <c r="O395" s="16"/>
      <c r="P395" s="16"/>
      <c r="Q395" s="16"/>
      <c r="R395" s="16"/>
      <c r="S395" s="16"/>
      <c r="T395" s="9"/>
      <c r="U395" s="1" t="s">
        <v>315</v>
      </c>
      <c r="V395" s="11"/>
      <c r="W395" s="232"/>
      <c r="X395" s="304"/>
    </row>
    <row r="396" spans="1:24">
      <c r="A396" s="6"/>
      <c r="B396" s="7"/>
      <c r="C396" s="6"/>
      <c r="D396" s="6"/>
      <c r="E396" s="6"/>
      <c r="F396" s="1"/>
      <c r="G396" s="9"/>
      <c r="H396" s="9"/>
      <c r="I396" s="11"/>
      <c r="J396" s="1"/>
      <c r="K396" s="1"/>
      <c r="L396" s="1" t="s">
        <v>315</v>
      </c>
      <c r="M396" s="9"/>
      <c r="N396" s="14">
        <f>Tabela131617181920[[#This Row],[Valor_recibo]]</f>
        <v>0</v>
      </c>
      <c r="O396" s="16"/>
      <c r="P396" s="16"/>
      <c r="Q396" s="16"/>
      <c r="R396" s="16"/>
      <c r="S396" s="16"/>
      <c r="T396" s="9"/>
      <c r="U396" s="1" t="s">
        <v>315</v>
      </c>
      <c r="V396" s="11"/>
      <c r="W396" s="232"/>
      <c r="X396" s="304"/>
    </row>
    <row r="397" spans="1:24">
      <c r="A397" s="6"/>
      <c r="B397" s="7"/>
      <c r="C397" s="6"/>
      <c r="D397" s="6"/>
      <c r="E397" s="6"/>
      <c r="F397" s="1"/>
      <c r="G397" s="9"/>
      <c r="H397" s="9"/>
      <c r="I397" s="11"/>
      <c r="J397" s="1"/>
      <c r="K397" s="1"/>
      <c r="L397" s="1" t="s">
        <v>315</v>
      </c>
      <c r="M397" s="9"/>
      <c r="N397" s="14">
        <f>Tabela131617181920[[#This Row],[Valor_recibo]]</f>
        <v>0</v>
      </c>
      <c r="O397" s="16"/>
      <c r="P397" s="16"/>
      <c r="Q397" s="16"/>
      <c r="R397" s="16"/>
      <c r="S397" s="16"/>
      <c r="T397" s="9"/>
      <c r="U397" s="1" t="s">
        <v>315</v>
      </c>
      <c r="V397" s="11"/>
      <c r="W397" s="232"/>
      <c r="X397" s="304"/>
    </row>
    <row r="398" spans="1:24">
      <c r="A398" s="6"/>
      <c r="B398" s="7"/>
      <c r="C398" s="6"/>
      <c r="D398" s="6"/>
      <c r="E398" s="6"/>
      <c r="F398" s="1"/>
      <c r="G398" s="9"/>
      <c r="H398" s="9"/>
      <c r="I398" s="11"/>
      <c r="J398" s="1"/>
      <c r="K398" s="1"/>
      <c r="L398" s="1" t="s">
        <v>315</v>
      </c>
      <c r="M398" s="9"/>
      <c r="N398" s="14">
        <f>Tabela131617181920[[#This Row],[Valor_recibo]]</f>
        <v>0</v>
      </c>
      <c r="O398" s="16"/>
      <c r="P398" s="16"/>
      <c r="Q398" s="16"/>
      <c r="R398" s="16"/>
      <c r="S398" s="16"/>
      <c r="T398" s="9"/>
      <c r="U398" s="1" t="s">
        <v>315</v>
      </c>
      <c r="V398" s="11"/>
      <c r="W398" s="232"/>
      <c r="X398" s="304"/>
    </row>
    <row r="399" spans="1:24">
      <c r="A399" s="6"/>
      <c r="B399" s="7"/>
      <c r="C399" s="6"/>
      <c r="D399" s="6"/>
      <c r="E399" s="6"/>
      <c r="F399" s="1"/>
      <c r="G399" s="9"/>
      <c r="H399" s="9"/>
      <c r="I399" s="11"/>
      <c r="J399" s="1"/>
      <c r="K399" s="1"/>
      <c r="L399" s="1" t="s">
        <v>315</v>
      </c>
      <c r="M399" s="9"/>
      <c r="N399" s="14">
        <f>Tabela131617181920[[#This Row],[Valor_recibo]]</f>
        <v>0</v>
      </c>
      <c r="O399" s="16"/>
      <c r="P399" s="16"/>
      <c r="Q399" s="16"/>
      <c r="R399" s="16"/>
      <c r="S399" s="16"/>
      <c r="T399" s="9"/>
      <c r="U399" s="1" t="s">
        <v>315</v>
      </c>
      <c r="V399" s="11"/>
      <c r="W399" s="232"/>
      <c r="X399" s="304"/>
    </row>
    <row r="400" spans="1:24">
      <c r="A400" s="6"/>
      <c r="B400" s="7"/>
      <c r="C400" s="6"/>
      <c r="D400" s="6"/>
      <c r="E400" s="6"/>
      <c r="F400" s="1"/>
      <c r="G400" s="9"/>
      <c r="H400" s="9"/>
      <c r="I400" s="11"/>
      <c r="J400" s="1"/>
      <c r="K400" s="1"/>
      <c r="L400" s="1" t="s">
        <v>315</v>
      </c>
      <c r="M400" s="9"/>
      <c r="N400" s="14">
        <f>Tabela131617181920[[#This Row],[Valor_recibo]]</f>
        <v>0</v>
      </c>
      <c r="O400" s="16"/>
      <c r="P400" s="16"/>
      <c r="Q400" s="16"/>
      <c r="R400" s="16"/>
      <c r="S400" s="16"/>
      <c r="T400" s="9"/>
      <c r="U400" s="1" t="s">
        <v>315</v>
      </c>
      <c r="V400" s="11"/>
      <c r="W400" s="232"/>
      <c r="X400" s="304"/>
    </row>
    <row r="401" spans="1:24">
      <c r="A401" s="6"/>
      <c r="B401" s="7"/>
      <c r="C401" s="6"/>
      <c r="D401" s="6"/>
      <c r="E401" s="6"/>
      <c r="F401" s="1"/>
      <c r="G401" s="9"/>
      <c r="H401" s="9"/>
      <c r="I401" s="11"/>
      <c r="J401" s="1"/>
      <c r="K401" s="1"/>
      <c r="L401" s="1" t="s">
        <v>315</v>
      </c>
      <c r="M401" s="9"/>
      <c r="N401" s="14">
        <f>Tabela131617181920[[#This Row],[Valor_recibo]]</f>
        <v>0</v>
      </c>
      <c r="O401" s="16"/>
      <c r="P401" s="16"/>
      <c r="Q401" s="16"/>
      <c r="R401" s="16"/>
      <c r="S401" s="16"/>
      <c r="T401" s="9"/>
      <c r="U401" s="1" t="s">
        <v>315</v>
      </c>
      <c r="V401" s="11"/>
      <c r="W401" s="232"/>
      <c r="X401" s="304"/>
    </row>
    <row r="402" spans="1:24">
      <c r="A402" s="6"/>
      <c r="B402" s="7"/>
      <c r="C402" s="6"/>
      <c r="D402" s="6"/>
      <c r="E402" s="6"/>
      <c r="F402" s="1"/>
      <c r="G402" s="9"/>
      <c r="H402" s="9"/>
      <c r="I402" s="11"/>
      <c r="J402" s="1"/>
      <c r="K402" s="1"/>
      <c r="L402" s="1" t="s">
        <v>315</v>
      </c>
      <c r="M402" s="9"/>
      <c r="N402" s="14">
        <f>Tabela131617181920[[#This Row],[Valor_recibo]]</f>
        <v>0</v>
      </c>
      <c r="O402" s="16"/>
      <c r="P402" s="16"/>
      <c r="Q402" s="16"/>
      <c r="R402" s="16"/>
      <c r="S402" s="16"/>
      <c r="T402" s="9"/>
      <c r="U402" s="1" t="s">
        <v>315</v>
      </c>
      <c r="V402" s="11"/>
      <c r="W402" s="232"/>
      <c r="X402" s="304"/>
    </row>
    <row r="403" spans="1:24">
      <c r="A403" s="6"/>
      <c r="B403" s="7"/>
      <c r="C403" s="6"/>
      <c r="D403" s="6"/>
      <c r="E403" s="6"/>
      <c r="F403" s="1"/>
      <c r="G403" s="9"/>
      <c r="H403" s="9"/>
      <c r="I403" s="11"/>
      <c r="J403" s="1"/>
      <c r="K403" s="1"/>
      <c r="L403" s="1" t="s">
        <v>315</v>
      </c>
      <c r="M403" s="9"/>
      <c r="N403" s="14">
        <f>Tabela131617181920[[#This Row],[Valor_recibo]]</f>
        <v>0</v>
      </c>
      <c r="O403" s="16"/>
      <c r="P403" s="16"/>
      <c r="Q403" s="16"/>
      <c r="R403" s="16"/>
      <c r="S403" s="16"/>
      <c r="T403" s="9"/>
      <c r="U403" s="1" t="s">
        <v>315</v>
      </c>
      <c r="V403" s="11"/>
      <c r="W403" s="232"/>
      <c r="X403" s="304"/>
    </row>
    <row r="404" spans="1:24">
      <c r="A404" s="6"/>
      <c r="B404" s="7"/>
      <c r="C404" s="6"/>
      <c r="D404" s="6"/>
      <c r="E404" s="6"/>
      <c r="F404" s="1"/>
      <c r="G404" s="9"/>
      <c r="H404" s="9"/>
      <c r="I404" s="11"/>
      <c r="J404" s="1"/>
      <c r="K404" s="1"/>
      <c r="L404" s="1" t="s">
        <v>315</v>
      </c>
      <c r="M404" s="9"/>
      <c r="N404" s="14">
        <f>Tabela131617181920[[#This Row],[Valor_recibo]]</f>
        <v>0</v>
      </c>
      <c r="O404" s="16"/>
      <c r="P404" s="16"/>
      <c r="Q404" s="16"/>
      <c r="R404" s="16"/>
      <c r="S404" s="16"/>
      <c r="T404" s="9"/>
      <c r="U404" s="1" t="s">
        <v>315</v>
      </c>
      <c r="V404" s="11"/>
      <c r="W404" s="232"/>
      <c r="X404" s="304"/>
    </row>
    <row r="405" spans="1:24">
      <c r="A405" s="6"/>
      <c r="B405" s="7"/>
      <c r="C405" s="6"/>
      <c r="D405" s="6"/>
      <c r="E405" s="6"/>
      <c r="F405" s="1"/>
      <c r="G405" s="9"/>
      <c r="H405" s="9"/>
      <c r="I405" s="11"/>
      <c r="J405" s="1"/>
      <c r="K405" s="1"/>
      <c r="L405" s="1" t="s">
        <v>315</v>
      </c>
      <c r="M405" s="9"/>
      <c r="N405" s="14">
        <f>Tabela131617181920[[#This Row],[Valor_recibo]]</f>
        <v>0</v>
      </c>
      <c r="O405" s="16"/>
      <c r="P405" s="16"/>
      <c r="Q405" s="16"/>
      <c r="R405" s="16"/>
      <c r="S405" s="16"/>
      <c r="T405" s="9"/>
      <c r="U405" s="1" t="s">
        <v>315</v>
      </c>
      <c r="V405" s="11"/>
      <c r="W405" s="232"/>
      <c r="X405" s="304"/>
    </row>
    <row r="406" spans="1:24">
      <c r="A406" s="6"/>
      <c r="B406" s="7"/>
      <c r="C406" s="6"/>
      <c r="D406" s="6"/>
      <c r="E406" s="6"/>
      <c r="F406" s="1"/>
      <c r="G406" s="9"/>
      <c r="H406" s="9"/>
      <c r="I406" s="11"/>
      <c r="J406" s="1"/>
      <c r="K406" s="1"/>
      <c r="L406" s="1" t="s">
        <v>315</v>
      </c>
      <c r="M406" s="9"/>
      <c r="N406" s="14">
        <f>Tabela131617181920[[#This Row],[Valor_recibo]]</f>
        <v>0</v>
      </c>
      <c r="O406" s="16"/>
      <c r="P406" s="16"/>
      <c r="Q406" s="16"/>
      <c r="R406" s="16"/>
      <c r="S406" s="16"/>
      <c r="T406" s="9"/>
      <c r="U406" s="1" t="s">
        <v>315</v>
      </c>
      <c r="V406" s="11"/>
      <c r="W406" s="232"/>
      <c r="X406" s="304"/>
    </row>
    <row r="407" spans="1:24">
      <c r="A407" s="6"/>
      <c r="B407" s="7"/>
      <c r="C407" s="6"/>
      <c r="D407" s="6"/>
      <c r="E407" s="6"/>
      <c r="F407" s="1"/>
      <c r="G407" s="9"/>
      <c r="H407" s="9"/>
      <c r="I407" s="11"/>
      <c r="J407" s="1"/>
      <c r="K407" s="1"/>
      <c r="L407" s="1" t="s">
        <v>315</v>
      </c>
      <c r="M407" s="9"/>
      <c r="N407" s="14">
        <f>Tabela131617181920[[#This Row],[Valor_recibo]]</f>
        <v>0</v>
      </c>
      <c r="O407" s="16"/>
      <c r="P407" s="16"/>
      <c r="Q407" s="16"/>
      <c r="R407" s="16"/>
      <c r="S407" s="16"/>
      <c r="T407" s="9"/>
      <c r="U407" s="1" t="s">
        <v>315</v>
      </c>
      <c r="V407" s="11"/>
      <c r="W407" s="232"/>
      <c r="X407" s="304"/>
    </row>
    <row r="408" spans="1:24">
      <c r="A408" s="6"/>
      <c r="B408" s="7"/>
      <c r="C408" s="6"/>
      <c r="D408" s="6"/>
      <c r="E408" s="6"/>
      <c r="F408" s="1"/>
      <c r="G408" s="9"/>
      <c r="H408" s="9"/>
      <c r="I408" s="11"/>
      <c r="J408" s="1"/>
      <c r="K408" s="1"/>
      <c r="L408" s="1" t="s">
        <v>315</v>
      </c>
      <c r="M408" s="9"/>
      <c r="N408" s="14">
        <f>Tabela131617181920[[#This Row],[Valor_recibo]]</f>
        <v>0</v>
      </c>
      <c r="O408" s="16"/>
      <c r="P408" s="16"/>
      <c r="Q408" s="16"/>
      <c r="R408" s="16"/>
      <c r="S408" s="16"/>
      <c r="T408" s="9"/>
      <c r="U408" s="1" t="s">
        <v>315</v>
      </c>
      <c r="V408" s="11"/>
      <c r="W408" s="232"/>
      <c r="X408" s="304"/>
    </row>
    <row r="409" spans="1:24">
      <c r="A409" s="6"/>
      <c r="B409" s="7"/>
      <c r="C409" s="6"/>
      <c r="D409" s="6"/>
      <c r="E409" s="6"/>
      <c r="F409" s="1"/>
      <c r="G409" s="9"/>
      <c r="H409" s="9"/>
      <c r="I409" s="11"/>
      <c r="J409" s="1"/>
      <c r="K409" s="1"/>
      <c r="L409" s="1" t="s">
        <v>315</v>
      </c>
      <c r="M409" s="9"/>
      <c r="N409" s="14">
        <f>Tabela131617181920[[#This Row],[Valor_recibo]]</f>
        <v>0</v>
      </c>
      <c r="O409" s="16"/>
      <c r="P409" s="16"/>
      <c r="Q409" s="16"/>
      <c r="R409" s="16"/>
      <c r="S409" s="16"/>
      <c r="T409" s="9"/>
      <c r="U409" s="1" t="s">
        <v>315</v>
      </c>
      <c r="V409" s="11"/>
      <c r="W409" s="232"/>
      <c r="X409" s="304"/>
    </row>
    <row r="410" spans="1:24">
      <c r="A410" s="6"/>
      <c r="B410" s="7"/>
      <c r="C410" s="6"/>
      <c r="D410" s="6"/>
      <c r="E410" s="6"/>
      <c r="F410" s="1"/>
      <c r="G410" s="9"/>
      <c r="H410" s="9"/>
      <c r="I410" s="11"/>
      <c r="J410" s="1"/>
      <c r="K410" s="1"/>
      <c r="L410" s="1" t="s">
        <v>315</v>
      </c>
      <c r="M410" s="9"/>
      <c r="N410" s="14">
        <f>Tabela131617181920[[#This Row],[Valor_recibo]]</f>
        <v>0</v>
      </c>
      <c r="O410" s="16"/>
      <c r="P410" s="16"/>
      <c r="Q410" s="16"/>
      <c r="R410" s="16"/>
      <c r="S410" s="16"/>
      <c r="T410" s="9"/>
      <c r="U410" s="1" t="s">
        <v>315</v>
      </c>
      <c r="V410" s="11"/>
      <c r="W410" s="232"/>
      <c r="X410" s="304"/>
    </row>
    <row r="411" spans="1:24">
      <c r="A411" s="6"/>
      <c r="B411" s="7"/>
      <c r="C411" s="6"/>
      <c r="D411" s="6"/>
      <c r="E411" s="6"/>
      <c r="F411" s="1"/>
      <c r="G411" s="9"/>
      <c r="H411" s="9"/>
      <c r="I411" s="11"/>
      <c r="J411" s="1"/>
      <c r="K411" s="1"/>
      <c r="L411" s="1" t="s">
        <v>315</v>
      </c>
      <c r="M411" s="9"/>
      <c r="N411" s="14">
        <f>Tabela131617181920[[#This Row],[Valor_recibo]]</f>
        <v>0</v>
      </c>
      <c r="O411" s="16"/>
      <c r="P411" s="16"/>
      <c r="Q411" s="16"/>
      <c r="R411" s="16"/>
      <c r="S411" s="16"/>
      <c r="T411" s="9"/>
      <c r="U411" s="1" t="s">
        <v>315</v>
      </c>
      <c r="V411" s="11"/>
      <c r="W411" s="232"/>
      <c r="X411" s="304"/>
    </row>
    <row r="412" spans="1:24">
      <c r="A412" s="6"/>
      <c r="B412" s="7"/>
      <c r="C412" s="6"/>
      <c r="D412" s="6"/>
      <c r="E412" s="6"/>
      <c r="F412" s="1"/>
      <c r="G412" s="9"/>
      <c r="H412" s="9"/>
      <c r="I412" s="11"/>
      <c r="J412" s="1"/>
      <c r="K412" s="1"/>
      <c r="L412" s="1" t="s">
        <v>315</v>
      </c>
      <c r="M412" s="9"/>
      <c r="N412" s="14">
        <f>Tabela131617181920[[#This Row],[Valor_recibo]]</f>
        <v>0</v>
      </c>
      <c r="O412" s="16"/>
      <c r="P412" s="16"/>
      <c r="Q412" s="16"/>
      <c r="R412" s="16"/>
      <c r="S412" s="16"/>
      <c r="T412" s="9"/>
      <c r="U412" s="1" t="s">
        <v>315</v>
      </c>
      <c r="V412" s="11"/>
      <c r="W412" s="232"/>
      <c r="X412" s="304"/>
    </row>
    <row r="413" spans="1:24">
      <c r="A413" s="6"/>
      <c r="B413" s="7"/>
      <c r="C413" s="6"/>
      <c r="D413" s="6"/>
      <c r="E413" s="6"/>
      <c r="F413" s="1"/>
      <c r="G413" s="9"/>
      <c r="H413" s="9"/>
      <c r="I413" s="11"/>
      <c r="J413" s="1"/>
      <c r="K413" s="1"/>
      <c r="L413" s="1" t="s">
        <v>315</v>
      </c>
      <c r="M413" s="9"/>
      <c r="N413" s="14">
        <f>Tabela131617181920[[#This Row],[Valor_recibo]]</f>
        <v>0</v>
      </c>
      <c r="O413" s="16"/>
      <c r="P413" s="16"/>
      <c r="Q413" s="16"/>
      <c r="R413" s="16"/>
      <c r="S413" s="16"/>
      <c r="T413" s="9"/>
      <c r="U413" s="1" t="s">
        <v>315</v>
      </c>
      <c r="V413" s="11"/>
      <c r="W413" s="232"/>
      <c r="X413" s="304"/>
    </row>
    <row r="414" spans="1:24">
      <c r="A414" s="6"/>
      <c r="B414" s="7"/>
      <c r="C414" s="6"/>
      <c r="D414" s="6"/>
      <c r="E414" s="6"/>
      <c r="F414" s="1"/>
      <c r="G414" s="9"/>
      <c r="H414" s="9"/>
      <c r="I414" s="11"/>
      <c r="J414" s="1"/>
      <c r="K414" s="1"/>
      <c r="L414" s="1" t="s">
        <v>315</v>
      </c>
      <c r="M414" s="9"/>
      <c r="N414" s="14">
        <f>Tabela131617181920[[#This Row],[Valor_recibo]]</f>
        <v>0</v>
      </c>
      <c r="O414" s="16"/>
      <c r="P414" s="16"/>
      <c r="Q414" s="16"/>
      <c r="R414" s="16"/>
      <c r="S414" s="16"/>
      <c r="T414" s="9"/>
      <c r="U414" s="1" t="s">
        <v>315</v>
      </c>
      <c r="V414" s="11"/>
      <c r="W414" s="232"/>
      <c r="X414" s="304"/>
    </row>
    <row r="415" spans="1:24">
      <c r="A415" s="6"/>
      <c r="B415" s="7"/>
      <c r="C415" s="6"/>
      <c r="D415" s="6"/>
      <c r="E415" s="6"/>
      <c r="F415" s="1"/>
      <c r="G415" s="9"/>
      <c r="H415" s="9"/>
      <c r="I415" s="11"/>
      <c r="J415" s="1"/>
      <c r="K415" s="1"/>
      <c r="L415" s="1" t="s">
        <v>315</v>
      </c>
      <c r="M415" s="9"/>
      <c r="N415" s="14">
        <f>Tabela131617181920[[#This Row],[Valor_recibo]]</f>
        <v>0</v>
      </c>
      <c r="O415" s="16"/>
      <c r="P415" s="16"/>
      <c r="Q415" s="16"/>
      <c r="R415" s="16"/>
      <c r="S415" s="16"/>
      <c r="T415" s="9"/>
      <c r="U415" s="1" t="s">
        <v>315</v>
      </c>
      <c r="V415" s="11"/>
      <c r="W415" s="232"/>
      <c r="X415" s="304"/>
    </row>
    <row r="416" spans="1:24">
      <c r="A416" s="6"/>
      <c r="B416" s="7"/>
      <c r="C416" s="6"/>
      <c r="D416" s="6"/>
      <c r="E416" s="6"/>
      <c r="F416" s="1"/>
      <c r="G416" s="9"/>
      <c r="H416" s="9"/>
      <c r="I416" s="11"/>
      <c r="J416" s="1"/>
      <c r="K416" s="1"/>
      <c r="L416" s="1" t="s">
        <v>315</v>
      </c>
      <c r="M416" s="9"/>
      <c r="N416" s="14">
        <f>Tabela131617181920[[#This Row],[Valor_recibo]]</f>
        <v>0</v>
      </c>
      <c r="O416" s="16"/>
      <c r="P416" s="16"/>
      <c r="Q416" s="16"/>
      <c r="R416" s="16"/>
      <c r="S416" s="16"/>
      <c r="T416" s="9"/>
      <c r="U416" s="1" t="s">
        <v>315</v>
      </c>
      <c r="V416" s="11"/>
      <c r="W416" s="232"/>
      <c r="X416" s="304"/>
    </row>
    <row r="417" spans="1:24">
      <c r="A417" s="6"/>
      <c r="B417" s="7"/>
      <c r="C417" s="6"/>
      <c r="D417" s="6"/>
      <c r="E417" s="6"/>
      <c r="F417" s="1"/>
      <c r="G417" s="9"/>
      <c r="H417" s="9"/>
      <c r="I417" s="11"/>
      <c r="J417" s="1"/>
      <c r="K417" s="1"/>
      <c r="L417" s="1" t="s">
        <v>315</v>
      </c>
      <c r="M417" s="9"/>
      <c r="N417" s="14">
        <f>Tabela131617181920[[#This Row],[Valor_recibo]]</f>
        <v>0</v>
      </c>
      <c r="O417" s="16"/>
      <c r="P417" s="16"/>
      <c r="Q417" s="16"/>
      <c r="R417" s="16"/>
      <c r="S417" s="16"/>
      <c r="T417" s="9"/>
      <c r="U417" s="1" t="s">
        <v>315</v>
      </c>
      <c r="V417" s="11"/>
      <c r="W417" s="232"/>
      <c r="X417" s="304"/>
    </row>
    <row r="418" spans="1:24">
      <c r="A418" s="6"/>
      <c r="B418" s="7"/>
      <c r="C418" s="6"/>
      <c r="D418" s="6"/>
      <c r="E418" s="6"/>
      <c r="F418" s="1"/>
      <c r="G418" s="9"/>
      <c r="H418" s="9"/>
      <c r="I418" s="11"/>
      <c r="J418" s="1"/>
      <c r="K418" s="1"/>
      <c r="L418" s="1" t="s">
        <v>315</v>
      </c>
      <c r="M418" s="9"/>
      <c r="N418" s="14">
        <f>Tabela131617181920[[#This Row],[Valor_recibo]]</f>
        <v>0</v>
      </c>
      <c r="O418" s="16"/>
      <c r="P418" s="16"/>
      <c r="Q418" s="16"/>
      <c r="R418" s="16"/>
      <c r="S418" s="16"/>
      <c r="T418" s="9"/>
      <c r="U418" s="1" t="s">
        <v>315</v>
      </c>
      <c r="V418" s="11"/>
      <c r="W418" s="232"/>
      <c r="X418" s="304"/>
    </row>
    <row r="419" spans="1:24">
      <c r="A419" s="6"/>
      <c r="B419" s="7"/>
      <c r="C419" s="6"/>
      <c r="D419" s="6"/>
      <c r="E419" s="6"/>
      <c r="F419" s="1"/>
      <c r="G419" s="9"/>
      <c r="H419" s="9"/>
      <c r="I419" s="11"/>
      <c r="J419" s="1"/>
      <c r="K419" s="1"/>
      <c r="L419" s="1" t="s">
        <v>315</v>
      </c>
      <c r="M419" s="9"/>
      <c r="N419" s="14">
        <f>Tabela131617181920[[#This Row],[Valor_recibo]]</f>
        <v>0</v>
      </c>
      <c r="O419" s="16"/>
      <c r="P419" s="16"/>
      <c r="Q419" s="16"/>
      <c r="R419" s="16"/>
      <c r="S419" s="16"/>
      <c r="T419" s="9"/>
      <c r="U419" s="1" t="s">
        <v>315</v>
      </c>
      <c r="V419" s="11"/>
      <c r="W419" s="232"/>
      <c r="X419" s="304"/>
    </row>
    <row r="420" spans="1:24">
      <c r="A420" s="6"/>
      <c r="B420" s="7"/>
      <c r="C420" s="6"/>
      <c r="D420" s="6"/>
      <c r="E420" s="6"/>
      <c r="F420" s="1"/>
      <c r="G420" s="9"/>
      <c r="H420" s="9"/>
      <c r="I420" s="11"/>
      <c r="J420" s="1"/>
      <c r="K420" s="1"/>
      <c r="L420" s="1" t="s">
        <v>315</v>
      </c>
      <c r="M420" s="9"/>
      <c r="N420" s="14">
        <f>Tabela131617181920[[#This Row],[Valor_recibo]]</f>
        <v>0</v>
      </c>
      <c r="O420" s="16"/>
      <c r="P420" s="16"/>
      <c r="Q420" s="16"/>
      <c r="R420" s="16"/>
      <c r="S420" s="16"/>
      <c r="T420" s="9"/>
      <c r="U420" s="1" t="s">
        <v>315</v>
      </c>
      <c r="V420" s="11"/>
      <c r="W420" s="232"/>
      <c r="X420" s="304"/>
    </row>
    <row r="421" spans="1:24">
      <c r="A421" s="6"/>
      <c r="B421" s="7"/>
      <c r="C421" s="6"/>
      <c r="D421" s="6"/>
      <c r="E421" s="6"/>
      <c r="F421" s="1"/>
      <c r="G421" s="9"/>
      <c r="H421" s="9"/>
      <c r="I421" s="11"/>
      <c r="J421" s="1"/>
      <c r="K421" s="1"/>
      <c r="L421" s="1" t="s">
        <v>315</v>
      </c>
      <c r="M421" s="9"/>
      <c r="N421" s="14">
        <f>Tabela131617181920[[#This Row],[Valor_recibo]]</f>
        <v>0</v>
      </c>
      <c r="O421" s="16"/>
      <c r="P421" s="16"/>
      <c r="Q421" s="16"/>
      <c r="R421" s="16"/>
      <c r="S421" s="16"/>
      <c r="T421" s="9"/>
      <c r="U421" s="1" t="s">
        <v>315</v>
      </c>
      <c r="V421" s="11"/>
      <c r="W421" s="232"/>
      <c r="X421" s="304"/>
    </row>
    <row r="422" spans="1:24">
      <c r="A422" s="6"/>
      <c r="B422" s="7"/>
      <c r="C422" s="6"/>
      <c r="D422" s="6"/>
      <c r="E422" s="6"/>
      <c r="F422" s="1"/>
      <c r="G422" s="9"/>
      <c r="H422" s="9"/>
      <c r="I422" s="11"/>
      <c r="J422" s="1"/>
      <c r="K422" s="1"/>
      <c r="L422" s="1" t="s">
        <v>315</v>
      </c>
      <c r="M422" s="9"/>
      <c r="N422" s="14">
        <f>Tabela131617181920[[#This Row],[Valor_recibo]]</f>
        <v>0</v>
      </c>
      <c r="O422" s="16"/>
      <c r="P422" s="16"/>
      <c r="Q422" s="16"/>
      <c r="R422" s="16"/>
      <c r="S422" s="16"/>
      <c r="T422" s="9"/>
      <c r="U422" s="1" t="s">
        <v>315</v>
      </c>
      <c r="V422" s="11"/>
      <c r="W422" s="232"/>
      <c r="X422" s="304"/>
    </row>
    <row r="423" spans="1:24">
      <c r="A423" s="6"/>
      <c r="B423" s="7"/>
      <c r="C423" s="6"/>
      <c r="D423" s="6"/>
      <c r="E423" s="6"/>
      <c r="F423" s="1"/>
      <c r="G423" s="9"/>
      <c r="H423" s="9"/>
      <c r="I423" s="11"/>
      <c r="J423" s="1"/>
      <c r="K423" s="1"/>
      <c r="L423" s="1" t="s">
        <v>315</v>
      </c>
      <c r="M423" s="9"/>
      <c r="N423" s="14">
        <f>Tabela131617181920[[#This Row],[Valor_recibo]]</f>
        <v>0</v>
      </c>
      <c r="O423" s="16"/>
      <c r="P423" s="16"/>
      <c r="Q423" s="16"/>
      <c r="R423" s="16"/>
      <c r="S423" s="16"/>
      <c r="T423" s="9"/>
      <c r="U423" s="1" t="s">
        <v>315</v>
      </c>
      <c r="V423" s="11"/>
      <c r="W423" s="232"/>
      <c r="X423" s="304"/>
    </row>
    <row r="424" spans="1:24">
      <c r="A424" s="6"/>
      <c r="B424" s="7"/>
      <c r="C424" s="6"/>
      <c r="D424" s="6"/>
      <c r="E424" s="6"/>
      <c r="F424" s="1"/>
      <c r="G424" s="9"/>
      <c r="H424" s="9"/>
      <c r="I424" s="11"/>
      <c r="J424" s="1"/>
      <c r="K424" s="1"/>
      <c r="L424" s="1" t="s">
        <v>315</v>
      </c>
      <c r="M424" s="9"/>
      <c r="N424" s="14">
        <f>Tabela131617181920[[#This Row],[Valor_recibo]]</f>
        <v>0</v>
      </c>
      <c r="O424" s="16"/>
      <c r="P424" s="16"/>
      <c r="Q424" s="16"/>
      <c r="R424" s="16"/>
      <c r="S424" s="16"/>
      <c r="T424" s="9"/>
      <c r="U424" s="1" t="s">
        <v>315</v>
      </c>
      <c r="V424" s="11"/>
      <c r="W424" s="232"/>
      <c r="X424" s="304"/>
    </row>
    <row r="425" spans="1:24">
      <c r="A425" s="6"/>
      <c r="B425" s="7"/>
      <c r="C425" s="6"/>
      <c r="D425" s="6"/>
      <c r="E425" s="6"/>
      <c r="F425" s="1"/>
      <c r="G425" s="9"/>
      <c r="H425" s="9"/>
      <c r="I425" s="11"/>
      <c r="J425" s="1"/>
      <c r="K425" s="1"/>
      <c r="L425" s="1" t="s">
        <v>315</v>
      </c>
      <c r="M425" s="9"/>
      <c r="N425" s="14">
        <f>Tabela131617181920[[#This Row],[Valor_recibo]]</f>
        <v>0</v>
      </c>
      <c r="O425" s="16"/>
      <c r="P425" s="16"/>
      <c r="Q425" s="16"/>
      <c r="R425" s="16"/>
      <c r="S425" s="16"/>
      <c r="T425" s="9"/>
      <c r="U425" s="1" t="s">
        <v>315</v>
      </c>
      <c r="V425" s="11"/>
      <c r="W425" s="232"/>
      <c r="X425" s="304"/>
    </row>
    <row r="426" spans="1:24">
      <c r="A426" s="6"/>
      <c r="B426" s="7"/>
      <c r="C426" s="6"/>
      <c r="D426" s="6"/>
      <c r="E426" s="6"/>
      <c r="F426" s="1"/>
      <c r="G426" s="9"/>
      <c r="H426" s="9"/>
      <c r="I426" s="11"/>
      <c r="J426" s="1"/>
      <c r="K426" s="1"/>
      <c r="L426" s="1" t="s">
        <v>315</v>
      </c>
      <c r="M426" s="9"/>
      <c r="N426" s="14">
        <f>Tabela131617181920[[#This Row],[Valor_recibo]]</f>
        <v>0</v>
      </c>
      <c r="O426" s="16"/>
      <c r="P426" s="16"/>
      <c r="Q426" s="16"/>
      <c r="R426" s="16"/>
      <c r="S426" s="16"/>
      <c r="T426" s="9"/>
      <c r="U426" s="1" t="s">
        <v>315</v>
      </c>
      <c r="V426" s="11"/>
      <c r="W426" s="232"/>
      <c r="X426" s="304"/>
    </row>
    <row r="427" spans="1:24">
      <c r="A427" s="6"/>
      <c r="B427" s="7"/>
      <c r="C427" s="6"/>
      <c r="D427" s="6"/>
      <c r="E427" s="6"/>
      <c r="F427" s="1"/>
      <c r="G427" s="9"/>
      <c r="H427" s="9"/>
      <c r="I427" s="11"/>
      <c r="J427" s="1"/>
      <c r="K427" s="1"/>
      <c r="L427" s="1" t="s">
        <v>315</v>
      </c>
      <c r="M427" s="9"/>
      <c r="N427" s="14">
        <f>Tabela131617181920[[#This Row],[Valor_recibo]]</f>
        <v>0</v>
      </c>
      <c r="O427" s="16"/>
      <c r="P427" s="16"/>
      <c r="Q427" s="16"/>
      <c r="R427" s="16"/>
      <c r="S427" s="16"/>
      <c r="T427" s="9"/>
      <c r="U427" s="1" t="s">
        <v>315</v>
      </c>
      <c r="V427" s="11"/>
      <c r="W427" s="232"/>
      <c r="X427" s="304"/>
    </row>
    <row r="428" spans="1:24">
      <c r="A428" s="6"/>
      <c r="B428" s="7"/>
      <c r="C428" s="6"/>
      <c r="D428" s="6"/>
      <c r="E428" s="6"/>
      <c r="F428" s="1"/>
      <c r="G428" s="9"/>
      <c r="H428" s="9"/>
      <c r="I428" s="11"/>
      <c r="J428" s="1"/>
      <c r="K428" s="1"/>
      <c r="L428" s="1" t="s">
        <v>315</v>
      </c>
      <c r="M428" s="9"/>
      <c r="N428" s="14">
        <f>Tabela131617181920[[#This Row],[Valor_recibo]]</f>
        <v>0</v>
      </c>
      <c r="O428" s="16"/>
      <c r="P428" s="16"/>
      <c r="Q428" s="16"/>
      <c r="R428" s="16"/>
      <c r="S428" s="16"/>
      <c r="T428" s="9"/>
      <c r="U428" s="1" t="s">
        <v>315</v>
      </c>
      <c r="V428" s="11"/>
      <c r="W428" s="232"/>
      <c r="X428" s="304"/>
    </row>
    <row r="429" spans="1:24">
      <c r="A429" s="6"/>
      <c r="B429" s="7"/>
      <c r="C429" s="6"/>
      <c r="D429" s="6"/>
      <c r="E429" s="6"/>
      <c r="F429" s="1"/>
      <c r="G429" s="9"/>
      <c r="H429" s="9"/>
      <c r="I429" s="11"/>
      <c r="J429" s="1"/>
      <c r="K429" s="1"/>
      <c r="L429" s="1" t="s">
        <v>315</v>
      </c>
      <c r="M429" s="9"/>
      <c r="N429" s="14">
        <f>Tabela131617181920[[#This Row],[Valor_recibo]]</f>
        <v>0</v>
      </c>
      <c r="O429" s="16"/>
      <c r="P429" s="16"/>
      <c r="Q429" s="16"/>
      <c r="R429" s="16"/>
      <c r="S429" s="16"/>
      <c r="T429" s="9"/>
      <c r="U429" s="1" t="s">
        <v>315</v>
      </c>
      <c r="V429" s="11"/>
      <c r="W429" s="232"/>
      <c r="X429" s="304"/>
    </row>
    <row r="430" spans="1:24">
      <c r="A430" s="6"/>
      <c r="B430" s="7"/>
      <c r="C430" s="6"/>
      <c r="D430" s="6"/>
      <c r="E430" s="6"/>
      <c r="F430" s="1"/>
      <c r="G430" s="9"/>
      <c r="H430" s="9"/>
      <c r="I430" s="11"/>
      <c r="J430" s="1"/>
      <c r="K430" s="1"/>
      <c r="L430" s="1" t="s">
        <v>315</v>
      </c>
      <c r="M430" s="9"/>
      <c r="N430" s="14">
        <f>Tabela131617181920[[#This Row],[Valor_recibo]]</f>
        <v>0</v>
      </c>
      <c r="O430" s="16"/>
      <c r="P430" s="16"/>
      <c r="Q430" s="16"/>
      <c r="R430" s="16"/>
      <c r="S430" s="16"/>
      <c r="T430" s="9"/>
      <c r="U430" s="1" t="s">
        <v>315</v>
      </c>
      <c r="V430" s="11"/>
      <c r="W430" s="232"/>
      <c r="X430" s="304"/>
    </row>
    <row r="431" spans="1:24">
      <c r="A431" s="6"/>
      <c r="B431" s="7"/>
      <c r="C431" s="6"/>
      <c r="D431" s="6"/>
      <c r="E431" s="6"/>
      <c r="F431" s="1"/>
      <c r="G431" s="9"/>
      <c r="H431" s="9"/>
      <c r="I431" s="11"/>
      <c r="J431" s="1"/>
      <c r="K431" s="1"/>
      <c r="L431" s="1" t="s">
        <v>315</v>
      </c>
      <c r="M431" s="9"/>
      <c r="N431" s="14">
        <f>Tabela131617181920[[#This Row],[Valor_recibo]]</f>
        <v>0</v>
      </c>
      <c r="O431" s="16"/>
      <c r="P431" s="16"/>
      <c r="Q431" s="16"/>
      <c r="R431" s="16"/>
      <c r="S431" s="16"/>
      <c r="T431" s="9"/>
      <c r="U431" s="1" t="s">
        <v>315</v>
      </c>
      <c r="V431" s="11"/>
      <c r="W431" s="232"/>
      <c r="X431" s="304"/>
    </row>
    <row r="432" spans="1:24">
      <c r="A432" s="6"/>
      <c r="B432" s="7"/>
      <c r="C432" s="6"/>
      <c r="D432" s="6"/>
      <c r="E432" s="6"/>
      <c r="F432" s="1"/>
      <c r="G432" s="9"/>
      <c r="H432" s="9"/>
      <c r="I432" s="11"/>
      <c r="J432" s="1"/>
      <c r="K432" s="1"/>
      <c r="L432" s="1" t="s">
        <v>315</v>
      </c>
      <c r="M432" s="9"/>
      <c r="N432" s="14">
        <f>Tabela131617181920[[#This Row],[Valor_recibo]]</f>
        <v>0</v>
      </c>
      <c r="O432" s="16"/>
      <c r="P432" s="16"/>
      <c r="Q432" s="16"/>
      <c r="R432" s="16"/>
      <c r="S432" s="16"/>
      <c r="T432" s="9"/>
      <c r="U432" s="1" t="s">
        <v>315</v>
      </c>
      <c r="V432" s="11"/>
      <c r="W432" s="232"/>
      <c r="X432" s="304"/>
    </row>
    <row r="433" spans="1:24">
      <c r="A433" s="6"/>
      <c r="B433" s="7"/>
      <c r="C433" s="6"/>
      <c r="D433" s="6"/>
      <c r="E433" s="6"/>
      <c r="F433" s="1"/>
      <c r="G433" s="9"/>
      <c r="H433" s="9"/>
      <c r="I433" s="11"/>
      <c r="J433" s="1"/>
      <c r="K433" s="1"/>
      <c r="L433" s="1" t="s">
        <v>315</v>
      </c>
      <c r="M433" s="9"/>
      <c r="N433" s="14">
        <f>Tabela131617181920[[#This Row],[Valor_recibo]]</f>
        <v>0</v>
      </c>
      <c r="O433" s="16"/>
      <c r="P433" s="16"/>
      <c r="Q433" s="16"/>
      <c r="R433" s="16"/>
      <c r="S433" s="16"/>
      <c r="T433" s="9"/>
      <c r="U433" s="1" t="s">
        <v>315</v>
      </c>
      <c r="V433" s="11"/>
      <c r="W433" s="232"/>
      <c r="X433" s="304"/>
    </row>
    <row r="434" spans="1:24">
      <c r="A434" s="6"/>
      <c r="B434" s="7"/>
      <c r="C434" s="6"/>
      <c r="D434" s="6"/>
      <c r="E434" s="6"/>
      <c r="F434" s="1"/>
      <c r="G434" s="9"/>
      <c r="H434" s="9"/>
      <c r="I434" s="11"/>
      <c r="J434" s="1"/>
      <c r="K434" s="1"/>
      <c r="L434" s="1" t="s">
        <v>315</v>
      </c>
      <c r="M434" s="9"/>
      <c r="N434" s="14">
        <f>Tabela131617181920[[#This Row],[Valor_recibo]]</f>
        <v>0</v>
      </c>
      <c r="O434" s="16"/>
      <c r="P434" s="16"/>
      <c r="Q434" s="16"/>
      <c r="R434" s="16"/>
      <c r="S434" s="16"/>
      <c r="T434" s="9"/>
      <c r="U434" s="1" t="s">
        <v>315</v>
      </c>
      <c r="V434" s="11"/>
      <c r="W434" s="232"/>
      <c r="X434" s="304"/>
    </row>
    <row r="435" spans="1:24">
      <c r="A435" s="6"/>
      <c r="B435" s="7"/>
      <c r="C435" s="6"/>
      <c r="D435" s="6"/>
      <c r="E435" s="6"/>
      <c r="F435" s="1"/>
      <c r="G435" s="9"/>
      <c r="H435" s="9"/>
      <c r="I435" s="11"/>
      <c r="J435" s="1"/>
      <c r="K435" s="1"/>
      <c r="L435" s="1" t="s">
        <v>315</v>
      </c>
      <c r="M435" s="9"/>
      <c r="N435" s="14">
        <f>Tabela131617181920[[#This Row],[Valor_recibo]]</f>
        <v>0</v>
      </c>
      <c r="O435" s="16"/>
      <c r="P435" s="16"/>
      <c r="Q435" s="16"/>
      <c r="R435" s="16"/>
      <c r="S435" s="16"/>
      <c r="T435" s="9"/>
      <c r="U435" s="1" t="s">
        <v>315</v>
      </c>
      <c r="V435" s="11"/>
      <c r="W435" s="232"/>
      <c r="X435" s="304"/>
    </row>
    <row r="436" spans="1:24">
      <c r="A436" s="6"/>
      <c r="B436" s="7"/>
      <c r="C436" s="6"/>
      <c r="D436" s="6"/>
      <c r="E436" s="6"/>
      <c r="F436" s="1"/>
      <c r="G436" s="9"/>
      <c r="H436" s="9"/>
      <c r="I436" s="11"/>
      <c r="J436" s="1"/>
      <c r="K436" s="1"/>
      <c r="L436" s="1" t="s">
        <v>315</v>
      </c>
      <c r="M436" s="9"/>
      <c r="N436" s="14">
        <f>Tabela131617181920[[#This Row],[Valor_recibo]]</f>
        <v>0</v>
      </c>
      <c r="O436" s="16"/>
      <c r="P436" s="16"/>
      <c r="Q436" s="16"/>
      <c r="R436" s="16"/>
      <c r="S436" s="16"/>
      <c r="T436" s="9"/>
      <c r="U436" s="1" t="s">
        <v>315</v>
      </c>
      <c r="V436" s="11"/>
      <c r="W436" s="232"/>
      <c r="X436" s="304"/>
    </row>
    <row r="437" spans="1:24">
      <c r="A437" s="6"/>
      <c r="B437" s="7"/>
      <c r="C437" s="6"/>
      <c r="D437" s="6"/>
      <c r="E437" s="6"/>
      <c r="F437" s="1"/>
      <c r="G437" s="9"/>
      <c r="H437" s="9"/>
      <c r="I437" s="11"/>
      <c r="J437" s="1"/>
      <c r="K437" s="1"/>
      <c r="L437" s="1" t="s">
        <v>315</v>
      </c>
      <c r="M437" s="9"/>
      <c r="N437" s="14">
        <f>Tabela131617181920[[#This Row],[Valor_recibo]]</f>
        <v>0</v>
      </c>
      <c r="O437" s="16"/>
      <c r="P437" s="16"/>
      <c r="Q437" s="16"/>
      <c r="R437" s="16"/>
      <c r="S437" s="16"/>
      <c r="T437" s="9"/>
      <c r="U437" s="1" t="s">
        <v>315</v>
      </c>
      <c r="V437" s="11"/>
      <c r="W437" s="232"/>
      <c r="X437" s="304"/>
    </row>
    <row r="438" spans="1:24">
      <c r="A438" s="6"/>
      <c r="B438" s="7"/>
      <c r="C438" s="6"/>
      <c r="D438" s="6"/>
      <c r="E438" s="6"/>
      <c r="F438" s="1"/>
      <c r="G438" s="9"/>
      <c r="H438" s="9"/>
      <c r="I438" s="11"/>
      <c r="J438" s="1"/>
      <c r="K438" s="1"/>
      <c r="L438" s="1" t="s">
        <v>315</v>
      </c>
      <c r="M438" s="9"/>
      <c r="N438" s="14">
        <f>Tabela131617181920[[#This Row],[Valor_recibo]]</f>
        <v>0</v>
      </c>
      <c r="O438" s="16"/>
      <c r="P438" s="16"/>
      <c r="Q438" s="16"/>
      <c r="R438" s="16"/>
      <c r="S438" s="16"/>
      <c r="T438" s="9"/>
      <c r="U438" s="1" t="s">
        <v>315</v>
      </c>
      <c r="V438" s="11"/>
      <c r="W438" s="232"/>
      <c r="X438" s="304"/>
    </row>
    <row r="439" spans="1:24">
      <c r="A439" s="6"/>
      <c r="B439" s="7"/>
      <c r="C439" s="6"/>
      <c r="D439" s="6"/>
      <c r="E439" s="6"/>
      <c r="F439" s="1"/>
      <c r="G439" s="9"/>
      <c r="H439" s="9"/>
      <c r="I439" s="11"/>
      <c r="J439" s="1"/>
      <c r="K439" s="1"/>
      <c r="L439" s="1" t="s">
        <v>315</v>
      </c>
      <c r="M439" s="9"/>
      <c r="N439" s="14">
        <f>Tabela131617181920[[#This Row],[Valor_recibo]]</f>
        <v>0</v>
      </c>
      <c r="O439" s="16"/>
      <c r="P439" s="16"/>
      <c r="Q439" s="16"/>
      <c r="R439" s="16"/>
      <c r="S439" s="16"/>
      <c r="T439" s="9"/>
      <c r="U439" s="1" t="s">
        <v>315</v>
      </c>
      <c r="V439" s="11"/>
      <c r="W439" s="232"/>
      <c r="X439" s="304"/>
    </row>
    <row r="440" spans="1:24">
      <c r="A440" s="6"/>
      <c r="B440" s="7"/>
      <c r="C440" s="6"/>
      <c r="D440" s="6"/>
      <c r="E440" s="6"/>
      <c r="F440" s="1"/>
      <c r="G440" s="9"/>
      <c r="H440" s="9"/>
      <c r="I440" s="11"/>
      <c r="J440" s="1"/>
      <c r="K440" s="1"/>
      <c r="L440" s="1" t="s">
        <v>315</v>
      </c>
      <c r="M440" s="9"/>
      <c r="N440" s="14">
        <f>Tabela131617181920[[#This Row],[Valor_recibo]]</f>
        <v>0</v>
      </c>
      <c r="O440" s="16"/>
      <c r="P440" s="16"/>
      <c r="Q440" s="16"/>
      <c r="R440" s="16"/>
      <c r="S440" s="16"/>
      <c r="T440" s="9"/>
      <c r="U440" s="1" t="s">
        <v>315</v>
      </c>
      <c r="V440" s="11"/>
      <c r="W440" s="232"/>
      <c r="X440" s="304"/>
    </row>
    <row r="441" spans="1:24">
      <c r="A441" s="6"/>
      <c r="B441" s="7"/>
      <c r="C441" s="6"/>
      <c r="D441" s="6"/>
      <c r="E441" s="6"/>
      <c r="F441" s="1"/>
      <c r="G441" s="9"/>
      <c r="H441" s="9"/>
      <c r="I441" s="11"/>
      <c r="J441" s="1"/>
      <c r="K441" s="1"/>
      <c r="L441" s="1" t="s">
        <v>315</v>
      </c>
      <c r="M441" s="9"/>
      <c r="N441" s="14">
        <f>Tabela131617181920[[#This Row],[Valor_recibo]]</f>
        <v>0</v>
      </c>
      <c r="O441" s="16"/>
      <c r="P441" s="16"/>
      <c r="Q441" s="16"/>
      <c r="R441" s="16"/>
      <c r="S441" s="16"/>
      <c r="T441" s="9"/>
      <c r="U441" s="1" t="s">
        <v>315</v>
      </c>
      <c r="V441" s="11"/>
      <c r="W441" s="232"/>
      <c r="X441" s="304"/>
    </row>
    <row r="442" spans="1:24">
      <c r="A442" s="6"/>
      <c r="B442" s="7"/>
      <c r="C442" s="6"/>
      <c r="D442" s="6"/>
      <c r="E442" s="6"/>
      <c r="F442" s="1"/>
      <c r="G442" s="9"/>
      <c r="H442" s="9"/>
      <c r="I442" s="11"/>
      <c r="J442" s="1"/>
      <c r="K442" s="1"/>
      <c r="L442" s="1" t="s">
        <v>315</v>
      </c>
      <c r="M442" s="9"/>
      <c r="N442" s="14">
        <f>Tabela131617181920[[#This Row],[Valor_recibo]]</f>
        <v>0</v>
      </c>
      <c r="O442" s="16"/>
      <c r="P442" s="16"/>
      <c r="Q442" s="16"/>
      <c r="R442" s="16"/>
      <c r="S442" s="16"/>
      <c r="T442" s="9"/>
      <c r="U442" s="1" t="s">
        <v>315</v>
      </c>
      <c r="V442" s="11"/>
      <c r="W442" s="232"/>
      <c r="X442" s="304"/>
    </row>
    <row r="443" spans="1:24">
      <c r="A443" s="6"/>
      <c r="B443" s="7"/>
      <c r="C443" s="6"/>
      <c r="D443" s="6"/>
      <c r="E443" s="6"/>
      <c r="F443" s="1"/>
      <c r="G443" s="9"/>
      <c r="H443" s="9"/>
      <c r="I443" s="11"/>
      <c r="J443" s="1"/>
      <c r="K443" s="1"/>
      <c r="L443" s="1" t="s">
        <v>315</v>
      </c>
      <c r="M443" s="9"/>
      <c r="N443" s="14">
        <f>Tabela131617181920[[#This Row],[Valor_recibo]]</f>
        <v>0</v>
      </c>
      <c r="O443" s="16"/>
      <c r="P443" s="16"/>
      <c r="Q443" s="16"/>
      <c r="R443" s="16"/>
      <c r="S443" s="16"/>
      <c r="T443" s="9"/>
      <c r="U443" s="1" t="s">
        <v>315</v>
      </c>
      <c r="V443" s="11"/>
      <c r="W443" s="232"/>
      <c r="X443" s="304"/>
    </row>
    <row r="444" spans="1:24">
      <c r="A444" s="6"/>
      <c r="B444" s="7"/>
      <c r="C444" s="6"/>
      <c r="D444" s="6"/>
      <c r="E444" s="6"/>
      <c r="F444" s="1"/>
      <c r="G444" s="9"/>
      <c r="H444" s="9"/>
      <c r="I444" s="11"/>
      <c r="J444" s="1"/>
      <c r="K444" s="1"/>
      <c r="L444" s="1" t="s">
        <v>315</v>
      </c>
      <c r="M444" s="9"/>
      <c r="N444" s="14">
        <f>Tabela131617181920[[#This Row],[Valor_recibo]]</f>
        <v>0</v>
      </c>
      <c r="O444" s="16"/>
      <c r="P444" s="16"/>
      <c r="Q444" s="16"/>
      <c r="R444" s="16"/>
      <c r="S444" s="16"/>
      <c r="T444" s="9"/>
      <c r="U444" s="1" t="s">
        <v>315</v>
      </c>
      <c r="V444" s="11"/>
      <c r="W444" s="232"/>
      <c r="X444" s="304"/>
    </row>
    <row r="445" spans="1:24">
      <c r="A445" s="6"/>
      <c r="B445" s="7"/>
      <c r="C445" s="6"/>
      <c r="D445" s="6"/>
      <c r="E445" s="6"/>
      <c r="F445" s="1"/>
      <c r="G445" s="9"/>
      <c r="H445" s="9"/>
      <c r="I445" s="11"/>
      <c r="J445" s="1"/>
      <c r="K445" s="1"/>
      <c r="L445" s="1" t="s">
        <v>315</v>
      </c>
      <c r="M445" s="9"/>
      <c r="N445" s="14">
        <f>Tabela131617181920[[#This Row],[Valor_recibo]]</f>
        <v>0</v>
      </c>
      <c r="O445" s="16"/>
      <c r="P445" s="16"/>
      <c r="Q445" s="16"/>
      <c r="R445" s="16"/>
      <c r="S445" s="16"/>
      <c r="T445" s="9"/>
      <c r="U445" s="1" t="s">
        <v>315</v>
      </c>
      <c r="V445" s="11"/>
      <c r="W445" s="232"/>
      <c r="X445" s="304"/>
    </row>
    <row r="446" spans="1:24">
      <c r="A446" s="6"/>
      <c r="B446" s="7"/>
      <c r="C446" s="6"/>
      <c r="D446" s="6"/>
      <c r="E446" s="6"/>
      <c r="F446" s="1"/>
      <c r="G446" s="9"/>
      <c r="H446" s="9"/>
      <c r="I446" s="11"/>
      <c r="J446" s="1"/>
      <c r="K446" s="1"/>
      <c r="L446" s="1" t="s">
        <v>315</v>
      </c>
      <c r="M446" s="9"/>
      <c r="N446" s="14">
        <f>Tabela131617181920[[#This Row],[Valor_recibo]]</f>
        <v>0</v>
      </c>
      <c r="O446" s="16"/>
      <c r="P446" s="16"/>
      <c r="Q446" s="16"/>
      <c r="R446" s="16"/>
      <c r="S446" s="16"/>
      <c r="T446" s="9"/>
      <c r="U446" s="1" t="s">
        <v>315</v>
      </c>
      <c r="V446" s="11"/>
      <c r="W446" s="232"/>
      <c r="X446" s="304"/>
    </row>
    <row r="447" spans="1:24">
      <c r="A447" s="6"/>
      <c r="B447" s="7"/>
      <c r="C447" s="6"/>
      <c r="D447" s="6"/>
      <c r="E447" s="6"/>
      <c r="F447" s="1"/>
      <c r="G447" s="9"/>
      <c r="H447" s="9"/>
      <c r="I447" s="11"/>
      <c r="J447" s="1"/>
      <c r="K447" s="1"/>
      <c r="L447" s="1" t="s">
        <v>315</v>
      </c>
      <c r="M447" s="9"/>
      <c r="N447" s="14">
        <f>Tabela131617181920[[#This Row],[Valor_recibo]]</f>
        <v>0</v>
      </c>
      <c r="O447" s="16"/>
      <c r="P447" s="16"/>
      <c r="Q447" s="16"/>
      <c r="R447" s="16"/>
      <c r="S447" s="16"/>
      <c r="T447" s="9"/>
      <c r="U447" s="1" t="s">
        <v>315</v>
      </c>
      <c r="V447" s="11"/>
      <c r="W447" s="232"/>
      <c r="X447" s="304"/>
    </row>
    <row r="448" spans="1:24">
      <c r="A448" s="6"/>
      <c r="B448" s="7"/>
      <c r="C448" s="6"/>
      <c r="D448" s="6"/>
      <c r="E448" s="6"/>
      <c r="F448" s="1"/>
      <c r="G448" s="9"/>
      <c r="H448" s="9"/>
      <c r="I448" s="11"/>
      <c r="J448" s="1"/>
      <c r="K448" s="1"/>
      <c r="L448" s="1" t="s">
        <v>315</v>
      </c>
      <c r="M448" s="9"/>
      <c r="N448" s="14">
        <f>Tabela131617181920[[#This Row],[Valor_recibo]]</f>
        <v>0</v>
      </c>
      <c r="O448" s="16"/>
      <c r="P448" s="16"/>
      <c r="Q448" s="16"/>
      <c r="R448" s="16"/>
      <c r="S448" s="16"/>
      <c r="T448" s="9"/>
      <c r="U448" s="1" t="s">
        <v>315</v>
      </c>
      <c r="V448" s="11"/>
      <c r="W448" s="232"/>
      <c r="X448" s="304"/>
    </row>
    <row r="449" spans="1:24">
      <c r="A449" s="6"/>
      <c r="B449" s="7"/>
      <c r="C449" s="6"/>
      <c r="D449" s="6"/>
      <c r="E449" s="6"/>
      <c r="F449" s="1"/>
      <c r="G449" s="9"/>
      <c r="H449" s="9"/>
      <c r="I449" s="11"/>
      <c r="J449" s="1"/>
      <c r="K449" s="1"/>
      <c r="L449" s="1" t="s">
        <v>315</v>
      </c>
      <c r="M449" s="9"/>
      <c r="N449" s="14">
        <f>Tabela131617181920[[#This Row],[Valor_recibo]]</f>
        <v>0</v>
      </c>
      <c r="O449" s="16"/>
      <c r="P449" s="16"/>
      <c r="Q449" s="16"/>
      <c r="R449" s="16"/>
      <c r="S449" s="16"/>
      <c r="T449" s="9"/>
      <c r="U449" s="1" t="s">
        <v>315</v>
      </c>
      <c r="V449" s="11"/>
      <c r="W449" s="232"/>
      <c r="X449" s="304"/>
    </row>
    <row r="450" spans="1:24">
      <c r="A450" s="6"/>
      <c r="B450" s="7"/>
      <c r="C450" s="6"/>
      <c r="D450" s="6"/>
      <c r="E450" s="6"/>
      <c r="F450" s="1"/>
      <c r="G450" s="9"/>
      <c r="H450" s="9"/>
      <c r="I450" s="11"/>
      <c r="J450" s="1"/>
      <c r="K450" s="1"/>
      <c r="L450" s="1" t="s">
        <v>315</v>
      </c>
      <c r="M450" s="9"/>
      <c r="N450" s="14">
        <f>Tabela131617181920[[#This Row],[Valor_recibo]]</f>
        <v>0</v>
      </c>
      <c r="O450" s="16"/>
      <c r="P450" s="16"/>
      <c r="Q450" s="16"/>
      <c r="R450" s="16"/>
      <c r="S450" s="16"/>
      <c r="T450" s="9"/>
      <c r="U450" s="1" t="s">
        <v>315</v>
      </c>
      <c r="V450" s="11"/>
      <c r="W450" s="232"/>
      <c r="X450" s="304"/>
    </row>
    <row r="451" spans="1:24">
      <c r="A451" s="6"/>
      <c r="B451" s="7"/>
      <c r="C451" s="6"/>
      <c r="D451" s="6"/>
      <c r="E451" s="6"/>
      <c r="F451" s="1"/>
      <c r="G451" s="9"/>
      <c r="H451" s="9"/>
      <c r="I451" s="11"/>
      <c r="J451" s="1"/>
      <c r="K451" s="1"/>
      <c r="L451" s="1" t="s">
        <v>315</v>
      </c>
      <c r="M451" s="9"/>
      <c r="N451" s="14">
        <f>Tabela131617181920[[#This Row],[Valor_recibo]]</f>
        <v>0</v>
      </c>
      <c r="O451" s="16"/>
      <c r="P451" s="16"/>
      <c r="Q451" s="16"/>
      <c r="R451" s="16"/>
      <c r="S451" s="16"/>
      <c r="T451" s="9"/>
      <c r="U451" s="1" t="s">
        <v>315</v>
      </c>
      <c r="V451" s="11"/>
      <c r="W451" s="232"/>
      <c r="X451" s="304"/>
    </row>
    <row r="452" spans="1:24">
      <c r="A452" s="6"/>
      <c r="B452" s="7"/>
      <c r="C452" s="6"/>
      <c r="D452" s="6"/>
      <c r="E452" s="6"/>
      <c r="F452" s="1"/>
      <c r="G452" s="9"/>
      <c r="H452" s="9"/>
      <c r="I452" s="11"/>
      <c r="J452" s="1"/>
      <c r="K452" s="1"/>
      <c r="L452" s="1" t="s">
        <v>315</v>
      </c>
      <c r="M452" s="9"/>
      <c r="N452" s="14">
        <f>Tabela131617181920[[#This Row],[Valor_recibo]]</f>
        <v>0</v>
      </c>
      <c r="O452" s="16"/>
      <c r="P452" s="16"/>
      <c r="Q452" s="16"/>
      <c r="R452" s="16"/>
      <c r="S452" s="16"/>
      <c r="T452" s="9"/>
      <c r="U452" s="1" t="s">
        <v>315</v>
      </c>
      <c r="V452" s="11"/>
      <c r="W452" s="232"/>
      <c r="X452" s="304"/>
    </row>
    <row r="453" spans="1:24">
      <c r="A453" s="6"/>
      <c r="B453" s="7"/>
      <c r="C453" s="6"/>
      <c r="D453" s="6"/>
      <c r="E453" s="6"/>
      <c r="F453" s="1"/>
      <c r="G453" s="9"/>
      <c r="H453" s="9"/>
      <c r="I453" s="11"/>
      <c r="J453" s="1"/>
      <c r="K453" s="1"/>
      <c r="L453" s="1" t="s">
        <v>315</v>
      </c>
      <c r="M453" s="9"/>
      <c r="N453" s="14">
        <f>Tabela131617181920[[#This Row],[Valor_recibo]]</f>
        <v>0</v>
      </c>
      <c r="O453" s="16"/>
      <c r="P453" s="16"/>
      <c r="Q453" s="16"/>
      <c r="R453" s="16"/>
      <c r="S453" s="16"/>
      <c r="T453" s="9"/>
      <c r="U453" s="1" t="s">
        <v>315</v>
      </c>
      <c r="V453" s="11"/>
      <c r="W453" s="232"/>
      <c r="X453" s="304"/>
    </row>
    <row r="454" spans="1:24">
      <c r="A454" s="6"/>
      <c r="B454" s="7"/>
      <c r="C454" s="6"/>
      <c r="D454" s="6"/>
      <c r="E454" s="6"/>
      <c r="F454" s="1"/>
      <c r="G454" s="9"/>
      <c r="H454" s="9"/>
      <c r="I454" s="11"/>
      <c r="J454" s="1"/>
      <c r="K454" s="1"/>
      <c r="L454" s="1" t="s">
        <v>315</v>
      </c>
      <c r="M454" s="9"/>
      <c r="N454" s="14">
        <f>Tabela131617181920[[#This Row],[Valor_recibo]]</f>
        <v>0</v>
      </c>
      <c r="O454" s="16"/>
      <c r="P454" s="16"/>
      <c r="Q454" s="16"/>
      <c r="R454" s="16"/>
      <c r="S454" s="16"/>
      <c r="T454" s="9"/>
      <c r="U454" s="1" t="s">
        <v>315</v>
      </c>
      <c r="V454" s="11"/>
      <c r="W454" s="232"/>
      <c r="X454" s="304"/>
    </row>
    <row r="455" spans="1:24">
      <c r="A455" s="6"/>
      <c r="B455" s="7"/>
      <c r="C455" s="6"/>
      <c r="D455" s="6"/>
      <c r="E455" s="6"/>
      <c r="F455" s="1"/>
      <c r="G455" s="9"/>
      <c r="H455" s="9"/>
      <c r="I455" s="11"/>
      <c r="J455" s="1"/>
      <c r="K455" s="1"/>
      <c r="L455" s="1" t="s">
        <v>315</v>
      </c>
      <c r="M455" s="9"/>
      <c r="N455" s="14">
        <f>Tabela131617181920[[#This Row],[Valor_recibo]]</f>
        <v>0</v>
      </c>
      <c r="O455" s="16"/>
      <c r="P455" s="16"/>
      <c r="Q455" s="16"/>
      <c r="R455" s="16"/>
      <c r="S455" s="16"/>
      <c r="T455" s="9"/>
      <c r="U455" s="1" t="s">
        <v>315</v>
      </c>
      <c r="V455" s="11"/>
      <c r="W455" s="232"/>
      <c r="X455" s="304"/>
    </row>
    <row r="456" spans="1:24">
      <c r="A456" s="6"/>
      <c r="B456" s="7"/>
      <c r="C456" s="6"/>
      <c r="D456" s="6"/>
      <c r="E456" s="6"/>
      <c r="F456" s="1"/>
      <c r="G456" s="9"/>
      <c r="H456" s="9"/>
      <c r="I456" s="11"/>
      <c r="J456" s="1"/>
      <c r="K456" s="1"/>
      <c r="L456" s="1" t="s">
        <v>315</v>
      </c>
      <c r="M456" s="9"/>
      <c r="N456" s="14">
        <f>Tabela131617181920[[#This Row],[Valor_recibo]]</f>
        <v>0</v>
      </c>
      <c r="O456" s="16"/>
      <c r="P456" s="16"/>
      <c r="Q456" s="16"/>
      <c r="R456" s="16"/>
      <c r="S456" s="16"/>
      <c r="T456" s="9"/>
      <c r="U456" s="1" t="s">
        <v>315</v>
      </c>
      <c r="V456" s="11"/>
      <c r="W456" s="232"/>
      <c r="X456" s="304"/>
    </row>
    <row r="457" spans="1:24">
      <c r="A457" s="6"/>
      <c r="B457" s="7"/>
      <c r="C457" s="6"/>
      <c r="D457" s="6"/>
      <c r="E457" s="6"/>
      <c r="F457" s="1"/>
      <c r="G457" s="9"/>
      <c r="H457" s="9"/>
      <c r="I457" s="11"/>
      <c r="J457" s="1"/>
      <c r="K457" s="1"/>
      <c r="L457" s="1" t="s">
        <v>315</v>
      </c>
      <c r="M457" s="9"/>
      <c r="N457" s="14">
        <f>Tabela131617181920[[#This Row],[Valor_recibo]]</f>
        <v>0</v>
      </c>
      <c r="O457" s="16"/>
      <c r="P457" s="16"/>
      <c r="Q457" s="16"/>
      <c r="R457" s="16"/>
      <c r="S457" s="16"/>
      <c r="T457" s="9"/>
      <c r="U457" s="1" t="s">
        <v>315</v>
      </c>
      <c r="V457" s="11"/>
      <c r="W457" s="232"/>
      <c r="X457" s="304"/>
    </row>
    <row r="458" spans="1:24">
      <c r="A458" s="6"/>
      <c r="B458" s="7"/>
      <c r="C458" s="6"/>
      <c r="D458" s="6"/>
      <c r="E458" s="6"/>
      <c r="F458" s="1"/>
      <c r="G458" s="9"/>
      <c r="H458" s="9"/>
      <c r="I458" s="11"/>
      <c r="J458" s="1"/>
      <c r="K458" s="1"/>
      <c r="L458" s="1" t="s">
        <v>315</v>
      </c>
      <c r="M458" s="9"/>
      <c r="N458" s="14">
        <f>Tabela131617181920[[#This Row],[Valor_recibo]]</f>
        <v>0</v>
      </c>
      <c r="O458" s="16"/>
      <c r="P458" s="16"/>
      <c r="Q458" s="16"/>
      <c r="R458" s="16"/>
      <c r="S458" s="16"/>
      <c r="T458" s="9"/>
      <c r="U458" s="1" t="s">
        <v>315</v>
      </c>
      <c r="V458" s="11"/>
      <c r="W458" s="232"/>
      <c r="X458" s="304"/>
    </row>
    <row r="459" spans="1:24">
      <c r="A459" s="6"/>
      <c r="B459" s="7"/>
      <c r="C459" s="6"/>
      <c r="D459" s="6"/>
      <c r="E459" s="6"/>
      <c r="F459" s="1"/>
      <c r="G459" s="9"/>
      <c r="H459" s="9"/>
      <c r="I459" s="11"/>
      <c r="J459" s="1"/>
      <c r="K459" s="1"/>
      <c r="L459" s="1" t="s">
        <v>315</v>
      </c>
      <c r="M459" s="9"/>
      <c r="N459" s="14">
        <f>Tabela131617181920[[#This Row],[Valor_recibo]]</f>
        <v>0</v>
      </c>
      <c r="O459" s="16"/>
      <c r="P459" s="16"/>
      <c r="Q459" s="16"/>
      <c r="R459" s="16"/>
      <c r="S459" s="16"/>
      <c r="T459" s="9"/>
      <c r="U459" s="1" t="s">
        <v>315</v>
      </c>
      <c r="V459" s="11"/>
      <c r="W459" s="232"/>
      <c r="X459" s="304"/>
    </row>
    <row r="460" spans="1:24">
      <c r="A460" s="6"/>
      <c r="B460" s="7"/>
      <c r="C460" s="6"/>
      <c r="D460" s="6"/>
      <c r="E460" s="6"/>
      <c r="F460" s="1"/>
      <c r="G460" s="9"/>
      <c r="H460" s="9"/>
      <c r="I460" s="11"/>
      <c r="J460" s="1"/>
      <c r="K460" s="1"/>
      <c r="L460" s="1" t="s">
        <v>315</v>
      </c>
      <c r="M460" s="9"/>
      <c r="N460" s="14">
        <f>Tabela131617181920[[#This Row],[Valor_recibo]]</f>
        <v>0</v>
      </c>
      <c r="O460" s="16"/>
      <c r="P460" s="16"/>
      <c r="Q460" s="16"/>
      <c r="R460" s="16"/>
      <c r="S460" s="16"/>
      <c r="T460" s="9"/>
      <c r="U460" s="1" t="s">
        <v>315</v>
      </c>
      <c r="V460" s="11"/>
      <c r="W460" s="232"/>
      <c r="X460" s="304"/>
    </row>
    <row r="461" spans="1:24">
      <c r="A461" s="6"/>
      <c r="B461" s="7"/>
      <c r="C461" s="6"/>
      <c r="D461" s="6"/>
      <c r="E461" s="6"/>
      <c r="F461" s="1"/>
      <c r="G461" s="9"/>
      <c r="H461" s="9"/>
      <c r="I461" s="11"/>
      <c r="J461" s="1"/>
      <c r="K461" s="1"/>
      <c r="L461" s="1" t="s">
        <v>315</v>
      </c>
      <c r="M461" s="9"/>
      <c r="N461" s="14">
        <f>Tabela131617181920[[#This Row],[Valor_recibo]]</f>
        <v>0</v>
      </c>
      <c r="O461" s="16"/>
      <c r="P461" s="16"/>
      <c r="Q461" s="16"/>
      <c r="R461" s="16"/>
      <c r="S461" s="16"/>
      <c r="T461" s="9"/>
      <c r="U461" s="1" t="s">
        <v>315</v>
      </c>
      <c r="V461" s="11"/>
      <c r="W461" s="232"/>
      <c r="X461" s="304"/>
    </row>
    <row r="462" spans="1:24">
      <c r="A462" s="6"/>
      <c r="B462" s="7"/>
      <c r="C462" s="6"/>
      <c r="D462" s="6"/>
      <c r="E462" s="6"/>
      <c r="F462" s="1"/>
      <c r="G462" s="9"/>
      <c r="H462" s="9"/>
      <c r="I462" s="11"/>
      <c r="J462" s="1"/>
      <c r="K462" s="1"/>
      <c r="L462" s="1" t="s">
        <v>315</v>
      </c>
      <c r="M462" s="9"/>
      <c r="N462" s="14">
        <f>Tabela131617181920[[#This Row],[Valor_recibo]]</f>
        <v>0</v>
      </c>
      <c r="O462" s="16"/>
      <c r="P462" s="16"/>
      <c r="Q462" s="16"/>
      <c r="R462" s="16"/>
      <c r="S462" s="16"/>
      <c r="T462" s="9"/>
      <c r="U462" s="1" t="s">
        <v>315</v>
      </c>
      <c r="V462" s="11"/>
      <c r="W462" s="232"/>
      <c r="X462" s="304"/>
    </row>
    <row r="463" spans="1:24">
      <c r="A463" s="6"/>
      <c r="B463" s="7"/>
      <c r="C463" s="6"/>
      <c r="D463" s="6"/>
      <c r="E463" s="6"/>
      <c r="F463" s="1"/>
      <c r="G463" s="9"/>
      <c r="H463" s="9"/>
      <c r="I463" s="11"/>
      <c r="J463" s="1"/>
      <c r="K463" s="1"/>
      <c r="L463" s="1" t="s">
        <v>315</v>
      </c>
      <c r="M463" s="9"/>
      <c r="N463" s="14">
        <f>Tabela131617181920[[#This Row],[Valor_recibo]]</f>
        <v>0</v>
      </c>
      <c r="O463" s="16"/>
      <c r="P463" s="16"/>
      <c r="Q463" s="16"/>
      <c r="R463" s="16"/>
      <c r="S463" s="16"/>
      <c r="T463" s="9"/>
      <c r="U463" s="1" t="s">
        <v>315</v>
      </c>
      <c r="V463" s="11"/>
      <c r="W463" s="232"/>
      <c r="X463" s="304"/>
    </row>
    <row r="464" spans="1:24">
      <c r="A464" s="6"/>
      <c r="B464" s="7"/>
      <c r="C464" s="6"/>
      <c r="D464" s="6"/>
      <c r="E464" s="6"/>
      <c r="F464" s="1"/>
      <c r="G464" s="9"/>
      <c r="H464" s="9"/>
      <c r="I464" s="11"/>
      <c r="J464" s="1"/>
      <c r="K464" s="1"/>
      <c r="L464" s="1" t="s">
        <v>315</v>
      </c>
      <c r="M464" s="9"/>
      <c r="N464" s="14">
        <f>Tabela131617181920[[#This Row],[Valor_recibo]]</f>
        <v>0</v>
      </c>
      <c r="O464" s="16"/>
      <c r="P464" s="16"/>
      <c r="Q464" s="16"/>
      <c r="R464" s="16"/>
      <c r="S464" s="16"/>
      <c r="T464" s="9"/>
      <c r="U464" s="1" t="s">
        <v>315</v>
      </c>
      <c r="V464" s="11"/>
      <c r="W464" s="232"/>
      <c r="X464" s="304"/>
    </row>
    <row r="465" spans="1:24">
      <c r="A465" s="6"/>
      <c r="B465" s="7"/>
      <c r="C465" s="6"/>
      <c r="D465" s="6"/>
      <c r="E465" s="6"/>
      <c r="F465" s="1"/>
      <c r="G465" s="9"/>
      <c r="H465" s="9"/>
      <c r="I465" s="11"/>
      <c r="J465" s="1"/>
      <c r="K465" s="1"/>
      <c r="L465" s="1" t="s">
        <v>315</v>
      </c>
      <c r="M465" s="9"/>
      <c r="N465" s="14">
        <f>Tabela131617181920[[#This Row],[Valor_recibo]]</f>
        <v>0</v>
      </c>
      <c r="O465" s="16"/>
      <c r="P465" s="16"/>
      <c r="Q465" s="16"/>
      <c r="R465" s="16"/>
      <c r="S465" s="16"/>
      <c r="T465" s="9"/>
      <c r="U465" s="1" t="s">
        <v>315</v>
      </c>
      <c r="V465" s="11"/>
      <c r="W465" s="232"/>
      <c r="X465" s="304"/>
    </row>
    <row r="466" spans="1:24">
      <c r="A466" s="6"/>
      <c r="B466" s="7"/>
      <c r="C466" s="6"/>
      <c r="D466" s="6"/>
      <c r="E466" s="6"/>
      <c r="F466" s="1"/>
      <c r="G466" s="9"/>
      <c r="H466" s="9"/>
      <c r="I466" s="11"/>
      <c r="J466" s="1"/>
      <c r="K466" s="1"/>
      <c r="L466" s="1" t="s">
        <v>315</v>
      </c>
      <c r="M466" s="9"/>
      <c r="N466" s="14">
        <f>Tabela131617181920[[#This Row],[Valor_recibo]]</f>
        <v>0</v>
      </c>
      <c r="O466" s="16"/>
      <c r="P466" s="16"/>
      <c r="Q466" s="16"/>
      <c r="R466" s="16"/>
      <c r="S466" s="16"/>
      <c r="T466" s="9"/>
      <c r="U466" s="1" t="s">
        <v>315</v>
      </c>
      <c r="V466" s="11"/>
      <c r="W466" s="232"/>
      <c r="X466" s="304"/>
    </row>
    <row r="467" spans="1:24">
      <c r="A467" s="6"/>
      <c r="B467" s="7"/>
      <c r="C467" s="6"/>
      <c r="D467" s="6"/>
      <c r="E467" s="6"/>
      <c r="F467" s="1"/>
      <c r="G467" s="9"/>
      <c r="H467" s="9"/>
      <c r="I467" s="11"/>
      <c r="J467" s="1"/>
      <c r="K467" s="1"/>
      <c r="L467" s="1" t="s">
        <v>315</v>
      </c>
      <c r="M467" s="9"/>
      <c r="N467" s="14">
        <f>Tabela131617181920[[#This Row],[Valor_recibo]]</f>
        <v>0</v>
      </c>
      <c r="O467" s="16"/>
      <c r="P467" s="16"/>
      <c r="Q467" s="16"/>
      <c r="R467" s="16"/>
      <c r="S467" s="16"/>
      <c r="T467" s="9"/>
      <c r="U467" s="1" t="s">
        <v>315</v>
      </c>
      <c r="V467" s="11"/>
      <c r="W467" s="232"/>
      <c r="X467" s="304"/>
    </row>
    <row r="468" spans="1:24">
      <c r="A468" s="6"/>
      <c r="B468" s="7"/>
      <c r="C468" s="6"/>
      <c r="D468" s="6"/>
      <c r="E468" s="6"/>
      <c r="F468" s="1"/>
      <c r="G468" s="9"/>
      <c r="H468" s="9"/>
      <c r="I468" s="11"/>
      <c r="J468" s="1"/>
      <c r="K468" s="1"/>
      <c r="L468" s="1" t="s">
        <v>315</v>
      </c>
      <c r="M468" s="9"/>
      <c r="N468" s="14">
        <f>Tabela131617181920[[#This Row],[Valor_recibo]]</f>
        <v>0</v>
      </c>
      <c r="O468" s="16"/>
      <c r="P468" s="16"/>
      <c r="Q468" s="16"/>
      <c r="R468" s="16"/>
      <c r="S468" s="16"/>
      <c r="T468" s="9"/>
      <c r="U468" s="1" t="s">
        <v>315</v>
      </c>
      <c r="V468" s="11"/>
      <c r="W468" s="232"/>
      <c r="X468" s="304"/>
    </row>
    <row r="469" spans="1:24">
      <c r="A469" s="6"/>
      <c r="B469" s="7"/>
      <c r="C469" s="6"/>
      <c r="D469" s="6"/>
      <c r="E469" s="6"/>
      <c r="F469" s="1"/>
      <c r="G469" s="9"/>
      <c r="H469" s="9"/>
      <c r="I469" s="11"/>
      <c r="J469" s="1"/>
      <c r="K469" s="1"/>
      <c r="L469" s="1" t="s">
        <v>315</v>
      </c>
      <c r="M469" s="9"/>
      <c r="N469" s="14">
        <f>Tabela131617181920[[#This Row],[Valor_recibo]]</f>
        <v>0</v>
      </c>
      <c r="O469" s="16"/>
      <c r="P469" s="16"/>
      <c r="Q469" s="16"/>
      <c r="R469" s="16"/>
      <c r="S469" s="16"/>
      <c r="T469" s="9"/>
      <c r="U469" s="1" t="s">
        <v>315</v>
      </c>
      <c r="V469" s="11"/>
      <c r="W469" s="232"/>
      <c r="X469" s="304"/>
    </row>
    <row r="470" spans="1:24">
      <c r="A470" s="6"/>
      <c r="B470" s="7"/>
      <c r="C470" s="6"/>
      <c r="D470" s="6"/>
      <c r="E470" s="6"/>
      <c r="F470" s="1"/>
      <c r="G470" s="9"/>
      <c r="H470" s="9"/>
      <c r="I470" s="11"/>
      <c r="J470" s="1"/>
      <c r="K470" s="1"/>
      <c r="L470" s="1" t="s">
        <v>315</v>
      </c>
      <c r="M470" s="9"/>
      <c r="N470" s="14">
        <f>Tabela131617181920[[#This Row],[Valor_recibo]]</f>
        <v>0</v>
      </c>
      <c r="O470" s="16"/>
      <c r="P470" s="16"/>
      <c r="Q470" s="16"/>
      <c r="R470" s="16"/>
      <c r="S470" s="16"/>
      <c r="T470" s="9"/>
      <c r="U470" s="1" t="s">
        <v>315</v>
      </c>
      <c r="V470" s="11"/>
      <c r="W470" s="232"/>
      <c r="X470" s="304"/>
    </row>
    <row r="471" spans="1:24">
      <c r="A471" s="6"/>
      <c r="B471" s="7"/>
      <c r="C471" s="6"/>
      <c r="D471" s="6"/>
      <c r="E471" s="6"/>
      <c r="F471" s="1"/>
      <c r="G471" s="9"/>
      <c r="H471" s="9"/>
      <c r="I471" s="11"/>
      <c r="J471" s="1"/>
      <c r="K471" s="1"/>
      <c r="L471" s="1" t="s">
        <v>315</v>
      </c>
      <c r="M471" s="9"/>
      <c r="N471" s="14">
        <f>Tabela131617181920[[#This Row],[Valor_recibo]]</f>
        <v>0</v>
      </c>
      <c r="O471" s="16"/>
      <c r="P471" s="16"/>
      <c r="Q471" s="16"/>
      <c r="R471" s="16"/>
      <c r="S471" s="16"/>
      <c r="T471" s="9"/>
      <c r="U471" s="1" t="s">
        <v>315</v>
      </c>
      <c r="V471" s="11"/>
      <c r="W471" s="232"/>
      <c r="X471" s="304"/>
    </row>
    <row r="472" spans="1:24">
      <c r="A472" s="6"/>
      <c r="B472" s="7"/>
      <c r="C472" s="6"/>
      <c r="D472" s="6"/>
      <c r="E472" s="6"/>
      <c r="F472" s="1"/>
      <c r="G472" s="9"/>
      <c r="H472" s="9"/>
      <c r="I472" s="11"/>
      <c r="J472" s="1"/>
      <c r="K472" s="1"/>
      <c r="L472" s="1" t="s">
        <v>315</v>
      </c>
      <c r="M472" s="9"/>
      <c r="N472" s="14">
        <f>Tabela131617181920[[#This Row],[Valor_recibo]]</f>
        <v>0</v>
      </c>
      <c r="O472" s="16"/>
      <c r="P472" s="16"/>
      <c r="Q472" s="16"/>
      <c r="R472" s="16"/>
      <c r="S472" s="16"/>
      <c r="T472" s="9"/>
      <c r="U472" s="1" t="s">
        <v>315</v>
      </c>
      <c r="V472" s="11"/>
      <c r="W472" s="232"/>
      <c r="X472" s="304"/>
    </row>
    <row r="473" spans="1:24">
      <c r="A473" s="6"/>
      <c r="B473" s="7"/>
      <c r="C473" s="6"/>
      <c r="D473" s="6"/>
      <c r="E473" s="6"/>
      <c r="F473" s="1"/>
      <c r="G473" s="9"/>
      <c r="H473" s="9"/>
      <c r="I473" s="11"/>
      <c r="J473" s="1"/>
      <c r="K473" s="1"/>
      <c r="L473" s="1" t="s">
        <v>315</v>
      </c>
      <c r="M473" s="9"/>
      <c r="N473" s="14">
        <f>Tabela131617181920[[#This Row],[Valor_recibo]]</f>
        <v>0</v>
      </c>
      <c r="O473" s="16"/>
      <c r="P473" s="16"/>
      <c r="Q473" s="16"/>
      <c r="R473" s="16"/>
      <c r="S473" s="16"/>
      <c r="T473" s="9"/>
      <c r="U473" s="1" t="s">
        <v>315</v>
      </c>
      <c r="V473" s="11"/>
      <c r="W473" s="232"/>
      <c r="X473" s="304"/>
    </row>
    <row r="474" spans="1:24">
      <c r="A474" s="6"/>
      <c r="B474" s="7"/>
      <c r="C474" s="6"/>
      <c r="D474" s="6"/>
      <c r="E474" s="6"/>
      <c r="F474" s="1"/>
      <c r="G474" s="9"/>
      <c r="H474" s="9"/>
      <c r="I474" s="11"/>
      <c r="J474" s="1"/>
      <c r="K474" s="1"/>
      <c r="L474" s="1" t="s">
        <v>315</v>
      </c>
      <c r="M474" s="9"/>
      <c r="N474" s="14">
        <f>Tabela131617181920[[#This Row],[Valor_recibo]]</f>
        <v>0</v>
      </c>
      <c r="O474" s="16"/>
      <c r="P474" s="16"/>
      <c r="Q474" s="16"/>
      <c r="R474" s="16"/>
      <c r="S474" s="16"/>
      <c r="T474" s="9"/>
      <c r="U474" s="1" t="s">
        <v>315</v>
      </c>
      <c r="V474" s="11"/>
      <c r="W474" s="232"/>
      <c r="X474" s="304"/>
    </row>
    <row r="475" spans="1:24">
      <c r="A475" s="6"/>
      <c r="B475" s="7"/>
      <c r="C475" s="6"/>
      <c r="D475" s="6"/>
      <c r="E475" s="6"/>
      <c r="F475" s="1"/>
      <c r="G475" s="9"/>
      <c r="H475" s="9"/>
      <c r="I475" s="11"/>
      <c r="J475" s="1"/>
      <c r="K475" s="1"/>
      <c r="L475" s="1" t="s">
        <v>315</v>
      </c>
      <c r="M475" s="9"/>
      <c r="N475" s="14">
        <f>Tabela131617181920[[#This Row],[Valor_recibo]]</f>
        <v>0</v>
      </c>
      <c r="O475" s="16"/>
      <c r="P475" s="16"/>
      <c r="Q475" s="16"/>
      <c r="R475" s="16"/>
      <c r="S475" s="16"/>
      <c r="T475" s="9"/>
      <c r="U475" s="1" t="s">
        <v>315</v>
      </c>
      <c r="V475" s="11"/>
      <c r="W475" s="232"/>
      <c r="X475" s="304"/>
    </row>
    <row r="476" spans="1:24">
      <c r="A476" s="6"/>
      <c r="B476" s="7"/>
      <c r="C476" s="6"/>
      <c r="D476" s="6"/>
      <c r="E476" s="6"/>
      <c r="F476" s="1"/>
      <c r="G476" s="9"/>
      <c r="H476" s="9"/>
      <c r="I476" s="11"/>
      <c r="J476" s="1"/>
      <c r="K476" s="1"/>
      <c r="L476" s="1" t="s">
        <v>315</v>
      </c>
      <c r="M476" s="9"/>
      <c r="N476" s="14">
        <f>Tabela131617181920[[#This Row],[Valor_recibo]]</f>
        <v>0</v>
      </c>
      <c r="O476" s="16"/>
      <c r="P476" s="16"/>
      <c r="Q476" s="16"/>
      <c r="R476" s="16"/>
      <c r="S476" s="16"/>
      <c r="T476" s="9"/>
      <c r="U476" s="1" t="s">
        <v>315</v>
      </c>
      <c r="V476" s="11"/>
      <c r="W476" s="232"/>
      <c r="X476" s="304"/>
    </row>
    <row r="477" spans="1:24">
      <c r="A477" s="6"/>
      <c r="B477" s="7"/>
      <c r="C477" s="6"/>
      <c r="D477" s="6"/>
      <c r="E477" s="6"/>
      <c r="F477" s="1"/>
      <c r="G477" s="9"/>
      <c r="H477" s="9"/>
      <c r="I477" s="11"/>
      <c r="J477" s="1"/>
      <c r="K477" s="1"/>
      <c r="L477" s="1" t="s">
        <v>315</v>
      </c>
      <c r="M477" s="9"/>
      <c r="N477" s="14">
        <f>Tabela131617181920[[#This Row],[Valor_recibo]]</f>
        <v>0</v>
      </c>
      <c r="O477" s="16"/>
      <c r="P477" s="16"/>
      <c r="Q477" s="16"/>
      <c r="R477" s="16"/>
      <c r="S477" s="16"/>
      <c r="T477" s="9"/>
      <c r="U477" s="1" t="s">
        <v>315</v>
      </c>
      <c r="V477" s="11"/>
      <c r="W477" s="232"/>
      <c r="X477" s="304"/>
    </row>
    <row r="478" spans="1:24">
      <c r="A478" s="6"/>
      <c r="B478" s="7"/>
      <c r="C478" s="6"/>
      <c r="D478" s="6"/>
      <c r="E478" s="6"/>
      <c r="F478" s="1"/>
      <c r="G478" s="9"/>
      <c r="H478" s="9"/>
      <c r="I478" s="11"/>
      <c r="J478" s="1"/>
      <c r="K478" s="1"/>
      <c r="L478" s="1" t="s">
        <v>315</v>
      </c>
      <c r="M478" s="9"/>
      <c r="N478" s="14">
        <f>Tabela131617181920[[#This Row],[Valor_recibo]]</f>
        <v>0</v>
      </c>
      <c r="O478" s="16"/>
      <c r="P478" s="16"/>
      <c r="Q478" s="16"/>
      <c r="R478" s="16"/>
      <c r="S478" s="16"/>
      <c r="T478" s="9"/>
      <c r="U478" s="1" t="s">
        <v>315</v>
      </c>
      <c r="V478" s="11"/>
      <c r="W478" s="232"/>
      <c r="X478" s="304"/>
    </row>
    <row r="479" spans="1:24">
      <c r="A479" s="6"/>
      <c r="B479" s="7"/>
      <c r="C479" s="6"/>
      <c r="D479" s="6"/>
      <c r="E479" s="6"/>
      <c r="F479" s="1"/>
      <c r="G479" s="9"/>
      <c r="H479" s="9"/>
      <c r="I479" s="11"/>
      <c r="J479" s="1"/>
      <c r="K479" s="1"/>
      <c r="L479" s="1" t="s">
        <v>315</v>
      </c>
      <c r="M479" s="9"/>
      <c r="N479" s="14">
        <f>Tabela131617181920[[#This Row],[Valor_recibo]]</f>
        <v>0</v>
      </c>
      <c r="O479" s="16"/>
      <c r="P479" s="16"/>
      <c r="Q479" s="16"/>
      <c r="R479" s="16"/>
      <c r="S479" s="16"/>
      <c r="T479" s="9"/>
      <c r="U479" s="1" t="s">
        <v>315</v>
      </c>
      <c r="V479" s="11"/>
      <c r="W479" s="232"/>
      <c r="X479" s="304"/>
    </row>
    <row r="480" spans="1:24">
      <c r="A480" s="6"/>
      <c r="B480" s="7"/>
      <c r="C480" s="6"/>
      <c r="D480" s="6"/>
      <c r="E480" s="6"/>
      <c r="F480" s="1"/>
      <c r="G480" s="9"/>
      <c r="H480" s="9"/>
      <c r="I480" s="11"/>
      <c r="J480" s="1"/>
      <c r="K480" s="1"/>
      <c r="L480" s="1" t="s">
        <v>315</v>
      </c>
      <c r="M480" s="9"/>
      <c r="N480" s="14">
        <f>Tabela131617181920[[#This Row],[Valor_recibo]]</f>
        <v>0</v>
      </c>
      <c r="O480" s="16"/>
      <c r="P480" s="16"/>
      <c r="Q480" s="16"/>
      <c r="R480" s="16"/>
      <c r="S480" s="16"/>
      <c r="T480" s="9"/>
      <c r="U480" s="1" t="s">
        <v>315</v>
      </c>
      <c r="V480" s="11"/>
      <c r="W480" s="232"/>
      <c r="X480" s="304"/>
    </row>
    <row r="481" spans="1:24">
      <c r="A481" s="6"/>
      <c r="B481" s="7"/>
      <c r="C481" s="6"/>
      <c r="D481" s="6"/>
      <c r="E481" s="6"/>
      <c r="F481" s="1"/>
      <c r="G481" s="9"/>
      <c r="H481" s="9"/>
      <c r="I481" s="11"/>
      <c r="J481" s="1"/>
      <c r="K481" s="1"/>
      <c r="L481" s="1" t="s">
        <v>315</v>
      </c>
      <c r="M481" s="9"/>
      <c r="N481" s="14">
        <f>Tabela131617181920[[#This Row],[Valor_recibo]]</f>
        <v>0</v>
      </c>
      <c r="O481" s="16"/>
      <c r="P481" s="16"/>
      <c r="Q481" s="16"/>
      <c r="R481" s="16"/>
      <c r="S481" s="16"/>
      <c r="T481" s="9"/>
      <c r="U481" s="1" t="s">
        <v>315</v>
      </c>
      <c r="V481" s="11"/>
      <c r="W481" s="232"/>
      <c r="X481" s="304"/>
    </row>
    <row r="482" spans="1:24">
      <c r="A482" s="6"/>
      <c r="B482" s="7"/>
      <c r="C482" s="6"/>
      <c r="D482" s="6"/>
      <c r="E482" s="6"/>
      <c r="F482" s="1"/>
      <c r="G482" s="9"/>
      <c r="H482" s="9"/>
      <c r="I482" s="11"/>
      <c r="J482" s="1"/>
      <c r="K482" s="1"/>
      <c r="L482" s="1" t="s">
        <v>315</v>
      </c>
      <c r="M482" s="9"/>
      <c r="N482" s="14">
        <f>Tabela131617181920[[#This Row],[Valor_recibo]]</f>
        <v>0</v>
      </c>
      <c r="O482" s="16"/>
      <c r="P482" s="16"/>
      <c r="Q482" s="16"/>
      <c r="R482" s="16"/>
      <c r="S482" s="16"/>
      <c r="T482" s="9"/>
      <c r="U482" s="1" t="s">
        <v>315</v>
      </c>
      <c r="V482" s="11"/>
      <c r="W482" s="232"/>
      <c r="X482" s="304"/>
    </row>
    <row r="483" spans="1:24">
      <c r="A483" s="6"/>
      <c r="B483" s="7"/>
      <c r="C483" s="6"/>
      <c r="D483" s="6"/>
      <c r="E483" s="6"/>
      <c r="F483" s="1"/>
      <c r="G483" s="9"/>
      <c r="H483" s="9"/>
      <c r="I483" s="11"/>
      <c r="J483" s="1"/>
      <c r="K483" s="1"/>
      <c r="L483" s="1" t="s">
        <v>315</v>
      </c>
      <c r="M483" s="9"/>
      <c r="N483" s="14">
        <f>Tabela131617181920[[#This Row],[Valor_recibo]]</f>
        <v>0</v>
      </c>
      <c r="O483" s="16"/>
      <c r="P483" s="16"/>
      <c r="Q483" s="16"/>
      <c r="R483" s="16"/>
      <c r="S483" s="16"/>
      <c r="T483" s="9"/>
      <c r="U483" s="1" t="s">
        <v>315</v>
      </c>
      <c r="V483" s="11"/>
      <c r="W483" s="232"/>
      <c r="X483" s="304"/>
    </row>
    <row r="484" spans="1:24">
      <c r="A484" s="6"/>
      <c r="B484" s="7"/>
      <c r="C484" s="6"/>
      <c r="D484" s="6"/>
      <c r="E484" s="6"/>
      <c r="F484" s="1"/>
      <c r="G484" s="9"/>
      <c r="H484" s="9"/>
      <c r="I484" s="11"/>
      <c r="J484" s="1"/>
      <c r="K484" s="1"/>
      <c r="L484" s="1" t="s">
        <v>315</v>
      </c>
      <c r="M484" s="9"/>
      <c r="N484" s="14">
        <f>Tabela131617181920[[#This Row],[Valor_recibo]]</f>
        <v>0</v>
      </c>
      <c r="O484" s="16"/>
      <c r="P484" s="16"/>
      <c r="Q484" s="16"/>
      <c r="R484" s="16"/>
      <c r="S484" s="16"/>
      <c r="T484" s="9"/>
      <c r="U484" s="1" t="s">
        <v>315</v>
      </c>
      <c r="V484" s="11"/>
      <c r="W484" s="232"/>
      <c r="X484" s="304"/>
    </row>
    <row r="485" spans="1:24">
      <c r="A485" s="6"/>
      <c r="B485" s="7"/>
      <c r="C485" s="6"/>
      <c r="D485" s="6"/>
      <c r="E485" s="6"/>
      <c r="F485" s="1"/>
      <c r="G485" s="9"/>
      <c r="H485" s="9"/>
      <c r="I485" s="11"/>
      <c r="J485" s="1"/>
      <c r="K485" s="1"/>
      <c r="L485" s="1" t="s">
        <v>315</v>
      </c>
      <c r="M485" s="9"/>
      <c r="N485" s="14">
        <f>Tabela131617181920[[#This Row],[Valor_recibo]]</f>
        <v>0</v>
      </c>
      <c r="O485" s="16"/>
      <c r="P485" s="16"/>
      <c r="Q485" s="16"/>
      <c r="R485" s="16"/>
      <c r="S485" s="16"/>
      <c r="T485" s="9"/>
      <c r="U485" s="1" t="s">
        <v>315</v>
      </c>
      <c r="V485" s="11"/>
      <c r="W485" s="232"/>
      <c r="X485" s="304"/>
    </row>
    <row r="486" spans="1:24">
      <c r="A486" s="6"/>
      <c r="B486" s="7"/>
      <c r="C486" s="6"/>
      <c r="D486" s="6"/>
      <c r="E486" s="6"/>
      <c r="F486" s="1"/>
      <c r="G486" s="9"/>
      <c r="H486" s="9"/>
      <c r="I486" s="11"/>
      <c r="J486" s="1"/>
      <c r="K486" s="1"/>
      <c r="L486" s="1" t="s">
        <v>315</v>
      </c>
      <c r="M486" s="9"/>
      <c r="N486" s="14">
        <f>Tabela131617181920[[#This Row],[Valor_recibo]]</f>
        <v>0</v>
      </c>
      <c r="O486" s="16"/>
      <c r="P486" s="16"/>
      <c r="Q486" s="16"/>
      <c r="R486" s="16"/>
      <c r="S486" s="16"/>
      <c r="T486" s="9"/>
      <c r="U486" s="1" t="s">
        <v>315</v>
      </c>
      <c r="V486" s="11"/>
      <c r="W486" s="232"/>
      <c r="X486" s="304"/>
    </row>
    <row r="487" spans="1:24">
      <c r="A487" s="6"/>
      <c r="B487" s="7"/>
      <c r="C487" s="6"/>
      <c r="D487" s="6"/>
      <c r="E487" s="6"/>
      <c r="F487" s="1"/>
      <c r="G487" s="9"/>
      <c r="H487" s="9"/>
      <c r="I487" s="11"/>
      <c r="J487" s="1"/>
      <c r="K487" s="1"/>
      <c r="L487" s="1" t="s">
        <v>315</v>
      </c>
      <c r="M487" s="9"/>
      <c r="N487" s="14">
        <f>Tabela131617181920[[#This Row],[Valor_recibo]]</f>
        <v>0</v>
      </c>
      <c r="O487" s="16"/>
      <c r="P487" s="16"/>
      <c r="Q487" s="16"/>
      <c r="R487" s="16"/>
      <c r="S487" s="16"/>
      <c r="T487" s="9"/>
      <c r="U487" s="1" t="s">
        <v>315</v>
      </c>
      <c r="V487" s="11"/>
      <c r="W487" s="232"/>
      <c r="X487" s="304"/>
    </row>
    <row r="488" spans="1:24">
      <c r="A488" s="6"/>
      <c r="B488" s="7"/>
      <c r="C488" s="6"/>
      <c r="D488" s="6"/>
      <c r="E488" s="6"/>
      <c r="F488" s="1"/>
      <c r="G488" s="9"/>
      <c r="H488" s="9"/>
      <c r="I488" s="11"/>
      <c r="J488" s="1"/>
      <c r="K488" s="1"/>
      <c r="L488" s="1" t="s">
        <v>315</v>
      </c>
      <c r="M488" s="9"/>
      <c r="N488" s="14">
        <f>Tabela131617181920[[#This Row],[Valor_recibo]]</f>
        <v>0</v>
      </c>
      <c r="O488" s="16"/>
      <c r="P488" s="16"/>
      <c r="Q488" s="16"/>
      <c r="R488" s="16"/>
      <c r="S488" s="16"/>
      <c r="T488" s="9"/>
      <c r="U488" s="1" t="s">
        <v>315</v>
      </c>
      <c r="V488" s="11"/>
      <c r="W488" s="232"/>
      <c r="X488" s="304"/>
    </row>
    <row r="489" spans="1:24">
      <c r="A489" s="6"/>
      <c r="B489" s="7"/>
      <c r="C489" s="6"/>
      <c r="D489" s="6"/>
      <c r="E489" s="6"/>
      <c r="F489" s="1"/>
      <c r="G489" s="9"/>
      <c r="H489" s="9"/>
      <c r="I489" s="11"/>
      <c r="J489" s="1"/>
      <c r="K489" s="1"/>
      <c r="L489" s="1" t="s">
        <v>315</v>
      </c>
      <c r="M489" s="9"/>
      <c r="N489" s="14">
        <f>Tabela131617181920[[#This Row],[Valor_recibo]]</f>
        <v>0</v>
      </c>
      <c r="O489" s="16"/>
      <c r="P489" s="16"/>
      <c r="Q489" s="16"/>
      <c r="R489" s="16"/>
      <c r="S489" s="16"/>
      <c r="T489" s="9"/>
      <c r="U489" s="1" t="s">
        <v>315</v>
      </c>
      <c r="V489" s="11"/>
      <c r="W489" s="232"/>
      <c r="X489" s="304"/>
    </row>
    <row r="490" spans="1:24">
      <c r="A490" s="6"/>
      <c r="B490" s="7"/>
      <c r="C490" s="6"/>
      <c r="D490" s="6"/>
      <c r="E490" s="6"/>
      <c r="F490" s="1"/>
      <c r="G490" s="9"/>
      <c r="H490" s="9"/>
      <c r="I490" s="11"/>
      <c r="J490" s="1"/>
      <c r="K490" s="1"/>
      <c r="L490" s="1" t="s">
        <v>315</v>
      </c>
      <c r="M490" s="9"/>
      <c r="N490" s="14">
        <f>Tabela131617181920[[#This Row],[Valor_recibo]]</f>
        <v>0</v>
      </c>
      <c r="O490" s="16"/>
      <c r="P490" s="16"/>
      <c r="Q490" s="16"/>
      <c r="R490" s="16"/>
      <c r="S490" s="16"/>
      <c r="T490" s="9"/>
      <c r="U490" s="1" t="s">
        <v>315</v>
      </c>
      <c r="V490" s="11"/>
      <c r="W490" s="232"/>
      <c r="X490" s="304"/>
    </row>
    <row r="491" spans="1:24">
      <c r="A491" s="6"/>
      <c r="B491" s="7"/>
      <c r="C491" s="6"/>
      <c r="D491" s="6"/>
      <c r="E491" s="6"/>
      <c r="F491" s="1"/>
      <c r="G491" s="9"/>
      <c r="H491" s="9"/>
      <c r="I491" s="11"/>
      <c r="J491" s="1"/>
      <c r="K491" s="1"/>
      <c r="L491" s="1" t="s">
        <v>315</v>
      </c>
      <c r="M491" s="9"/>
      <c r="N491" s="14">
        <f>Tabela131617181920[[#This Row],[Valor_recibo]]</f>
        <v>0</v>
      </c>
      <c r="O491" s="16"/>
      <c r="P491" s="16"/>
      <c r="Q491" s="16"/>
      <c r="R491" s="16"/>
      <c r="S491" s="16"/>
      <c r="T491" s="9"/>
      <c r="U491" s="1" t="s">
        <v>315</v>
      </c>
      <c r="V491" s="11"/>
      <c r="W491" s="232"/>
      <c r="X491" s="304"/>
    </row>
    <row r="492" spans="1:24">
      <c r="A492" s="6"/>
      <c r="B492" s="7"/>
      <c r="C492" s="6"/>
      <c r="D492" s="6"/>
      <c r="E492" s="6"/>
      <c r="F492" s="1"/>
      <c r="G492" s="9"/>
      <c r="H492" s="9"/>
      <c r="I492" s="11"/>
      <c r="J492" s="1"/>
      <c r="K492" s="1"/>
      <c r="L492" s="1" t="s">
        <v>315</v>
      </c>
      <c r="M492" s="9"/>
      <c r="N492" s="14">
        <f>Tabela131617181920[[#This Row],[Valor_recibo]]</f>
        <v>0</v>
      </c>
      <c r="O492" s="16"/>
      <c r="P492" s="16"/>
      <c r="Q492" s="16"/>
      <c r="R492" s="16"/>
      <c r="S492" s="16"/>
      <c r="T492" s="9"/>
      <c r="U492" s="1" t="s">
        <v>315</v>
      </c>
      <c r="V492" s="11"/>
      <c r="W492" s="232"/>
      <c r="X492" s="304"/>
    </row>
    <row r="493" spans="1:24">
      <c r="A493" s="6"/>
      <c r="B493" s="7"/>
      <c r="C493" s="6"/>
      <c r="D493" s="6"/>
      <c r="E493" s="6"/>
      <c r="F493" s="1"/>
      <c r="G493" s="9"/>
      <c r="H493" s="9"/>
      <c r="I493" s="11"/>
      <c r="J493" s="1"/>
      <c r="K493" s="1"/>
      <c r="L493" s="1" t="s">
        <v>315</v>
      </c>
      <c r="M493" s="9"/>
      <c r="N493" s="14">
        <f>Tabela131617181920[[#This Row],[Valor_recibo]]</f>
        <v>0</v>
      </c>
      <c r="O493" s="16"/>
      <c r="P493" s="16"/>
      <c r="Q493" s="16"/>
      <c r="R493" s="16"/>
      <c r="S493" s="16"/>
      <c r="T493" s="9"/>
      <c r="U493" s="1" t="s">
        <v>315</v>
      </c>
      <c r="V493" s="11"/>
      <c r="W493" s="232"/>
      <c r="X493" s="304"/>
    </row>
    <row r="494" spans="1:24">
      <c r="A494" s="6"/>
      <c r="B494" s="7"/>
      <c r="C494" s="6"/>
      <c r="D494" s="6"/>
      <c r="E494" s="6"/>
      <c r="F494" s="1"/>
      <c r="G494" s="9"/>
      <c r="H494" s="9"/>
      <c r="I494" s="11"/>
      <c r="J494" s="1"/>
      <c r="K494" s="1"/>
      <c r="L494" s="1" t="s">
        <v>315</v>
      </c>
      <c r="M494" s="9"/>
      <c r="N494" s="14">
        <f>Tabela131617181920[[#This Row],[Valor_recibo]]</f>
        <v>0</v>
      </c>
      <c r="O494" s="16"/>
      <c r="P494" s="16"/>
      <c r="Q494" s="16"/>
      <c r="R494" s="16"/>
      <c r="S494" s="16"/>
      <c r="T494" s="9"/>
      <c r="U494" s="1" t="s">
        <v>315</v>
      </c>
      <c r="V494" s="11"/>
      <c r="W494" s="232"/>
      <c r="X494" s="304"/>
    </row>
    <row r="495" spans="1:24">
      <c r="A495" s="6"/>
      <c r="B495" s="7"/>
      <c r="C495" s="6"/>
      <c r="D495" s="6"/>
      <c r="E495" s="6"/>
      <c r="F495" s="1"/>
      <c r="G495" s="9"/>
      <c r="H495" s="9"/>
      <c r="I495" s="11"/>
      <c r="J495" s="1"/>
      <c r="K495" s="1"/>
      <c r="L495" s="1" t="s">
        <v>315</v>
      </c>
      <c r="M495" s="9"/>
      <c r="N495" s="14">
        <f>Tabela131617181920[[#This Row],[Valor_recibo]]</f>
        <v>0</v>
      </c>
      <c r="O495" s="16"/>
      <c r="P495" s="16"/>
      <c r="Q495" s="16"/>
      <c r="R495" s="16"/>
      <c r="S495" s="16"/>
      <c r="T495" s="9"/>
      <c r="U495" s="1" t="s">
        <v>315</v>
      </c>
      <c r="V495" s="11"/>
      <c r="W495" s="232"/>
      <c r="X495" s="304"/>
    </row>
    <row r="496" spans="1:24">
      <c r="A496" s="6"/>
      <c r="B496" s="7"/>
      <c r="C496" s="6"/>
      <c r="D496" s="6"/>
      <c r="E496" s="6"/>
      <c r="F496" s="1"/>
      <c r="G496" s="9"/>
      <c r="H496" s="9"/>
      <c r="I496" s="11"/>
      <c r="J496" s="1"/>
      <c r="K496" s="1"/>
      <c r="L496" s="1" t="s">
        <v>315</v>
      </c>
      <c r="M496" s="9"/>
      <c r="N496" s="14">
        <f>Tabela131617181920[[#This Row],[Valor_recibo]]</f>
        <v>0</v>
      </c>
      <c r="O496" s="16"/>
      <c r="P496" s="16"/>
      <c r="Q496" s="16"/>
      <c r="R496" s="16"/>
      <c r="S496" s="16"/>
      <c r="T496" s="9"/>
      <c r="U496" s="1" t="s">
        <v>315</v>
      </c>
      <c r="V496" s="11"/>
      <c r="W496" s="232"/>
      <c r="X496" s="304"/>
    </row>
    <row r="497" spans="1:24">
      <c r="A497" s="6"/>
      <c r="B497" s="7"/>
      <c r="C497" s="6"/>
      <c r="D497" s="6"/>
      <c r="E497" s="6"/>
      <c r="F497" s="1"/>
      <c r="G497" s="9"/>
      <c r="H497" s="9"/>
      <c r="I497" s="11"/>
      <c r="J497" s="1"/>
      <c r="K497" s="1"/>
      <c r="L497" s="1" t="s">
        <v>315</v>
      </c>
      <c r="M497" s="9"/>
      <c r="N497" s="14">
        <f>Tabela131617181920[[#This Row],[Valor_recibo]]</f>
        <v>0</v>
      </c>
      <c r="O497" s="16"/>
      <c r="P497" s="16"/>
      <c r="Q497" s="16"/>
      <c r="R497" s="16"/>
      <c r="S497" s="16"/>
      <c r="T497" s="9"/>
      <c r="U497" s="1" t="s">
        <v>315</v>
      </c>
      <c r="V497" s="11"/>
      <c r="W497" s="232"/>
      <c r="X497" s="304"/>
    </row>
    <row r="498" spans="1:24">
      <c r="A498" s="6"/>
      <c r="B498" s="7"/>
      <c r="C498" s="6"/>
      <c r="D498" s="6"/>
      <c r="E498" s="6"/>
      <c r="F498" s="1"/>
      <c r="G498" s="9"/>
      <c r="H498" s="9"/>
      <c r="I498" s="11"/>
      <c r="J498" s="1"/>
      <c r="K498" s="1"/>
      <c r="L498" s="1" t="s">
        <v>315</v>
      </c>
      <c r="M498" s="9"/>
      <c r="N498" s="14">
        <f>Tabela131617181920[[#This Row],[Valor_recibo]]</f>
        <v>0</v>
      </c>
      <c r="O498" s="16"/>
      <c r="P498" s="16"/>
      <c r="Q498" s="16"/>
      <c r="R498" s="16"/>
      <c r="S498" s="16"/>
      <c r="T498" s="9"/>
      <c r="U498" s="1" t="s">
        <v>315</v>
      </c>
      <c r="V498" s="11"/>
      <c r="W498" s="232"/>
      <c r="X498" s="304"/>
    </row>
    <row r="499" spans="1:24">
      <c r="A499" s="6"/>
      <c r="B499" s="7"/>
      <c r="C499" s="6"/>
      <c r="D499" s="6"/>
      <c r="E499" s="6"/>
      <c r="F499" s="1"/>
      <c r="G499" s="9"/>
      <c r="H499" s="9"/>
      <c r="I499" s="11"/>
      <c r="J499" s="1"/>
      <c r="K499" s="1"/>
      <c r="L499" s="1" t="s">
        <v>315</v>
      </c>
      <c r="M499" s="9"/>
      <c r="N499" s="14">
        <f>Tabela131617181920[[#This Row],[Valor_recibo]]</f>
        <v>0</v>
      </c>
      <c r="O499" s="16"/>
      <c r="P499" s="16"/>
      <c r="Q499" s="16"/>
      <c r="R499" s="16"/>
      <c r="S499" s="16"/>
      <c r="T499" s="9"/>
      <c r="U499" s="1" t="s">
        <v>315</v>
      </c>
      <c r="V499" s="11"/>
      <c r="W499" s="232"/>
      <c r="X499" s="304"/>
    </row>
    <row r="500" spans="1:24">
      <c r="A500" s="6"/>
      <c r="B500" s="7"/>
      <c r="C500" s="6"/>
      <c r="D500" s="6"/>
      <c r="E500" s="6"/>
      <c r="F500" s="1"/>
      <c r="G500" s="9"/>
      <c r="H500" s="9"/>
      <c r="I500" s="11"/>
      <c r="J500" s="1"/>
      <c r="K500" s="1"/>
      <c r="L500" s="1" t="s">
        <v>315</v>
      </c>
      <c r="M500" s="9"/>
      <c r="N500" s="14">
        <f>Tabela131617181920[[#This Row],[Valor_recibo]]</f>
        <v>0</v>
      </c>
      <c r="O500" s="16"/>
      <c r="P500" s="16"/>
      <c r="Q500" s="16"/>
      <c r="R500" s="16"/>
      <c r="S500" s="16"/>
      <c r="T500" s="9"/>
      <c r="U500" s="1" t="s">
        <v>315</v>
      </c>
      <c r="V500" s="11"/>
      <c r="W500" s="232"/>
      <c r="X500" s="304"/>
    </row>
    <row r="501" spans="1:24">
      <c r="A501" s="6"/>
      <c r="B501" s="7"/>
      <c r="C501" s="6"/>
      <c r="D501" s="6"/>
      <c r="E501" s="6"/>
      <c r="F501" s="1"/>
      <c r="G501" s="9"/>
      <c r="H501" s="9"/>
      <c r="I501" s="11"/>
      <c r="J501" s="1"/>
      <c r="K501" s="1"/>
      <c r="L501" s="1" t="s">
        <v>315</v>
      </c>
      <c r="M501" s="9"/>
      <c r="N501" s="14">
        <f>Tabela131617181920[[#This Row],[Valor_recibo]]</f>
        <v>0</v>
      </c>
      <c r="O501" s="16"/>
      <c r="P501" s="16"/>
      <c r="Q501" s="16"/>
      <c r="R501" s="16"/>
      <c r="S501" s="16"/>
      <c r="T501" s="9"/>
      <c r="U501" s="1" t="s">
        <v>315</v>
      </c>
      <c r="V501" s="11"/>
      <c r="W501" s="232"/>
      <c r="X501" s="304"/>
    </row>
    <row r="502" spans="1:24">
      <c r="A502" s="6"/>
      <c r="B502" s="7"/>
      <c r="C502" s="6"/>
      <c r="D502" s="6"/>
      <c r="E502" s="6"/>
      <c r="F502" s="1"/>
      <c r="G502" s="9"/>
      <c r="H502" s="9"/>
      <c r="I502" s="11"/>
      <c r="J502" s="1"/>
      <c r="K502" s="1"/>
      <c r="L502" s="1" t="s">
        <v>315</v>
      </c>
      <c r="M502" s="9"/>
      <c r="N502" s="14">
        <f>Tabela131617181920[[#This Row],[Valor_recibo]]</f>
        <v>0</v>
      </c>
      <c r="O502" s="16"/>
      <c r="P502" s="16"/>
      <c r="Q502" s="16"/>
      <c r="R502" s="16"/>
      <c r="S502" s="16"/>
      <c r="T502" s="9"/>
      <c r="U502" s="1" t="s">
        <v>315</v>
      </c>
      <c r="V502" s="11"/>
      <c r="W502" s="232"/>
      <c r="X502" s="304"/>
    </row>
    <row r="503" spans="1:24">
      <c r="A503" s="6"/>
      <c r="B503" s="7"/>
      <c r="C503" s="6"/>
      <c r="D503" s="6"/>
      <c r="E503" s="6"/>
      <c r="F503" s="1"/>
      <c r="G503" s="9"/>
      <c r="H503" s="9"/>
      <c r="I503" s="11"/>
      <c r="J503" s="1"/>
      <c r="K503" s="1"/>
      <c r="L503" s="1" t="s">
        <v>315</v>
      </c>
      <c r="M503" s="9"/>
      <c r="N503" s="14">
        <f>Tabela131617181920[[#This Row],[Valor_recibo]]</f>
        <v>0</v>
      </c>
      <c r="O503" s="16"/>
      <c r="P503" s="16"/>
      <c r="Q503" s="16"/>
      <c r="R503" s="16"/>
      <c r="S503" s="16"/>
      <c r="T503" s="9"/>
      <c r="U503" s="1" t="s">
        <v>315</v>
      </c>
      <c r="V503" s="11"/>
      <c r="W503" s="232"/>
      <c r="X503" s="304"/>
    </row>
    <row r="504" spans="1:24">
      <c r="A504" s="6"/>
      <c r="B504" s="7"/>
      <c r="C504" s="6"/>
      <c r="D504" s="6"/>
      <c r="E504" s="6"/>
      <c r="F504" s="1"/>
      <c r="G504" s="9"/>
      <c r="H504" s="9"/>
      <c r="I504" s="11"/>
      <c r="J504" s="1"/>
      <c r="K504" s="1"/>
      <c r="L504" s="1" t="s">
        <v>315</v>
      </c>
      <c r="M504" s="9"/>
      <c r="N504" s="14">
        <f>Tabela131617181920[[#This Row],[Valor_recibo]]</f>
        <v>0</v>
      </c>
      <c r="O504" s="16"/>
      <c r="P504" s="16"/>
      <c r="Q504" s="16"/>
      <c r="R504" s="16"/>
      <c r="S504" s="16"/>
      <c r="T504" s="9"/>
      <c r="U504" s="1" t="s">
        <v>315</v>
      </c>
      <c r="V504" s="11"/>
      <c r="W504" s="232"/>
      <c r="X504" s="304"/>
    </row>
    <row r="505" spans="1:24">
      <c r="A505" s="6"/>
      <c r="B505" s="7"/>
      <c r="C505" s="6"/>
      <c r="D505" s="6"/>
      <c r="E505" s="6"/>
      <c r="F505" s="1"/>
      <c r="G505" s="9"/>
      <c r="H505" s="9"/>
      <c r="I505" s="11"/>
      <c r="J505" s="1"/>
      <c r="K505" s="1"/>
      <c r="L505" s="1" t="s">
        <v>315</v>
      </c>
      <c r="M505" s="9"/>
      <c r="N505" s="14">
        <f>Tabela131617181920[[#This Row],[Valor_recibo]]</f>
        <v>0</v>
      </c>
      <c r="O505" s="16"/>
      <c r="P505" s="16"/>
      <c r="Q505" s="16"/>
      <c r="R505" s="16"/>
      <c r="S505" s="16"/>
      <c r="T505" s="9"/>
      <c r="U505" s="1" t="s">
        <v>315</v>
      </c>
      <c r="V505" s="11"/>
      <c r="W505" s="232"/>
      <c r="X505" s="304"/>
    </row>
    <row r="506" spans="1:24">
      <c r="A506" s="6"/>
      <c r="B506" s="7"/>
      <c r="C506" s="6"/>
      <c r="D506" s="6"/>
      <c r="E506" s="6"/>
      <c r="F506" s="1"/>
      <c r="G506" s="9"/>
      <c r="H506" s="9"/>
      <c r="I506" s="11"/>
      <c r="J506" s="1"/>
      <c r="K506" s="1"/>
      <c r="L506" s="1" t="s">
        <v>315</v>
      </c>
      <c r="M506" s="9"/>
      <c r="N506" s="14">
        <f>Tabela131617181920[[#This Row],[Valor_recibo]]</f>
        <v>0</v>
      </c>
      <c r="O506" s="16"/>
      <c r="P506" s="16"/>
      <c r="Q506" s="16"/>
      <c r="R506" s="16"/>
      <c r="S506" s="16"/>
      <c r="T506" s="9"/>
      <c r="U506" s="1" t="s">
        <v>315</v>
      </c>
      <c r="V506" s="11"/>
      <c r="W506" s="232"/>
      <c r="X506" s="304"/>
    </row>
    <row r="507" spans="1:24">
      <c r="A507" s="6"/>
      <c r="B507" s="7"/>
      <c r="C507" s="6"/>
      <c r="D507" s="6"/>
      <c r="E507" s="6"/>
      <c r="F507" s="1"/>
      <c r="G507" s="9"/>
      <c r="H507" s="9"/>
      <c r="I507" s="11"/>
      <c r="J507" s="1"/>
      <c r="K507" s="1"/>
      <c r="L507" s="1" t="s">
        <v>315</v>
      </c>
      <c r="M507" s="9"/>
      <c r="N507" s="14">
        <f>Tabela131617181920[[#This Row],[Valor_recibo]]</f>
        <v>0</v>
      </c>
      <c r="O507" s="16"/>
      <c r="P507" s="16"/>
      <c r="Q507" s="16"/>
      <c r="R507" s="16"/>
      <c r="S507" s="16"/>
      <c r="T507" s="9"/>
      <c r="U507" s="1" t="s">
        <v>315</v>
      </c>
      <c r="V507" s="11"/>
      <c r="W507" s="232"/>
      <c r="X507" s="304"/>
    </row>
    <row r="508" spans="1:24">
      <c r="A508" s="6"/>
      <c r="B508" s="7"/>
      <c r="C508" s="6"/>
      <c r="D508" s="6"/>
      <c r="E508" s="6"/>
      <c r="F508" s="1"/>
      <c r="G508" s="9"/>
      <c r="H508" s="9"/>
      <c r="I508" s="11"/>
      <c r="J508" s="1"/>
      <c r="K508" s="1"/>
      <c r="L508" s="1" t="s">
        <v>315</v>
      </c>
      <c r="M508" s="9"/>
      <c r="N508" s="14">
        <f>Tabela131617181920[[#This Row],[Valor_recibo]]</f>
        <v>0</v>
      </c>
      <c r="O508" s="16"/>
      <c r="P508" s="16"/>
      <c r="Q508" s="16"/>
      <c r="R508" s="16"/>
      <c r="S508" s="16"/>
      <c r="T508" s="9"/>
      <c r="U508" s="1" t="s">
        <v>315</v>
      </c>
      <c r="V508" s="11"/>
      <c r="W508" s="232"/>
      <c r="X508" s="304"/>
    </row>
    <row r="509" spans="1:24">
      <c r="A509" s="6"/>
      <c r="B509" s="7"/>
      <c r="C509" s="6"/>
      <c r="D509" s="6"/>
      <c r="E509" s="6"/>
      <c r="F509" s="1"/>
      <c r="G509" s="9"/>
      <c r="H509" s="9"/>
      <c r="I509" s="11"/>
      <c r="J509" s="1"/>
      <c r="K509" s="1"/>
      <c r="L509" s="1" t="s">
        <v>315</v>
      </c>
      <c r="M509" s="9"/>
      <c r="N509" s="14">
        <f>Tabela131617181920[[#This Row],[Valor_recibo]]</f>
        <v>0</v>
      </c>
      <c r="O509" s="16"/>
      <c r="P509" s="16"/>
      <c r="Q509" s="16"/>
      <c r="R509" s="16"/>
      <c r="S509" s="16"/>
      <c r="T509" s="9"/>
      <c r="U509" s="1" t="s">
        <v>315</v>
      </c>
      <c r="V509" s="11"/>
      <c r="W509" s="232"/>
      <c r="X509" s="304"/>
    </row>
    <row r="510" spans="1:24">
      <c r="A510" s="6"/>
      <c r="B510" s="7"/>
      <c r="C510" s="6"/>
      <c r="D510" s="6"/>
      <c r="E510" s="6"/>
      <c r="F510" s="1"/>
      <c r="G510" s="9"/>
      <c r="H510" s="9"/>
      <c r="I510" s="11"/>
      <c r="J510" s="1"/>
      <c r="K510" s="1"/>
      <c r="L510" s="1" t="s">
        <v>315</v>
      </c>
      <c r="M510" s="9"/>
      <c r="N510" s="14">
        <f>Tabela131617181920[[#This Row],[Valor_recibo]]</f>
        <v>0</v>
      </c>
      <c r="O510" s="16"/>
      <c r="P510" s="16"/>
      <c r="Q510" s="16"/>
      <c r="R510" s="16"/>
      <c r="S510" s="16"/>
      <c r="T510" s="9"/>
      <c r="U510" s="1" t="s">
        <v>315</v>
      </c>
      <c r="V510" s="11"/>
      <c r="W510" s="232"/>
      <c r="X510" s="304"/>
    </row>
    <row r="511" spans="1:24">
      <c r="A511" s="6"/>
      <c r="B511" s="7"/>
      <c r="C511" s="6"/>
      <c r="D511" s="6"/>
      <c r="E511" s="6"/>
      <c r="F511" s="1"/>
      <c r="G511" s="9"/>
      <c r="H511" s="9"/>
      <c r="I511" s="11"/>
      <c r="J511" s="1"/>
      <c r="K511" s="1"/>
      <c r="L511" s="1" t="s">
        <v>315</v>
      </c>
      <c r="M511" s="9"/>
      <c r="N511" s="14">
        <f>Tabela131617181920[[#This Row],[Valor_recibo]]</f>
        <v>0</v>
      </c>
      <c r="O511" s="16"/>
      <c r="P511" s="16"/>
      <c r="Q511" s="16"/>
      <c r="R511" s="16"/>
      <c r="S511" s="16"/>
      <c r="T511" s="9"/>
      <c r="U511" s="1" t="s">
        <v>315</v>
      </c>
      <c r="V511" s="11"/>
      <c r="W511" s="232"/>
      <c r="X511" s="304"/>
    </row>
    <row r="512" spans="1:24">
      <c r="A512" s="6"/>
      <c r="B512" s="7"/>
      <c r="C512" s="6"/>
      <c r="D512" s="6"/>
      <c r="E512" s="6"/>
      <c r="F512" s="1"/>
      <c r="G512" s="9"/>
      <c r="H512" s="9"/>
      <c r="I512" s="11"/>
      <c r="J512" s="1"/>
      <c r="K512" s="1"/>
      <c r="L512" s="1" t="s">
        <v>315</v>
      </c>
      <c r="M512" s="9"/>
      <c r="N512" s="14">
        <f>Tabela131617181920[[#This Row],[Valor_recibo]]</f>
        <v>0</v>
      </c>
      <c r="O512" s="16"/>
      <c r="P512" s="16"/>
      <c r="Q512" s="16"/>
      <c r="R512" s="16"/>
      <c r="S512" s="16"/>
      <c r="T512" s="9"/>
      <c r="U512" s="1" t="s">
        <v>315</v>
      </c>
      <c r="V512" s="11"/>
      <c r="W512" s="232"/>
      <c r="X512" s="304"/>
    </row>
    <row r="513" spans="1:24">
      <c r="A513" s="6"/>
      <c r="B513" s="7"/>
      <c r="C513" s="6"/>
      <c r="D513" s="6"/>
      <c r="E513" s="6"/>
      <c r="F513" s="1"/>
      <c r="G513" s="9"/>
      <c r="H513" s="9"/>
      <c r="I513" s="11"/>
      <c r="J513" s="1"/>
      <c r="K513" s="1"/>
      <c r="L513" s="1" t="s">
        <v>315</v>
      </c>
      <c r="M513" s="9"/>
      <c r="N513" s="14">
        <f>Tabela131617181920[[#This Row],[Valor_recibo]]</f>
        <v>0</v>
      </c>
      <c r="O513" s="16"/>
      <c r="P513" s="16"/>
      <c r="Q513" s="16"/>
      <c r="R513" s="16"/>
      <c r="S513" s="16"/>
      <c r="T513" s="9"/>
      <c r="U513" s="1" t="s">
        <v>315</v>
      </c>
      <c r="V513" s="11"/>
      <c r="W513" s="232"/>
      <c r="X513" s="304"/>
    </row>
    <row r="514" spans="1:24">
      <c r="A514" s="6"/>
      <c r="B514" s="7"/>
      <c r="C514" s="6"/>
      <c r="D514" s="6"/>
      <c r="E514" s="6"/>
      <c r="F514" s="1"/>
      <c r="G514" s="9"/>
      <c r="H514" s="9"/>
      <c r="I514" s="11"/>
      <c r="J514" s="1"/>
      <c r="K514" s="1"/>
      <c r="L514" s="1" t="s">
        <v>315</v>
      </c>
      <c r="M514" s="9"/>
      <c r="N514" s="14">
        <f>Tabela131617181920[[#This Row],[Valor_recibo]]</f>
        <v>0</v>
      </c>
      <c r="O514" s="16"/>
      <c r="P514" s="16"/>
      <c r="Q514" s="16"/>
      <c r="R514" s="16"/>
      <c r="S514" s="16"/>
      <c r="T514" s="9"/>
      <c r="U514" s="1" t="s">
        <v>315</v>
      </c>
      <c r="V514" s="11"/>
      <c r="W514" s="232"/>
      <c r="X514" s="304"/>
    </row>
    <row r="515" spans="1:24">
      <c r="A515" s="6"/>
      <c r="B515" s="7"/>
      <c r="C515" s="6"/>
      <c r="D515" s="6"/>
      <c r="E515" s="6"/>
      <c r="F515" s="1"/>
      <c r="G515" s="9"/>
      <c r="H515" s="9"/>
      <c r="I515" s="11"/>
      <c r="J515" s="1"/>
      <c r="K515" s="1"/>
      <c r="L515" s="1" t="s">
        <v>315</v>
      </c>
      <c r="M515" s="9"/>
      <c r="N515" s="14">
        <f>Tabela131617181920[[#This Row],[Valor_recibo]]</f>
        <v>0</v>
      </c>
      <c r="O515" s="16"/>
      <c r="P515" s="16"/>
      <c r="Q515" s="16"/>
      <c r="R515" s="16"/>
      <c r="S515" s="16"/>
      <c r="T515" s="9"/>
      <c r="U515" s="1" t="s">
        <v>315</v>
      </c>
      <c r="V515" s="11"/>
      <c r="W515" s="232"/>
      <c r="X515" s="304"/>
    </row>
    <row r="516" spans="1:24">
      <c r="A516" s="6"/>
      <c r="B516" s="7"/>
      <c r="C516" s="6"/>
      <c r="D516" s="6"/>
      <c r="E516" s="6"/>
      <c r="F516" s="1"/>
      <c r="G516" s="9"/>
      <c r="H516" s="9"/>
      <c r="I516" s="11"/>
      <c r="J516" s="1"/>
      <c r="K516" s="1"/>
      <c r="L516" s="1" t="s">
        <v>315</v>
      </c>
      <c r="M516" s="9"/>
      <c r="N516" s="14">
        <f>Tabela131617181920[[#This Row],[Valor_recibo]]</f>
        <v>0</v>
      </c>
      <c r="O516" s="16"/>
      <c r="P516" s="16"/>
      <c r="Q516" s="16"/>
      <c r="R516" s="16"/>
      <c r="S516" s="16"/>
      <c r="T516" s="9"/>
      <c r="U516" s="1" t="s">
        <v>315</v>
      </c>
      <c r="V516" s="11"/>
      <c r="W516" s="232"/>
      <c r="X516" s="304"/>
    </row>
    <row r="517" spans="1:24">
      <c r="A517" s="6"/>
      <c r="B517" s="7"/>
      <c r="C517" s="6"/>
      <c r="D517" s="6"/>
      <c r="E517" s="6"/>
      <c r="F517" s="1"/>
      <c r="G517" s="9"/>
      <c r="H517" s="9"/>
      <c r="I517" s="11"/>
      <c r="J517" s="1"/>
      <c r="K517" s="1"/>
      <c r="L517" s="1" t="s">
        <v>315</v>
      </c>
      <c r="M517" s="9"/>
      <c r="N517" s="14">
        <f>Tabela131617181920[[#This Row],[Valor_recibo]]</f>
        <v>0</v>
      </c>
      <c r="O517" s="16"/>
      <c r="P517" s="16"/>
      <c r="Q517" s="16"/>
      <c r="R517" s="16"/>
      <c r="S517" s="16"/>
      <c r="T517" s="9"/>
      <c r="U517" s="1" t="s">
        <v>315</v>
      </c>
      <c r="V517" s="11"/>
      <c r="W517" s="232"/>
      <c r="X517" s="304"/>
    </row>
    <row r="518" spans="1:24">
      <c r="A518" s="6"/>
      <c r="B518" s="7"/>
      <c r="C518" s="6"/>
      <c r="D518" s="6"/>
      <c r="E518" s="6"/>
      <c r="F518" s="1"/>
      <c r="G518" s="9"/>
      <c r="H518" s="9"/>
      <c r="I518" s="11"/>
      <c r="J518" s="1"/>
      <c r="K518" s="1"/>
      <c r="L518" s="1" t="s">
        <v>315</v>
      </c>
      <c r="M518" s="9"/>
      <c r="N518" s="14">
        <f>Tabela131617181920[[#This Row],[Valor_recibo]]</f>
        <v>0</v>
      </c>
      <c r="O518" s="16"/>
      <c r="P518" s="16"/>
      <c r="Q518" s="16"/>
      <c r="R518" s="16"/>
      <c r="S518" s="16"/>
      <c r="T518" s="9"/>
      <c r="U518" s="1" t="s">
        <v>315</v>
      </c>
      <c r="V518" s="11"/>
      <c r="W518" s="232"/>
      <c r="X518" s="304"/>
    </row>
    <row r="519" spans="1:24">
      <c r="A519" s="6"/>
      <c r="B519" s="7"/>
      <c r="C519" s="6"/>
      <c r="D519" s="6"/>
      <c r="E519" s="6"/>
      <c r="F519" s="1"/>
      <c r="G519" s="9"/>
      <c r="H519" s="9"/>
      <c r="I519" s="11"/>
      <c r="J519" s="1"/>
      <c r="K519" s="1"/>
      <c r="L519" s="1" t="s">
        <v>315</v>
      </c>
      <c r="M519" s="9"/>
      <c r="N519" s="14">
        <f>Tabela131617181920[[#This Row],[Valor_recibo]]</f>
        <v>0</v>
      </c>
      <c r="O519" s="16"/>
      <c r="P519" s="16"/>
      <c r="Q519" s="16"/>
      <c r="R519" s="16"/>
      <c r="S519" s="16"/>
      <c r="T519" s="9"/>
      <c r="U519" s="1" t="s">
        <v>315</v>
      </c>
      <c r="V519" s="11"/>
      <c r="W519" s="232"/>
      <c r="X519" s="304"/>
    </row>
    <row r="520" spans="1:24">
      <c r="A520" s="6"/>
      <c r="B520" s="7"/>
      <c r="C520" s="6"/>
      <c r="D520" s="6"/>
      <c r="E520" s="6"/>
      <c r="F520" s="1"/>
      <c r="G520" s="9"/>
      <c r="H520" s="9"/>
      <c r="I520" s="11"/>
      <c r="J520" s="1"/>
      <c r="K520" s="1"/>
      <c r="L520" s="1" t="s">
        <v>315</v>
      </c>
      <c r="M520" s="9"/>
      <c r="N520" s="14">
        <f>Tabela131617181920[[#This Row],[Valor_recibo]]</f>
        <v>0</v>
      </c>
      <c r="O520" s="16"/>
      <c r="P520" s="16"/>
      <c r="Q520" s="16"/>
      <c r="R520" s="16"/>
      <c r="S520" s="16"/>
      <c r="T520" s="9"/>
      <c r="U520" s="1" t="s">
        <v>315</v>
      </c>
      <c r="V520" s="11"/>
      <c r="W520" s="232"/>
      <c r="X520" s="304"/>
    </row>
    <row r="521" spans="1:24">
      <c r="A521" s="6"/>
      <c r="B521" s="7"/>
      <c r="C521" s="6"/>
      <c r="D521" s="6"/>
      <c r="E521" s="6"/>
      <c r="F521" s="1"/>
      <c r="G521" s="9"/>
      <c r="H521" s="9"/>
      <c r="I521" s="11"/>
      <c r="J521" s="1"/>
      <c r="K521" s="1"/>
      <c r="L521" s="1" t="s">
        <v>315</v>
      </c>
      <c r="M521" s="9"/>
      <c r="N521" s="14">
        <f>Tabela131617181920[[#This Row],[Valor_recibo]]</f>
        <v>0</v>
      </c>
      <c r="O521" s="16"/>
      <c r="P521" s="16"/>
      <c r="Q521" s="16"/>
      <c r="R521" s="16"/>
      <c r="S521" s="16"/>
      <c r="T521" s="9"/>
      <c r="U521" s="1" t="s">
        <v>315</v>
      </c>
      <c r="V521" s="11"/>
      <c r="W521" s="232"/>
      <c r="X521" s="304"/>
    </row>
    <row r="522" spans="1:24">
      <c r="A522" s="6"/>
      <c r="B522" s="7"/>
      <c r="C522" s="6"/>
      <c r="D522" s="6"/>
      <c r="E522" s="6"/>
      <c r="F522" s="1"/>
      <c r="G522" s="9"/>
      <c r="H522" s="9"/>
      <c r="I522" s="11"/>
      <c r="J522" s="1"/>
      <c r="K522" s="1"/>
      <c r="L522" s="1" t="s">
        <v>315</v>
      </c>
      <c r="M522" s="9"/>
      <c r="N522" s="14">
        <f>Tabela131617181920[[#This Row],[Valor_recibo]]</f>
        <v>0</v>
      </c>
      <c r="O522" s="16"/>
      <c r="P522" s="16"/>
      <c r="Q522" s="16"/>
      <c r="R522" s="16"/>
      <c r="S522" s="16"/>
      <c r="T522" s="9"/>
      <c r="U522" s="1" t="s">
        <v>315</v>
      </c>
      <c r="V522" s="11"/>
      <c r="W522" s="232"/>
      <c r="X522" s="304"/>
    </row>
    <row r="523" spans="1:24">
      <c r="A523" s="6"/>
      <c r="B523" s="7"/>
      <c r="C523" s="6"/>
      <c r="D523" s="6"/>
      <c r="E523" s="6"/>
      <c r="F523" s="1"/>
      <c r="G523" s="9"/>
      <c r="H523" s="9"/>
      <c r="I523" s="11"/>
      <c r="J523" s="1"/>
      <c r="K523" s="1"/>
      <c r="L523" s="1" t="s">
        <v>315</v>
      </c>
      <c r="M523" s="9"/>
      <c r="N523" s="14">
        <f>Tabela131617181920[[#This Row],[Valor_recibo]]</f>
        <v>0</v>
      </c>
      <c r="O523" s="16"/>
      <c r="P523" s="16"/>
      <c r="Q523" s="16"/>
      <c r="R523" s="16"/>
      <c r="S523" s="16"/>
      <c r="T523" s="9"/>
      <c r="U523" s="1" t="s">
        <v>315</v>
      </c>
      <c r="V523" s="11"/>
      <c r="W523" s="232"/>
      <c r="X523" s="304"/>
    </row>
    <row r="524" spans="1:24">
      <c r="A524" s="6"/>
      <c r="B524" s="7"/>
      <c r="C524" s="6"/>
      <c r="D524" s="6"/>
      <c r="E524" s="6"/>
      <c r="F524" s="1"/>
      <c r="G524" s="9"/>
      <c r="H524" s="9"/>
      <c r="I524" s="11"/>
      <c r="J524" s="1"/>
      <c r="K524" s="1"/>
      <c r="L524" s="1" t="s">
        <v>315</v>
      </c>
      <c r="M524" s="9"/>
      <c r="N524" s="14">
        <f>Tabela131617181920[[#This Row],[Valor_recibo]]</f>
        <v>0</v>
      </c>
      <c r="O524" s="16"/>
      <c r="P524" s="16"/>
      <c r="Q524" s="16"/>
      <c r="R524" s="16"/>
      <c r="S524" s="16"/>
      <c r="T524" s="9"/>
      <c r="U524" s="1" t="s">
        <v>315</v>
      </c>
      <c r="V524" s="11"/>
      <c r="W524" s="232"/>
      <c r="X524" s="304"/>
    </row>
    <row r="525" spans="1:24">
      <c r="A525" s="6"/>
      <c r="B525" s="7"/>
      <c r="C525" s="6"/>
      <c r="D525" s="6"/>
      <c r="E525" s="6"/>
      <c r="F525" s="1"/>
      <c r="G525" s="9"/>
      <c r="H525" s="9"/>
      <c r="I525" s="11"/>
      <c r="J525" s="1"/>
      <c r="K525" s="1"/>
      <c r="L525" s="1" t="s">
        <v>315</v>
      </c>
      <c r="M525" s="9"/>
      <c r="N525" s="14">
        <f>Tabela131617181920[[#This Row],[Valor_recibo]]</f>
        <v>0</v>
      </c>
      <c r="O525" s="16"/>
      <c r="P525" s="16"/>
      <c r="Q525" s="16"/>
      <c r="R525" s="16"/>
      <c r="S525" s="16"/>
      <c r="T525" s="9"/>
      <c r="U525" s="1" t="s">
        <v>315</v>
      </c>
      <c r="V525" s="11"/>
      <c r="W525" s="232"/>
      <c r="X525" s="304"/>
    </row>
    <row r="526" spans="1:24">
      <c r="A526" s="6"/>
      <c r="B526" s="7"/>
      <c r="C526" s="6"/>
      <c r="D526" s="6"/>
      <c r="E526" s="6"/>
      <c r="F526" s="1"/>
      <c r="G526" s="9"/>
      <c r="H526" s="9"/>
      <c r="I526" s="11"/>
      <c r="J526" s="1"/>
      <c r="K526" s="1"/>
      <c r="L526" s="1" t="s">
        <v>315</v>
      </c>
      <c r="M526" s="9"/>
      <c r="N526" s="14">
        <f>Tabela131617181920[[#This Row],[Valor_recibo]]</f>
        <v>0</v>
      </c>
      <c r="O526" s="16"/>
      <c r="P526" s="16"/>
      <c r="Q526" s="16"/>
      <c r="R526" s="16"/>
      <c r="S526" s="16"/>
      <c r="T526" s="9"/>
      <c r="U526" s="1" t="s">
        <v>315</v>
      </c>
      <c r="V526" s="11"/>
      <c r="W526" s="232"/>
      <c r="X526" s="304"/>
    </row>
    <row r="527" spans="1:24">
      <c r="A527" s="6"/>
      <c r="B527" s="7"/>
      <c r="C527" s="6"/>
      <c r="D527" s="6"/>
      <c r="E527" s="6"/>
      <c r="F527" s="1"/>
      <c r="G527" s="9"/>
      <c r="H527" s="9"/>
      <c r="I527" s="11"/>
      <c r="J527" s="1"/>
      <c r="K527" s="1"/>
      <c r="L527" s="1" t="s">
        <v>315</v>
      </c>
      <c r="M527" s="9"/>
      <c r="N527" s="14">
        <f>Tabela131617181920[[#This Row],[Valor_recibo]]</f>
        <v>0</v>
      </c>
      <c r="O527" s="16"/>
      <c r="P527" s="16"/>
      <c r="Q527" s="16"/>
      <c r="R527" s="16"/>
      <c r="S527" s="16"/>
      <c r="T527" s="9"/>
      <c r="U527" s="1" t="s">
        <v>315</v>
      </c>
      <c r="V527" s="11"/>
      <c r="W527" s="232"/>
      <c r="X527" s="304"/>
    </row>
    <row r="528" spans="1:24">
      <c r="A528" s="6"/>
      <c r="B528" s="7"/>
      <c r="C528" s="6"/>
      <c r="D528" s="6"/>
      <c r="E528" s="6"/>
      <c r="F528" s="1"/>
      <c r="G528" s="9"/>
      <c r="H528" s="9"/>
      <c r="I528" s="11"/>
      <c r="J528" s="1"/>
      <c r="K528" s="1"/>
      <c r="L528" s="1" t="s">
        <v>315</v>
      </c>
      <c r="M528" s="9"/>
      <c r="N528" s="14">
        <f>Tabela131617181920[[#This Row],[Valor_recibo]]</f>
        <v>0</v>
      </c>
      <c r="O528" s="16"/>
      <c r="P528" s="16"/>
      <c r="Q528" s="16"/>
      <c r="R528" s="16"/>
      <c r="S528" s="16"/>
      <c r="T528" s="9"/>
      <c r="U528" s="1" t="s">
        <v>315</v>
      </c>
      <c r="V528" s="11"/>
      <c r="W528" s="232"/>
      <c r="X528" s="304"/>
    </row>
    <row r="529" spans="1:24">
      <c r="A529" s="6"/>
      <c r="B529" s="7"/>
      <c r="C529" s="6"/>
      <c r="D529" s="6"/>
      <c r="E529" s="6"/>
      <c r="F529" s="1"/>
      <c r="G529" s="9"/>
      <c r="H529" s="9"/>
      <c r="I529" s="11"/>
      <c r="J529" s="1"/>
      <c r="K529" s="1"/>
      <c r="L529" s="1" t="s">
        <v>315</v>
      </c>
      <c r="M529" s="9"/>
      <c r="N529" s="14">
        <f>Tabela131617181920[[#This Row],[Valor_recibo]]</f>
        <v>0</v>
      </c>
      <c r="O529" s="16"/>
      <c r="P529" s="16"/>
      <c r="Q529" s="16"/>
      <c r="R529" s="16"/>
      <c r="S529" s="16"/>
      <c r="T529" s="9"/>
      <c r="U529" s="1" t="s">
        <v>315</v>
      </c>
      <c r="V529" s="11"/>
      <c r="W529" s="232"/>
      <c r="X529" s="304"/>
    </row>
    <row r="530" spans="1:24">
      <c r="A530" s="6"/>
      <c r="B530" s="7"/>
      <c r="C530" s="6"/>
      <c r="D530" s="6"/>
      <c r="E530" s="6"/>
      <c r="F530" s="1"/>
      <c r="G530" s="9"/>
      <c r="H530" s="9"/>
      <c r="I530" s="11"/>
      <c r="J530" s="1"/>
      <c r="K530" s="1"/>
      <c r="L530" s="1" t="s">
        <v>315</v>
      </c>
      <c r="M530" s="9"/>
      <c r="N530" s="14">
        <f>Tabela131617181920[[#This Row],[Valor_recibo]]</f>
        <v>0</v>
      </c>
      <c r="O530" s="16"/>
      <c r="P530" s="16"/>
      <c r="Q530" s="16"/>
      <c r="R530" s="16"/>
      <c r="S530" s="16"/>
      <c r="T530" s="9"/>
      <c r="U530" s="1" t="s">
        <v>315</v>
      </c>
      <c r="V530" s="11"/>
      <c r="W530" s="232"/>
      <c r="X530" s="304"/>
    </row>
    <row r="531" spans="1:24">
      <c r="A531" s="6"/>
      <c r="B531" s="7"/>
      <c r="C531" s="6"/>
      <c r="D531" s="6"/>
      <c r="E531" s="6"/>
      <c r="F531" s="1"/>
      <c r="G531" s="9"/>
      <c r="H531" s="9"/>
      <c r="I531" s="11"/>
      <c r="J531" s="1"/>
      <c r="K531" s="1"/>
      <c r="L531" s="1" t="s">
        <v>315</v>
      </c>
      <c r="M531" s="9"/>
      <c r="N531" s="14">
        <f>Tabela131617181920[[#This Row],[Valor_recibo]]</f>
        <v>0</v>
      </c>
      <c r="O531" s="16"/>
      <c r="P531" s="16"/>
      <c r="Q531" s="16"/>
      <c r="R531" s="16"/>
      <c r="S531" s="16"/>
      <c r="T531" s="9"/>
      <c r="U531" s="1" t="s">
        <v>315</v>
      </c>
      <c r="V531" s="11"/>
      <c r="W531" s="232"/>
      <c r="X531" s="304"/>
    </row>
    <row r="532" spans="1:24">
      <c r="A532" s="6"/>
      <c r="B532" s="7"/>
      <c r="C532" s="6"/>
      <c r="D532" s="6"/>
      <c r="E532" s="6"/>
      <c r="F532" s="1"/>
      <c r="G532" s="9"/>
      <c r="H532" s="9"/>
      <c r="I532" s="11"/>
      <c r="J532" s="1"/>
      <c r="K532" s="1"/>
      <c r="L532" s="1" t="s">
        <v>315</v>
      </c>
      <c r="M532" s="9"/>
      <c r="N532" s="14">
        <f>Tabela131617181920[[#This Row],[Valor_recibo]]</f>
        <v>0</v>
      </c>
      <c r="O532" s="16"/>
      <c r="P532" s="16"/>
      <c r="Q532" s="16"/>
      <c r="R532" s="16"/>
      <c r="S532" s="16"/>
      <c r="T532" s="9"/>
      <c r="U532" s="1" t="s">
        <v>315</v>
      </c>
      <c r="V532" s="11"/>
      <c r="W532" s="232"/>
      <c r="X532" s="304"/>
    </row>
    <row r="533" spans="1:24">
      <c r="A533" s="6"/>
      <c r="B533" s="7"/>
      <c r="C533" s="6"/>
      <c r="D533" s="6"/>
      <c r="E533" s="6"/>
      <c r="F533" s="1"/>
      <c r="G533" s="9"/>
      <c r="H533" s="9"/>
      <c r="I533" s="11"/>
      <c r="J533" s="1"/>
      <c r="K533" s="1"/>
      <c r="L533" s="1" t="s">
        <v>315</v>
      </c>
      <c r="M533" s="9"/>
      <c r="N533" s="14">
        <f>Tabela131617181920[[#This Row],[Valor_recibo]]</f>
        <v>0</v>
      </c>
      <c r="O533" s="16"/>
      <c r="P533" s="16"/>
      <c r="Q533" s="16"/>
      <c r="R533" s="16"/>
      <c r="S533" s="16"/>
      <c r="T533" s="9"/>
      <c r="U533" s="1" t="s">
        <v>315</v>
      </c>
      <c r="V533" s="11"/>
      <c r="W533" s="232"/>
      <c r="X533" s="304"/>
    </row>
    <row r="534" spans="1:24">
      <c r="A534" s="6"/>
      <c r="B534" s="7"/>
      <c r="C534" s="6"/>
      <c r="D534" s="6"/>
      <c r="E534" s="6"/>
      <c r="F534" s="1"/>
      <c r="G534" s="9"/>
      <c r="H534" s="9"/>
      <c r="I534" s="11"/>
      <c r="J534" s="1"/>
      <c r="K534" s="1"/>
      <c r="L534" s="1" t="s">
        <v>315</v>
      </c>
      <c r="M534" s="9"/>
      <c r="N534" s="14">
        <f>Tabela131617181920[[#This Row],[Valor_recibo]]</f>
        <v>0</v>
      </c>
      <c r="O534" s="16"/>
      <c r="P534" s="16"/>
      <c r="Q534" s="16"/>
      <c r="R534" s="16"/>
      <c r="S534" s="16"/>
      <c r="T534" s="9"/>
      <c r="U534" s="1" t="s">
        <v>315</v>
      </c>
      <c r="V534" s="11"/>
      <c r="W534" s="232"/>
      <c r="X534" s="304"/>
    </row>
    <row r="535" spans="1:24">
      <c r="A535" s="6"/>
      <c r="B535" s="7"/>
      <c r="C535" s="6"/>
      <c r="D535" s="6"/>
      <c r="E535" s="6"/>
      <c r="F535" s="1"/>
      <c r="G535" s="9"/>
      <c r="H535" s="9"/>
      <c r="I535" s="11"/>
      <c r="J535" s="1"/>
      <c r="K535" s="1"/>
      <c r="L535" s="1" t="s">
        <v>315</v>
      </c>
      <c r="M535" s="9"/>
      <c r="N535" s="14">
        <f>Tabela131617181920[[#This Row],[Valor_recibo]]</f>
        <v>0</v>
      </c>
      <c r="O535" s="16"/>
      <c r="P535" s="16"/>
      <c r="Q535" s="16"/>
      <c r="R535" s="16"/>
      <c r="S535" s="16"/>
      <c r="T535" s="9"/>
      <c r="U535" s="1" t="s">
        <v>315</v>
      </c>
      <c r="V535" s="11"/>
      <c r="W535" s="232"/>
      <c r="X535" s="304"/>
    </row>
    <row r="536" spans="1:24">
      <c r="A536" s="6"/>
      <c r="B536" s="7"/>
      <c r="C536" s="6"/>
      <c r="D536" s="6"/>
      <c r="E536" s="6"/>
      <c r="F536" s="1"/>
      <c r="G536" s="9"/>
      <c r="H536" s="9"/>
      <c r="I536" s="11"/>
      <c r="J536" s="1"/>
      <c r="K536" s="1"/>
      <c r="L536" s="1" t="s">
        <v>315</v>
      </c>
      <c r="M536" s="9"/>
      <c r="N536" s="14">
        <f>Tabela131617181920[[#This Row],[Valor_recibo]]</f>
        <v>0</v>
      </c>
      <c r="O536" s="16"/>
      <c r="P536" s="16"/>
      <c r="Q536" s="16"/>
      <c r="R536" s="16"/>
      <c r="S536" s="16"/>
      <c r="T536" s="9"/>
      <c r="U536" s="1" t="s">
        <v>315</v>
      </c>
      <c r="V536" s="11"/>
      <c r="W536" s="232"/>
      <c r="X536" s="304"/>
    </row>
    <row r="537" spans="1:24">
      <c r="A537" s="6"/>
      <c r="B537" s="7"/>
      <c r="C537" s="6"/>
      <c r="D537" s="6"/>
      <c r="E537" s="6"/>
      <c r="F537" s="1"/>
      <c r="G537" s="9"/>
      <c r="H537" s="9"/>
      <c r="I537" s="11"/>
      <c r="J537" s="1"/>
      <c r="K537" s="1"/>
      <c r="L537" s="1" t="s">
        <v>315</v>
      </c>
      <c r="M537" s="9"/>
      <c r="N537" s="14">
        <f>Tabela131617181920[[#This Row],[Valor_recibo]]</f>
        <v>0</v>
      </c>
      <c r="O537" s="16"/>
      <c r="P537" s="16"/>
      <c r="Q537" s="16"/>
      <c r="R537" s="16"/>
      <c r="S537" s="16"/>
      <c r="T537" s="9"/>
      <c r="U537" s="1" t="s">
        <v>315</v>
      </c>
      <c r="V537" s="11"/>
      <c r="W537" s="232"/>
      <c r="X537" s="304"/>
    </row>
    <row r="538" spans="1:24">
      <c r="A538" s="6"/>
      <c r="B538" s="7"/>
      <c r="C538" s="6"/>
      <c r="D538" s="6"/>
      <c r="E538" s="6"/>
      <c r="F538" s="1"/>
      <c r="G538" s="9"/>
      <c r="H538" s="9"/>
      <c r="I538" s="11"/>
      <c r="J538" s="1"/>
      <c r="K538" s="1"/>
      <c r="L538" s="1" t="s">
        <v>315</v>
      </c>
      <c r="M538" s="9"/>
      <c r="N538" s="14">
        <f>Tabela131617181920[[#This Row],[Valor_recibo]]</f>
        <v>0</v>
      </c>
      <c r="O538" s="16"/>
      <c r="P538" s="16"/>
      <c r="Q538" s="16"/>
      <c r="R538" s="16"/>
      <c r="S538" s="16"/>
      <c r="T538" s="9"/>
      <c r="U538" s="1" t="s">
        <v>315</v>
      </c>
      <c r="V538" s="11"/>
      <c r="W538" s="232"/>
      <c r="X538" s="304"/>
    </row>
    <row r="539" spans="1:24">
      <c r="A539" s="6"/>
      <c r="B539" s="7"/>
      <c r="C539" s="6"/>
      <c r="D539" s="6"/>
      <c r="E539" s="6"/>
      <c r="F539" s="1"/>
      <c r="G539" s="9"/>
      <c r="H539" s="9"/>
      <c r="I539" s="11"/>
      <c r="J539" s="1"/>
      <c r="K539" s="1"/>
      <c r="L539" s="1" t="s">
        <v>315</v>
      </c>
      <c r="M539" s="9"/>
      <c r="N539" s="14">
        <f>Tabela131617181920[[#This Row],[Valor_recibo]]</f>
        <v>0</v>
      </c>
      <c r="O539" s="16"/>
      <c r="P539" s="16"/>
      <c r="Q539" s="16"/>
      <c r="R539" s="16"/>
      <c r="S539" s="16"/>
      <c r="T539" s="9"/>
      <c r="U539" s="1" t="s">
        <v>315</v>
      </c>
      <c r="V539" s="11"/>
      <c r="W539" s="232"/>
      <c r="X539" s="304"/>
    </row>
    <row r="540" spans="1:24">
      <c r="A540" s="6"/>
      <c r="B540" s="7"/>
      <c r="C540" s="6"/>
      <c r="D540" s="6"/>
      <c r="E540" s="6"/>
      <c r="F540" s="1"/>
      <c r="G540" s="9"/>
      <c r="H540" s="9"/>
      <c r="I540" s="11"/>
      <c r="J540" s="1"/>
      <c r="K540" s="1"/>
      <c r="L540" s="1" t="s">
        <v>315</v>
      </c>
      <c r="M540" s="9"/>
      <c r="N540" s="14">
        <f>Tabela131617181920[[#This Row],[Valor_recibo]]</f>
        <v>0</v>
      </c>
      <c r="O540" s="16"/>
      <c r="P540" s="16"/>
      <c r="Q540" s="16"/>
      <c r="R540" s="16"/>
      <c r="S540" s="16"/>
      <c r="T540" s="9"/>
      <c r="U540" s="1" t="s">
        <v>315</v>
      </c>
      <c r="V540" s="11"/>
      <c r="W540" s="232"/>
      <c r="X540" s="304"/>
    </row>
    <row r="541" spans="1:24">
      <c r="A541" s="6"/>
      <c r="B541" s="7"/>
      <c r="C541" s="6"/>
      <c r="D541" s="6"/>
      <c r="E541" s="6"/>
      <c r="F541" s="1"/>
      <c r="G541" s="9"/>
      <c r="H541" s="9"/>
      <c r="I541" s="11"/>
      <c r="J541" s="1"/>
      <c r="K541" s="1"/>
      <c r="L541" s="1" t="s">
        <v>315</v>
      </c>
      <c r="M541" s="9"/>
      <c r="N541" s="14">
        <f>Tabela131617181920[[#This Row],[Valor_recibo]]</f>
        <v>0</v>
      </c>
      <c r="O541" s="16"/>
      <c r="P541" s="16"/>
      <c r="Q541" s="16"/>
      <c r="R541" s="16"/>
      <c r="S541" s="16"/>
      <c r="T541" s="9"/>
      <c r="U541" s="1" t="s">
        <v>315</v>
      </c>
      <c r="V541" s="11"/>
      <c r="W541" s="232"/>
      <c r="X541" s="304"/>
    </row>
    <row r="542" spans="1:24">
      <c r="A542" s="6"/>
      <c r="B542" s="7"/>
      <c r="C542" s="6"/>
      <c r="D542" s="6"/>
      <c r="E542" s="6"/>
      <c r="F542" s="1"/>
      <c r="G542" s="9"/>
      <c r="H542" s="9"/>
      <c r="I542" s="11"/>
      <c r="J542" s="1"/>
      <c r="K542" s="1"/>
      <c r="L542" s="1" t="s">
        <v>315</v>
      </c>
      <c r="M542" s="9"/>
      <c r="N542" s="14">
        <f>Tabela131617181920[[#This Row],[Valor_recibo]]</f>
        <v>0</v>
      </c>
      <c r="O542" s="16"/>
      <c r="P542" s="16"/>
      <c r="Q542" s="16"/>
      <c r="R542" s="16"/>
      <c r="S542" s="16"/>
      <c r="T542" s="9"/>
      <c r="U542" s="1" t="s">
        <v>315</v>
      </c>
      <c r="V542" s="11"/>
      <c r="W542" s="232"/>
      <c r="X542" s="304"/>
    </row>
    <row r="543" spans="1:24">
      <c r="A543" s="6"/>
      <c r="B543" s="7"/>
      <c r="C543" s="6"/>
      <c r="D543" s="6"/>
      <c r="E543" s="6"/>
      <c r="F543" s="1"/>
      <c r="G543" s="9"/>
      <c r="H543" s="9"/>
      <c r="I543" s="11"/>
      <c r="J543" s="1"/>
      <c r="K543" s="1"/>
      <c r="L543" s="1" t="s">
        <v>315</v>
      </c>
      <c r="M543" s="9"/>
      <c r="N543" s="14">
        <f>Tabela131617181920[[#This Row],[Valor_recibo]]</f>
        <v>0</v>
      </c>
      <c r="O543" s="16"/>
      <c r="P543" s="16"/>
      <c r="Q543" s="16"/>
      <c r="R543" s="16"/>
      <c r="S543" s="16"/>
      <c r="T543" s="9"/>
      <c r="U543" s="1" t="s">
        <v>315</v>
      </c>
      <c r="V543" s="11"/>
      <c r="W543" s="232"/>
      <c r="X543" s="304"/>
    </row>
    <row r="544" spans="1:24">
      <c r="A544" s="6"/>
      <c r="B544" s="7"/>
      <c r="C544" s="6"/>
      <c r="D544" s="6"/>
      <c r="E544" s="6"/>
      <c r="F544" s="1"/>
      <c r="G544" s="9"/>
      <c r="H544" s="9"/>
      <c r="I544" s="11"/>
      <c r="J544" s="1"/>
      <c r="K544" s="1"/>
      <c r="L544" s="1" t="s">
        <v>315</v>
      </c>
      <c r="M544" s="9"/>
      <c r="N544" s="14">
        <f>Tabela131617181920[[#This Row],[Valor_recibo]]</f>
        <v>0</v>
      </c>
      <c r="O544" s="16"/>
      <c r="P544" s="16"/>
      <c r="Q544" s="16"/>
      <c r="R544" s="16"/>
      <c r="S544" s="16"/>
      <c r="T544" s="9"/>
      <c r="U544" s="1" t="s">
        <v>315</v>
      </c>
      <c r="V544" s="11"/>
      <c r="W544" s="232"/>
      <c r="X544" s="304"/>
    </row>
    <row r="545" spans="1:24">
      <c r="A545" s="6"/>
      <c r="B545" s="7"/>
      <c r="C545" s="6"/>
      <c r="D545" s="6"/>
      <c r="E545" s="6"/>
      <c r="F545" s="1"/>
      <c r="G545" s="9"/>
      <c r="H545" s="9"/>
      <c r="I545" s="11"/>
      <c r="J545" s="1"/>
      <c r="K545" s="1"/>
      <c r="L545" s="1" t="s">
        <v>315</v>
      </c>
      <c r="M545" s="9"/>
      <c r="N545" s="14">
        <f>Tabela131617181920[[#This Row],[Valor_recibo]]</f>
        <v>0</v>
      </c>
      <c r="O545" s="16"/>
      <c r="P545" s="16"/>
      <c r="Q545" s="16"/>
      <c r="R545" s="16"/>
      <c r="S545" s="16"/>
      <c r="T545" s="9"/>
      <c r="U545" s="1" t="s">
        <v>315</v>
      </c>
      <c r="V545" s="11"/>
      <c r="W545" s="232"/>
      <c r="X545" s="304"/>
    </row>
    <row r="546" spans="1:24">
      <c r="A546" s="6"/>
      <c r="B546" s="7"/>
      <c r="C546" s="6"/>
      <c r="D546" s="6"/>
      <c r="E546" s="6"/>
      <c r="F546" s="1"/>
      <c r="G546" s="9"/>
      <c r="H546" s="9"/>
      <c r="I546" s="11"/>
      <c r="J546" s="1"/>
      <c r="K546" s="1"/>
      <c r="L546" s="1" t="s">
        <v>315</v>
      </c>
      <c r="M546" s="9"/>
      <c r="N546" s="14">
        <f>Tabela131617181920[[#This Row],[Valor_recibo]]</f>
        <v>0</v>
      </c>
      <c r="O546" s="16"/>
      <c r="P546" s="16"/>
      <c r="Q546" s="16"/>
      <c r="R546" s="16"/>
      <c r="S546" s="16"/>
      <c r="T546" s="9"/>
      <c r="U546" s="1" t="s">
        <v>315</v>
      </c>
      <c r="V546" s="11"/>
      <c r="W546" s="232"/>
      <c r="X546" s="304"/>
    </row>
    <row r="547" spans="1:24">
      <c r="A547" s="6"/>
      <c r="B547" s="7"/>
      <c r="C547" s="6"/>
      <c r="D547" s="6"/>
      <c r="E547" s="6"/>
      <c r="F547" s="1"/>
      <c r="G547" s="9"/>
      <c r="H547" s="9"/>
      <c r="I547" s="11"/>
      <c r="J547" s="1"/>
      <c r="K547" s="1"/>
      <c r="L547" s="1" t="s">
        <v>315</v>
      </c>
      <c r="M547" s="9"/>
      <c r="N547" s="14">
        <f>Tabela131617181920[[#This Row],[Valor_recibo]]</f>
        <v>0</v>
      </c>
      <c r="O547" s="16"/>
      <c r="P547" s="16"/>
      <c r="Q547" s="16"/>
      <c r="R547" s="16"/>
      <c r="S547" s="16"/>
      <c r="T547" s="9"/>
      <c r="U547" s="1" t="s">
        <v>315</v>
      </c>
      <c r="V547" s="11"/>
      <c r="W547" s="232"/>
      <c r="X547" s="304"/>
    </row>
    <row r="548" spans="1:24">
      <c r="A548" s="6"/>
      <c r="B548" s="7"/>
      <c r="C548" s="6"/>
      <c r="D548" s="6"/>
      <c r="E548" s="6"/>
      <c r="F548" s="1"/>
      <c r="G548" s="9"/>
      <c r="H548" s="9"/>
      <c r="I548" s="11"/>
      <c r="J548" s="1"/>
      <c r="K548" s="1"/>
      <c r="L548" s="1" t="s">
        <v>315</v>
      </c>
      <c r="M548" s="9"/>
      <c r="N548" s="14">
        <f>Tabela131617181920[[#This Row],[Valor_recibo]]</f>
        <v>0</v>
      </c>
      <c r="O548" s="16"/>
      <c r="P548" s="16"/>
      <c r="Q548" s="16"/>
      <c r="R548" s="16"/>
      <c r="S548" s="16"/>
      <c r="T548" s="9"/>
      <c r="U548" s="1" t="s">
        <v>315</v>
      </c>
      <c r="V548" s="11"/>
      <c r="W548" s="232"/>
      <c r="X548" s="304"/>
    </row>
    <row r="549" spans="1:24">
      <c r="A549" s="6"/>
      <c r="B549" s="7"/>
      <c r="C549" s="6"/>
      <c r="D549" s="6"/>
      <c r="E549" s="6"/>
      <c r="F549" s="1"/>
      <c r="G549" s="9"/>
      <c r="H549" s="9"/>
      <c r="I549" s="11"/>
      <c r="J549" s="1"/>
      <c r="K549" s="1"/>
      <c r="L549" s="1" t="s">
        <v>315</v>
      </c>
      <c r="M549" s="9"/>
      <c r="N549" s="14">
        <f>Tabela131617181920[[#This Row],[Valor_recibo]]</f>
        <v>0</v>
      </c>
      <c r="O549" s="16"/>
      <c r="P549" s="16"/>
      <c r="Q549" s="16"/>
      <c r="R549" s="16"/>
      <c r="S549" s="16"/>
      <c r="T549" s="9"/>
      <c r="U549" s="1" t="s">
        <v>315</v>
      </c>
      <c r="V549" s="11"/>
      <c r="W549" s="232"/>
      <c r="X549" s="304"/>
    </row>
    <row r="550" spans="1:24">
      <c r="A550" s="6"/>
      <c r="B550" s="7"/>
      <c r="C550" s="6"/>
      <c r="D550" s="6"/>
      <c r="E550" s="6"/>
      <c r="F550" s="1"/>
      <c r="G550" s="9"/>
      <c r="H550" s="9"/>
      <c r="I550" s="11"/>
      <c r="J550" s="1"/>
      <c r="K550" s="1"/>
      <c r="L550" s="1" t="s">
        <v>315</v>
      </c>
      <c r="M550" s="9"/>
      <c r="N550" s="14">
        <f>Tabela131617181920[[#This Row],[Valor_recibo]]</f>
        <v>0</v>
      </c>
      <c r="O550" s="16"/>
      <c r="P550" s="16"/>
      <c r="Q550" s="16"/>
      <c r="R550" s="16"/>
      <c r="S550" s="16"/>
      <c r="T550" s="9"/>
      <c r="U550" s="1" t="s">
        <v>315</v>
      </c>
      <c r="V550" s="11"/>
      <c r="W550" s="232"/>
      <c r="X550" s="304"/>
    </row>
    <row r="551" spans="1:24">
      <c r="A551" s="1"/>
      <c r="B551" s="7"/>
      <c r="C551" s="6"/>
      <c r="D551" s="6"/>
      <c r="E551" s="6"/>
      <c r="F551" s="1"/>
      <c r="G551" s="9"/>
      <c r="H551" s="9"/>
      <c r="I551" s="11"/>
      <c r="J551" s="1"/>
      <c r="K551" s="1"/>
      <c r="L551" s="1" t="s">
        <v>315</v>
      </c>
      <c r="M551" s="9"/>
      <c r="N551" s="14">
        <f>Tabela131617181920[[#This Row],[Valor_recibo]]</f>
        <v>0</v>
      </c>
      <c r="O551" s="16"/>
      <c r="P551" s="16"/>
      <c r="Q551" s="16"/>
      <c r="R551" s="16"/>
      <c r="S551" s="16"/>
      <c r="T551" s="9"/>
      <c r="U551" s="1" t="s">
        <v>315</v>
      </c>
      <c r="V551" s="11"/>
      <c r="W551" s="232"/>
      <c r="X551" s="304"/>
    </row>
    <row r="552" spans="1:24">
      <c r="A552" s="1"/>
      <c r="B552" s="7"/>
      <c r="C552" s="6"/>
      <c r="D552" s="6"/>
      <c r="E552" s="6"/>
      <c r="F552" s="1"/>
      <c r="G552" s="9"/>
      <c r="H552" s="9"/>
      <c r="I552" s="11"/>
      <c r="J552" s="1"/>
      <c r="K552" s="1"/>
      <c r="L552" s="1" t="s">
        <v>315</v>
      </c>
      <c r="M552" s="9"/>
      <c r="N552" s="14">
        <f>Tabela131617181920[[#This Row],[Valor_recibo]]</f>
        <v>0</v>
      </c>
      <c r="O552" s="16"/>
      <c r="P552" s="16"/>
      <c r="Q552" s="16"/>
      <c r="R552" s="16"/>
      <c r="S552" s="16"/>
      <c r="T552" s="9"/>
      <c r="U552" s="1" t="s">
        <v>315</v>
      </c>
      <c r="V552" s="11"/>
      <c r="W552" s="232"/>
      <c r="X552" s="304"/>
    </row>
    <row r="553" spans="1:24">
      <c r="A553" s="1"/>
      <c r="B553" s="7"/>
      <c r="C553" s="6"/>
      <c r="D553" s="6"/>
      <c r="E553" s="6"/>
      <c r="F553" s="1"/>
      <c r="G553" s="9"/>
      <c r="H553" s="9"/>
      <c r="I553" s="11"/>
      <c r="J553" s="1"/>
      <c r="K553" s="1"/>
      <c r="L553" s="1" t="s">
        <v>315</v>
      </c>
      <c r="M553" s="9"/>
      <c r="N553" s="14">
        <f>Tabela131617181920[[#This Row],[Valor_recibo]]</f>
        <v>0</v>
      </c>
      <c r="O553" s="16"/>
      <c r="P553" s="16"/>
      <c r="Q553" s="16"/>
      <c r="R553" s="16"/>
      <c r="S553" s="16"/>
      <c r="T553" s="9"/>
      <c r="U553" s="1" t="s">
        <v>315</v>
      </c>
      <c r="V553" s="11"/>
      <c r="W553" s="232"/>
      <c r="X553" s="304"/>
    </row>
    <row r="554" spans="1:24">
      <c r="A554" s="1"/>
      <c r="B554" s="7"/>
      <c r="C554" s="6"/>
      <c r="D554" s="6"/>
      <c r="E554" s="6"/>
      <c r="F554" s="1"/>
      <c r="G554" s="9"/>
      <c r="H554" s="9"/>
      <c r="I554" s="11"/>
      <c r="J554" s="1"/>
      <c r="K554" s="1"/>
      <c r="L554" s="1" t="s">
        <v>315</v>
      </c>
      <c r="M554" s="9"/>
      <c r="N554" s="14">
        <f>Tabela131617181920[[#This Row],[Valor_recibo]]</f>
        <v>0</v>
      </c>
      <c r="O554" s="16"/>
      <c r="P554" s="16"/>
      <c r="Q554" s="16"/>
      <c r="R554" s="16"/>
      <c r="S554" s="16"/>
      <c r="T554" s="9"/>
      <c r="U554" s="1" t="s">
        <v>315</v>
      </c>
      <c r="V554" s="11"/>
      <c r="W554" s="232"/>
      <c r="X554" s="304"/>
    </row>
    <row r="555" spans="1:24">
      <c r="A555" s="1"/>
      <c r="B555" s="7"/>
      <c r="C555" s="6"/>
      <c r="D555" s="6"/>
      <c r="E555" s="6"/>
      <c r="F555" s="1"/>
      <c r="G555" s="9"/>
      <c r="H555" s="9"/>
      <c r="I555" s="11"/>
      <c r="J555" s="1"/>
      <c r="K555" s="1"/>
      <c r="L555" s="1" t="s">
        <v>315</v>
      </c>
      <c r="M555" s="9"/>
      <c r="N555" s="14">
        <f>Tabela131617181920[[#This Row],[Valor_recibo]]</f>
        <v>0</v>
      </c>
      <c r="O555" s="16"/>
      <c r="P555" s="16"/>
      <c r="Q555" s="16"/>
      <c r="R555" s="16"/>
      <c r="S555" s="16"/>
      <c r="T555" s="9"/>
      <c r="U555" s="1" t="s">
        <v>315</v>
      </c>
      <c r="V555" s="11"/>
      <c r="W555" s="232"/>
      <c r="X555" s="304"/>
    </row>
    <row r="556" spans="1:24">
      <c r="A556" s="1"/>
      <c r="B556" s="7"/>
      <c r="C556" s="6"/>
      <c r="D556" s="6"/>
      <c r="E556" s="6"/>
      <c r="F556" s="1"/>
      <c r="G556" s="9"/>
      <c r="H556" s="9"/>
      <c r="I556" s="11"/>
      <c r="J556" s="1"/>
      <c r="K556" s="1"/>
      <c r="L556" s="1" t="s">
        <v>315</v>
      </c>
      <c r="M556" s="9"/>
      <c r="N556" s="14">
        <f>Tabela131617181920[[#This Row],[Valor_recibo]]</f>
        <v>0</v>
      </c>
      <c r="O556" s="16"/>
      <c r="P556" s="16"/>
      <c r="Q556" s="16"/>
      <c r="R556" s="16"/>
      <c r="S556" s="16"/>
      <c r="T556" s="9"/>
      <c r="U556" s="1" t="s">
        <v>315</v>
      </c>
      <c r="V556" s="11"/>
      <c r="W556" s="232"/>
      <c r="X556" s="304"/>
    </row>
    <row r="557" spans="1:24">
      <c r="A557" s="1"/>
      <c r="B557" s="7"/>
      <c r="C557" s="6"/>
      <c r="D557" s="6"/>
      <c r="E557" s="6"/>
      <c r="F557" s="1"/>
      <c r="G557" s="9"/>
      <c r="H557" s="9"/>
      <c r="I557" s="11"/>
      <c r="J557" s="1"/>
      <c r="K557" s="1"/>
      <c r="L557" s="1" t="s">
        <v>315</v>
      </c>
      <c r="M557" s="9"/>
      <c r="N557" s="14">
        <f>Tabela131617181920[[#This Row],[Valor_recibo]]</f>
        <v>0</v>
      </c>
      <c r="O557" s="16"/>
      <c r="P557" s="16"/>
      <c r="Q557" s="16"/>
      <c r="R557" s="16"/>
      <c r="S557" s="16"/>
      <c r="T557" s="9"/>
      <c r="U557" s="1" t="s">
        <v>315</v>
      </c>
      <c r="V557" s="11"/>
      <c r="W557" s="232"/>
      <c r="X557" s="304"/>
    </row>
    <row r="558" spans="1:24">
      <c r="A558" s="1"/>
      <c r="B558" s="7"/>
      <c r="C558" s="59"/>
      <c r="D558" s="6"/>
      <c r="E558" s="6"/>
      <c r="F558" s="1"/>
      <c r="G558" s="9"/>
      <c r="H558" s="9"/>
      <c r="I558" s="11"/>
      <c r="J558" s="1"/>
      <c r="K558" s="1"/>
      <c r="L558" s="1" t="s">
        <v>315</v>
      </c>
      <c r="M558" s="9"/>
      <c r="N558" s="14">
        <f>Tabela131617181920[[#This Row],[Valor_recibo]]</f>
        <v>0</v>
      </c>
      <c r="O558" s="16"/>
      <c r="P558" s="16"/>
      <c r="Q558" s="16"/>
      <c r="R558" s="16"/>
      <c r="S558" s="16"/>
      <c r="T558" s="9"/>
      <c r="U558" s="1" t="s">
        <v>315</v>
      </c>
      <c r="V558" s="11"/>
      <c r="W558" s="232"/>
      <c r="X558" s="304"/>
    </row>
    <row r="559" spans="1:24">
      <c r="A559" s="63"/>
      <c r="B559" s="9"/>
      <c r="D559" s="1"/>
      <c r="F559" s="1"/>
      <c r="G559" s="9"/>
      <c r="H559" s="9"/>
      <c r="I559" s="11"/>
      <c r="J559" s="1"/>
      <c r="K559" s="1"/>
      <c r="L559" s="1" t="s">
        <v>315</v>
      </c>
      <c r="M559" s="9"/>
      <c r="N559" s="14">
        <f>Tabela131617181920[[#This Row],[Valor_recibo]]</f>
        <v>0</v>
      </c>
      <c r="O559" s="16"/>
      <c r="P559" s="16"/>
      <c r="Q559" s="16"/>
      <c r="R559" s="16"/>
      <c r="S559" s="16"/>
      <c r="T559" s="9"/>
      <c r="U559" s="1" t="s">
        <v>315</v>
      </c>
      <c r="V559" s="11"/>
      <c r="W559" s="232"/>
      <c r="X559" s="304"/>
    </row>
    <row r="560" spans="1:24">
      <c r="A560" s="1"/>
      <c r="B560" s="7"/>
      <c r="C560" s="59"/>
      <c r="D560" s="6"/>
      <c r="E560" s="64"/>
      <c r="F560" s="1"/>
      <c r="G560" s="9"/>
      <c r="H560" s="9"/>
      <c r="I560" s="11"/>
      <c r="J560" s="1"/>
      <c r="K560" s="1"/>
      <c r="L560" s="1" t="s">
        <v>315</v>
      </c>
      <c r="M560" s="9"/>
      <c r="N560" s="14">
        <f>Tabela131617181920[[#This Row],[Valor_recibo]]</f>
        <v>0</v>
      </c>
      <c r="O560" s="16"/>
      <c r="P560" s="16"/>
      <c r="Q560" s="16"/>
      <c r="R560" s="16"/>
      <c r="S560" s="16"/>
      <c r="T560" s="9"/>
      <c r="U560" s="1" t="s">
        <v>315</v>
      </c>
      <c r="V560" s="11"/>
      <c r="W560" s="232"/>
      <c r="X560" s="304"/>
    </row>
    <row r="561" spans="1:24">
      <c r="A561" s="1"/>
      <c r="B561" s="7"/>
      <c r="C561" s="59"/>
      <c r="D561" s="6"/>
      <c r="E561" s="6"/>
      <c r="F561" s="1"/>
      <c r="G561" s="9"/>
      <c r="H561" s="9"/>
      <c r="I561" s="11"/>
      <c r="J561" s="1"/>
      <c r="K561" s="1"/>
      <c r="L561" s="1" t="s">
        <v>315</v>
      </c>
      <c r="M561" s="9"/>
      <c r="N561" s="14">
        <f>Tabela131617181920[[#This Row],[Valor_recibo]]</f>
        <v>0</v>
      </c>
      <c r="O561" s="16"/>
      <c r="P561" s="16"/>
      <c r="Q561" s="16"/>
      <c r="R561" s="16"/>
      <c r="S561" s="16"/>
      <c r="T561" s="9"/>
      <c r="U561" s="1" t="s">
        <v>315</v>
      </c>
      <c r="V561" s="11"/>
      <c r="W561" s="232"/>
      <c r="X561" s="304"/>
    </row>
    <row r="562" spans="1:24">
      <c r="A562" s="65"/>
      <c r="B562" s="9"/>
      <c r="D562" s="1"/>
      <c r="F562" s="1"/>
      <c r="G562" s="9"/>
      <c r="H562" s="9"/>
      <c r="I562" s="11"/>
      <c r="J562" s="1"/>
      <c r="K562" s="1"/>
      <c r="L562" s="1" t="s">
        <v>315</v>
      </c>
      <c r="M562" s="9"/>
      <c r="N562" s="14">
        <f>Tabela131617181920[[#This Row],[Valor_recibo]]</f>
        <v>0</v>
      </c>
      <c r="O562" s="16"/>
      <c r="P562" s="16"/>
      <c r="Q562" s="16"/>
      <c r="R562" s="16"/>
      <c r="S562" s="16"/>
      <c r="T562" s="9"/>
      <c r="U562" s="1" t="s">
        <v>315</v>
      </c>
      <c r="V562" s="11"/>
      <c r="W562" s="232"/>
      <c r="X562" s="304"/>
    </row>
    <row r="563" spans="1:24">
      <c r="A563" s="1"/>
      <c r="B563" s="7"/>
      <c r="C563" s="59"/>
      <c r="D563" s="6"/>
      <c r="E563" s="6"/>
      <c r="F563" s="1"/>
      <c r="G563" s="9"/>
      <c r="H563" s="9"/>
      <c r="I563" s="11"/>
      <c r="J563" s="1"/>
      <c r="K563" s="1"/>
      <c r="L563" s="1" t="s">
        <v>315</v>
      </c>
      <c r="M563" s="9"/>
      <c r="N563" s="14">
        <f>Tabela131617181920[[#This Row],[Valor_recibo]]</f>
        <v>0</v>
      </c>
      <c r="O563" s="16"/>
      <c r="P563" s="16"/>
      <c r="Q563" s="16"/>
      <c r="R563" s="16"/>
      <c r="S563" s="16"/>
      <c r="T563" s="9"/>
      <c r="U563" s="1" t="s">
        <v>315</v>
      </c>
      <c r="V563" s="11"/>
      <c r="W563" s="232"/>
      <c r="X563" s="304"/>
    </row>
    <row r="564" spans="1:24">
      <c r="A564" s="1"/>
      <c r="B564" s="7"/>
      <c r="C564" s="59"/>
      <c r="D564" s="59"/>
      <c r="E564" s="6"/>
      <c r="F564" s="1"/>
      <c r="G564" s="9"/>
      <c r="H564" s="9"/>
      <c r="I564" s="11"/>
      <c r="J564" s="1"/>
      <c r="K564" s="1"/>
      <c r="L564" s="1" t="s">
        <v>315</v>
      </c>
      <c r="M564" s="9"/>
      <c r="N564" s="14">
        <f>Tabela131617181920[[#This Row],[Valor_recibo]]</f>
        <v>0</v>
      </c>
      <c r="O564" s="16"/>
      <c r="P564" s="16"/>
      <c r="Q564" s="16"/>
      <c r="R564" s="16"/>
      <c r="S564" s="16"/>
      <c r="T564" s="9"/>
      <c r="U564" s="1" t="s">
        <v>315</v>
      </c>
      <c r="V564" s="11"/>
      <c r="W564" s="232"/>
      <c r="X564" s="304"/>
    </row>
    <row r="565" spans="1:24">
      <c r="A565" s="1"/>
      <c r="B565" s="7"/>
      <c r="C565" s="59"/>
      <c r="D565" s="6"/>
      <c r="E565" s="6"/>
      <c r="F565" s="1"/>
      <c r="G565" s="9"/>
      <c r="H565" s="9"/>
      <c r="I565" s="11"/>
      <c r="J565" s="1"/>
      <c r="K565" s="1"/>
      <c r="L565" s="1" t="s">
        <v>315</v>
      </c>
      <c r="M565" s="9"/>
      <c r="N565" s="14">
        <f>Tabela131617181920[[#This Row],[Valor_recibo]]</f>
        <v>0</v>
      </c>
      <c r="O565" s="16"/>
      <c r="P565" s="16"/>
      <c r="Q565" s="16"/>
      <c r="R565" s="16"/>
      <c r="S565" s="16"/>
      <c r="T565" s="9"/>
      <c r="U565" s="1" t="s">
        <v>315</v>
      </c>
      <c r="V565" s="11"/>
      <c r="W565" s="232"/>
      <c r="X565" s="304"/>
    </row>
    <row r="566" spans="1:24">
      <c r="A566" s="1"/>
      <c r="B566" s="7"/>
      <c r="C566" s="59"/>
      <c r="D566" s="6"/>
      <c r="E566" s="6"/>
      <c r="F566" s="1"/>
      <c r="G566" s="9"/>
      <c r="H566" s="9"/>
      <c r="I566" s="11"/>
      <c r="J566" s="1"/>
      <c r="K566" s="1"/>
      <c r="L566" s="1" t="s">
        <v>315</v>
      </c>
      <c r="M566" s="9"/>
      <c r="N566" s="14">
        <f>Tabela131617181920[[#This Row],[Valor_recibo]]</f>
        <v>0</v>
      </c>
      <c r="O566" s="16"/>
      <c r="P566" s="16"/>
      <c r="Q566" s="16"/>
      <c r="R566" s="16"/>
      <c r="S566" s="16"/>
      <c r="T566" s="9"/>
      <c r="U566" s="1" t="s">
        <v>315</v>
      </c>
      <c r="V566" s="11"/>
      <c r="W566" s="232"/>
      <c r="X566" s="304"/>
    </row>
    <row r="567" spans="1:24">
      <c r="A567" s="1"/>
      <c r="B567" s="7"/>
      <c r="C567" s="59"/>
      <c r="D567" s="59"/>
      <c r="E567" s="59"/>
      <c r="F567" s="1"/>
      <c r="G567" s="9"/>
      <c r="H567" s="9"/>
      <c r="I567" s="11"/>
      <c r="J567" s="1"/>
      <c r="K567" s="1"/>
      <c r="L567" s="1" t="s">
        <v>315</v>
      </c>
      <c r="M567" s="9"/>
      <c r="N567" s="14">
        <f>Tabela131617181920[[#This Row],[Valor_recibo]]</f>
        <v>0</v>
      </c>
      <c r="O567" s="16"/>
      <c r="P567" s="16"/>
      <c r="Q567" s="16"/>
      <c r="R567" s="16"/>
      <c r="S567" s="16"/>
      <c r="T567" s="9"/>
      <c r="U567" s="1" t="s">
        <v>315</v>
      </c>
      <c r="V567" s="11"/>
      <c r="W567" s="232"/>
      <c r="X567" s="304"/>
    </row>
    <row r="568" spans="1:24">
      <c r="A568" s="1"/>
      <c r="B568" s="7"/>
      <c r="C568" s="59"/>
      <c r="D568" s="6"/>
      <c r="E568" s="6"/>
      <c r="F568" s="1"/>
      <c r="G568" s="9"/>
      <c r="H568" s="9"/>
      <c r="I568" s="11"/>
      <c r="J568" s="1"/>
      <c r="K568" s="1"/>
      <c r="L568" s="1" t="s">
        <v>315</v>
      </c>
      <c r="M568" s="9"/>
      <c r="N568" s="14">
        <f>Tabela131617181920[[#This Row],[Valor_recibo]]</f>
        <v>0</v>
      </c>
      <c r="O568" s="16"/>
      <c r="P568" s="16"/>
      <c r="Q568" s="16"/>
      <c r="R568" s="16"/>
      <c r="S568" s="16"/>
      <c r="T568" s="9"/>
      <c r="U568" s="1" t="s">
        <v>315</v>
      </c>
      <c r="V568" s="11"/>
      <c r="W568" s="232"/>
      <c r="X568" s="304"/>
    </row>
    <row r="569" spans="1:24">
      <c r="A569" s="1"/>
      <c r="B569" s="7"/>
      <c r="C569" s="59"/>
      <c r="D569" s="6"/>
      <c r="E569" s="6"/>
      <c r="F569" s="1"/>
      <c r="G569" s="9"/>
      <c r="H569" s="9"/>
      <c r="I569" s="11"/>
      <c r="J569" s="1"/>
      <c r="K569" s="1"/>
      <c r="L569" s="1" t="s">
        <v>315</v>
      </c>
      <c r="M569" s="9"/>
      <c r="N569" s="14">
        <f>Tabela131617181920[[#This Row],[Valor_recibo]]</f>
        <v>0</v>
      </c>
      <c r="O569" s="16"/>
      <c r="P569" s="16"/>
      <c r="Q569" s="16"/>
      <c r="R569" s="16"/>
      <c r="S569" s="16"/>
      <c r="T569" s="9"/>
      <c r="U569" s="1" t="s">
        <v>315</v>
      </c>
      <c r="V569" s="11"/>
      <c r="W569" s="232"/>
      <c r="X569" s="304"/>
    </row>
    <row r="570" spans="1:24">
      <c r="A570" s="1"/>
      <c r="B570" s="7"/>
      <c r="C570" s="59"/>
      <c r="D570" s="59"/>
      <c r="E570" s="6"/>
      <c r="F570" s="1"/>
      <c r="G570" s="9"/>
      <c r="H570" s="9"/>
      <c r="I570" s="11"/>
      <c r="J570" s="1"/>
      <c r="K570" s="1"/>
      <c r="L570" s="1" t="s">
        <v>315</v>
      </c>
      <c r="M570" s="9"/>
      <c r="N570" s="14">
        <f>Tabela131617181920[[#This Row],[Valor_recibo]]</f>
        <v>0</v>
      </c>
      <c r="O570" s="16"/>
      <c r="P570" s="16"/>
      <c r="Q570" s="16"/>
      <c r="R570" s="16"/>
      <c r="S570" s="16"/>
      <c r="T570" s="9"/>
      <c r="U570" s="1" t="s">
        <v>315</v>
      </c>
      <c r="V570" s="11"/>
      <c r="W570" s="232"/>
      <c r="X570" s="304"/>
    </row>
    <row r="571" spans="1:24">
      <c r="A571" s="1"/>
      <c r="B571" s="7"/>
      <c r="C571" s="59"/>
      <c r="D571" s="6"/>
      <c r="E571" s="6"/>
      <c r="F571" s="1"/>
      <c r="G571" s="9"/>
      <c r="H571" s="9"/>
      <c r="I571" s="11"/>
      <c r="J571" s="1"/>
      <c r="K571" s="1"/>
      <c r="L571" s="1" t="s">
        <v>315</v>
      </c>
      <c r="M571" s="9"/>
      <c r="N571" s="14">
        <f>Tabela131617181920[[#This Row],[Valor_recibo]]</f>
        <v>0</v>
      </c>
      <c r="O571" s="16"/>
      <c r="P571" s="16"/>
      <c r="Q571" s="16"/>
      <c r="R571" s="16"/>
      <c r="S571" s="16"/>
      <c r="T571" s="9"/>
      <c r="U571" s="1" t="s">
        <v>315</v>
      </c>
      <c r="V571" s="11"/>
      <c r="W571" s="232"/>
      <c r="X571" s="304"/>
    </row>
    <row r="572" spans="1:24">
      <c r="A572" s="1"/>
      <c r="B572" s="7"/>
      <c r="C572" s="59"/>
      <c r="D572" s="59"/>
      <c r="E572" s="59"/>
      <c r="F572" s="1"/>
      <c r="G572" s="9"/>
      <c r="H572" s="9"/>
      <c r="I572" s="11"/>
      <c r="J572" s="1"/>
      <c r="K572" s="1"/>
      <c r="L572" s="1" t="s">
        <v>315</v>
      </c>
      <c r="M572" s="9"/>
      <c r="N572" s="14">
        <f>Tabela131617181920[[#This Row],[Valor_recibo]]</f>
        <v>0</v>
      </c>
      <c r="O572" s="16"/>
      <c r="P572" s="16"/>
      <c r="Q572" s="16"/>
      <c r="R572" s="16"/>
      <c r="S572" s="16"/>
      <c r="T572" s="9"/>
      <c r="U572" s="1" t="s">
        <v>315</v>
      </c>
      <c r="V572" s="11"/>
      <c r="W572" s="232"/>
      <c r="X572" s="304"/>
    </row>
    <row r="573" spans="1:24">
      <c r="A573" s="1"/>
      <c r="B573" s="7"/>
      <c r="C573" s="139"/>
      <c r="D573" s="6"/>
      <c r="E573" s="59"/>
      <c r="F573" s="1"/>
      <c r="G573" s="9"/>
      <c r="H573" s="9"/>
      <c r="I573" s="11"/>
      <c r="J573" s="1"/>
      <c r="K573" s="1"/>
      <c r="L573" s="1" t="s">
        <v>315</v>
      </c>
      <c r="M573" s="9"/>
      <c r="N573" s="14">
        <f>Tabela131617181920[[#This Row],[Valor_recibo]]</f>
        <v>0</v>
      </c>
      <c r="O573" s="16"/>
      <c r="P573" s="16"/>
      <c r="Q573" s="16"/>
      <c r="R573" s="16"/>
      <c r="S573" s="16"/>
      <c r="T573" s="9"/>
      <c r="U573" s="1" t="s">
        <v>315</v>
      </c>
      <c r="V573" s="11"/>
      <c r="W573" s="232"/>
      <c r="X573" s="304"/>
    </row>
    <row r="574" spans="1:24">
      <c r="A574" s="1"/>
      <c r="B574" s="7"/>
      <c r="C574" s="59"/>
      <c r="D574" s="59"/>
      <c r="E574" s="59"/>
      <c r="F574" s="1"/>
      <c r="G574" s="9"/>
      <c r="H574" s="9"/>
      <c r="I574" s="11"/>
      <c r="J574" s="1"/>
      <c r="K574" s="1"/>
      <c r="L574" s="1" t="s">
        <v>315</v>
      </c>
      <c r="M574" s="9"/>
      <c r="N574" s="14">
        <f>Tabela131617181920[[#This Row],[Valor_recibo]]</f>
        <v>0</v>
      </c>
      <c r="O574" s="16"/>
      <c r="P574" s="16"/>
      <c r="Q574" s="16"/>
      <c r="R574" s="16"/>
      <c r="S574" s="16"/>
      <c r="T574" s="9"/>
      <c r="U574" s="1" t="s">
        <v>315</v>
      </c>
      <c r="V574" s="11"/>
      <c r="W574" s="232"/>
      <c r="X574" s="304"/>
    </row>
    <row r="575" spans="1:24">
      <c r="A575" s="1"/>
      <c r="B575" s="7"/>
      <c r="C575" s="59"/>
      <c r="D575" s="59"/>
      <c r="E575" s="59"/>
      <c r="F575" s="1"/>
      <c r="G575" s="9"/>
      <c r="H575" s="9"/>
      <c r="I575" s="11"/>
      <c r="J575" s="1"/>
      <c r="K575" s="1"/>
      <c r="L575" s="1" t="s">
        <v>315</v>
      </c>
      <c r="M575" s="9"/>
      <c r="N575" s="14">
        <f>Tabela131617181920[[#This Row],[Valor_recibo]]</f>
        <v>0</v>
      </c>
      <c r="O575" s="16"/>
      <c r="P575" s="16"/>
      <c r="Q575" s="16"/>
      <c r="R575" s="16"/>
      <c r="S575" s="16"/>
      <c r="T575" s="9"/>
      <c r="U575" s="1" t="s">
        <v>315</v>
      </c>
      <c r="V575" s="11"/>
      <c r="W575" s="232"/>
      <c r="X575" s="304"/>
    </row>
    <row r="576" spans="1:24">
      <c r="A576" s="1"/>
      <c r="B576" s="7"/>
      <c r="C576" s="59"/>
      <c r="D576" s="59"/>
      <c r="E576" s="59"/>
      <c r="F576" s="1"/>
      <c r="G576" s="9"/>
      <c r="H576" s="9"/>
      <c r="I576" s="11"/>
      <c r="J576" s="1"/>
      <c r="K576" s="1"/>
      <c r="L576" s="1" t="s">
        <v>315</v>
      </c>
      <c r="M576" s="9"/>
      <c r="N576" s="14">
        <f>Tabela131617181920[[#This Row],[Valor_recibo]]</f>
        <v>0</v>
      </c>
      <c r="O576" s="16"/>
      <c r="P576" s="16"/>
      <c r="Q576" s="16"/>
      <c r="R576" s="16"/>
      <c r="S576" s="16"/>
      <c r="T576" s="9"/>
      <c r="U576" s="1" t="s">
        <v>315</v>
      </c>
      <c r="V576" s="11"/>
      <c r="W576" s="232"/>
      <c r="X576" s="304"/>
    </row>
    <row r="577" spans="2:64">
      <c r="P577" s="1"/>
      <c r="W577" s="232"/>
      <c r="X577" s="304"/>
    </row>
    <row r="578" spans="2:64">
      <c r="B578" s="262"/>
      <c r="P578" s="1"/>
      <c r="W578" s="230"/>
      <c r="X578" s="304"/>
    </row>
    <row r="579" spans="2:64" ht="15" customHeight="1">
      <c r="P579" s="1"/>
      <c r="W579" s="230"/>
      <c r="X579" s="304"/>
    </row>
    <row r="580" spans="2:64" ht="15" customHeight="1">
      <c r="B580" s="262"/>
      <c r="C580" s="262"/>
      <c r="P580" s="1"/>
      <c r="W580" s="230"/>
      <c r="X580" s="304"/>
    </row>
    <row r="581" spans="2:64" ht="15" customHeight="1">
      <c r="P581" s="1"/>
      <c r="W581" s="230"/>
      <c r="X581" s="304"/>
    </row>
    <row r="582" spans="2:64" ht="15" customHeight="1">
      <c r="J582" t="s">
        <v>527</v>
      </c>
      <c r="P582" s="1"/>
      <c r="W582" s="230"/>
      <c r="X582" s="304"/>
    </row>
    <row r="583" spans="2:64" ht="15" customHeight="1">
      <c r="P583" s="1"/>
      <c r="W583" s="230"/>
      <c r="X583" s="304"/>
    </row>
    <row r="584" spans="2:64" ht="15" customHeight="1">
      <c r="W584" s="230"/>
      <c r="X584" s="304"/>
      <c r="BL584" t="s">
        <v>528</v>
      </c>
    </row>
    <row r="585" spans="2:64" ht="15" customHeight="1">
      <c r="X585" s="304"/>
    </row>
    <row r="586" spans="2:64" ht="15" customHeight="1">
      <c r="X586" s="304"/>
    </row>
    <row r="587" spans="2:64" ht="15" customHeight="1">
      <c r="X587" s="304"/>
    </row>
    <row r="588" spans="2:64" ht="15" customHeight="1">
      <c r="X588" s="304"/>
    </row>
    <row r="589" spans="2:64" ht="15" customHeight="1">
      <c r="X589" s="304"/>
    </row>
    <row r="590" spans="2:64" ht="15" customHeight="1">
      <c r="X590" s="304"/>
    </row>
    <row r="591" spans="2:64" ht="15" customHeight="1">
      <c r="X591" s="304"/>
    </row>
    <row r="592" spans="2:64" ht="15" customHeight="1">
      <c r="X592" s="304"/>
    </row>
    <row r="593" spans="24:24" ht="15" customHeight="1">
      <c r="X593" s="304"/>
    </row>
    <row r="594" spans="24:24" ht="15" customHeight="1">
      <c r="X594" s="304"/>
    </row>
    <row r="595" spans="24:24" ht="15" customHeight="1">
      <c r="X595" s="304"/>
    </row>
    <row r="596" spans="24:24" ht="15" customHeight="1">
      <c r="X596" s="304"/>
    </row>
  </sheetData>
  <protectedRanges>
    <protectedRange sqref="E128:E144" name="Range3"/>
    <protectedRange sqref="A3" name="Range2"/>
  </protectedRanges>
  <autoFilter ref="W2" xr:uid="{5608C59C-1D94-4074-A792-35B31458FFA3}"/>
  <conditionalFormatting sqref="A11">
    <cfRule type="duplicateValues" dxfId="93" priority="69"/>
  </conditionalFormatting>
  <conditionalFormatting sqref="A12">
    <cfRule type="duplicateValues" dxfId="92" priority="65"/>
  </conditionalFormatting>
  <conditionalFormatting sqref="A13">
    <cfRule type="duplicateValues" dxfId="91" priority="61"/>
  </conditionalFormatting>
  <conditionalFormatting sqref="A14">
    <cfRule type="duplicateValues" dxfId="90" priority="57"/>
  </conditionalFormatting>
  <conditionalFormatting sqref="A15">
    <cfRule type="duplicateValues" dxfId="89" priority="53"/>
  </conditionalFormatting>
  <conditionalFormatting sqref="A16">
    <cfRule type="duplicateValues" dxfId="88" priority="129"/>
  </conditionalFormatting>
  <conditionalFormatting sqref="A17">
    <cfRule type="duplicateValues" dxfId="87" priority="125"/>
  </conditionalFormatting>
  <conditionalFormatting sqref="A18">
    <cfRule type="duplicateValues" dxfId="86" priority="121"/>
  </conditionalFormatting>
  <conditionalFormatting sqref="A19">
    <cfRule type="duplicateValues" dxfId="85" priority="117"/>
  </conditionalFormatting>
  <conditionalFormatting sqref="A20">
    <cfRule type="duplicateValues" dxfId="84" priority="113"/>
  </conditionalFormatting>
  <conditionalFormatting sqref="A21">
    <cfRule type="duplicateValues" dxfId="83" priority="109"/>
  </conditionalFormatting>
  <conditionalFormatting sqref="A22">
    <cfRule type="duplicateValues" dxfId="82" priority="105"/>
  </conditionalFormatting>
  <conditionalFormatting sqref="A24">
    <cfRule type="duplicateValues" dxfId="81" priority="167"/>
  </conditionalFormatting>
  <conditionalFormatting sqref="A25">
    <cfRule type="duplicateValues" dxfId="80" priority="164"/>
  </conditionalFormatting>
  <conditionalFormatting sqref="A26">
    <cfRule type="duplicateValues" dxfId="79" priority="161"/>
  </conditionalFormatting>
  <conditionalFormatting sqref="A32">
    <cfRule type="duplicateValues" dxfId="78" priority="49"/>
  </conditionalFormatting>
  <conditionalFormatting sqref="A33">
    <cfRule type="duplicateValues" dxfId="77" priority="45"/>
  </conditionalFormatting>
  <conditionalFormatting sqref="A34">
    <cfRule type="duplicateValues" dxfId="76" priority="41"/>
  </conditionalFormatting>
  <conditionalFormatting sqref="A35">
    <cfRule type="duplicateValues" dxfId="75" priority="37"/>
  </conditionalFormatting>
  <conditionalFormatting sqref="A36">
    <cfRule type="duplicateValues" dxfId="74" priority="33"/>
  </conditionalFormatting>
  <conditionalFormatting sqref="A56">
    <cfRule type="duplicateValues" dxfId="73" priority="158"/>
  </conditionalFormatting>
  <conditionalFormatting sqref="A57">
    <cfRule type="duplicateValues" dxfId="72" priority="155"/>
  </conditionalFormatting>
  <conditionalFormatting sqref="A58">
    <cfRule type="duplicateValues" dxfId="71" priority="99"/>
  </conditionalFormatting>
  <conditionalFormatting sqref="A63">
    <cfRule type="duplicateValues" dxfId="70" priority="95"/>
  </conditionalFormatting>
  <conditionalFormatting sqref="A64">
    <cfRule type="duplicateValues" dxfId="69" priority="91"/>
  </conditionalFormatting>
  <conditionalFormatting sqref="A65">
    <cfRule type="duplicateValues" dxfId="68" priority="87"/>
  </conditionalFormatting>
  <conditionalFormatting sqref="A66">
    <cfRule type="duplicateValues" dxfId="67" priority="83"/>
  </conditionalFormatting>
  <conditionalFormatting sqref="A67">
    <cfRule type="duplicateValues" dxfId="66" priority="79"/>
  </conditionalFormatting>
  <conditionalFormatting sqref="A68">
    <cfRule type="duplicateValues" dxfId="65" priority="152"/>
  </conditionalFormatting>
  <conditionalFormatting sqref="A83">
    <cfRule type="duplicateValues" dxfId="64" priority="151"/>
  </conditionalFormatting>
  <conditionalFormatting sqref="A84">
    <cfRule type="duplicateValues" dxfId="63" priority="148"/>
  </conditionalFormatting>
  <conditionalFormatting sqref="A85:A86">
    <cfRule type="duplicateValues" dxfId="62" priority="145"/>
  </conditionalFormatting>
  <conditionalFormatting sqref="A104">
    <cfRule type="duplicateValues" dxfId="61" priority="142"/>
  </conditionalFormatting>
  <conditionalFormatting sqref="A121">
    <cfRule type="duplicateValues" dxfId="60" priority="139"/>
  </conditionalFormatting>
  <conditionalFormatting sqref="A188:A195 A105:A120 A27:A31 A59:A62 A69:A82 A87:A103 A23 A1:A10 A37:A55 A122:A178 A206:A1048576">
    <cfRule type="duplicateValues" dxfId="59" priority="996"/>
  </conditionalFormatting>
  <conditionalFormatting sqref="A559">
    <cfRule type="duplicateValues" dxfId="58" priority="189"/>
  </conditionalFormatting>
  <conditionalFormatting sqref="A562">
    <cfRule type="duplicateValues" dxfId="57" priority="188"/>
  </conditionalFormatting>
  <conditionalFormatting sqref="C573">
    <cfRule type="cellIs" dxfId="56" priority="187" operator="equal">
      <formula>"CANCELADO"</formula>
    </cfRule>
  </conditionalFormatting>
  <conditionalFormatting sqref="E128:E144">
    <cfRule type="expression" dxfId="55" priority="78">
      <formula>A128="NOK"</formula>
    </cfRule>
  </conditionalFormatting>
  <conditionalFormatting sqref="F60">
    <cfRule type="duplicateValues" dxfId="54" priority="177"/>
  </conditionalFormatting>
  <conditionalFormatting sqref="K3:K12 K15:K34 K36:K43 K45:K53 K56 K58:K59 K61:K67 K70:K86 K88:K98 K100:K105 K107:K109 K114:K120 K122:K123 K125:K130 K132:K151 K153:K154 K157:K169 K171:K175 K179:K181 K186:K189 K193 K196">
    <cfRule type="containsText" dxfId="53" priority="19" operator="containsText" text="APROVADO;PENDENTE">
      <formula>NOT(ISERROR(SEARCH("APROVADO;PENDENTE",K3)))</formula>
    </cfRule>
  </conditionalFormatting>
  <conditionalFormatting sqref="K3:K12">
    <cfRule type="cellIs" dxfId="52" priority="25" operator="equal">
      <formula>"LANÇADO"</formula>
    </cfRule>
  </conditionalFormatting>
  <conditionalFormatting sqref="K3:K195">
    <cfRule type="cellIs" dxfId="51" priority="12" operator="equal">
      <formula>"LANÇADO"</formula>
    </cfRule>
    <cfRule type="containsText" dxfId="50" priority="14" operator="containsText" text="APROVADO;PENDENTE">
      <formula>NOT(ISERROR(SEARCH("APROVADO;PENDENTE",K3)))</formula>
    </cfRule>
  </conditionalFormatting>
  <conditionalFormatting sqref="K3:K196">
    <cfRule type="cellIs" dxfId="49" priority="15" operator="equal">
      <formula>"LANÇADO"</formula>
    </cfRule>
    <cfRule type="cellIs" dxfId="48" priority="16" operator="equal">
      <formula>"PENDENTE"</formula>
    </cfRule>
  </conditionalFormatting>
  <conditionalFormatting sqref="K15:K34 K36:K43 K45:K53 K56 K58:K59 K61:K67 K70:K86 K88:K98 K100:K105 K107:K109 K114:K120 K122:K123 K125:K130 K132:K151 K153:K154 K157:K169 K171:K175 K179:K189 K193 K196">
    <cfRule type="cellIs" dxfId="47" priority="20" operator="equal">
      <formula>"LANÇADO"</formula>
    </cfRule>
  </conditionalFormatting>
  <conditionalFormatting sqref="K182:K185 L107:M195 S59 M89:M106 L206:M576 W207:W577">
    <cfRule type="cellIs" dxfId="46" priority="190" operator="equal">
      <formula>"LANÇADO"</formula>
    </cfRule>
  </conditionalFormatting>
  <conditionalFormatting sqref="K182:K185">
    <cfRule type="containsText" dxfId="45" priority="24" operator="containsText" text="APROVADO;PENDENTE">
      <formula>NOT(ISERROR(SEARCH("APROVADO;PENDENTE",K182)))</formula>
    </cfRule>
  </conditionalFormatting>
  <conditionalFormatting sqref="L3:L576 L3:M11 U3:U576">
    <cfRule type="cellIs" dxfId="44" priority="70" operator="equal">
      <formula>"LANÇADO"</formula>
    </cfRule>
  </conditionalFormatting>
  <conditionalFormatting sqref="L182">
    <cfRule type="cellIs" dxfId="43" priority="9" operator="equal">
      <formula>"LANÇADO"</formula>
    </cfRule>
    <cfRule type="containsText" dxfId="42" priority="11" operator="containsText" text="APROVADO;PENDENTE">
      <formula>NOT(ISERROR(SEARCH("APROVADO;PENDENTE",L182)))</formula>
    </cfRule>
  </conditionalFormatting>
  <conditionalFormatting sqref="L184">
    <cfRule type="cellIs" dxfId="41" priority="6" operator="equal">
      <formula>"LANÇADO"</formula>
    </cfRule>
    <cfRule type="containsText" dxfId="40" priority="8" operator="containsText" text="APROVADO;PENDENTE">
      <formula>NOT(ISERROR(SEARCH("APROVADO;PENDENTE",L184)))</formula>
    </cfRule>
  </conditionalFormatting>
  <conditionalFormatting sqref="L3:M11 L3:L576 U3:U576">
    <cfRule type="cellIs" dxfId="39" priority="71" operator="equal">
      <formula>"PENDENTE"</formula>
    </cfRule>
  </conditionalFormatting>
  <conditionalFormatting sqref="L65:M87">
    <cfRule type="cellIs" dxfId="38" priority="80" operator="equal">
      <formula>"LANÇADO"</formula>
    </cfRule>
    <cfRule type="cellIs" dxfId="37" priority="81" operator="equal">
      <formula>"PENDENTE"</formula>
    </cfRule>
  </conditionalFormatting>
  <conditionalFormatting sqref="M12:M31">
    <cfRule type="cellIs" dxfId="36" priority="54" operator="equal">
      <formula>"LANÇADO"</formula>
    </cfRule>
    <cfRule type="cellIs" dxfId="35" priority="55" operator="equal">
      <formula>"PENDENTE"</formula>
    </cfRule>
  </conditionalFormatting>
  <conditionalFormatting sqref="M64">
    <cfRule type="cellIs" dxfId="34" priority="92" operator="equal">
      <formula>"LANÇADO"</formula>
    </cfRule>
    <cfRule type="cellIs" dxfId="33" priority="93" operator="equal">
      <formula>"PENDENTE"</formula>
    </cfRule>
  </conditionalFormatting>
  <conditionalFormatting sqref="P3:P195">
    <cfRule type="duplicateValues" dxfId="32" priority="1026"/>
  </conditionalFormatting>
  <conditionalFormatting sqref="Q3:T47 O1:O195 V3:V23 V27:V28 Q48:R57 T48:T57 Q58:T58 Q59:R59 T59:T62 R60 Q61:R62 Q63:T195 V86:V103 V106:V120 V122:V195 V206:V575 O206:T1048576">
    <cfRule type="cellIs" dxfId="31" priority="192" operator="lessThan">
      <formula>0</formula>
    </cfRule>
  </conditionalFormatting>
  <conditionalFormatting sqref="S3:S10 S23:S31 S37:S47">
    <cfRule type="containsText" dxfId="30" priority="180" operator="containsText" text="RECEBIDO">
      <formula>NOT(ISERROR(SEARCH("RECEBIDO",S3)))</formula>
    </cfRule>
    <cfRule type="containsText" dxfId="29" priority="181" operator="containsText" text="PENDENTE">
      <formula>NOT(ISERROR(SEARCH("PENDENTE",S3)))</formula>
    </cfRule>
  </conditionalFormatting>
  <conditionalFormatting sqref="S49:S57">
    <cfRule type="cellIs" dxfId="28" priority="178" operator="equal">
      <formula>"LANÇADO"</formula>
    </cfRule>
    <cfRule type="cellIs" dxfId="27" priority="179" operator="equal">
      <formula>"PENDENTE"</formula>
    </cfRule>
  </conditionalFormatting>
  <conditionalFormatting sqref="S59 M89:M106 L107:M195 L206:M576 W207:W577">
    <cfRule type="cellIs" dxfId="26" priority="191" operator="equal">
      <formula>"PENDENTE"</formula>
    </cfRule>
  </conditionalFormatting>
  <conditionalFormatting sqref="S61:S62">
    <cfRule type="cellIs" dxfId="25" priority="171" operator="equal">
      <formula>"LANÇADO"</formula>
    </cfRule>
    <cfRule type="cellIs" dxfId="24" priority="172" operator="equal">
      <formula>"PENDENTE"</formula>
    </cfRule>
  </conditionalFormatting>
  <conditionalFormatting sqref="S48:T48">
    <cfRule type="cellIs" dxfId="23" priority="182" operator="equal">
      <formula>"LANÇADO"</formula>
    </cfRule>
    <cfRule type="cellIs" dxfId="22" priority="183" operator="equal">
      <formula>"PENDENTE"</formula>
    </cfRule>
  </conditionalFormatting>
  <conditionalFormatting sqref="S60:T60">
    <cfRule type="cellIs" dxfId="21" priority="184" operator="equal">
      <formula>"LANÇADO"</formula>
    </cfRule>
    <cfRule type="cellIs" dxfId="20" priority="185" operator="equal">
      <formula>"PENDENTE"</formula>
    </cfRule>
  </conditionalFormatting>
  <conditionalFormatting sqref="T56">
    <cfRule type="cellIs" dxfId="19" priority="175" operator="equal">
      <formula>"LANÇADO"</formula>
    </cfRule>
    <cfRule type="cellIs" dxfId="18" priority="176" operator="equal">
      <formula>"PENDENTE"</formula>
    </cfRule>
  </conditionalFormatting>
  <conditionalFormatting sqref="V24:V26">
    <cfRule type="cellIs" dxfId="17" priority="165" operator="equal">
      <formula>"LANÇADO"</formula>
    </cfRule>
    <cfRule type="cellIs" dxfId="16" priority="166" operator="equal">
      <formula>"PENDENTE"</formula>
    </cfRule>
  </conditionalFormatting>
  <conditionalFormatting sqref="V29">
    <cfRule type="cellIs" dxfId="15" priority="103" operator="equal">
      <formula>"LANÇADO"</formula>
    </cfRule>
    <cfRule type="cellIs" dxfId="14" priority="104" operator="equal">
      <formula>"PENDENTE"</formula>
    </cfRule>
  </conditionalFormatting>
  <conditionalFormatting sqref="V30:V56">
    <cfRule type="cellIs" dxfId="13" priority="36" operator="lessThan">
      <formula>0</formula>
    </cfRule>
  </conditionalFormatting>
  <conditionalFormatting sqref="V57">
    <cfRule type="cellIs" dxfId="12" priority="153" operator="equal">
      <formula>"LANÇADO"</formula>
    </cfRule>
    <cfRule type="cellIs" dxfId="11" priority="154" operator="equal">
      <formula>"PENDENTE"</formula>
    </cfRule>
  </conditionalFormatting>
  <conditionalFormatting sqref="V58:V82">
    <cfRule type="cellIs" dxfId="10" priority="82" operator="lessThan">
      <formula>0</formula>
    </cfRule>
  </conditionalFormatting>
  <conditionalFormatting sqref="V83:V85">
    <cfRule type="cellIs" dxfId="9" priority="143" operator="equal">
      <formula>"LANÇADO"</formula>
    </cfRule>
    <cfRule type="cellIs" dxfId="8" priority="144" operator="equal">
      <formula>"PENDENTE"</formula>
    </cfRule>
  </conditionalFormatting>
  <conditionalFormatting sqref="V104:V105">
    <cfRule type="cellIs" dxfId="7" priority="140" operator="equal">
      <formula>"LANÇADO"</formula>
    </cfRule>
    <cfRule type="cellIs" dxfId="6" priority="141" operator="equal">
      <formula>"PENDENTE"</formula>
    </cfRule>
  </conditionalFormatting>
  <conditionalFormatting sqref="V121">
    <cfRule type="cellIs" dxfId="5" priority="137" operator="equal">
      <formula>"LANÇADO"</formula>
    </cfRule>
    <cfRule type="cellIs" dxfId="4" priority="138" operator="equal">
      <formula>"PENDENTE"</formula>
    </cfRule>
  </conditionalFormatting>
  <conditionalFormatting sqref="V576">
    <cfRule type="cellIs" dxfId="3" priority="173" operator="equal">
      <formula>"LANÇADO"</formula>
    </cfRule>
    <cfRule type="cellIs" dxfId="2" priority="174" operator="equal">
      <formula>"PENDENTE"</formula>
    </cfRule>
  </conditionalFormatting>
  <conditionalFormatting sqref="W3:W196 L32:M63">
    <cfRule type="cellIs" dxfId="1" priority="34" operator="equal">
      <formula>"LANÇADO"</formula>
    </cfRule>
    <cfRule type="cellIs" dxfId="0" priority="35" operator="equal">
      <formula>"PENDENTE"</formula>
    </cfRule>
  </conditionalFormatting>
  <dataValidations count="6">
    <dataValidation type="list" allowBlank="1" showInputMessage="1" showErrorMessage="1" sqref="S3:S10 S23:S31 S37:S47" xr:uid="{E42330D9-81BE-4A80-8265-CFF9EF67480D}">
      <formula1>"PENDENTE,RECEBIDO"</formula1>
    </dataValidation>
    <dataValidation allowBlank="1" showInputMessage="1" showErrorMessage="1" sqref="V24:V26 V83:V85 E86 E122 E147:E148 E253 E225 V104:V105 E127:E144 W207:W584 V57 E173:E187 M206:M1048576 M89:M195 M1:M87 V121 W1:W196" xr:uid="{155D8DFC-C491-4890-92A8-9C707ADCCC80}"/>
    <dataValidation type="list" allowBlank="1" showInputMessage="1" showErrorMessage="1" sqref="U576:V576 S48:S57 S59:S62 U3:U575 L3:L576" xr:uid="{B7A2DDA5-4D32-42D0-B468-56E8B945A592}">
      <formula1>"LANÇADO,PENDENTE"</formula1>
    </dataValidation>
    <dataValidation type="list" allowBlank="1" showInputMessage="1" showErrorMessage="1" sqref="J206:J413 J3:J195" xr:uid="{4CEC9B0F-FA47-45C5-A95A-BEF3D672DF2D}">
      <formula1>"PENDENTE,OK"</formula1>
    </dataValidation>
    <dataValidation type="list" allowBlank="1" showInputMessage="1" showErrorMessage="1" sqref="K206:K413" xr:uid="{62D64B5A-B3A5-4DED-B9DF-822A87DD25E3}">
      <formula1>"PENDENTE,ANEXADO"</formula1>
    </dataValidation>
    <dataValidation type="list" allowBlank="1" showInputMessage="1" showErrorMessage="1" sqref="K3:K196" xr:uid="{B86CE2B6-F8D7-431C-87FB-3BCD94EE3ED1}">
      <formula1>"PENDENTE,APROVADO"</formula1>
    </dataValidation>
  </dataValidation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6B06-4AE8-4559-9132-695102AA27C2}">
  <dimension ref="B1:T18"/>
  <sheetViews>
    <sheetView showGridLines="0" zoomScale="80" zoomScaleNormal="80" workbookViewId="0">
      <selection activeCell="E7" sqref="E7"/>
    </sheetView>
  </sheetViews>
  <sheetFormatPr defaultRowHeight="15" customHeight="1"/>
  <cols>
    <col min="1" max="1" width="5.28515625" customWidth="1"/>
    <col min="2" max="2" width="10.5703125" hidden="1" customWidth="1"/>
    <col min="3" max="3" width="34.42578125" bestFit="1" customWidth="1"/>
    <col min="4" max="4" width="16.42578125" customWidth="1"/>
    <col min="5" max="5" width="15.7109375" customWidth="1"/>
    <col min="6" max="6" width="17.140625" customWidth="1"/>
    <col min="7" max="7" width="14.42578125" customWidth="1"/>
    <col min="8" max="8" width="17.28515625" customWidth="1"/>
    <col min="9" max="9" width="17.5703125" customWidth="1"/>
    <col min="10" max="10" width="15.42578125" customWidth="1"/>
    <col min="11" max="15" width="14.7109375" customWidth="1"/>
    <col min="16" max="17" width="17.5703125" customWidth="1"/>
    <col min="18" max="18" width="19.7109375" style="1" bestFit="1" customWidth="1"/>
    <col min="19" max="19" width="17.28515625" customWidth="1"/>
    <col min="20" max="20" width="13.7109375" bestFit="1" customWidth="1"/>
  </cols>
  <sheetData>
    <row r="1" spans="2:20" ht="15.75" thickBot="1">
      <c r="D1" s="114"/>
      <c r="M1" s="277"/>
    </row>
    <row r="2" spans="2:20" ht="15.75" thickBot="1">
      <c r="C2" s="29" t="s">
        <v>534</v>
      </c>
      <c r="D2" s="293">
        <v>46023</v>
      </c>
      <c r="E2" s="293">
        <v>46054</v>
      </c>
      <c r="F2" s="293">
        <v>46082</v>
      </c>
      <c r="G2" s="293">
        <v>46113</v>
      </c>
      <c r="H2" s="293">
        <v>46143</v>
      </c>
      <c r="I2" s="293">
        <v>46174</v>
      </c>
      <c r="J2" s="293">
        <v>46204</v>
      </c>
      <c r="K2" s="293">
        <v>46266</v>
      </c>
      <c r="L2" s="293"/>
      <c r="M2" s="30"/>
      <c r="N2" s="30"/>
      <c r="O2" s="30"/>
      <c r="P2" s="30" t="s">
        <v>535</v>
      </c>
      <c r="Q2" s="31" t="s">
        <v>536</v>
      </c>
      <c r="R2" s="137" t="s">
        <v>537</v>
      </c>
    </row>
    <row r="3" spans="2:20">
      <c r="C3" s="28" t="s">
        <v>538</v>
      </c>
      <c r="D3" s="108">
        <f>'JANEIRO 2026'!L1</f>
        <v>0</v>
      </c>
      <c r="E3" s="108">
        <f>'FEVEREIRO 2026'!N1</f>
        <v>0</v>
      </c>
      <c r="F3" s="108">
        <f>'MARÇO 2026'!N1</f>
        <v>0</v>
      </c>
      <c r="G3" s="108">
        <f>'ABRIL 2026'!N1</f>
        <v>0</v>
      </c>
      <c r="H3" s="108">
        <f>'MAIO 2026'!N1</f>
        <v>0</v>
      </c>
      <c r="I3" s="108"/>
      <c r="J3" s="108"/>
      <c r="K3" s="108"/>
      <c r="L3" s="108"/>
      <c r="M3" s="108"/>
      <c r="N3" s="108"/>
      <c r="O3" s="108"/>
      <c r="P3" s="109"/>
      <c r="Q3" s="32" t="e">
        <f>P5/P3</f>
        <v>#DIV/0!</v>
      </c>
    </row>
    <row r="4" spans="2:20">
      <c r="C4" s="27" t="s">
        <v>539</v>
      </c>
      <c r="D4" s="110">
        <f>SUMIF(Tabela1316[APROVAÇÃO_SUZANO],Analise!B9,Tabela1316[Valor_recibo])</f>
        <v>33659.729999999996</v>
      </c>
      <c r="E4" s="110">
        <f>SUMIF(Tabela131617[APROVAÇÃO_SUZANO],Analise!B9,Tabela131617[Valor_recibo])</f>
        <v>0</v>
      </c>
      <c r="F4" s="110">
        <f>SUMIF(Tabela13161718[APROVAÇÃO_SUZANO],Analise!B9,Tabela13161718[Valor_recibo])</f>
        <v>0</v>
      </c>
      <c r="G4" s="110">
        <f>SUMIF(Tabela1316171819[APROVAÇÃO_SUZANO],Analise!B9,Tabela1316171819[Valor_recibo])</f>
        <v>0</v>
      </c>
      <c r="H4" s="110">
        <f>SUMIF(Tabela131617181920[APROVAÇÃO_SUZANO],Analise!B9,Tabela131617181920[Valor_recibo])</f>
        <v>0</v>
      </c>
      <c r="I4" s="110"/>
      <c r="J4" s="110"/>
      <c r="K4" s="110"/>
      <c r="L4" s="110"/>
      <c r="M4" s="110"/>
      <c r="N4" s="110"/>
      <c r="O4" s="110"/>
      <c r="P4" s="110"/>
      <c r="Q4" s="33" t="e">
        <f>P4/P3</f>
        <v>#DIV/0!</v>
      </c>
      <c r="R4" s="137" t="s">
        <v>540</v>
      </c>
    </row>
    <row r="5" spans="2:20">
      <c r="C5" s="25" t="s">
        <v>541</v>
      </c>
      <c r="D5" s="111">
        <f>D3-D4</f>
        <v>-33659.729999999996</v>
      </c>
      <c r="E5" s="111">
        <f t="shared" ref="E5" si="0">E3-E4</f>
        <v>0</v>
      </c>
      <c r="F5" s="111">
        <f t="shared" ref="F5" si="1">F3-F4</f>
        <v>0</v>
      </c>
      <c r="G5" s="111">
        <f t="shared" ref="G5" si="2">G3-G4</f>
        <v>0</v>
      </c>
      <c r="H5" s="111">
        <f t="shared" ref="H5" si="3">H3-H4</f>
        <v>0</v>
      </c>
      <c r="I5" s="111"/>
      <c r="J5" s="111"/>
      <c r="K5" s="111"/>
      <c r="L5" s="111"/>
      <c r="M5" s="111"/>
      <c r="N5" s="111"/>
      <c r="O5" s="111"/>
      <c r="P5" s="111"/>
      <c r="Q5" s="34"/>
      <c r="S5" s="114">
        <f>P5-P7</f>
        <v>0</v>
      </c>
    </row>
    <row r="6" spans="2:20">
      <c r="B6" t="s">
        <v>542</v>
      </c>
      <c r="C6" s="25" t="s">
        <v>543</v>
      </c>
      <c r="D6" s="159">
        <f>D5-D3</f>
        <v>-33659.729999999996</v>
      </c>
      <c r="E6" s="159">
        <f t="shared" ref="E6:F6" si="4">E5-E3</f>
        <v>0</v>
      </c>
      <c r="F6" s="159">
        <f t="shared" si="4"/>
        <v>0</v>
      </c>
      <c r="G6" s="159">
        <f>G5-G3</f>
        <v>0</v>
      </c>
      <c r="H6" s="159">
        <f t="shared" ref="H6" si="5">H5-H7</f>
        <v>0</v>
      </c>
      <c r="I6" s="159"/>
      <c r="J6" s="159"/>
      <c r="K6" s="159"/>
      <c r="L6" s="159"/>
      <c r="M6" s="159"/>
      <c r="N6" s="159"/>
      <c r="O6" s="159"/>
      <c r="P6" s="175"/>
      <c r="Q6" s="34"/>
      <c r="R6" s="137" t="s">
        <v>544</v>
      </c>
      <c r="S6" s="114"/>
    </row>
    <row r="7" spans="2:20" ht="15" customHeight="1">
      <c r="B7" s="277" t="s">
        <v>545</v>
      </c>
      <c r="C7" s="25" t="s">
        <v>546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>
        <f>SUM(D7:N7)</f>
        <v>0</v>
      </c>
      <c r="Q7" s="107" t="e">
        <f>P7/P5</f>
        <v>#DIV/0!</v>
      </c>
      <c r="S7" s="114">
        <f>P7</f>
        <v>0</v>
      </c>
      <c r="T7" s="114"/>
    </row>
    <row r="8" spans="2:20">
      <c r="B8" t="s">
        <v>547</v>
      </c>
      <c r="C8" s="25" t="s">
        <v>548</v>
      </c>
      <c r="D8" s="26">
        <f>COUNTIF(Tabela1345[status forms],Analise!#REF!)</f>
        <v>0</v>
      </c>
      <c r="E8" s="26">
        <f>COUNTIF(Tabela1345[Data lançamento],Analise!#REF!)</f>
        <v>0</v>
      </c>
      <c r="F8" s="26">
        <f>COUNTIF(Tabela1345[Match_Planilha],Analise!#REF!)</f>
        <v>0</v>
      </c>
      <c r="G8" s="26">
        <f>COUNTIF(Tabela1345[Dif],Analise!#REF!)</f>
        <v>0</v>
      </c>
      <c r="H8" s="26">
        <f>COUNTIF(Tabela1345[status forms],Analise!B8)</f>
        <v>0</v>
      </c>
      <c r="I8" s="26">
        <f>COUNTIF(Tabela13456[status forms],Analise!B8)</f>
        <v>0</v>
      </c>
      <c r="J8" s="26">
        <v>0</v>
      </c>
      <c r="K8" s="26">
        <f>COUNTIF(Tabela1389[status forms],Analise!B8)</f>
        <v>0</v>
      </c>
      <c r="L8" s="26">
        <f>COUNTIF(Tabela138910[status forms],Analise!B8)</f>
        <v>0</v>
      </c>
      <c r="M8" s="26">
        <f>COUNTIF(Tabela13891011[status forms],Analise!B8)</f>
        <v>1</v>
      </c>
      <c r="N8" s="26">
        <f>COUNTIF(Tabela1389101112[status forms],Analise!B8)</f>
        <v>0</v>
      </c>
      <c r="O8" s="26"/>
      <c r="P8" s="26">
        <f>SUM(E8:H8)</f>
        <v>0</v>
      </c>
      <c r="Q8" s="34"/>
      <c r="S8" s="114"/>
    </row>
    <row r="9" spans="2:20" ht="15.75" thickBot="1">
      <c r="B9" t="s">
        <v>542</v>
      </c>
      <c r="C9" s="35" t="s">
        <v>549</v>
      </c>
      <c r="D9" s="36">
        <f>COUNTIF(Tabela1345[status forms],Analise!#REF!)</f>
        <v>0</v>
      </c>
      <c r="E9" s="36">
        <f>COUNTIF(Tabela13456[status forms],Analise!#REF!)</f>
        <v>0</v>
      </c>
      <c r="F9" s="36">
        <f>COUNTIF(Tabela13456[Data lançamento],Analise!#REF!)</f>
        <v>0</v>
      </c>
      <c r="G9" s="36">
        <f>COUNTIF(Tabela13456[Match_Planilha],Analise!#REF!)</f>
        <v>0</v>
      </c>
      <c r="H9" s="36">
        <f>COUNTIF(Tabela1345[status forms],Analise!B9)</f>
        <v>0</v>
      </c>
      <c r="I9" s="36">
        <f>COUNTIF(Tabela13456[status forms],Analise!B9)</f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/>
      <c r="P9" s="36">
        <f>SUM(E9:H9)</f>
        <v>0</v>
      </c>
      <c r="Q9" s="37" t="e">
        <f>P8/P9</f>
        <v>#DIV/0!</v>
      </c>
      <c r="S9" s="114">
        <f>P4</f>
        <v>0</v>
      </c>
    </row>
    <row r="10" spans="2:20" ht="15" customHeight="1" thickBot="1"/>
    <row r="11" spans="2:20" ht="15" customHeight="1">
      <c r="J11" s="315" t="s">
        <v>550</v>
      </c>
      <c r="K11" s="315"/>
      <c r="L11" s="315"/>
      <c r="M11" s="315"/>
      <c r="N11" s="30" t="s">
        <v>551</v>
      </c>
      <c r="O11" s="254" t="s">
        <v>552</v>
      </c>
      <c r="P11" s="114"/>
    </row>
    <row r="12" spans="2:20" ht="15" customHeight="1">
      <c r="J12" s="1" t="s">
        <v>553</v>
      </c>
      <c r="K12" s="251" t="s">
        <v>554</v>
      </c>
      <c r="L12" s="251" t="s">
        <v>555</v>
      </c>
      <c r="M12" s="251" t="s">
        <v>556</v>
      </c>
      <c r="N12" s="114"/>
      <c r="O12" s="114"/>
      <c r="P12" s="114"/>
    </row>
    <row r="13" spans="2:20" ht="15" customHeight="1">
      <c r="I13" s="200">
        <f>SUM(H6,F6,E6,D6)</f>
        <v>-33659.729999999996</v>
      </c>
      <c r="J13" s="252" t="e">
        <f>#REF!</f>
        <v>#REF!</v>
      </c>
      <c r="K13" s="252">
        <f>'JANEIRO 2026'!T1</f>
        <v>0</v>
      </c>
      <c r="L13" s="252">
        <f>'FEVEREIRO 2026'!R1</f>
        <v>0</v>
      </c>
      <c r="M13" s="252">
        <f>'MARÇO 2026'!R1</f>
        <v>0</v>
      </c>
      <c r="N13" s="252" t="e">
        <f>SUM(J13:M13)</f>
        <v>#REF!</v>
      </c>
      <c r="O13" s="252" t="e">
        <f>N13/0.88</f>
        <v>#REF!</v>
      </c>
    </row>
    <row r="14" spans="2:20">
      <c r="C14" s="28" t="s">
        <v>538</v>
      </c>
      <c r="D14" s="114">
        <f>P3</f>
        <v>0</v>
      </c>
      <c r="I14" s="200">
        <f>SUM(D4:I4)</f>
        <v>33659.729999999996</v>
      </c>
      <c r="J14" s="201" t="s">
        <v>542</v>
      </c>
      <c r="K14" s="200"/>
      <c r="L14" s="200"/>
      <c r="M14" s="114"/>
      <c r="N14" s="114"/>
      <c r="O14" s="114"/>
      <c r="P14" s="17"/>
      <c r="Q14" s="114"/>
      <c r="R14" s="138"/>
      <c r="S14" s="87"/>
    </row>
    <row r="15" spans="2:20">
      <c r="C15" s="27" t="s">
        <v>542</v>
      </c>
      <c r="D15" s="114">
        <f>P4</f>
        <v>0</v>
      </c>
      <c r="I15" s="200">
        <f>SUM(G6,I6,J6,K6)</f>
        <v>0</v>
      </c>
      <c r="J15" s="201" t="s">
        <v>557</v>
      </c>
      <c r="K15" s="201"/>
      <c r="L15" s="201"/>
      <c r="P15" s="114"/>
      <c r="Q15" s="114"/>
    </row>
    <row r="16" spans="2:20" ht="15" customHeight="1">
      <c r="C16" s="25" t="s">
        <v>558</v>
      </c>
      <c r="D16" s="114">
        <f>P5</f>
        <v>0</v>
      </c>
      <c r="I16" s="200">
        <f>88447.7</f>
        <v>88447.7</v>
      </c>
      <c r="J16" s="201" t="s">
        <v>559</v>
      </c>
      <c r="K16" s="201"/>
      <c r="L16" s="201"/>
      <c r="Q16" s="114"/>
    </row>
    <row r="17" spans="3:17" ht="15" customHeight="1">
      <c r="C17" s="25" t="s">
        <v>560</v>
      </c>
      <c r="D17" s="114">
        <f>P7</f>
        <v>0</v>
      </c>
      <c r="I17" s="201"/>
      <c r="J17" s="201"/>
      <c r="K17" s="201"/>
      <c r="L17" s="201"/>
      <c r="P17" s="114"/>
      <c r="Q17" s="114"/>
    </row>
    <row r="18" spans="3:17" ht="15" customHeight="1">
      <c r="I18" s="201"/>
      <c r="J18" s="201"/>
      <c r="K18" s="201"/>
      <c r="L18" s="201"/>
      <c r="Q18" s="114"/>
    </row>
  </sheetData>
  <mergeCells count="1">
    <mergeCell ref="J11:M1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5C54D-F251-4BB7-8B1C-AF0656A2C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JANEIRO 2025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FEVEREIRO 2025</vt:lpstr>
      <vt:lpstr>JANEIRO 2026</vt:lpstr>
      <vt:lpstr>Planilha1</vt:lpstr>
      <vt:lpstr>FEVEREIRO 2026</vt:lpstr>
      <vt:lpstr>MARÇO 2026</vt:lpstr>
      <vt:lpstr>ABRIL 2026</vt:lpstr>
      <vt:lpstr>Aprovados</vt:lpstr>
      <vt:lpstr>MAIO 2026</vt:lpstr>
      <vt:lpstr>Analise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Tamires Tarsis Do Carmo Santos</dc:creator>
  <cp:keywords/>
  <dc:description/>
  <cp:lastModifiedBy>Natacha Leite Pinheiro</cp:lastModifiedBy>
  <cp:revision/>
  <dcterms:created xsi:type="dcterms:W3CDTF">2024-05-06T14:27:43Z</dcterms:created>
  <dcterms:modified xsi:type="dcterms:W3CDTF">2026-02-06T14:13:30Z</dcterms:modified>
  <cp:category/>
  <cp:contentStatus/>
</cp:coreProperties>
</file>